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65" windowWidth="18315" windowHeight="11160" tabRatio="254"/>
  </bookViews>
  <sheets>
    <sheet name="동향 그래프 ~시세반영 " sheetId="59" r:id="rId1"/>
    <sheet name="DOWN 가격동향" sheetId="45" r:id="rId2"/>
    <sheet name="Sheet1" sheetId="6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'DOWN 가격동향'!$A$10:$H$45</definedName>
    <definedName name="_Order1">0</definedName>
    <definedName name="A" localSheetId="1">BlankMacro1</definedName>
    <definedName name="A" localSheetId="0">BlankMacro1</definedName>
    <definedName name="A">BlankMacro1</definedName>
    <definedName name="AAAA" localSheetId="1">BlankMacro1</definedName>
    <definedName name="AAAA" localSheetId="0">BlankMacro1</definedName>
    <definedName name="AAAA">BlankMacro1</definedName>
    <definedName name="HTML1_1">"'[클레임.xls]클레임 기안'!$A$2:$I$34"</definedName>
    <definedName name="HTML1_10">""</definedName>
    <definedName name="HTML1_11">1</definedName>
    <definedName name="HTML1_12">"C:\My Documents\MyHTML.htm"</definedName>
    <definedName name="HTML1_2">1</definedName>
    <definedName name="HTML1_3">"클레임.xl"</definedName>
    <definedName name="HTML1_4">"클레임 기안"</definedName>
    <definedName name="HTML1_5">"연습용입니다."</definedName>
    <definedName name="HTML1_6">1</definedName>
    <definedName name="HTML1_7">-4146</definedName>
    <definedName name="HTML1_8">"97-02-26"</definedName>
    <definedName name="HTML1_9">"전광호"</definedName>
    <definedName name="HTMLCount">1</definedName>
    <definedName name="ID">[1]ITEM!$F$4:$F$587</definedName>
    <definedName name="LINE">[1]ITEM!$C$4:$C$587</definedName>
    <definedName name="_xlnm.Print_Area" localSheetId="1">'DOWN 가격동향'!$A$6:$AKF$45</definedName>
    <definedName name="_xlnm.Print_Area" localSheetId="0">'동향 그래프 ~시세반영 '!$A$1:$CY$62</definedName>
    <definedName name="RODLS" localSheetId="1">BlankMacro1</definedName>
    <definedName name="RODLS" localSheetId="0">BlankMacro1</definedName>
    <definedName name="RODLS">BlankMacro1</definedName>
    <definedName name="S" localSheetId="1">BlankMacro1</definedName>
    <definedName name="S" localSheetId="0">BlankMacro1</definedName>
    <definedName name="S">BlankMacro1</definedName>
    <definedName name="SAPBEXhrIndnt">"Wide"</definedName>
    <definedName name="SAPsysID">"708C5W7SBKP804JT78WJ0JNKI"</definedName>
    <definedName name="SAPwbID">"ARS"</definedName>
    <definedName name="sdkljfkljasdf">[2]SM!$L$11:$L$84</definedName>
    <definedName name="SKU">'[3]15SS MDPLAN 취합'!$Y:$Y</definedName>
    <definedName name="ST수">'[3]15SS MDPLAN 취합'!$X:$X</definedName>
    <definedName name="가격">[4]원가!$A$1:$C$65536</definedName>
    <definedName name="개인" localSheetId="1">BlankMacro1</definedName>
    <definedName name="개인" localSheetId="0">BlankMacro1</definedName>
    <definedName name="개인">BlankMacro1</definedName>
    <definedName name="개인별분배" localSheetId="1">BlankMacro1</definedName>
    <definedName name="개인별분배" localSheetId="0">BlankMacro1</definedName>
    <definedName name="개인별분배">BlankMacro1</definedName>
    <definedName name="개인별분배1" localSheetId="1">BlankMacro1</definedName>
    <definedName name="개인별분배1" localSheetId="0">BlankMacro1</definedName>
    <definedName name="개인별분배1">BlankMacro1</definedName>
    <definedName name="거래처">'[5]2004'!$C:$C</definedName>
    <definedName name="거래처1">'[5]2005'!$C:$C</definedName>
    <definedName name="겨율" localSheetId="1">BlankMacro1</definedName>
    <definedName name="겨율" localSheetId="0">BlankMacro1</definedName>
    <definedName name="겨율">BlankMacro1</definedName>
    <definedName name="공급금액">[6]ITEM!$AE$6:$AE$364</definedName>
    <definedName name="구월사주">OFFSET([7]주간분석!$C$29,0,0,COUNTA([7]주간분석!$C$1:$C$65536)-1)</definedName>
    <definedName name="금호기타불량">'[8]금호 산업'!$AT$13</definedName>
    <definedName name="금호기획">'[8]금호 산업'!$K$13</definedName>
    <definedName name="금호기획량">'[8]금호 산업'!$B$13</definedName>
    <definedName name="금호요척량">'[8]금호 산업'!$AA$13</definedName>
    <definedName name="금호원불">'[8]금호 산업'!$AR$13</definedName>
    <definedName name="금호정품입고">'[8]금호 산업'!$AP$13</definedName>
    <definedName name="금호취불">'[8]금호 산업'!$AS$13</definedName>
    <definedName name="기여도" localSheetId="1">BlankMacro1</definedName>
    <definedName name="기여도" localSheetId="0">BlankMacro1</definedName>
    <definedName name="기여도">BlankMacro1</definedName>
    <definedName name="기획">'[9]96 FW 기획, 진행 현황'!$A$155,'[9]96 FW 기획, 진행 현황'!$A$156,'[9]96 FW 기획, 진행 현황'!$A$157,'[9]96 FW 기획, 진행 현황'!$A$158,'[9]96 FW 기획, 진행 현황'!$A$159,'[9]96 FW 기획, 진행 현황'!$A$226,'[9]96 FW 기획, 진행 현황'!$A$227,'[9]96 FW 기획, 진행 현황'!$A$228,'[9]96 FW 기획, 진행 현황'!$A$229,'[9]96 FW 기획, 진행 현황'!$A$230,'[9]96 FW 기획, 진행 현황'!$A$231,'[9]96 FW 기획, 진행 현황'!$A$232,'[9]96 FW 기획, 진행 현황'!$A$233,'[9]96 FW 기획, 진행 현황'!$A$234,'[9]96 FW 기획, 진행 현황'!$A$235</definedName>
    <definedName name="기획량1">[10]스타일별!$Q$7:$Q$83</definedName>
    <definedName name="기획원가">'[11]스타일(Down)'!$V$4:$V$314</definedName>
    <definedName name="기획판가">'[11]스타일(Down)'!$W$4:$W$314</definedName>
    <definedName name="ㄴㅌ" localSheetId="1">BlankMacro1</definedName>
    <definedName name="ㄴㅌ" localSheetId="0">BlankMacro1</definedName>
    <definedName name="ㄴㅌ">BlankMacro1</definedName>
    <definedName name="다운업체">[12]Sheet1!$A$4:$A$9</definedName>
    <definedName name="두번째" localSheetId="1">BlankMacro1</definedName>
    <definedName name="두번째" localSheetId="0">BlankMacro1</definedName>
    <definedName name="두번째">BlankMacro1</definedName>
    <definedName name="ㄹㅇㄹㅇ" localSheetId="1">BlankMacro1</definedName>
    <definedName name="ㄹㅇㄹㅇ" localSheetId="0">BlankMacro1</definedName>
    <definedName name="ㄹㅇㄹㅇ">BlankMacro1</definedName>
    <definedName name="ㅁ" localSheetId="1">BlankMacro1</definedName>
    <definedName name="ㅁ" localSheetId="0">BlankMacro1</definedName>
    <definedName name="ㅁ">BlankMacro1</definedName>
    <definedName name="ㅁㄴㅇ" localSheetId="1">BlankMacro1</definedName>
    <definedName name="ㅁㄴㅇ" localSheetId="0">BlankMacro1</definedName>
    <definedName name="ㅁㄴㅇ">BlankMacro1</definedName>
    <definedName name="ㅁㄴㅇㄹ" localSheetId="1">BlankMacro1</definedName>
    <definedName name="ㅁㄴㅇㄹ" localSheetId="0">BlankMacro1</definedName>
    <definedName name="ㅁㄴㅇㄹ">BlankMacro1</definedName>
    <definedName name="ㅁㅁㅁ">OFFSET([13]주간분석!$C$34,0,0,COUNTA([13]주간분석!$C$1:$C$65536)-1)</definedName>
    <definedName name="ㅁㅁㅁㅁ" localSheetId="1">BlankMacro1</definedName>
    <definedName name="ㅁㅁㅁㅁ" localSheetId="0">BlankMacro1</definedName>
    <definedName name="ㅁㅁㅁㅁ">BlankMacro1</definedName>
    <definedName name="ㅁㅇ" localSheetId="1">BlankMacro1</definedName>
    <definedName name="ㅁㅇ" localSheetId="0">BlankMacro1</definedName>
    <definedName name="ㅁㅇ">BlankMacro1</definedName>
    <definedName name="목차" localSheetId="1">BlankMacro1</definedName>
    <definedName name="목차" localSheetId="0">BlankMacro1</definedName>
    <definedName name="목차">BlankMacro1</definedName>
    <definedName name="복종">[14]SM!$H$11:$H$556</definedName>
    <definedName name="봉" localSheetId="1">BlankMacro1</definedName>
    <definedName name="봉" localSheetId="0">BlankMacro1</definedName>
    <definedName name="봉">BlankMacro1</definedName>
    <definedName name="분류">'[15]12FW 최종(가공)'!$B$8:$B$248</definedName>
    <definedName name="브랜드">'[3]15SS MDPLAN 취합'!$B:$B</definedName>
    <definedName name="사이즈" localSheetId="1">BlankMacro1</definedName>
    <definedName name="사이즈" localSheetId="0">BlankMacro1</definedName>
    <definedName name="사이즈">BlankMacro1</definedName>
    <definedName name="생산금액">[2]SM!$EF$11:$EF$467</definedName>
    <definedName name="생산원가">'[15]12FW 최종(가공)'!$AB$8:$AB$248</definedName>
    <definedName name="생산지">[16]자료!$D$3:$D$388</definedName>
    <definedName name="생산지1">[17]배분현황!$B$12:$C$15</definedName>
    <definedName name="성별">[14]SM!$S$11:$S$556</definedName>
    <definedName name="성별1">'[18]일자별 판매'!$E$5:$E$202</definedName>
    <definedName name="수량">OFFSET([7]주간분석!$B$29,0,0,COUNTA([7]주간분석!$A$29:$IV$29)-1)</definedName>
    <definedName name="스타일no">[6]ITEM!$B$6:$B$364</definedName>
    <definedName name="시계" localSheetId="1">BlankMacro1</definedName>
    <definedName name="시계" localSheetId="0">BlankMacro1</definedName>
    <definedName name="시계">BlankMacro1</definedName>
    <definedName name="시즌">'[3]15SS MDPLAN 취합'!$D:$D</definedName>
    <definedName name="시즌2">[6]ITEM!$D$6:$D$364</definedName>
    <definedName name="싸이즈" localSheetId="1">BlankMacro1</definedName>
    <definedName name="싸이즈" localSheetId="0">BlankMacro1</definedName>
    <definedName name="싸이즈">BlankMacro1</definedName>
    <definedName name="ㅇㄴ" localSheetId="1">BlankMacro1</definedName>
    <definedName name="ㅇㄴ" localSheetId="0">BlankMacro1</definedName>
    <definedName name="ㅇㄴ">BlankMacro1</definedName>
    <definedName name="ㅇㅇ" localSheetId="1">BlankMacro1</definedName>
    <definedName name="ㅇㅇ" localSheetId="0">BlankMacro1</definedName>
    <definedName name="ㅇㅇ">BlankMacro1</definedName>
    <definedName name="아아라랄" localSheetId="1">BlankMacro1</definedName>
    <definedName name="아아라랄" localSheetId="0">BlankMacro1</definedName>
    <definedName name="아아라랄">BlankMacro1</definedName>
    <definedName name="아이템">'[3]15SS MDPLAN 취합'!$G:$G</definedName>
    <definedName name="엄현상" localSheetId="1">BlankMacro1</definedName>
    <definedName name="엄현상" localSheetId="0">BlankMacro1</definedName>
    <definedName name="엄현상">BlankMacro1</definedName>
    <definedName name="업체1">'[18]일자별 판매'!$J$5:$J$202</definedName>
    <definedName name="요척량">'[9]96 FW 기획, 진행 현황'!$V$155,'[9]96 FW 기획, 진행 현황'!$V$156,'[9]96 FW 기획, 진행 현황'!$V$157,'[9]96 FW 기획, 진행 현황'!$V$158,'[9]96 FW 기획, 진행 현황'!$V$159,'[9]96 FW 기획, 진행 현황'!$V$226,'[9]96 FW 기획, 진행 현황'!$V$227,'[9]96 FW 기획, 진행 현황'!$V$228,'[9]96 FW 기획, 진행 현황'!$V$229,'[9]96 FW 기획, 진행 현황'!$V$230,'[9]96 FW 기획, 진행 현황'!$V$231,'[9]96 FW 기획, 진행 현황'!$V$232,'[9]96 FW 기획, 진행 현황'!$V$233,'[9]96 FW 기획, 진행 현황'!$V$234,'[9]96 FW 기획, 진행 현황'!$V$235</definedName>
    <definedName name="우리나라" localSheetId="1">BlankMacro1</definedName>
    <definedName name="우리나라" localSheetId="0">BlankMacro1</definedName>
    <definedName name="우리나라">BlankMacro1</definedName>
    <definedName name="우진기타불량">'[8]우진 I.S'!$AT$24</definedName>
    <definedName name="우진기획">'[8]우진 I.S'!$K$24</definedName>
    <definedName name="우진기획량">'[8]우진 I.S'!$B$24</definedName>
    <definedName name="우진요척량">'[8]우진 I.S'!$AA$24</definedName>
    <definedName name="우진원불">'[8]우진 I.S'!$AR$24</definedName>
    <definedName name="우진정품입고">'[8]우진 I.S'!$AP$24</definedName>
    <definedName name="우진취불">'[8]우진 I.S'!$AS$24</definedName>
    <definedName name="원가">'[3]15SS MDPLAN 취합'!$BM:$BM</definedName>
    <definedName name="원가계">[1]ITEM!$V$4:$V$587</definedName>
    <definedName name="일자별데이터">[19]일자별데이터!$A$2:$T$706</definedName>
    <definedName name="입고">'[11]스타일(Down)'!$J$4:$J$314</definedName>
    <definedName name="입고수">'[20]06스타일별'!$Z$6:$Z$98</definedName>
    <definedName name="입고판가">'[11]스타일(Down)'!$Y$4:$Y$314</definedName>
    <definedName name="자기" localSheetId="1">BlankMacro1</definedName>
    <definedName name="자기" localSheetId="0">BlankMacro1</definedName>
    <definedName name="자기">BlankMacro1</definedName>
    <definedName name="정품">'[9]96 FW 기획, 진행 현황'!$W$235,'[9]96 FW 기획, 진행 현황'!$W$234,'[9]96 FW 기획, 진행 현황'!$W$233,'[9]96 FW 기획, 진행 현황'!$W$232,'[9]96 FW 기획, 진행 현황'!$W$231,'[9]96 FW 기획, 진행 현황'!$W$230,'[9]96 FW 기획, 진행 현황'!$W$229,'[9]96 FW 기획, 진행 현황'!$W$228,'[9]96 FW 기획, 진행 현황'!$W$227,'[9]96 FW 기획, 진행 현황'!$W$226,'[9]96 FW 기획, 진행 현황'!$W$159,'[9]96 FW 기획, 진행 현황'!$W$158,'[9]96 FW 기획, 진행 현황'!$W$157,'[9]96 FW 기획, 진행 현황'!$W$156,'[9]96 FW 기획, 진행 현황'!$W$155</definedName>
    <definedName name="제일기타불량">'[8]제일 합섬'!$AT$7</definedName>
    <definedName name="제일기획">'[8]제일 합섬'!$K$7</definedName>
    <definedName name="제일기획량">'[8]제일 합섬'!$B$7</definedName>
    <definedName name="제일요척량">'[8]제일 합섬'!$AA$7</definedName>
    <definedName name="제일원불">'[8]제일 합섬'!$AR$7</definedName>
    <definedName name="제일정품입고">'[8]제일 합섬'!$AP$7</definedName>
    <definedName name="제일취불">'[8]제일 합섬'!$AS$7</definedName>
    <definedName name="제조금액1">'[5]2005'!$H:$H</definedName>
    <definedName name="조길민">[2]SM!$L$11:$L$84</definedName>
    <definedName name="주간판매">'[11]스타일(Down)'!$T$4:$T$314</definedName>
    <definedName name="주간판매기초">'[19]주간판매기초(Down)'!$C$4:$AB$530</definedName>
    <definedName name="주간판매전체">'[10]주간 판매 기초'!$A$2:$EU$599</definedName>
    <definedName name="진성기타불량">'[8]진성 실업'!$AT$11</definedName>
    <definedName name="진성기획">'[8]진성 실업'!$K$11</definedName>
    <definedName name="진성기획량">'[8]진성 실업'!$B$11</definedName>
    <definedName name="진성요척량">'[8]진성 실업'!$AA$11</definedName>
    <definedName name="진성원불">'[8]진성 실업'!$AR$11</definedName>
    <definedName name="진성정품입고">'[8]진성 실업'!$AP$11</definedName>
    <definedName name="진성취불">'[8]진성 실업'!$AS$11</definedName>
    <definedName name="총판매택가">'[15]12FW 최종(가공)'!$X$8:$X$248</definedName>
    <definedName name="최초가">'[3]15SS MDPLAN 취합'!$AD:$AD</definedName>
    <definedName name="출고">[1]ITEM!$AJ$4:$AJ$587</definedName>
    <definedName name="출고량">'[11]스타일(Down)'!$S$4:$S$314</definedName>
    <definedName name="카타고리">'[20]06스타일별'!$D$6:$D$98</definedName>
    <definedName name="템플리트모듈1" localSheetId="1">BlankMacro1</definedName>
    <definedName name="템플리트모듈1" localSheetId="0">BlankMacro1</definedName>
    <definedName name="템플리트모듈1">BlankMacro1</definedName>
    <definedName name="템플리트모듈2" localSheetId="1">BlankMacro1</definedName>
    <definedName name="템플리트모듈2" localSheetId="0">BlankMacro1</definedName>
    <definedName name="템플리트모듈2">BlankMacro1</definedName>
    <definedName name="템플리트모듈3" localSheetId="1">BlankMacro1</definedName>
    <definedName name="템플리트모듈3" localSheetId="0">BlankMacro1</definedName>
    <definedName name="템플리트모듈3">BlankMacro1</definedName>
    <definedName name="템플리트모듈4" localSheetId="1">BlankMacro1</definedName>
    <definedName name="템플리트모듈4" localSheetId="0">BlankMacro1</definedName>
    <definedName name="템플리트모듈4">BlankMacro1</definedName>
    <definedName name="템플리트모듈5" localSheetId="1">BlankMacro1</definedName>
    <definedName name="템플리트모듈5" localSheetId="0">BlankMacro1</definedName>
    <definedName name="템플리트모듈5">BlankMacro1</definedName>
    <definedName name="템플리트모듈6" localSheetId="1">BlankMacro1</definedName>
    <definedName name="템플리트모듈6" localSheetId="0">BlankMacro1</definedName>
    <definedName name="템플리트모듈6">BlankMacro1</definedName>
    <definedName name="ㅍㅍㅍ" localSheetId="1">BlankMacro1</definedName>
    <definedName name="ㅍㅍㅍ" localSheetId="0">BlankMacro1</definedName>
    <definedName name="ㅍㅍㅍ">BlankMacro1</definedName>
    <definedName name="판매금액">[14]SM!$EA$11:$EA$556</definedName>
    <definedName name="판매원가">'[11]스타일(Down)'!$Z$4:$Z$314</definedName>
    <definedName name="한" localSheetId="1">BlankMacro1</definedName>
    <definedName name="한" localSheetId="0">BlankMacro1</definedName>
    <definedName name="한">BlankMacro1</definedName>
    <definedName name="ㅣㅣ" localSheetId="1">BlankMacro1</definedName>
    <definedName name="ㅣㅣ" localSheetId="0">BlankMacro1</definedName>
    <definedName name="ㅣㅣ">BlankMacro1</definedName>
  </definedNames>
  <calcPr calcId="145621"/>
</workbook>
</file>

<file path=xl/calcChain.xml><?xml version="1.0" encoding="utf-8"?>
<calcChain xmlns="http://schemas.openxmlformats.org/spreadsheetml/2006/main">
  <c r="CY13" i="59" l="1"/>
  <c r="CY46" i="59"/>
  <c r="CU45" i="59"/>
  <c r="CU42" i="59" a="1"/>
  <c r="CU42" i="59" s="1"/>
  <c r="CU9" i="59" a="1"/>
  <c r="CU9" i="59" s="1"/>
  <c r="CU8" i="59" a="1"/>
  <c r="CU8" i="59" s="1"/>
  <c r="CU7" i="59" a="1"/>
  <c r="CU7" i="59" s="1"/>
  <c r="CU6" i="59" a="1"/>
  <c r="CU6" i="59" s="1"/>
  <c r="CU43" i="59" l="1" a="1"/>
  <c r="CU43" i="59" s="1"/>
  <c r="CU44" i="59" a="1"/>
  <c r="CU44" i="59" s="1"/>
  <c r="CU10" i="59" a="1"/>
  <c r="CU10" i="59" s="1"/>
  <c r="CU12" i="59" l="1" a="1"/>
  <c r="CU12" i="59" s="1"/>
  <c r="CU11" i="59" a="1"/>
  <c r="CU11" i="59" s="1"/>
  <c r="CU4" i="59" l="1" a="1"/>
  <c r="CU4" i="59" s="1"/>
  <c r="CU5" i="59" a="1"/>
  <c r="CU5" i="59" s="1"/>
  <c r="CU41" i="59" a="1"/>
  <c r="CU41" i="59" s="1"/>
  <c r="CU40" i="59" a="1"/>
  <c r="CU40" i="59" s="1"/>
  <c r="CU39" i="59" a="1"/>
  <c r="CU39" i="59" s="1"/>
  <c r="CU38" i="59" a="1"/>
  <c r="CU38" i="59" s="1"/>
  <c r="CU37" i="59" a="1"/>
  <c r="CU37" i="59" s="1"/>
  <c r="CU36" i="59"/>
  <c r="CU13" i="59" l="1"/>
  <c r="CT41" i="59" a="1"/>
  <c r="CT41" i="59" s="1"/>
  <c r="CT40" i="59" a="1"/>
  <c r="CT40" i="59" s="1"/>
  <c r="CT39" i="59" a="1"/>
  <c r="CT39" i="59" s="1"/>
  <c r="CT38" i="59" a="1"/>
  <c r="CT38" i="59" s="1"/>
  <c r="CT37" i="59" a="1"/>
  <c r="CT37" i="59" s="1"/>
  <c r="CT36" i="59"/>
  <c r="CT10" i="59" a="1"/>
  <c r="CT10" i="59" s="1"/>
  <c r="CT8" i="59" a="1"/>
  <c r="CT8" i="59" s="1"/>
  <c r="CT7" i="59" a="1"/>
  <c r="CT7" i="59" s="1"/>
  <c r="CT6" i="59" a="1"/>
  <c r="CT6" i="59" s="1"/>
  <c r="CT5" i="59" a="1"/>
  <c r="CT5" i="59" s="1"/>
  <c r="CT4" i="59" a="1"/>
  <c r="CT4" i="59" s="1"/>
  <c r="CT13" i="59" l="1"/>
  <c r="CT45" i="59"/>
  <c r="CS41" i="59" a="1"/>
  <c r="CS41" i="59" s="1"/>
  <c r="CS40" i="59" a="1"/>
  <c r="CS40" i="59" s="1"/>
  <c r="CS39" i="59" a="1"/>
  <c r="CS39" i="59" s="1"/>
  <c r="CS38" i="59" a="1"/>
  <c r="CS38" i="59" s="1"/>
  <c r="CS37" i="59" a="1"/>
  <c r="CS37" i="59" s="1"/>
  <c r="CS36" i="59"/>
  <c r="CS10" i="59" a="1"/>
  <c r="CS10" i="59" s="1"/>
  <c r="CS8" i="59" a="1"/>
  <c r="CS8" i="59" s="1"/>
  <c r="CS7" i="59" a="1"/>
  <c r="CS7" i="59" s="1"/>
  <c r="CS6" i="59" a="1"/>
  <c r="CS6" i="59" s="1"/>
  <c r="CS5" i="59" a="1"/>
  <c r="CS5" i="59" s="1"/>
  <c r="CS4" i="59" a="1"/>
  <c r="CS4" i="59" s="1"/>
  <c r="CS45" i="59" l="1"/>
  <c r="CS13" i="59"/>
  <c r="CR36" i="59"/>
  <c r="CR41" i="59" a="1"/>
  <c r="CR41" i="59" s="1"/>
  <c r="CR40" i="59" a="1"/>
  <c r="CR40" i="59" s="1"/>
  <c r="CR39" i="59" a="1"/>
  <c r="CR39" i="59" s="1"/>
  <c r="CR38" i="59" a="1"/>
  <c r="CR38" i="59" s="1"/>
  <c r="CR37" i="59" a="1"/>
  <c r="CR37" i="59" s="1"/>
  <c r="CR10" i="59" a="1"/>
  <c r="CR10" i="59" s="1"/>
  <c r="CR8" i="59" a="1"/>
  <c r="CR8" i="59" s="1"/>
  <c r="CR7" i="59" a="1"/>
  <c r="CR7" i="59" s="1"/>
  <c r="CR6" i="59" a="1"/>
  <c r="CR6" i="59" s="1"/>
  <c r="CR5" i="59" a="1"/>
  <c r="CR5" i="59" s="1"/>
  <c r="CR4" i="59" a="1"/>
  <c r="CR4" i="59" s="1"/>
  <c r="CR45" i="59" l="1"/>
  <c r="CR13" i="59"/>
  <c r="CQ41" i="59" a="1"/>
  <c r="CQ41" i="59" s="1"/>
  <c r="CQ40" i="59" a="1"/>
  <c r="CQ40" i="59" s="1"/>
  <c r="CQ39" i="59" a="1"/>
  <c r="CQ39" i="59" s="1"/>
  <c r="CQ38" i="59" a="1"/>
  <c r="CQ38" i="59" s="1"/>
  <c r="CQ37" i="59" a="1"/>
  <c r="CQ37" i="59" s="1"/>
  <c r="CQ10" i="59" a="1"/>
  <c r="CQ10" i="59" s="1"/>
  <c r="CQ8" i="59" a="1"/>
  <c r="CQ8" i="59" s="1"/>
  <c r="CQ7" i="59" a="1"/>
  <c r="CQ7" i="59" s="1"/>
  <c r="CQ6" i="59" a="1"/>
  <c r="CQ6" i="59" s="1"/>
  <c r="CQ5" i="59" a="1"/>
  <c r="CQ5" i="59" s="1"/>
  <c r="CQ4" i="59" a="1"/>
  <c r="CQ4" i="59" s="1"/>
  <c r="CQ13" i="59" l="1"/>
  <c r="CQ45" i="59"/>
  <c r="CP41" i="59" a="1"/>
  <c r="CP41" i="59" s="1"/>
  <c r="CP40" i="59" a="1"/>
  <c r="CP40" i="59" s="1"/>
  <c r="CP39" i="59" a="1"/>
  <c r="CP39" i="59" s="1"/>
  <c r="CP38" i="59" a="1"/>
  <c r="CP38" i="59" s="1"/>
  <c r="CP37" i="59" a="1"/>
  <c r="CP37" i="59" s="1"/>
  <c r="CP10" i="59" a="1"/>
  <c r="CP10" i="59" s="1"/>
  <c r="CP8" i="59" a="1"/>
  <c r="CP8" i="59" s="1"/>
  <c r="CP7" i="59" a="1"/>
  <c r="CP7" i="59" s="1"/>
  <c r="CP6" i="59" a="1"/>
  <c r="CP6" i="59" s="1"/>
  <c r="CP5" i="59" a="1"/>
  <c r="CP5" i="59" s="1"/>
  <c r="CP4" i="59" a="1"/>
  <c r="CP4" i="59" s="1"/>
  <c r="CP13" i="59" l="1"/>
  <c r="CP45" i="59"/>
  <c r="CO41" i="59" a="1"/>
  <c r="CO41" i="59" s="1"/>
  <c r="CO40" i="59" a="1"/>
  <c r="CO40" i="59" s="1"/>
  <c r="CO39" i="59" a="1"/>
  <c r="CO39" i="59" s="1"/>
  <c r="CO38" i="59" a="1"/>
  <c r="CO38" i="59" s="1"/>
  <c r="CO37" i="59" a="1"/>
  <c r="CO37" i="59" s="1"/>
  <c r="CO10" i="59" a="1"/>
  <c r="CO10" i="59" s="1"/>
  <c r="CO8" i="59" a="1"/>
  <c r="CO8" i="59" s="1"/>
  <c r="CO7" i="59" a="1"/>
  <c r="CO7" i="59" s="1"/>
  <c r="CO6" i="59" a="1"/>
  <c r="CO6" i="59" s="1"/>
  <c r="CO5" i="59" a="1"/>
  <c r="CO5" i="59" s="1"/>
  <c r="CO4" i="59" a="1"/>
  <c r="CO4" i="59" s="1"/>
  <c r="CO13" i="59" l="1"/>
  <c r="CO45" i="59"/>
  <c r="CN41" i="59" a="1"/>
  <c r="CN41" i="59" s="1"/>
  <c r="CN40" i="59" a="1"/>
  <c r="CN40" i="59" s="1"/>
  <c r="CN39" i="59" a="1"/>
  <c r="CN39" i="59" s="1"/>
  <c r="CN38" i="59" a="1"/>
  <c r="CN38" i="59" s="1"/>
  <c r="CN37" i="59" a="1"/>
  <c r="CN37" i="59" s="1"/>
  <c r="CN10" i="59" a="1"/>
  <c r="CN10" i="59" s="1"/>
  <c r="CN8" i="59" a="1"/>
  <c r="CN8" i="59" s="1"/>
  <c r="CN7" i="59" a="1"/>
  <c r="CN7" i="59" s="1"/>
  <c r="CN6" i="59" a="1"/>
  <c r="CN6" i="59" s="1"/>
  <c r="CN5" i="59" a="1"/>
  <c r="CN5" i="59" s="1"/>
  <c r="CN4" i="59" a="1"/>
  <c r="CN4" i="59" s="1"/>
  <c r="CN13" i="59" l="1"/>
  <c r="CN45" i="59"/>
  <c r="CM41" i="59" a="1"/>
  <c r="CM41" i="59" s="1"/>
  <c r="CM40" i="59" a="1"/>
  <c r="CM40" i="59" s="1"/>
  <c r="CM39" i="59" a="1"/>
  <c r="CM39" i="59" s="1"/>
  <c r="CM38" i="59" a="1"/>
  <c r="CM38" i="59" s="1"/>
  <c r="CM37" i="59" a="1"/>
  <c r="CM37" i="59" s="1"/>
  <c r="CM10" i="59" a="1"/>
  <c r="CM10" i="59" s="1"/>
  <c r="CM8" i="59" a="1"/>
  <c r="CM8" i="59" s="1"/>
  <c r="CM7" i="59" a="1"/>
  <c r="CM7" i="59" s="1"/>
  <c r="CM6" i="59" a="1"/>
  <c r="CM6" i="59" s="1"/>
  <c r="CM5" i="59" a="1"/>
  <c r="CM5" i="59" s="1"/>
  <c r="CM4" i="59" a="1"/>
  <c r="CM4" i="59" s="1"/>
  <c r="CM13" i="59" l="1"/>
  <c r="CM45" i="59"/>
  <c r="CL41" i="59" a="1"/>
  <c r="CL41" i="59" s="1"/>
  <c r="CL40" i="59" a="1"/>
  <c r="CL40" i="59" s="1"/>
  <c r="CL39" i="59" a="1"/>
  <c r="CL39" i="59" s="1"/>
  <c r="CL38" i="59" a="1"/>
  <c r="CL38" i="59" s="1"/>
  <c r="CL37" i="59" a="1"/>
  <c r="CL37" i="59" s="1"/>
  <c r="CL10" i="59" a="1"/>
  <c r="CL10" i="59" s="1"/>
  <c r="CL8" i="59" a="1"/>
  <c r="CL8" i="59" s="1"/>
  <c r="CL7" i="59" a="1"/>
  <c r="CL7" i="59" s="1"/>
  <c r="CL6" i="59" a="1"/>
  <c r="CL6" i="59" s="1"/>
  <c r="CL5" i="59" a="1"/>
  <c r="CL5" i="59" s="1"/>
  <c r="CL4" i="59" a="1"/>
  <c r="CL4" i="59" s="1"/>
  <c r="CL13" i="59" l="1"/>
  <c r="CL45" i="59"/>
  <c r="CK41" i="59" a="1"/>
  <c r="CK41" i="59" s="1"/>
  <c r="CK40" i="59" a="1"/>
  <c r="CK40" i="59" s="1"/>
  <c r="CK39" i="59" a="1"/>
  <c r="CK39" i="59" s="1"/>
  <c r="CK38" i="59" a="1"/>
  <c r="CK38" i="59" s="1"/>
  <c r="CK37" i="59" a="1"/>
  <c r="CK37" i="59" s="1"/>
  <c r="CK10" i="59" a="1"/>
  <c r="CK10" i="59" s="1"/>
  <c r="CK8" i="59" a="1"/>
  <c r="CK8" i="59" s="1"/>
  <c r="CK7" i="59" a="1"/>
  <c r="CK7" i="59" s="1"/>
  <c r="CK6" i="59" a="1"/>
  <c r="CK6" i="59" s="1"/>
  <c r="CK5" i="59" a="1"/>
  <c r="CK5" i="59" s="1"/>
  <c r="CK4" i="59" a="1"/>
  <c r="CK4" i="59" s="1"/>
  <c r="CK13" i="59" l="1"/>
  <c r="CK45" i="59"/>
  <c r="CJ41" i="59" a="1"/>
  <c r="CJ41" i="59" s="1"/>
  <c r="CJ40" i="59" a="1"/>
  <c r="CJ40" i="59" s="1"/>
  <c r="CJ39" i="59" a="1"/>
  <c r="CJ39" i="59" s="1"/>
  <c r="CJ38" i="59" a="1"/>
  <c r="CJ38" i="59" s="1"/>
  <c r="CJ37" i="59" a="1"/>
  <c r="CJ37" i="59" s="1"/>
  <c r="CJ10" i="59" a="1"/>
  <c r="CJ10" i="59" s="1"/>
  <c r="CJ8" i="59" a="1"/>
  <c r="CJ8" i="59" s="1"/>
  <c r="CJ7" i="59" a="1"/>
  <c r="CJ7" i="59" s="1"/>
  <c r="CJ6" i="59" a="1"/>
  <c r="CJ6" i="59" s="1"/>
  <c r="CJ5" i="59" a="1"/>
  <c r="CJ5" i="59" s="1"/>
  <c r="CJ4" i="59" a="1"/>
  <c r="CJ4" i="59" s="1"/>
  <c r="CJ45" i="59" l="1"/>
  <c r="CJ13" i="59"/>
  <c r="CI41" i="59" a="1"/>
  <c r="CI41" i="59" s="1"/>
  <c r="CI40" i="59" a="1"/>
  <c r="CI40" i="59" s="1"/>
  <c r="CI39" i="59" a="1"/>
  <c r="CI39" i="59" s="1"/>
  <c r="CI38" i="59" a="1"/>
  <c r="CI38" i="59" s="1"/>
  <c r="CI37" i="59" a="1"/>
  <c r="CI37" i="59" s="1"/>
  <c r="CI10" i="59" a="1"/>
  <c r="CI10" i="59" s="1"/>
  <c r="CI8" i="59" a="1"/>
  <c r="CI8" i="59" s="1"/>
  <c r="CI7" i="59" a="1"/>
  <c r="CI7" i="59" s="1"/>
  <c r="CI6" i="59" a="1"/>
  <c r="CI6" i="59" s="1"/>
  <c r="CI5" i="59" a="1"/>
  <c r="CI5" i="59" s="1"/>
  <c r="CI4" i="59" a="1"/>
  <c r="CI4" i="59" s="1"/>
  <c r="CI13" i="59" l="1"/>
  <c r="CI45" i="59"/>
  <c r="CH41" i="59" a="1"/>
  <c r="CH41" i="59" s="1"/>
  <c r="CH40" i="59" a="1"/>
  <c r="CH40" i="59" s="1"/>
  <c r="CH39" i="59" a="1"/>
  <c r="CH39" i="59" s="1"/>
  <c r="CH38" i="59" a="1"/>
  <c r="CH38" i="59" s="1"/>
  <c r="CH37" i="59" a="1"/>
  <c r="CH37" i="59" s="1"/>
  <c r="CH10" i="59" a="1"/>
  <c r="CH10" i="59" s="1"/>
  <c r="CH8" i="59" a="1"/>
  <c r="CH8" i="59" s="1"/>
  <c r="CH7" i="59" a="1"/>
  <c r="CH7" i="59" s="1"/>
  <c r="CH6" i="59" a="1"/>
  <c r="CH6" i="59" s="1"/>
  <c r="CH5" i="59" a="1"/>
  <c r="CH5" i="59" s="1"/>
  <c r="CH4" i="59" a="1"/>
  <c r="CH4" i="59" s="1"/>
  <c r="CH13" i="59" l="1"/>
  <c r="CH45" i="59"/>
  <c r="CG41" i="59" a="1"/>
  <c r="CG41" i="59" s="1"/>
  <c r="CG40" i="59" a="1"/>
  <c r="CG40" i="59" s="1"/>
  <c r="CG39" i="59" a="1"/>
  <c r="CG39" i="59" s="1"/>
  <c r="CG38" i="59" a="1"/>
  <c r="CG38" i="59" s="1"/>
  <c r="CG37" i="59" a="1"/>
  <c r="CG37" i="59" s="1"/>
  <c r="CG10" i="59" a="1"/>
  <c r="CG10" i="59" s="1"/>
  <c r="CG8" i="59" a="1"/>
  <c r="CG8" i="59" s="1"/>
  <c r="CG7" i="59" a="1"/>
  <c r="CG7" i="59" s="1"/>
  <c r="CG6" i="59" a="1"/>
  <c r="CG6" i="59" s="1"/>
  <c r="CG5" i="59" a="1"/>
  <c r="CG5" i="59" s="1"/>
  <c r="CG4" i="59" a="1"/>
  <c r="CG4" i="59" s="1"/>
  <c r="CF41" i="59" a="1"/>
  <c r="CF41" i="59" s="1"/>
  <c r="CF40" i="59" a="1"/>
  <c r="CF40" i="59" s="1"/>
  <c r="CF39" i="59" a="1"/>
  <c r="CF39" i="59" s="1"/>
  <c r="CF38" i="59" a="1"/>
  <c r="CF38" i="59" s="1"/>
  <c r="CF37" i="59" a="1"/>
  <c r="CF37" i="59" s="1"/>
  <c r="CF10" i="59" a="1"/>
  <c r="CF10" i="59" s="1"/>
  <c r="CF8" i="59" a="1"/>
  <c r="CF8" i="59" s="1"/>
  <c r="CF7" i="59" a="1"/>
  <c r="CF7" i="59" s="1"/>
  <c r="CF6" i="59" a="1"/>
  <c r="CF6" i="59" s="1"/>
  <c r="CF5" i="59" a="1"/>
  <c r="CF5" i="59" s="1"/>
  <c r="CF4" i="59" a="1"/>
  <c r="CF4" i="59" s="1"/>
  <c r="CG13" i="59" l="1"/>
  <c r="CG45" i="59"/>
  <c r="CF45" i="59"/>
  <c r="CF13" i="59"/>
  <c r="CE41" i="59" a="1"/>
  <c r="CE41" i="59" s="1"/>
  <c r="CE40" i="59" a="1"/>
  <c r="CE40" i="59" s="1"/>
  <c r="CE39" i="59" a="1"/>
  <c r="CE39" i="59" s="1"/>
  <c r="CE38" i="59" a="1"/>
  <c r="CE38" i="59" s="1"/>
  <c r="CE37" i="59" a="1"/>
  <c r="CE37" i="59" s="1"/>
  <c r="CE10" i="59" a="1"/>
  <c r="CE10" i="59" s="1"/>
  <c r="CE8" i="59" a="1"/>
  <c r="CE8" i="59" s="1"/>
  <c r="CE7" i="59" a="1"/>
  <c r="CE7" i="59" s="1"/>
  <c r="CE6" i="59" a="1"/>
  <c r="CE6" i="59" s="1"/>
  <c r="CE5" i="59" a="1"/>
  <c r="CE5" i="59" s="1"/>
  <c r="CE4" i="59" a="1"/>
  <c r="CE4" i="59" s="1"/>
  <c r="CG35" i="59" l="1"/>
  <c r="CG1" i="59"/>
  <c r="CE13" i="59"/>
  <c r="CE45" i="59"/>
  <c r="CD41" i="59" a="1"/>
  <c r="CD41" i="59" s="1"/>
  <c r="CC41" i="59" a="1"/>
  <c r="CC41" i="59" s="1"/>
  <c r="CB41" i="59" a="1"/>
  <c r="CB41" i="59" s="1"/>
  <c r="CA41" i="59" a="1"/>
  <c r="CA41" i="59" s="1"/>
  <c r="CD40" i="59" a="1"/>
  <c r="CD40" i="59" s="1"/>
  <c r="CC40" i="59" a="1"/>
  <c r="CC40" i="59" s="1"/>
  <c r="CB40" i="59" a="1"/>
  <c r="CB40" i="59" s="1"/>
  <c r="CA40" i="59" a="1"/>
  <c r="CA40" i="59" s="1"/>
  <c r="CD39" i="59" a="1"/>
  <c r="CD39" i="59" s="1"/>
  <c r="CC39" i="59" a="1"/>
  <c r="CC39" i="59" s="1"/>
  <c r="CB39" i="59" a="1"/>
  <c r="CB39" i="59" s="1"/>
  <c r="CA39" i="59" a="1"/>
  <c r="CA39" i="59" s="1"/>
  <c r="CD38" i="59" a="1"/>
  <c r="CD38" i="59" s="1"/>
  <c r="CC38" i="59" a="1"/>
  <c r="CC38" i="59" s="1"/>
  <c r="CB38" i="59" a="1"/>
  <c r="CB38" i="59" s="1"/>
  <c r="CA38" i="59" a="1"/>
  <c r="CA38" i="59" s="1"/>
  <c r="CD37" i="59" a="1"/>
  <c r="CD37" i="59" s="1"/>
  <c r="CC37" i="59" a="1"/>
  <c r="CC37" i="59" s="1"/>
  <c r="CB37" i="59" a="1"/>
  <c r="CB37" i="59" s="1"/>
  <c r="CA37" i="59" a="1"/>
  <c r="CA37" i="59" s="1"/>
  <c r="CD10" i="59" a="1"/>
  <c r="CD10" i="59" s="1"/>
  <c r="CD8" i="59" a="1"/>
  <c r="CD8" i="59" s="1"/>
  <c r="CD7" i="59" a="1"/>
  <c r="CD7" i="59" s="1"/>
  <c r="CD6" i="59" a="1"/>
  <c r="CD6" i="59" s="1"/>
  <c r="CD5" i="59" a="1"/>
  <c r="CD5" i="59" s="1"/>
  <c r="CD4" i="59" a="1"/>
  <c r="CD4" i="59" s="1"/>
  <c r="CC10" i="59" a="1"/>
  <c r="CC10" i="59" s="1"/>
  <c r="CC8" i="59" a="1"/>
  <c r="CC8" i="59" s="1"/>
  <c r="CC7" i="59" a="1"/>
  <c r="CC7" i="59" s="1"/>
  <c r="CC6" i="59" a="1"/>
  <c r="CC6" i="59" s="1"/>
  <c r="CC5" i="59" a="1"/>
  <c r="CC5" i="59" s="1"/>
  <c r="CC4" i="59" a="1"/>
  <c r="CC4" i="59" s="1"/>
  <c r="CB10" i="59" a="1"/>
  <c r="CB10" i="59" s="1"/>
  <c r="CB8" i="59" a="1"/>
  <c r="CB8" i="59" s="1"/>
  <c r="CB7" i="59" a="1"/>
  <c r="CB7" i="59" s="1"/>
  <c r="CB6" i="59" a="1"/>
  <c r="CB6" i="59" s="1"/>
  <c r="CB5" i="59" a="1"/>
  <c r="CB5" i="59" s="1"/>
  <c r="CB4" i="59" a="1"/>
  <c r="CB4" i="59" s="1"/>
  <c r="CA10" i="59" a="1"/>
  <c r="CA10" i="59" s="1"/>
  <c r="CA8" i="59" a="1"/>
  <c r="CA8" i="59" s="1"/>
  <c r="CA7" i="59" a="1"/>
  <c r="CA7" i="59" s="1"/>
  <c r="CA6" i="59" a="1"/>
  <c r="CA6" i="59" s="1"/>
  <c r="CA5" i="59" a="1"/>
  <c r="CA5" i="59" s="1"/>
  <c r="CA4" i="59" a="1"/>
  <c r="CA4" i="59" s="1"/>
  <c r="CD13" i="59" l="1"/>
  <c r="CC45" i="59"/>
  <c r="CA45" i="59"/>
  <c r="CB45" i="59"/>
  <c r="CD45" i="59"/>
  <c r="CC13" i="59"/>
  <c r="CB13" i="59"/>
  <c r="CA13" i="59"/>
  <c r="BY9" i="59" a="1"/>
  <c r="BY9" i="59" s="1"/>
  <c r="BZ10" i="59" a="1"/>
  <c r="BZ10" i="59" s="1"/>
  <c r="BZ40" i="59" a="1"/>
  <c r="BZ40" i="59" s="1"/>
  <c r="BZ39" i="59" a="1"/>
  <c r="BZ39" i="59" s="1"/>
  <c r="BZ37" i="59" a="1"/>
  <c r="BZ37" i="59" s="1"/>
  <c r="BZ38" i="59" l="1" a="1"/>
  <c r="BZ38" i="59" s="1"/>
  <c r="BZ41" i="59" a="1"/>
  <c r="BZ41" i="59" s="1"/>
  <c r="BZ8" i="59" a="1"/>
  <c r="BZ8" i="59" s="1"/>
  <c r="BZ7" i="59" a="1"/>
  <c r="BZ7" i="59" s="1"/>
  <c r="BZ6" i="59" a="1"/>
  <c r="BZ6" i="59" s="1"/>
  <c r="BZ5" i="59" a="1"/>
  <c r="BZ5" i="59" s="1"/>
  <c r="BZ4" i="59" a="1"/>
  <c r="BZ4" i="59" s="1"/>
  <c r="BZ45" i="59" l="1"/>
  <c r="BZ13" i="59"/>
  <c r="BY42" i="59" a="1"/>
  <c r="BY42" i="59" s="1"/>
  <c r="BY41" i="59" a="1"/>
  <c r="BY41" i="59" s="1"/>
  <c r="BY40" i="59" a="1"/>
  <c r="BY40" i="59" s="1"/>
  <c r="BY39" i="59" a="1"/>
  <c r="BY39" i="59" s="1"/>
  <c r="BY38" i="59" a="1"/>
  <c r="BY38" i="59" s="1"/>
  <c r="BY37" i="59" a="1"/>
  <c r="BY37" i="59" s="1"/>
  <c r="BY8" i="59" a="1"/>
  <c r="BY8" i="59" s="1"/>
  <c r="BY7" i="59" a="1"/>
  <c r="BY7" i="59" s="1"/>
  <c r="BY6" i="59" a="1"/>
  <c r="BY6" i="59" s="1"/>
  <c r="BY5" i="59" a="1"/>
  <c r="BY5" i="59" s="1"/>
  <c r="BY4" i="59" a="1"/>
  <c r="BY4" i="59" s="1"/>
  <c r="BY13" i="59" l="1"/>
  <c r="BY45" i="59"/>
  <c r="BX42" i="59" a="1"/>
  <c r="BX42" i="59" s="1"/>
  <c r="BX41" i="59" a="1"/>
  <c r="BX41" i="59" s="1"/>
  <c r="BX40" i="59" a="1"/>
  <c r="BX40" i="59" s="1"/>
  <c r="BX39" i="59" a="1"/>
  <c r="BX39" i="59" s="1"/>
  <c r="BX38" i="59" a="1"/>
  <c r="BX38" i="59" s="1"/>
  <c r="BX37" i="59" a="1"/>
  <c r="BX37" i="59" s="1"/>
  <c r="BX10" i="59" a="1"/>
  <c r="BX10" i="59" s="1"/>
  <c r="BX9" i="59" a="1"/>
  <c r="BX9" i="59" s="1"/>
  <c r="BX8" i="59" a="1"/>
  <c r="BX8" i="59" s="1"/>
  <c r="BX7" i="59" a="1"/>
  <c r="BX7" i="59" s="1"/>
  <c r="BX6" i="59" a="1"/>
  <c r="BX6" i="59" s="1"/>
  <c r="BX5" i="59" a="1"/>
  <c r="BX5" i="59" s="1"/>
  <c r="BX4" i="59" a="1"/>
  <c r="BX4" i="59" s="1"/>
  <c r="BX45" i="59" l="1"/>
  <c r="BX13" i="59"/>
  <c r="BW10" i="59" a="1"/>
  <c r="BW10" i="59" s="1"/>
  <c r="BW4" i="59" a="1"/>
  <c r="BW4" i="59" s="1"/>
  <c r="BW5" i="59" a="1"/>
  <c r="BW5" i="59" s="1"/>
  <c r="BW6" i="59" a="1"/>
  <c r="BW6" i="59" s="1"/>
  <c r="BW7" i="59" a="1"/>
  <c r="BW7" i="59" s="1"/>
  <c r="BW8" i="59" a="1"/>
  <c r="BW8" i="59" s="1"/>
  <c r="BW9" i="59" a="1"/>
  <c r="BW9" i="59" s="1"/>
  <c r="BV7" i="59" l="1" a="1"/>
  <c r="BV7" i="59" s="1"/>
  <c r="O13" i="59" l="1"/>
  <c r="BW42" i="59" a="1"/>
  <c r="BW42" i="59" s="1"/>
  <c r="BW41" i="59" a="1"/>
  <c r="BW41" i="59" s="1"/>
  <c r="BW40" i="59" a="1"/>
  <c r="BW40" i="59" s="1"/>
  <c r="BW39" i="59" a="1"/>
  <c r="BW39" i="59" s="1"/>
  <c r="BW38" i="59" a="1"/>
  <c r="BW38" i="59" s="1"/>
  <c r="BW37" i="59" a="1"/>
  <c r="BW37" i="59" s="1"/>
  <c r="BW45" i="59" l="1"/>
  <c r="BW13" i="59"/>
  <c r="BV37" i="59" a="1"/>
  <c r="BV37" i="59" s="1"/>
  <c r="BV42" i="59" l="1" a="1"/>
  <c r="BV42" i="59" s="1"/>
  <c r="BV41" i="59" a="1"/>
  <c r="BV41" i="59" s="1"/>
  <c r="BV40" i="59" a="1"/>
  <c r="BV40" i="59" s="1"/>
  <c r="BV39" i="59" a="1"/>
  <c r="BV39" i="59" s="1"/>
  <c r="BV38" i="59" a="1"/>
  <c r="BV38" i="59" s="1"/>
  <c r="BV9" i="59" a="1"/>
  <c r="BV9" i="59" s="1"/>
  <c r="BV8" i="59" a="1"/>
  <c r="BV8" i="59" s="1"/>
  <c r="BV6" i="59" a="1"/>
  <c r="BV6" i="59" s="1"/>
  <c r="BV5" i="59" a="1"/>
  <c r="BV5" i="59" s="1"/>
  <c r="BV4" i="59" a="1"/>
  <c r="BV4" i="59" s="1"/>
  <c r="BV45" i="59" l="1"/>
  <c r="BV13" i="59"/>
  <c r="BU37" i="59" a="1"/>
  <c r="BU37" i="59" s="1"/>
  <c r="BU42" i="59" a="1"/>
  <c r="BU42" i="59" s="1"/>
  <c r="BU41" i="59" a="1"/>
  <c r="BU41" i="59" s="1"/>
  <c r="BU40" i="59" a="1"/>
  <c r="BU40" i="59" s="1"/>
  <c r="BU39" i="59" a="1"/>
  <c r="BU39" i="59" s="1"/>
  <c r="BU38" i="59" a="1"/>
  <c r="BU38" i="59" s="1"/>
  <c r="BU9" i="59" a="1"/>
  <c r="BU9" i="59" s="1"/>
  <c r="BU8" i="59" a="1"/>
  <c r="BU8" i="59" s="1"/>
  <c r="BU7" i="59" a="1"/>
  <c r="BU7" i="59" s="1"/>
  <c r="BU6" i="59" a="1"/>
  <c r="BU6" i="59" s="1"/>
  <c r="BU5" i="59" a="1"/>
  <c r="BU5" i="59" s="1"/>
  <c r="BU4" i="59" a="1"/>
  <c r="BU4" i="59" s="1"/>
  <c r="BU45" i="59" l="1"/>
  <c r="BU13" i="59"/>
  <c r="BS37" i="59" a="1"/>
  <c r="BS37" i="59" s="1"/>
  <c r="BT4" i="59" a="1"/>
  <c r="BT4" i="59" s="1"/>
  <c r="BT42" i="59" a="1"/>
  <c r="BT42" i="59" s="1"/>
  <c r="BT41" i="59" a="1"/>
  <c r="BT41" i="59" s="1"/>
  <c r="BT40" i="59" a="1"/>
  <c r="BT40" i="59" s="1"/>
  <c r="BT39" i="59" a="1"/>
  <c r="BT39" i="59" s="1"/>
  <c r="BT38" i="59" a="1"/>
  <c r="BT38" i="59" s="1"/>
  <c r="BT37" i="59" a="1"/>
  <c r="BT37" i="59" s="1"/>
  <c r="BT9" i="59" a="1"/>
  <c r="BT9" i="59" s="1"/>
  <c r="BT8" i="59" a="1"/>
  <c r="BT8" i="59" s="1"/>
  <c r="BT7" i="59" a="1"/>
  <c r="BT7" i="59" s="1"/>
  <c r="BT6" i="59" a="1"/>
  <c r="BT6" i="59" s="1"/>
  <c r="BT5" i="59" a="1"/>
  <c r="BT5" i="59" s="1"/>
  <c r="BT45" i="59" l="1"/>
  <c r="BT13" i="59"/>
  <c r="BS42" i="59" a="1"/>
  <c r="BS42" i="59" s="1"/>
  <c r="BS41" i="59" a="1"/>
  <c r="BS41" i="59" s="1"/>
  <c r="BS40" i="59" a="1"/>
  <c r="BS40" i="59" s="1"/>
  <c r="BS39" i="59" a="1"/>
  <c r="BS39" i="59" s="1"/>
  <c r="BS38" i="59" a="1"/>
  <c r="BS38" i="59" s="1"/>
  <c r="BR42" i="59" a="1"/>
  <c r="BR42" i="59" s="1"/>
  <c r="BR41" i="59" a="1"/>
  <c r="BR41" i="59" s="1"/>
  <c r="BR40" i="59" a="1"/>
  <c r="BR40" i="59" s="1"/>
  <c r="BR39" i="59" a="1"/>
  <c r="BR39" i="59" s="1"/>
  <c r="BR38" i="59" a="1"/>
  <c r="BR38" i="59" s="1"/>
  <c r="BR37" i="59" a="1"/>
  <c r="BR37" i="59" s="1"/>
  <c r="BS9" i="59" a="1"/>
  <c r="BS9" i="59" s="1"/>
  <c r="BS8" i="59" a="1"/>
  <c r="BS8" i="59" s="1"/>
  <c r="BS7" i="59" a="1"/>
  <c r="BS7" i="59" s="1"/>
  <c r="BS6" i="59" a="1"/>
  <c r="BS6" i="59" s="1"/>
  <c r="BS5" i="59" a="1"/>
  <c r="BS5" i="59" s="1"/>
  <c r="BS4" i="59" a="1"/>
  <c r="BS4" i="59" s="1"/>
  <c r="AMO10" i="45"/>
  <c r="BR9" i="59" a="1"/>
  <c r="BR9" i="59" s="1"/>
  <c r="BR8" i="59" a="1"/>
  <c r="BR8" i="59" s="1"/>
  <c r="BR7" i="59" a="1"/>
  <c r="BR7" i="59" s="1"/>
  <c r="BR6" i="59" a="1"/>
  <c r="BR6" i="59" s="1"/>
  <c r="BR5" i="59" a="1"/>
  <c r="BR5" i="59" s="1"/>
  <c r="BR4" i="59" a="1"/>
  <c r="BR4" i="59" s="1"/>
  <c r="BR45" i="59" l="1"/>
  <c r="BS45" i="59"/>
  <c r="BS13" i="59"/>
  <c r="BR13" i="59"/>
  <c r="BO13" i="59"/>
  <c r="BQ45" i="59"/>
  <c r="BP45" i="59"/>
  <c r="BO45" i="59"/>
  <c r="BQ13" i="59"/>
  <c r="BP13" i="59"/>
  <c r="AMO11" i="45"/>
  <c r="BN45" i="59" l="1"/>
  <c r="BN13" i="59"/>
  <c r="BM45" i="59" l="1"/>
  <c r="BL45" i="59"/>
  <c r="BK45" i="59"/>
  <c r="BM13" i="59"/>
  <c r="BL13" i="59"/>
  <c r="BK13" i="59"/>
  <c r="AMN61" i="45" l="1"/>
  <c r="AMO61" i="45" l="1"/>
  <c r="BJ45" i="59" l="1"/>
  <c r="BI45" i="59"/>
  <c r="BH45" i="59"/>
  <c r="BJ13" i="59"/>
  <c r="BI13" i="59"/>
  <c r="BH13" i="59"/>
  <c r="BG45" i="59" l="1"/>
  <c r="BG36" i="59"/>
  <c r="BG13" i="59"/>
  <c r="BF45" i="59" l="1"/>
  <c r="BF36" i="59"/>
  <c r="BF13" i="59"/>
  <c r="BE45" i="59" l="1"/>
  <c r="BE36" i="59"/>
  <c r="BE13" i="59"/>
  <c r="BD45" i="59" l="1"/>
  <c r="BD36" i="59"/>
  <c r="BC45" i="59"/>
  <c r="BC36" i="59"/>
  <c r="BD13" i="59"/>
  <c r="BC13" i="59"/>
  <c r="BB45" i="59" l="1"/>
  <c r="BB36" i="59"/>
  <c r="BB13" i="59"/>
  <c r="BA45" i="59" l="1"/>
  <c r="BA36" i="59"/>
  <c r="BA13" i="59"/>
  <c r="AZ45" i="59" l="1"/>
  <c r="AZ36" i="59"/>
  <c r="AZ13" i="59"/>
  <c r="AD34" i="59" l="1"/>
  <c r="AD1" i="59"/>
  <c r="AY45" i="59" l="1"/>
  <c r="AY36" i="59"/>
  <c r="AY13" i="59"/>
  <c r="AX45" i="59" l="1"/>
  <c r="AX36" i="59"/>
  <c r="AX13" i="59"/>
  <c r="AA34" i="59" l="1"/>
  <c r="AA1" i="59"/>
  <c r="AW45" i="59" l="1"/>
  <c r="AW36" i="59"/>
  <c r="AW13" i="59"/>
  <c r="AV45" i="59" l="1"/>
  <c r="AV36" i="59"/>
  <c r="AV13" i="59"/>
  <c r="AU45" i="59" l="1"/>
  <c r="AU36" i="59"/>
  <c r="AU13" i="59"/>
  <c r="AT45" i="59" l="1"/>
  <c r="AT36" i="59"/>
  <c r="AT13" i="59"/>
  <c r="AQ13" i="59" l="1"/>
  <c r="AR13" i="59"/>
  <c r="AS45" i="59"/>
  <c r="AS36" i="59"/>
  <c r="AS13" i="59"/>
  <c r="AR45" i="59"/>
  <c r="AR36" i="59"/>
  <c r="AQ45" i="59"/>
  <c r="AQ36" i="59"/>
  <c r="AP45" i="59" l="1"/>
  <c r="AP36" i="59"/>
  <c r="AP13" i="59"/>
  <c r="AO45" i="59" l="1"/>
  <c r="AO36" i="59"/>
  <c r="AN45" i="59"/>
  <c r="AN36" i="59"/>
  <c r="AO13" i="59"/>
  <c r="AN13" i="59"/>
  <c r="AM45" i="59" l="1"/>
  <c r="AM36" i="59"/>
  <c r="AM13" i="59"/>
  <c r="AL45" i="59" l="1"/>
  <c r="AL36" i="59"/>
  <c r="AK45" i="59"/>
  <c r="AK36" i="59"/>
  <c r="AL13" i="59"/>
  <c r="AK13" i="59"/>
  <c r="AJ45" i="59"/>
  <c r="AJ36" i="59"/>
  <c r="AJ13" i="59"/>
  <c r="AI45" i="59" l="1"/>
  <c r="AI36" i="59"/>
  <c r="AH45" i="59"/>
  <c r="AH36" i="59"/>
  <c r="AG45" i="59"/>
  <c r="AG36" i="59"/>
  <c r="AI13" i="59"/>
  <c r="AH13" i="59"/>
  <c r="AG13" i="59"/>
  <c r="ALF28" i="45" l="1"/>
  <c r="ALE28" i="45"/>
  <c r="AKO28" i="45"/>
  <c r="AKL28" i="45"/>
  <c r="AKK28" i="45"/>
  <c r="AKJ28" i="45"/>
  <c r="AKI28" i="45"/>
  <c r="AKG28" i="45"/>
  <c r="G28" i="45"/>
  <c r="AF45" i="59" l="1"/>
  <c r="AE45" i="59"/>
  <c r="AD45" i="59"/>
  <c r="AC45" i="59"/>
  <c r="AB45" i="59"/>
  <c r="AA45" i="59"/>
  <c r="Z45" i="59"/>
  <c r="Y45" i="59"/>
  <c r="X45" i="59"/>
  <c r="W45" i="59"/>
  <c r="V45" i="59"/>
  <c r="U45" i="59"/>
  <c r="T45" i="59"/>
  <c r="S45" i="59"/>
  <c r="R45" i="59"/>
  <c r="Q45" i="59"/>
  <c r="P45" i="59"/>
  <c r="O45" i="59"/>
  <c r="N45" i="59"/>
  <c r="M45" i="59"/>
  <c r="L45" i="59"/>
  <c r="K45" i="59"/>
  <c r="J45" i="59"/>
  <c r="I45" i="59"/>
  <c r="H45" i="59"/>
  <c r="G45" i="59"/>
  <c r="F45" i="59"/>
  <c r="E45" i="59"/>
  <c r="D45" i="59"/>
  <c r="C45" i="59"/>
  <c r="B45" i="59"/>
  <c r="AF36" i="59"/>
  <c r="AE36" i="59"/>
  <c r="AD36" i="59"/>
  <c r="AC36" i="59"/>
  <c r="AB36" i="59"/>
  <c r="AA36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G36" i="59"/>
  <c r="AF13" i="59"/>
  <c r="AE13" i="59"/>
  <c r="AD13" i="59"/>
  <c r="AC13" i="59"/>
  <c r="AB13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B13" i="59"/>
  <c r="ALF11" i="45" l="1"/>
  <c r="ALF10" i="45"/>
  <c r="ALS5" i="45" l="1"/>
  <c r="ALS4" i="45" l="1"/>
  <c r="ALE11" i="45" l="1"/>
  <c r="ALE10" i="45"/>
  <c r="AKG11" i="45" l="1"/>
  <c r="AKG10" i="45"/>
  <c r="AKO10" i="45" l="1"/>
  <c r="AKO11" i="45"/>
  <c r="AKI10" i="45" l="1"/>
  <c r="AKJ10" i="45"/>
  <c r="AKK10" i="45"/>
  <c r="AKL10" i="45"/>
  <c r="AKM10" i="45"/>
  <c r="AKN10" i="45"/>
  <c r="AKI11" i="45"/>
  <c r="AKJ11" i="45"/>
  <c r="AKK11" i="45"/>
  <c r="AKL11" i="45"/>
  <c r="AKI17" i="45"/>
  <c r="AKJ17" i="45"/>
  <c r="AKK17" i="45"/>
  <c r="AKL17" i="45"/>
  <c r="AKL18" i="45"/>
  <c r="AKL19" i="45"/>
  <c r="AKI33" i="45"/>
  <c r="AKJ33" i="45"/>
  <c r="AKK33" i="45"/>
  <c r="AKL33" i="45"/>
  <c r="AKL34" i="45"/>
  <c r="AKL35" i="45"/>
  <c r="AKI36" i="45"/>
  <c r="AKJ36" i="45"/>
  <c r="AKK36" i="45"/>
  <c r="AKL36" i="45"/>
  <c r="J45" i="45" l="1"/>
  <c r="L75" i="45"/>
  <c r="AM75" i="45"/>
  <c r="AL75" i="45"/>
  <c r="AK75" i="45"/>
  <c r="AJ75" i="45"/>
  <c r="AI75" i="45"/>
  <c r="AH75" i="45"/>
  <c r="AG75" i="45"/>
  <c r="AF75" i="45"/>
  <c r="AE75" i="45"/>
  <c r="AD75" i="45"/>
  <c r="AC75" i="45"/>
  <c r="AB75" i="45"/>
  <c r="AA75" i="45"/>
  <c r="Z75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M65" i="45" l="1"/>
  <c r="N65" i="45"/>
  <c r="O65" i="45"/>
  <c r="P65" i="45"/>
  <c r="Q65" i="45"/>
  <c r="R65" i="45"/>
  <c r="S65" i="45"/>
  <c r="T65" i="45"/>
  <c r="U65" i="45"/>
  <c r="V65" i="45"/>
  <c r="W65" i="45"/>
  <c r="X65" i="45"/>
  <c r="Y65" i="45"/>
  <c r="Z65" i="45"/>
  <c r="AA65" i="45"/>
  <c r="AB65" i="45"/>
  <c r="AC65" i="45"/>
  <c r="AD65" i="45"/>
  <c r="AE65" i="45"/>
  <c r="AF65" i="45"/>
  <c r="AG65" i="45"/>
  <c r="AH65" i="45"/>
  <c r="AI65" i="45"/>
  <c r="AJ65" i="45"/>
  <c r="AK65" i="45"/>
  <c r="AL65" i="45"/>
  <c r="AM65" i="45"/>
  <c r="L65" i="45"/>
  <c r="G16" i="45" l="1"/>
  <c r="G15" i="45"/>
  <c r="G14" i="45"/>
  <c r="G13" i="45" l="1"/>
  <c r="G12" i="45"/>
  <c r="G11" i="45"/>
  <c r="G10" i="45"/>
</calcChain>
</file>

<file path=xl/comments1.xml><?xml version="1.0" encoding="utf-8"?>
<comments xmlns="http://schemas.openxmlformats.org/spreadsheetml/2006/main">
  <authors>
    <author>서경준</author>
    <author>이종균</author>
  </authors>
  <commentList>
    <comment ref="AER8" authorId="0">
      <text>
        <r>
          <rPr>
            <b/>
            <sz val="14"/>
            <color indexed="81"/>
            <rFont val="돋움"/>
            <family val="3"/>
            <charset val="129"/>
          </rPr>
          <t>구스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차이나
덕</t>
        </r>
        <r>
          <rPr>
            <b/>
            <sz val="14"/>
            <color indexed="81"/>
            <rFont val="Tahoma"/>
            <family val="2"/>
          </rPr>
          <t xml:space="preserve"> : </t>
        </r>
        <r>
          <rPr>
            <b/>
            <sz val="14"/>
            <color indexed="81"/>
            <rFont val="돋움"/>
            <family val="3"/>
            <charset val="129"/>
          </rPr>
          <t>베트남</t>
        </r>
      </text>
    </comment>
    <comment ref="ABV10" authorId="1">
      <text>
        <r>
          <rPr>
            <b/>
            <sz val="9"/>
            <color indexed="81"/>
            <rFont val="Tahoma"/>
            <family val="2"/>
          </rPr>
          <t xml:space="preserve">15TON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10/26</t>
        </r>
        <r>
          <rPr>
            <b/>
            <sz val="9"/>
            <color indexed="81"/>
            <rFont val="돋움"/>
            <family val="3"/>
            <charset val="129"/>
          </rPr>
          <t xml:space="preserve">까지
</t>
        </r>
      </text>
    </comment>
    <comment ref="ABW10" authorId="1">
      <text>
        <r>
          <rPr>
            <b/>
            <sz val="9"/>
            <color indexed="81"/>
            <rFont val="Tahoma"/>
            <family val="2"/>
          </rPr>
          <t xml:space="preserve">60TON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11/5</t>
        </r>
        <r>
          <rPr>
            <b/>
            <sz val="9"/>
            <color indexed="81"/>
            <rFont val="돋움"/>
            <family val="3"/>
            <charset val="129"/>
          </rPr>
          <t xml:space="preserve">까지
</t>
        </r>
      </text>
    </comment>
    <comment ref="AF64" authorId="1">
      <text>
        <r>
          <rPr>
            <b/>
            <sz val="9"/>
            <color indexed="81"/>
            <rFont val="Tahoma"/>
            <family val="2"/>
          </rPr>
          <t xml:space="preserve">15TON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10/26</t>
        </r>
        <r>
          <rPr>
            <b/>
            <sz val="9"/>
            <color indexed="81"/>
            <rFont val="돋움"/>
            <family val="3"/>
            <charset val="129"/>
          </rPr>
          <t xml:space="preserve">까지
</t>
        </r>
      </text>
    </comment>
    <comment ref="AG64" authorId="1">
      <text>
        <r>
          <rPr>
            <b/>
            <sz val="9"/>
            <color indexed="81"/>
            <rFont val="Tahoma"/>
            <family val="2"/>
          </rPr>
          <t xml:space="preserve">60TON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11/5</t>
        </r>
        <r>
          <rPr>
            <b/>
            <sz val="9"/>
            <color indexed="81"/>
            <rFont val="돋움"/>
            <family val="3"/>
            <charset val="129"/>
          </rPr>
          <t xml:space="preserve">까지
</t>
        </r>
      </text>
    </comment>
  </commentList>
</comments>
</file>

<file path=xl/sharedStrings.xml><?xml version="1.0" encoding="utf-8"?>
<sst xmlns="http://schemas.openxmlformats.org/spreadsheetml/2006/main" count="1234" uniqueCount="221">
  <si>
    <t>Color</t>
    <phoneticPr fontId="3" type="noConversion"/>
  </si>
  <si>
    <t>F.P</t>
    <phoneticPr fontId="3" type="noConversion"/>
  </si>
  <si>
    <t>GREY</t>
    <phoneticPr fontId="3" type="noConversion"/>
  </si>
  <si>
    <t>WHITE</t>
    <phoneticPr fontId="3" type="noConversion"/>
  </si>
  <si>
    <t>P/WHITE</t>
    <phoneticPr fontId="3" type="noConversion"/>
  </si>
  <si>
    <t>PCK</t>
    <phoneticPr fontId="1" type="noConversion"/>
  </si>
  <si>
    <t>ALLIED</t>
    <phoneticPr fontId="1" type="noConversion"/>
  </si>
  <si>
    <t>다음앤큐큐</t>
    <phoneticPr fontId="1" type="noConversion"/>
  </si>
  <si>
    <t>ALLIED</t>
    <phoneticPr fontId="1" type="noConversion"/>
  </si>
  <si>
    <t>광륭</t>
    <phoneticPr fontId="1" type="noConversion"/>
  </si>
  <si>
    <t>광륭</t>
    <phoneticPr fontId="1" type="noConversion"/>
  </si>
  <si>
    <t>CHINA</t>
    <phoneticPr fontId="1" type="noConversion"/>
  </si>
  <si>
    <t>CHINA</t>
    <phoneticPr fontId="1" type="noConversion"/>
  </si>
  <si>
    <t>CHINA</t>
    <phoneticPr fontId="1" type="noConversion"/>
  </si>
  <si>
    <t>TTL</t>
    <phoneticPr fontId="1" type="noConversion"/>
  </si>
  <si>
    <t>20FW BOOKING</t>
    <phoneticPr fontId="1" type="noConversion"/>
  </si>
  <si>
    <t>CHINA DUCK DOWN   90/10</t>
    <phoneticPr fontId="3" type="noConversion"/>
  </si>
  <si>
    <t>CHINA DUCK DOWN   90/10</t>
    <phoneticPr fontId="1" type="noConversion"/>
  </si>
  <si>
    <t>CHINA DUCK DOWN   80/20</t>
    <phoneticPr fontId="3" type="noConversion"/>
  </si>
  <si>
    <t>CHINA DUCK DOWN   80/20</t>
    <phoneticPr fontId="1" type="noConversion"/>
  </si>
  <si>
    <t>남부다운</t>
    <phoneticPr fontId="1" type="noConversion"/>
  </si>
  <si>
    <t>European</t>
    <phoneticPr fontId="1" type="noConversion"/>
  </si>
  <si>
    <t>(11/19$환산)</t>
    <phoneticPr fontId="1" type="noConversion"/>
  </si>
  <si>
    <t>VIETNAM</t>
    <phoneticPr fontId="1" type="noConversion"/>
  </si>
  <si>
    <t>CHINA DUCK DOWN   90/10</t>
    <phoneticPr fontId="1" type="noConversion"/>
  </si>
  <si>
    <t>(11/27$환산)</t>
    <phoneticPr fontId="1" type="noConversion"/>
  </si>
  <si>
    <t>PCK</t>
    <phoneticPr fontId="1" type="noConversion"/>
  </si>
  <si>
    <t>(12/4$환산)</t>
    <phoneticPr fontId="1" type="noConversion"/>
  </si>
  <si>
    <t>RDS European Goose Down 80/20</t>
    <phoneticPr fontId="1" type="noConversion"/>
  </si>
  <si>
    <t>RDS European Duck Down 80/20</t>
    <phoneticPr fontId="1" type="noConversion"/>
  </si>
  <si>
    <t>RDS European Goose Down 80/20</t>
    <phoneticPr fontId="3" type="noConversion"/>
  </si>
  <si>
    <t>(12/23$환산)</t>
    <phoneticPr fontId="1" type="noConversion"/>
  </si>
  <si>
    <t>광륭</t>
    <phoneticPr fontId="1" type="noConversion"/>
  </si>
  <si>
    <t>웅가리아</t>
    <phoneticPr fontId="1" type="noConversion"/>
  </si>
  <si>
    <t>나투어</t>
    <phoneticPr fontId="1" type="noConversion"/>
  </si>
  <si>
    <t>태평양</t>
    <phoneticPr fontId="1" type="noConversion"/>
  </si>
  <si>
    <t>신주원</t>
    <phoneticPr fontId="1" type="noConversion"/>
  </si>
  <si>
    <t>DOWN 시세</t>
    <phoneticPr fontId="1" type="noConversion"/>
  </si>
  <si>
    <t>22SS 다운 충전재 예상 소요량</t>
    <phoneticPr fontId="1" type="noConversion"/>
  </si>
  <si>
    <t>K2</t>
    <phoneticPr fontId="1" type="noConversion"/>
  </si>
  <si>
    <t>EIDER</t>
    <phoneticPr fontId="1" type="noConversion"/>
  </si>
  <si>
    <t>GREY</t>
    <phoneticPr fontId="1" type="noConversion"/>
  </si>
  <si>
    <t>GREY</t>
    <phoneticPr fontId="1" type="noConversion"/>
  </si>
  <si>
    <t>Commodity &amp; Description</t>
    <phoneticPr fontId="3" type="noConversion"/>
  </si>
  <si>
    <t>Commodity &amp; Description</t>
    <phoneticPr fontId="1" type="noConversion"/>
  </si>
  <si>
    <t>COLOR</t>
    <phoneticPr fontId="1" type="noConversion"/>
  </si>
  <si>
    <t>F.P</t>
    <phoneticPr fontId="1" type="noConversion"/>
  </si>
  <si>
    <t>RDS CHINA GOOSE DOWN   80/20</t>
    <phoneticPr fontId="1" type="noConversion"/>
  </si>
  <si>
    <t>사용 예정량 (KG)</t>
    <phoneticPr fontId="1" type="noConversion"/>
  </si>
  <si>
    <t>계</t>
    <phoneticPr fontId="1" type="noConversion"/>
  </si>
  <si>
    <t>WH</t>
    <phoneticPr fontId="1" type="noConversion"/>
  </si>
  <si>
    <t>다음앤큐큐</t>
    <phoneticPr fontId="1" type="noConversion"/>
  </si>
  <si>
    <t>BRAND</t>
    <phoneticPr fontId="1" type="noConversion"/>
  </si>
  <si>
    <t>업체</t>
    <phoneticPr fontId="1" type="noConversion"/>
  </si>
  <si>
    <t>21FW 진행가</t>
    <phoneticPr fontId="1" type="noConversion"/>
  </si>
  <si>
    <t>단가 (KG)</t>
    <phoneticPr fontId="1" type="noConversion"/>
  </si>
  <si>
    <t>RDS CHINA DUCK DOWN   80/20</t>
    <phoneticPr fontId="1" type="noConversion"/>
  </si>
  <si>
    <t>22SS 예상소요량 진행 사양별  업체 요약</t>
    <phoneticPr fontId="1" type="noConversion"/>
  </si>
  <si>
    <t>RECYCLED 50% DOWN 80/20</t>
    <phoneticPr fontId="1" type="noConversion"/>
  </si>
  <si>
    <t>11/13$변환</t>
    <phoneticPr fontId="1" type="noConversion"/>
  </si>
  <si>
    <t>RECYCLED 50% DOWN 80/20</t>
    <phoneticPr fontId="3" type="noConversion"/>
  </si>
  <si>
    <t>RDS CHINA DUCK DOWN   80/20</t>
    <phoneticPr fontId="1" type="noConversion"/>
  </si>
  <si>
    <t>RDS CHINA DUCK DOWN   80/20</t>
    <phoneticPr fontId="3" type="noConversion"/>
  </si>
  <si>
    <t>RDS 
+$0.5</t>
    <phoneticPr fontId="1" type="noConversion"/>
  </si>
  <si>
    <t>12/9 
평균시세</t>
    <phoneticPr fontId="1" type="noConversion"/>
  </si>
  <si>
    <t>12/27 
평균시세</t>
    <phoneticPr fontId="1" type="noConversion"/>
  </si>
  <si>
    <t>신성통상</t>
    <phoneticPr fontId="1" type="noConversion"/>
  </si>
  <si>
    <t>NO RDS</t>
    <phoneticPr fontId="1" type="noConversion"/>
  </si>
  <si>
    <t>미사용</t>
    <phoneticPr fontId="1" type="noConversion"/>
  </si>
  <si>
    <t>FILA</t>
    <phoneticPr fontId="1" type="noConversion"/>
  </si>
  <si>
    <t>RDS</t>
    <phoneticPr fontId="1" type="noConversion"/>
  </si>
  <si>
    <t>데상트</t>
    <phoneticPr fontId="1" type="noConversion"/>
  </si>
  <si>
    <t>코오롱</t>
    <phoneticPr fontId="1" type="noConversion"/>
  </si>
  <si>
    <t>NFL</t>
    <phoneticPr fontId="1" type="noConversion"/>
  </si>
  <si>
    <t>22FW 
진행가</t>
    <phoneticPr fontId="1" type="noConversion"/>
  </si>
  <si>
    <t>1/3 
평균시세</t>
    <phoneticPr fontId="1" type="noConversion"/>
  </si>
  <si>
    <t>RDS</t>
    <phoneticPr fontId="1" type="noConversion"/>
  </si>
  <si>
    <t>푸마</t>
    <phoneticPr fontId="1" type="noConversion"/>
  </si>
  <si>
    <t>밀레</t>
    <phoneticPr fontId="1" type="noConversion"/>
  </si>
  <si>
    <t>르까프</t>
    <phoneticPr fontId="1" type="noConversion"/>
  </si>
  <si>
    <t>22FW 
진행수량
(KG)</t>
    <phoneticPr fontId="1" type="noConversion"/>
  </si>
  <si>
    <t>내셔널
지오그래픽</t>
    <phoneticPr fontId="1" type="noConversion"/>
  </si>
  <si>
    <t>NEPA</t>
    <phoneticPr fontId="1" type="noConversion"/>
  </si>
  <si>
    <t>콜롬비아
글로벌</t>
    <phoneticPr fontId="1" type="noConversion"/>
  </si>
  <si>
    <t>RDS CHINA GOOSE DOWN   80/20 GREY 650FP+</t>
    <phoneticPr fontId="1" type="noConversion"/>
  </si>
  <si>
    <t>PCK</t>
    <phoneticPr fontId="1" type="noConversion"/>
  </si>
  <si>
    <t>광륭</t>
    <phoneticPr fontId="1" type="noConversion"/>
  </si>
  <si>
    <t>다음앤큐큐</t>
    <phoneticPr fontId="1" type="noConversion"/>
  </si>
  <si>
    <t>얼라이드</t>
    <phoneticPr fontId="1" type="noConversion"/>
  </si>
  <si>
    <t>태평양물산</t>
    <phoneticPr fontId="1" type="noConversion"/>
  </si>
  <si>
    <t>신주원</t>
    <phoneticPr fontId="1" type="noConversion"/>
  </si>
  <si>
    <t>업체명</t>
    <phoneticPr fontId="1" type="noConversion"/>
  </si>
  <si>
    <t>RDS CHINA DUCK DOWN   80/20 GREY 600FP+</t>
    <phoneticPr fontId="1" type="noConversion"/>
  </si>
  <si>
    <t>디스커버리</t>
    <phoneticPr fontId="1" type="noConversion"/>
  </si>
  <si>
    <t>$75.xx</t>
    <phoneticPr fontId="1" type="noConversion"/>
  </si>
  <si>
    <t>$39.5
10,000kg</t>
    <phoneticPr fontId="1" type="noConversion"/>
  </si>
  <si>
    <t>$39.7
120,000kg</t>
    <phoneticPr fontId="1" type="noConversion"/>
  </si>
  <si>
    <t>$38.0
50,000kg</t>
    <phoneticPr fontId="1" type="noConversion"/>
  </si>
  <si>
    <t>$40.0
10,000kg</t>
    <phoneticPr fontId="1" type="noConversion"/>
  </si>
  <si>
    <t>$39.5
65,000kg</t>
    <phoneticPr fontId="1" type="noConversion"/>
  </si>
  <si>
    <t>$39.5
9,000kg</t>
    <phoneticPr fontId="1" type="noConversion"/>
  </si>
  <si>
    <t>$39.5
5,000kg</t>
    <phoneticPr fontId="1" type="noConversion"/>
  </si>
  <si>
    <t>$41.3
15,000kg</t>
    <phoneticPr fontId="1" type="noConversion"/>
  </si>
  <si>
    <t>$41.3
30,000kg</t>
    <phoneticPr fontId="1" type="noConversion"/>
  </si>
  <si>
    <t>NO RDS</t>
    <phoneticPr fontId="1" type="noConversion"/>
  </si>
  <si>
    <t>나이키
글로벌</t>
    <phoneticPr fontId="1" type="noConversion"/>
  </si>
  <si>
    <t>아디다스
글로벌</t>
    <phoneticPr fontId="1" type="noConversion"/>
  </si>
  <si>
    <t>WH $73.0
50,000kg</t>
    <phoneticPr fontId="1" type="noConversion"/>
  </si>
  <si>
    <t>RDS</t>
    <phoneticPr fontId="1" type="noConversion"/>
  </si>
  <si>
    <t>블랙야크</t>
    <phoneticPr fontId="1" type="noConversion"/>
  </si>
  <si>
    <t xml:space="preserve">$41.71
</t>
    <phoneticPr fontId="1" type="noConversion"/>
  </si>
  <si>
    <t>1/27 
평균시세</t>
    <phoneticPr fontId="1" type="noConversion"/>
  </si>
  <si>
    <t>7/19 
평균시세</t>
    <phoneticPr fontId="1" type="noConversion"/>
  </si>
  <si>
    <t>8/10 
평균시세</t>
    <phoneticPr fontId="1" type="noConversion"/>
  </si>
  <si>
    <t>$59.5
$62.8
$63.5</t>
    <phoneticPr fontId="1" type="noConversion"/>
  </si>
  <si>
    <t>European</t>
    <phoneticPr fontId="1" type="noConversion"/>
  </si>
  <si>
    <t>European Goose Down 90/10</t>
    <phoneticPr fontId="1" type="noConversion"/>
  </si>
  <si>
    <t>GREY</t>
    <phoneticPr fontId="3" type="noConversion"/>
  </si>
  <si>
    <t>European Goose Down 90/10</t>
    <phoneticPr fontId="1" type="noConversion"/>
  </si>
  <si>
    <t>WHITE</t>
    <phoneticPr fontId="3" type="noConversion"/>
  </si>
  <si>
    <t>P/WHITE</t>
    <phoneticPr fontId="3" type="noConversion"/>
  </si>
  <si>
    <t>European Goose Down 80/10</t>
    <phoneticPr fontId="1" type="noConversion"/>
  </si>
  <si>
    <t>European Goose Down 80/10</t>
    <phoneticPr fontId="1" type="noConversion"/>
  </si>
  <si>
    <t>European Goose Down 80/20</t>
    <phoneticPr fontId="1" type="noConversion"/>
  </si>
  <si>
    <t>X</t>
    <phoneticPr fontId="1" type="noConversion"/>
  </si>
  <si>
    <t>$105
우크,시베리아</t>
    <phoneticPr fontId="1" type="noConversion"/>
  </si>
  <si>
    <t>$92.5
우크,시베리아</t>
    <phoneticPr fontId="1" type="noConversion"/>
  </si>
  <si>
    <t>$107
폴란드</t>
    <phoneticPr fontId="1" type="noConversion"/>
  </si>
  <si>
    <t>$97
폴란드</t>
    <phoneticPr fontId="1" type="noConversion"/>
  </si>
  <si>
    <t>X</t>
    <phoneticPr fontId="1" type="noConversion"/>
  </si>
  <si>
    <t>$97
헝가리</t>
    <phoneticPr fontId="1" type="noConversion"/>
  </si>
  <si>
    <t>$83
헝가리</t>
    <phoneticPr fontId="1" type="noConversion"/>
  </si>
  <si>
    <t>$103
우크 10t</t>
    <phoneticPr fontId="1" type="noConversion"/>
  </si>
  <si>
    <t>$99.5
우크 10t</t>
    <phoneticPr fontId="1" type="noConversion"/>
  </si>
  <si>
    <t>$102
우크 10t</t>
    <phoneticPr fontId="1" type="noConversion"/>
  </si>
  <si>
    <t>$99
우크 10t</t>
    <phoneticPr fontId="1" type="noConversion"/>
  </si>
  <si>
    <t>$101.5
폴란드</t>
    <phoneticPr fontId="1" type="noConversion"/>
  </si>
  <si>
    <t>$93
폴란드</t>
    <phoneticPr fontId="1" type="noConversion"/>
  </si>
  <si>
    <t xml:space="preserve">RDS </t>
    <phoneticPr fontId="1" type="noConversion"/>
  </si>
  <si>
    <t>구스헤리티지</t>
    <phoneticPr fontId="1" type="noConversion"/>
  </si>
  <si>
    <t>LIUQIAO</t>
    <phoneticPr fontId="1" type="noConversion"/>
  </si>
  <si>
    <t>FANGXIANG</t>
    <phoneticPr fontId="1" type="noConversion"/>
  </si>
  <si>
    <t>XINTANG</t>
    <phoneticPr fontId="1" type="noConversion"/>
  </si>
  <si>
    <t>신탕</t>
    <phoneticPr fontId="1" type="noConversion"/>
  </si>
  <si>
    <t>려우차우</t>
    <phoneticPr fontId="1" type="noConversion"/>
  </si>
  <si>
    <t>퍙샹(방상)</t>
    <phoneticPr fontId="1" type="noConversion"/>
  </si>
  <si>
    <t>$100
폴란드</t>
    <phoneticPr fontId="1" type="noConversion"/>
  </si>
  <si>
    <t>22/12/15 평균시세</t>
    <phoneticPr fontId="1" type="noConversion"/>
  </si>
  <si>
    <t>1/18환산</t>
    <phoneticPr fontId="1" type="noConversion"/>
  </si>
  <si>
    <t>연휴후</t>
    <phoneticPr fontId="1" type="noConversion"/>
  </si>
  <si>
    <t>1/31환산</t>
    <phoneticPr fontId="1" type="noConversion"/>
  </si>
  <si>
    <t>23년</t>
    <phoneticPr fontId="1" type="noConversion"/>
  </si>
  <si>
    <t>원료소진</t>
    <phoneticPr fontId="1" type="noConversion"/>
  </si>
  <si>
    <t>우크라이나</t>
    <phoneticPr fontId="1" type="noConversion"/>
  </si>
  <si>
    <t>우크라이나</t>
    <phoneticPr fontId="1" type="noConversion"/>
  </si>
  <si>
    <t>23/2/9
평균시세</t>
    <phoneticPr fontId="1" type="noConversion"/>
  </si>
  <si>
    <t>23/1/18
평균시세</t>
    <phoneticPr fontId="1" type="noConversion"/>
  </si>
  <si>
    <t>23FW 선기획부킹 $63.24 (8/10)</t>
    <phoneticPr fontId="1" type="noConversion"/>
  </si>
  <si>
    <t>23FW 부킹 $63.5(12/15)</t>
    <phoneticPr fontId="1" type="noConversion"/>
  </si>
  <si>
    <t>ORIGIN</t>
    <phoneticPr fontId="1" type="noConversion"/>
  </si>
  <si>
    <t>Commodity &amp; Description</t>
    <phoneticPr fontId="1" type="noConversion"/>
  </si>
  <si>
    <t>Color</t>
    <phoneticPr fontId="1" type="noConversion"/>
  </si>
  <si>
    <t>PCK</t>
    <phoneticPr fontId="1" type="noConversion"/>
  </si>
  <si>
    <t>다음앤큐큐</t>
    <phoneticPr fontId="1" type="noConversion"/>
  </si>
  <si>
    <t>태평양</t>
    <phoneticPr fontId="1" type="noConversion"/>
  </si>
  <si>
    <t>신주원</t>
    <phoneticPr fontId="1" type="noConversion"/>
  </si>
  <si>
    <t>업체</t>
    <phoneticPr fontId="1" type="noConversion"/>
  </si>
  <si>
    <t>날짜별</t>
    <phoneticPr fontId="1" type="noConversion"/>
  </si>
  <si>
    <t>평균</t>
    <phoneticPr fontId="1" type="noConversion"/>
  </si>
  <si>
    <t>RDS CHINA DUCK DOWN   80/20 20ton 기준</t>
    <phoneticPr fontId="3" type="noConversion"/>
  </si>
  <si>
    <t>평균</t>
    <phoneticPr fontId="1" type="noConversion"/>
  </si>
  <si>
    <t>9/26~10/10</t>
    <phoneticPr fontId="1" type="noConversion"/>
  </si>
  <si>
    <t>RDS CHINA GOOSE DOWN   80/20</t>
    <phoneticPr fontId="3" type="noConversion"/>
  </si>
  <si>
    <t>평균</t>
    <phoneticPr fontId="1" type="noConversion"/>
  </si>
  <si>
    <t>DOWN(충전재) 시세</t>
    <phoneticPr fontId="1" type="noConversion"/>
  </si>
  <si>
    <t>RDS European Goose Down 80/20</t>
    <phoneticPr fontId="3" type="noConversion"/>
  </si>
  <si>
    <t>RDS European Duck Down 80/20</t>
    <phoneticPr fontId="3" type="noConversion"/>
  </si>
  <si>
    <t>European</t>
    <phoneticPr fontId="1" type="noConversion"/>
  </si>
  <si>
    <t>RDS European Goose Down 90/10</t>
    <phoneticPr fontId="3" type="noConversion"/>
  </si>
  <si>
    <t>RDS CHINA DUCK RECYCLE DOWN   80/20</t>
    <phoneticPr fontId="3" type="noConversion"/>
  </si>
  <si>
    <t>GREY</t>
    <phoneticPr fontId="3" type="noConversion"/>
  </si>
  <si>
    <r>
      <t xml:space="preserve">$126.5
</t>
    </r>
    <r>
      <rPr>
        <sz val="8"/>
        <color theme="1"/>
        <rFont val="맑은 고딕"/>
        <family val="3"/>
        <charset val="129"/>
        <scheme val="minor"/>
      </rPr>
      <t>GREY ONLY</t>
    </r>
    <phoneticPr fontId="1" type="noConversion"/>
  </si>
  <si>
    <r>
      <t xml:space="preserve">$78.0
</t>
    </r>
    <r>
      <rPr>
        <sz val="8"/>
        <color theme="1"/>
        <rFont val="맑은 고딕"/>
        <family val="3"/>
        <charset val="129"/>
        <scheme val="minor"/>
      </rPr>
      <t>GREY ONLY</t>
    </r>
    <phoneticPr fontId="1" type="noConversion"/>
  </si>
  <si>
    <t>X</t>
    <phoneticPr fontId="1" type="noConversion"/>
  </si>
  <si>
    <t>X</t>
    <phoneticPr fontId="1" type="noConversion"/>
  </si>
  <si>
    <t>24년</t>
    <phoneticPr fontId="1" type="noConversion"/>
  </si>
  <si>
    <t>ALLIED</t>
    <phoneticPr fontId="1" type="noConversion"/>
  </si>
  <si>
    <t>RDS CHINA GOOSE DOWN   80/20</t>
    <phoneticPr fontId="3" type="noConversion"/>
  </si>
  <si>
    <t>ORIGIN</t>
    <phoneticPr fontId="3" type="noConversion"/>
  </si>
  <si>
    <t xml:space="preserve">FRANCE  DUCK 80:20 </t>
  </si>
  <si>
    <t>MOSCOVY  DUCK 80:20</t>
    <phoneticPr fontId="1" type="noConversion"/>
  </si>
  <si>
    <t>RECYCLE   DUCK 80:20</t>
    <phoneticPr fontId="1" type="noConversion"/>
  </si>
  <si>
    <t>동일</t>
    <phoneticPr fontId="1" type="noConversion"/>
  </si>
  <si>
    <t>헝가리 90:10 800 FP</t>
    <phoneticPr fontId="1" type="noConversion"/>
  </si>
  <si>
    <t>X</t>
    <phoneticPr fontId="1" type="noConversion"/>
  </si>
  <si>
    <t>European</t>
    <phoneticPr fontId="1" type="noConversion"/>
  </si>
  <si>
    <t>European</t>
    <phoneticPr fontId="1" type="noConversion"/>
  </si>
  <si>
    <t>CHINA</t>
    <phoneticPr fontId="1" type="noConversion"/>
  </si>
  <si>
    <t>GREY</t>
    <phoneticPr fontId="1" type="noConversion"/>
  </si>
  <si>
    <t>1/9평균</t>
    <phoneticPr fontId="1" type="noConversion"/>
  </si>
  <si>
    <t>ALLIED</t>
  </si>
  <si>
    <t>ALLIED</t>
    <phoneticPr fontId="1" type="noConversion"/>
  </si>
  <si>
    <t>PCK</t>
  </si>
  <si>
    <t>광륭</t>
  </si>
  <si>
    <t>다음앤큐큐</t>
  </si>
  <si>
    <t>태평양</t>
  </si>
  <si>
    <t>신주원</t>
  </si>
  <si>
    <t>태평양</t>
    <phoneticPr fontId="1" type="noConversion"/>
  </si>
  <si>
    <t>남부다운</t>
    <phoneticPr fontId="1" type="noConversion"/>
  </si>
  <si>
    <t>남부다운</t>
  </si>
  <si>
    <t>신주원</t>
    <phoneticPr fontId="1" type="noConversion"/>
  </si>
  <si>
    <t>LY인터내셔널</t>
    <phoneticPr fontId="1" type="noConversion"/>
  </si>
  <si>
    <t>LY인터내셔널</t>
    <phoneticPr fontId="1" type="noConversion"/>
  </si>
  <si>
    <t>부킹가</t>
    <phoneticPr fontId="1" type="noConversion"/>
  </si>
  <si>
    <t>대비</t>
    <phoneticPr fontId="1" type="noConversion"/>
  </si>
  <si>
    <t>12월평균</t>
    <phoneticPr fontId="1" type="noConversion"/>
  </si>
  <si>
    <t>GQ다운</t>
    <phoneticPr fontId="1" type="noConversion"/>
  </si>
  <si>
    <t>신주원</t>
    <phoneticPr fontId="1" type="noConversion"/>
  </si>
  <si>
    <t>GQ다운</t>
    <phoneticPr fontId="1" type="noConversion"/>
  </si>
  <si>
    <t>LY인터내셔널</t>
  </si>
  <si>
    <t>GQ다운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</si>
</sst>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26" formatCode="\$#,##0.00_);[Red]\(\$#,##0.00\)"/>
    <numFmt numFmtId="176" formatCode="\$#,##0.0_);[Red]\(\$#,##0.0\)"/>
    <numFmt numFmtId="177" formatCode="#,##0.0%;[Red]\▼#,##0.0%"/>
    <numFmt numFmtId="178" formatCode="m&quot;/&quot;d;@"/>
    <numFmt numFmtId="179" formatCode="\$#,##0.00"/>
    <numFmt numFmtId="180" formatCode="yy&quot;/&quot;m&quot;/&quot;d;@"/>
    <numFmt numFmtId="181" formatCode="mm&quot;월&quot;\ dd&quot;일&quot;"/>
    <numFmt numFmtId="182" formatCode="0.0%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굴림"/>
      <family val="3"/>
      <charset val="129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 style="double">
        <color auto="1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auto="1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ashed">
        <color indexed="64"/>
      </top>
      <bottom/>
      <diagonal/>
    </border>
    <border>
      <left style="double">
        <color indexed="64"/>
      </left>
      <right style="double">
        <color auto="1"/>
      </right>
      <top style="thin">
        <color auto="1"/>
      </top>
      <bottom/>
      <diagonal/>
    </border>
    <border>
      <left style="double">
        <color indexed="64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ashed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dashed">
        <color indexed="64"/>
      </bottom>
      <diagonal/>
    </border>
    <border>
      <left style="double">
        <color auto="1"/>
      </left>
      <right style="double">
        <color auto="1"/>
      </right>
      <top/>
      <bottom style="dotted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ck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double">
        <color indexed="64"/>
      </left>
      <right style="double">
        <color auto="1"/>
      </right>
      <top style="medium">
        <color indexed="64"/>
      </top>
      <bottom style="thick">
        <color rgb="FFFF0000"/>
      </bottom>
      <diagonal/>
    </border>
    <border>
      <left style="double">
        <color auto="1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indexed="64"/>
      </left>
      <right style="thick">
        <color auto="1"/>
      </right>
      <top style="thin">
        <color auto="1"/>
      </top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ck">
        <color auto="1"/>
      </right>
      <top style="medium">
        <color indexed="64"/>
      </top>
      <bottom style="dashed">
        <color indexed="64"/>
      </bottom>
      <diagonal/>
    </border>
    <border>
      <left style="thick">
        <color auto="1"/>
      </left>
      <right style="double">
        <color auto="1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ck">
        <color auto="1"/>
      </right>
      <top style="dashed">
        <color indexed="64"/>
      </top>
      <bottom style="dashed">
        <color indexed="64"/>
      </bottom>
      <diagonal/>
    </border>
    <border>
      <left style="thick">
        <color auto="1"/>
      </left>
      <right style="double">
        <color auto="1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auto="1"/>
      </right>
      <top style="dashed">
        <color indexed="64"/>
      </top>
      <bottom style="medium">
        <color indexed="64"/>
      </bottom>
      <diagonal/>
    </border>
    <border>
      <left style="thick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double">
        <color auto="1"/>
      </right>
      <top/>
      <bottom style="dashed">
        <color indexed="64"/>
      </bottom>
      <diagonal/>
    </border>
    <border>
      <left style="double">
        <color auto="1"/>
      </left>
      <right style="thick">
        <color auto="1"/>
      </right>
      <top/>
      <bottom style="dashed">
        <color indexed="64"/>
      </bottom>
      <diagonal/>
    </border>
    <border>
      <left style="thick">
        <color auto="1"/>
      </left>
      <right style="double">
        <color auto="1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dotted">
        <color indexed="64"/>
      </top>
      <bottom style="dotted">
        <color indexed="64"/>
      </bottom>
      <diagonal/>
    </border>
    <border>
      <left style="thick">
        <color auto="1"/>
      </left>
      <right style="double">
        <color auto="1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auto="1"/>
      </right>
      <top style="dotted">
        <color indexed="64"/>
      </top>
      <bottom style="medium">
        <color indexed="64"/>
      </bottom>
      <diagonal/>
    </border>
    <border>
      <left style="thick">
        <color auto="1"/>
      </left>
      <right style="double">
        <color auto="1"/>
      </right>
      <top style="medium">
        <color indexed="64"/>
      </top>
      <bottom/>
      <diagonal/>
    </border>
    <border>
      <left style="double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double">
        <color auto="1"/>
      </right>
      <top style="dotted">
        <color indexed="64"/>
      </top>
      <bottom style="dashed">
        <color indexed="64"/>
      </bottom>
      <diagonal/>
    </border>
    <border>
      <left style="double">
        <color indexed="64"/>
      </left>
      <right style="thick">
        <color auto="1"/>
      </right>
      <top style="dotted">
        <color indexed="64"/>
      </top>
      <bottom style="dashed">
        <color indexed="64"/>
      </bottom>
      <diagonal/>
    </border>
    <border>
      <left style="thick">
        <color auto="1"/>
      </left>
      <right/>
      <top style="medium">
        <color auto="1"/>
      </top>
      <bottom style="thin">
        <color indexed="64"/>
      </bottom>
      <diagonal/>
    </border>
    <border>
      <left style="double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 style="dashed">
        <color indexed="64"/>
      </bottom>
      <diagonal/>
    </border>
    <border>
      <left/>
      <right style="thick">
        <color auto="1"/>
      </right>
      <top style="dashed">
        <color indexed="64"/>
      </top>
      <bottom style="dashed">
        <color indexed="64"/>
      </bottom>
      <diagonal/>
    </border>
    <border>
      <left/>
      <right style="thick">
        <color auto="1"/>
      </right>
      <top style="dashed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/>
      <right style="thick">
        <color auto="1"/>
      </right>
      <top style="dotted">
        <color indexed="64"/>
      </top>
      <bottom style="dotted">
        <color indexed="64"/>
      </bottom>
      <diagonal/>
    </border>
    <border>
      <left/>
      <right style="thick">
        <color auto="1"/>
      </right>
      <top style="dotted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dotted">
        <color indexed="64"/>
      </top>
      <bottom style="dashed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double">
        <color auto="1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678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Font="1">
      <alignment vertical="center"/>
    </xf>
    <xf numFmtId="0" fontId="0" fillId="0" borderId="4" xfId="0" applyBorder="1">
      <alignment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5" borderId="0" xfId="0" applyFill="1">
      <alignment vertical="center"/>
    </xf>
    <xf numFmtId="9" fontId="0" fillId="5" borderId="0" xfId="0" applyNumberFormat="1" applyFont="1" applyFill="1">
      <alignment vertical="center"/>
    </xf>
    <xf numFmtId="0" fontId="0" fillId="2" borderId="0" xfId="0" applyFill="1">
      <alignment vertical="center"/>
    </xf>
    <xf numFmtId="176" fontId="4" fillId="2" borderId="17" xfId="0" applyNumberFormat="1" applyFont="1" applyFill="1" applyBorder="1" applyAlignment="1">
      <alignment horizontal="center" vertical="center"/>
    </xf>
    <xf numFmtId="176" fontId="4" fillId="2" borderId="18" xfId="0" applyNumberFormat="1" applyFont="1" applyFill="1" applyBorder="1" applyAlignment="1">
      <alignment horizontal="center" vertical="center"/>
    </xf>
    <xf numFmtId="176" fontId="4" fillId="2" borderId="19" xfId="0" applyNumberFormat="1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/>
    </xf>
    <xf numFmtId="176" fontId="2" fillId="2" borderId="20" xfId="0" applyNumberFormat="1" applyFont="1" applyFill="1" applyBorder="1" applyAlignment="1">
      <alignment horizontal="center" vertical="center"/>
    </xf>
    <xf numFmtId="176" fontId="2" fillId="2" borderId="21" xfId="0" applyNumberFormat="1" applyFont="1" applyFill="1" applyBorder="1" applyAlignment="1">
      <alignment horizontal="center" vertical="center"/>
    </xf>
    <xf numFmtId="176" fontId="4" fillId="2" borderId="20" xfId="0" applyNumberFormat="1" applyFont="1" applyFill="1" applyBorder="1" applyAlignment="1">
      <alignment horizontal="center" vertical="center"/>
    </xf>
    <xf numFmtId="176" fontId="4" fillId="2" borderId="22" xfId="0" applyNumberFormat="1" applyFont="1" applyFill="1" applyBorder="1" applyAlignment="1">
      <alignment horizontal="center" vertical="center"/>
    </xf>
    <xf numFmtId="178" fontId="2" fillId="2" borderId="23" xfId="0" applyNumberFormat="1" applyFont="1" applyFill="1" applyBorder="1" applyAlignment="1">
      <alignment horizontal="center" vertical="center"/>
    </xf>
    <xf numFmtId="176" fontId="2" fillId="2" borderId="22" xfId="0" applyNumberFormat="1" applyFont="1" applyFill="1" applyBorder="1" applyAlignment="1">
      <alignment horizontal="center" vertical="center"/>
    </xf>
    <xf numFmtId="176" fontId="4" fillId="2" borderId="21" xfId="0" applyNumberFormat="1" applyFont="1" applyFill="1" applyBorder="1" applyAlignment="1">
      <alignment horizontal="center" vertical="center"/>
    </xf>
    <xf numFmtId="176" fontId="2" fillId="2" borderId="25" xfId="0" applyNumberFormat="1" applyFont="1" applyFill="1" applyBorder="1" applyAlignment="1">
      <alignment horizontal="center" vertical="center"/>
    </xf>
    <xf numFmtId="176" fontId="2" fillId="2" borderId="26" xfId="0" applyNumberFormat="1" applyFont="1" applyFill="1" applyBorder="1" applyAlignment="1">
      <alignment horizontal="center" vertical="center"/>
    </xf>
    <xf numFmtId="176" fontId="2" fillId="2" borderId="19" xfId="0" applyNumberFormat="1" applyFont="1" applyFill="1" applyBorder="1" applyAlignment="1">
      <alignment horizontal="center" vertical="center"/>
    </xf>
    <xf numFmtId="176" fontId="2" fillId="2" borderId="18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76" fontId="2" fillId="6" borderId="15" xfId="0" applyNumberFormat="1" applyFont="1" applyFill="1" applyBorder="1" applyAlignment="1">
      <alignment horizontal="center" vertical="center"/>
    </xf>
    <xf numFmtId="176" fontId="2" fillId="2" borderId="15" xfId="0" applyNumberFormat="1" applyFont="1" applyFill="1" applyBorder="1" applyAlignment="1">
      <alignment horizontal="center" vertical="center"/>
    </xf>
    <xf numFmtId="176" fontId="2" fillId="11" borderId="15" xfId="0" applyNumberFormat="1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4" fillId="7" borderId="15" xfId="0" quotePrefix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10" borderId="15" xfId="0" quotePrefix="1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7" borderId="12" xfId="0" quotePrefix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10" borderId="12" xfId="0" quotePrefix="1" applyFont="1" applyFill="1" applyBorder="1" applyAlignment="1">
      <alignment horizontal="center" vertical="center"/>
    </xf>
    <xf numFmtId="178" fontId="2" fillId="5" borderId="23" xfId="0" applyNumberFormat="1" applyFont="1" applyFill="1" applyBorder="1" applyAlignment="1">
      <alignment horizontal="center" vertical="center"/>
    </xf>
    <xf numFmtId="178" fontId="2" fillId="2" borderId="30" xfId="0" applyNumberFormat="1" applyFont="1" applyFill="1" applyBorder="1" applyAlignment="1">
      <alignment horizontal="center" vertical="center"/>
    </xf>
    <xf numFmtId="178" fontId="2" fillId="5" borderId="30" xfId="0" applyNumberFormat="1" applyFont="1" applyFill="1" applyBorder="1" applyAlignment="1">
      <alignment horizontal="center" vertical="center"/>
    </xf>
    <xf numFmtId="176" fontId="2" fillId="5" borderId="17" xfId="0" applyNumberFormat="1" applyFont="1" applyFill="1" applyBorder="1" applyAlignment="1">
      <alignment horizontal="center" vertical="center"/>
    </xf>
    <xf numFmtId="176" fontId="7" fillId="5" borderId="17" xfId="0" applyNumberFormat="1" applyFont="1" applyFill="1" applyBorder="1" applyAlignment="1">
      <alignment horizontal="center" vertical="center"/>
    </xf>
    <xf numFmtId="176" fontId="4" fillId="5" borderId="17" xfId="0" applyNumberFormat="1" applyFont="1" applyFill="1" applyBorder="1" applyAlignment="1">
      <alignment horizontal="center" vertical="center"/>
    </xf>
    <xf numFmtId="176" fontId="7" fillId="2" borderId="17" xfId="0" applyNumberFormat="1" applyFont="1" applyFill="1" applyBorder="1" applyAlignment="1">
      <alignment horizontal="center" vertical="center"/>
    </xf>
    <xf numFmtId="176" fontId="2" fillId="5" borderId="25" xfId="0" applyNumberFormat="1" applyFont="1" applyFill="1" applyBorder="1" applyAlignment="1">
      <alignment horizontal="center" vertical="center"/>
    </xf>
    <xf numFmtId="176" fontId="2" fillId="5" borderId="20" xfId="0" applyNumberFormat="1" applyFont="1" applyFill="1" applyBorder="1" applyAlignment="1">
      <alignment horizontal="center" vertical="center"/>
    </xf>
    <xf numFmtId="176" fontId="7" fillId="5" borderId="20" xfId="0" applyNumberFormat="1" applyFont="1" applyFill="1" applyBorder="1" applyAlignment="1">
      <alignment horizontal="center" vertical="center"/>
    </xf>
    <xf numFmtId="176" fontId="4" fillId="5" borderId="20" xfId="0" applyNumberFormat="1" applyFont="1" applyFill="1" applyBorder="1" applyAlignment="1">
      <alignment horizontal="center" vertical="center"/>
    </xf>
    <xf numFmtId="176" fontId="7" fillId="2" borderId="20" xfId="0" applyNumberFormat="1" applyFont="1" applyFill="1" applyBorder="1" applyAlignment="1">
      <alignment horizontal="center" vertical="center"/>
    </xf>
    <xf numFmtId="176" fontId="2" fillId="5" borderId="21" xfId="0" applyNumberFormat="1" applyFont="1" applyFill="1" applyBorder="1" applyAlignment="1">
      <alignment horizontal="center" vertical="center"/>
    </xf>
    <xf numFmtId="176" fontId="7" fillId="5" borderId="21" xfId="0" applyNumberFormat="1" applyFont="1" applyFill="1" applyBorder="1" applyAlignment="1">
      <alignment horizontal="center" vertical="center"/>
    </xf>
    <xf numFmtId="176" fontId="4" fillId="5" borderId="21" xfId="0" applyNumberFormat="1" applyFont="1" applyFill="1" applyBorder="1" applyAlignment="1">
      <alignment horizontal="center" vertical="center"/>
    </xf>
    <xf numFmtId="176" fontId="7" fillId="2" borderId="21" xfId="0" applyNumberFormat="1" applyFont="1" applyFill="1" applyBorder="1" applyAlignment="1">
      <alignment horizontal="center" vertical="center"/>
    </xf>
    <xf numFmtId="176" fontId="2" fillId="5" borderId="31" xfId="0" applyNumberFormat="1" applyFont="1" applyFill="1" applyBorder="1" applyAlignment="1">
      <alignment horizontal="center" vertical="center"/>
    </xf>
    <xf numFmtId="176" fontId="2" fillId="2" borderId="31" xfId="0" applyNumberFormat="1" applyFont="1" applyFill="1" applyBorder="1" applyAlignment="1">
      <alignment horizontal="center" vertical="center"/>
    </xf>
    <xf numFmtId="176" fontId="2" fillId="5" borderId="22" xfId="0" applyNumberFormat="1" applyFont="1" applyFill="1" applyBorder="1" applyAlignment="1">
      <alignment horizontal="center" vertical="center"/>
    </xf>
    <xf numFmtId="176" fontId="7" fillId="5" borderId="22" xfId="0" applyNumberFormat="1" applyFont="1" applyFill="1" applyBorder="1" applyAlignment="1">
      <alignment horizontal="center" vertical="center"/>
    </xf>
    <xf numFmtId="176" fontId="4" fillId="5" borderId="22" xfId="0" applyNumberFormat="1" applyFont="1" applyFill="1" applyBorder="1" applyAlignment="1">
      <alignment horizontal="center" vertical="center"/>
    </xf>
    <xf numFmtId="176" fontId="7" fillId="2" borderId="22" xfId="0" applyNumberFormat="1" applyFont="1" applyFill="1" applyBorder="1" applyAlignment="1">
      <alignment horizontal="center" vertical="center"/>
    </xf>
    <xf numFmtId="176" fontId="4" fillId="5" borderId="25" xfId="0" applyNumberFormat="1" applyFont="1" applyFill="1" applyBorder="1" applyAlignment="1">
      <alignment horizontal="center" vertical="center"/>
    </xf>
    <xf numFmtId="176" fontId="7" fillId="5" borderId="25" xfId="0" applyNumberFormat="1" applyFont="1" applyFill="1" applyBorder="1" applyAlignment="1">
      <alignment horizontal="center" vertical="center"/>
    </xf>
    <xf numFmtId="176" fontId="2" fillId="5" borderId="32" xfId="0" applyNumberFormat="1" applyFont="1" applyFill="1" applyBorder="1" applyAlignment="1">
      <alignment horizontal="center" vertical="center"/>
    </xf>
    <xf numFmtId="176" fontId="2" fillId="2" borderId="32" xfId="0" applyNumberFormat="1" applyFont="1" applyFill="1" applyBorder="1" applyAlignment="1">
      <alignment horizontal="center" vertical="center"/>
    </xf>
    <xf numFmtId="176" fontId="2" fillId="5" borderId="18" xfId="0" applyNumberFormat="1" applyFont="1" applyFill="1" applyBorder="1" applyAlignment="1">
      <alignment horizontal="center" vertical="center"/>
    </xf>
    <xf numFmtId="176" fontId="4" fillId="5" borderId="18" xfId="0" applyNumberFormat="1" applyFont="1" applyFill="1" applyBorder="1" applyAlignment="1">
      <alignment horizontal="center" vertical="center"/>
    </xf>
    <xf numFmtId="176" fontId="2" fillId="5" borderId="19" xfId="0" applyNumberFormat="1" applyFont="1" applyFill="1" applyBorder="1" applyAlignment="1">
      <alignment horizontal="center" vertical="center"/>
    </xf>
    <xf numFmtId="176" fontId="4" fillId="5" borderId="19" xfId="0" applyNumberFormat="1" applyFont="1" applyFill="1" applyBorder="1" applyAlignment="1">
      <alignment horizontal="center" vertical="center"/>
    </xf>
    <xf numFmtId="176" fontId="7" fillId="5" borderId="18" xfId="0" applyNumberFormat="1" applyFont="1" applyFill="1" applyBorder="1" applyAlignment="1">
      <alignment horizontal="center" vertical="center"/>
    </xf>
    <xf numFmtId="176" fontId="7" fillId="2" borderId="25" xfId="0" applyNumberFormat="1" applyFont="1" applyFill="1" applyBorder="1" applyAlignment="1">
      <alignment horizontal="center" vertical="center"/>
    </xf>
    <xf numFmtId="176" fontId="4" fillId="2" borderId="25" xfId="0" applyNumberFormat="1" applyFont="1" applyFill="1" applyBorder="1" applyAlignment="1">
      <alignment horizontal="center" vertical="center"/>
    </xf>
    <xf numFmtId="176" fontId="2" fillId="5" borderId="26" xfId="0" applyNumberFormat="1" applyFont="1" applyFill="1" applyBorder="1" applyAlignment="1">
      <alignment horizontal="center" vertical="center"/>
    </xf>
    <xf numFmtId="176" fontId="7" fillId="5" borderId="26" xfId="0" applyNumberFormat="1" applyFont="1" applyFill="1" applyBorder="1" applyAlignment="1">
      <alignment horizontal="center" vertical="center"/>
    </xf>
    <xf numFmtId="176" fontId="7" fillId="11" borderId="26" xfId="0" applyNumberFormat="1" applyFont="1" applyFill="1" applyBorder="1" applyAlignment="1">
      <alignment horizontal="center" vertical="center"/>
    </xf>
    <xf numFmtId="176" fontId="7" fillId="2" borderId="26" xfId="0" applyNumberFormat="1" applyFont="1" applyFill="1" applyBorder="1" applyAlignment="1">
      <alignment horizontal="center" vertical="center"/>
    </xf>
    <xf numFmtId="176" fontId="4" fillId="2" borderId="26" xfId="0" applyNumberFormat="1" applyFont="1" applyFill="1" applyBorder="1" applyAlignment="1">
      <alignment horizontal="center" vertical="center"/>
    </xf>
    <xf numFmtId="176" fontId="7" fillId="2" borderId="18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76" fontId="2" fillId="6" borderId="16" xfId="0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6" fontId="2" fillId="11" borderId="16" xfId="0" applyNumberFormat="1" applyFont="1" applyFill="1" applyBorder="1" applyAlignment="1">
      <alignment horizontal="center" vertical="center"/>
    </xf>
    <xf numFmtId="0" fontId="2" fillId="7" borderId="7" xfId="0" quotePrefix="1" applyFont="1" applyFill="1" applyBorder="1" applyAlignment="1">
      <alignment horizontal="center" vertical="center"/>
    </xf>
    <xf numFmtId="0" fontId="4" fillId="7" borderId="16" xfId="0" quotePrefix="1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9" xfId="0" quotePrefix="1" applyFont="1" applyFill="1" applyBorder="1" applyAlignment="1">
      <alignment horizontal="center" vertical="center"/>
    </xf>
    <xf numFmtId="0" fontId="4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76" fontId="2" fillId="6" borderId="14" xfId="0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176" fontId="2" fillId="11" borderId="14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2" fillId="11" borderId="11" xfId="0" applyNumberFormat="1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4" fillId="8" borderId="14" xfId="0" quotePrefix="1" applyFont="1" applyFill="1" applyBorder="1" applyAlignment="1">
      <alignment horizontal="center" vertical="center" wrapText="1"/>
    </xf>
    <xf numFmtId="0" fontId="2" fillId="7" borderId="13" xfId="0" quotePrefix="1" applyFont="1" applyFill="1" applyBorder="1" applyAlignment="1">
      <alignment horizontal="center" vertical="center"/>
    </xf>
    <xf numFmtId="0" fontId="4" fillId="7" borderId="14" xfId="0" quotePrefix="1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7" borderId="8" xfId="0" quotePrefix="1" applyFont="1" applyFill="1" applyBorder="1" applyAlignment="1">
      <alignment horizontal="center" vertical="center"/>
    </xf>
    <xf numFmtId="0" fontId="4" fillId="7" borderId="11" xfId="0" quotePrefix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76" fontId="4" fillId="5" borderId="26" xfId="0" applyNumberFormat="1" applyFont="1" applyFill="1" applyBorder="1" applyAlignment="1">
      <alignment horizontal="center" vertical="center"/>
    </xf>
    <xf numFmtId="176" fontId="2" fillId="12" borderId="15" xfId="0" applyNumberFormat="1" applyFont="1" applyFill="1" applyBorder="1" applyAlignment="1">
      <alignment horizontal="center" vertical="center"/>
    </xf>
    <xf numFmtId="176" fontId="2" fillId="12" borderId="14" xfId="0" applyNumberFormat="1" applyFont="1" applyFill="1" applyBorder="1" applyAlignment="1">
      <alignment horizontal="center" vertical="center"/>
    </xf>
    <xf numFmtId="176" fontId="2" fillId="12" borderId="11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41" fontId="0" fillId="0" borderId="0" xfId="0" applyNumberFormat="1" applyBorder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quotePrefix="1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9" fontId="0" fillId="2" borderId="0" xfId="0" applyNumberFormat="1" applyFont="1" applyFill="1">
      <alignment vertical="center"/>
    </xf>
    <xf numFmtId="0" fontId="2" fillId="3" borderId="33" xfId="0" applyFont="1" applyFill="1" applyBorder="1" applyAlignment="1">
      <alignment horizontal="center" vertical="center"/>
    </xf>
    <xf numFmtId="0" fontId="4" fillId="3" borderId="34" xfId="0" quotePrefix="1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41" fontId="0" fillId="2" borderId="10" xfId="1" applyFont="1" applyFill="1" applyBorder="1" applyAlignment="1">
      <alignment vertical="center"/>
    </xf>
    <xf numFmtId="41" fontId="0" fillId="2" borderId="38" xfId="0" applyNumberFormat="1" applyFill="1" applyBorder="1" applyAlignment="1">
      <alignment vertical="center"/>
    </xf>
    <xf numFmtId="0" fontId="0" fillId="3" borderId="3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5" xfId="0" quotePrefix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76" fontId="0" fillId="6" borderId="15" xfId="0" applyNumberFormat="1" applyFill="1" applyBorder="1" applyAlignment="1">
      <alignment horizontal="center" vertical="center"/>
    </xf>
    <xf numFmtId="3" fontId="0" fillId="6" borderId="15" xfId="0" applyNumberFormat="1" applyFill="1" applyBorder="1" applyAlignment="1">
      <alignment horizontal="center" vertical="center"/>
    </xf>
    <xf numFmtId="176" fontId="0" fillId="6" borderId="10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4" fillId="0" borderId="0" xfId="0" applyFont="1">
      <alignment vertical="center"/>
    </xf>
    <xf numFmtId="177" fontId="2" fillId="5" borderId="39" xfId="0" applyNumberFormat="1" applyFont="1" applyFill="1" applyBorder="1" applyAlignment="1">
      <alignment horizontal="center" vertical="center"/>
    </xf>
    <xf numFmtId="177" fontId="2" fillId="2" borderId="39" xfId="0" applyNumberFormat="1" applyFont="1" applyFill="1" applyBorder="1" applyAlignment="1">
      <alignment horizontal="center" vertical="center"/>
    </xf>
    <xf numFmtId="177" fontId="4" fillId="2" borderId="39" xfId="0" applyNumberFormat="1" applyFont="1" applyFill="1" applyBorder="1" applyAlignment="1">
      <alignment horizontal="center" vertical="center"/>
    </xf>
    <xf numFmtId="177" fontId="4" fillId="5" borderId="39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12" borderId="2" xfId="0" applyNumberFormat="1" applyFont="1" applyFill="1" applyBorder="1" applyAlignment="1">
      <alignment horizontal="center" vertical="center"/>
    </xf>
    <xf numFmtId="178" fontId="17" fillId="2" borderId="3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76" fontId="2" fillId="13" borderId="15" xfId="0" applyNumberFormat="1" applyFont="1" applyFill="1" applyBorder="1" applyAlignment="1">
      <alignment horizontal="center" vertical="center"/>
    </xf>
    <xf numFmtId="176" fontId="2" fillId="13" borderId="16" xfId="0" applyNumberFormat="1" applyFont="1" applyFill="1" applyBorder="1" applyAlignment="1">
      <alignment horizontal="center" vertical="center"/>
    </xf>
    <xf numFmtId="176" fontId="2" fillId="13" borderId="14" xfId="0" applyNumberFormat="1" applyFont="1" applyFill="1" applyBorder="1" applyAlignment="1">
      <alignment horizontal="center" vertical="center"/>
    </xf>
    <xf numFmtId="176" fontId="2" fillId="13" borderId="1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8" fontId="2" fillId="13" borderId="23" xfId="0" applyNumberFormat="1" applyFont="1" applyFill="1" applyBorder="1" applyAlignment="1">
      <alignment horizontal="center" vertical="center"/>
    </xf>
    <xf numFmtId="176" fontId="2" fillId="13" borderId="17" xfId="0" applyNumberFormat="1" applyFont="1" applyFill="1" applyBorder="1" applyAlignment="1">
      <alignment horizontal="center" vertical="center"/>
    </xf>
    <xf numFmtId="176" fontId="2" fillId="13" borderId="20" xfId="0" applyNumberFormat="1" applyFont="1" applyFill="1" applyBorder="1" applyAlignment="1">
      <alignment horizontal="center" vertical="center"/>
    </xf>
    <xf numFmtId="176" fontId="2" fillId="13" borderId="21" xfId="0" applyNumberFormat="1" applyFont="1" applyFill="1" applyBorder="1" applyAlignment="1">
      <alignment horizontal="center" vertical="center"/>
    </xf>
    <xf numFmtId="176" fontId="2" fillId="13" borderId="22" xfId="0" applyNumberFormat="1" applyFont="1" applyFill="1" applyBorder="1" applyAlignment="1">
      <alignment horizontal="center" vertical="center"/>
    </xf>
    <xf numFmtId="176" fontId="4" fillId="13" borderId="17" xfId="0" applyNumberFormat="1" applyFont="1" applyFill="1" applyBorder="1" applyAlignment="1">
      <alignment horizontal="center" vertical="center"/>
    </xf>
    <xf numFmtId="176" fontId="4" fillId="13" borderId="20" xfId="0" applyNumberFormat="1" applyFont="1" applyFill="1" applyBorder="1" applyAlignment="1">
      <alignment horizontal="center" vertical="center"/>
    </xf>
    <xf numFmtId="176" fontId="4" fillId="13" borderId="21" xfId="0" applyNumberFormat="1" applyFont="1" applyFill="1" applyBorder="1" applyAlignment="1">
      <alignment horizontal="center" vertical="center"/>
    </xf>
    <xf numFmtId="176" fontId="2" fillId="13" borderId="25" xfId="0" applyNumberFormat="1" applyFont="1" applyFill="1" applyBorder="1" applyAlignment="1">
      <alignment horizontal="center" vertical="center"/>
    </xf>
    <xf numFmtId="176" fontId="2" fillId="13" borderId="26" xfId="0" applyNumberFormat="1" applyFont="1" applyFill="1" applyBorder="1" applyAlignment="1">
      <alignment horizontal="center" vertical="center"/>
    </xf>
    <xf numFmtId="176" fontId="2" fillId="13" borderId="19" xfId="0" applyNumberFormat="1" applyFont="1" applyFill="1" applyBorder="1" applyAlignment="1">
      <alignment horizontal="center" vertical="center"/>
    </xf>
    <xf numFmtId="176" fontId="2" fillId="13" borderId="18" xfId="0" applyNumberFormat="1" applyFont="1" applyFill="1" applyBorder="1" applyAlignment="1">
      <alignment horizontal="center" vertical="center"/>
    </xf>
    <xf numFmtId="176" fontId="2" fillId="13" borderId="32" xfId="0" applyNumberFormat="1" applyFont="1" applyFill="1" applyBorder="1" applyAlignment="1">
      <alignment horizontal="center" vertical="center"/>
    </xf>
    <xf numFmtId="176" fontId="4" fillId="13" borderId="25" xfId="0" applyNumberFormat="1" applyFont="1" applyFill="1" applyBorder="1" applyAlignment="1">
      <alignment horizontal="center" vertical="center"/>
    </xf>
    <xf numFmtId="176" fontId="4" fillId="13" borderId="26" xfId="0" applyNumberFormat="1" applyFont="1" applyFill="1" applyBorder="1" applyAlignment="1">
      <alignment horizontal="center" vertical="center"/>
    </xf>
    <xf numFmtId="176" fontId="4" fillId="13" borderId="19" xfId="0" applyNumberFormat="1" applyFont="1" applyFill="1" applyBorder="1" applyAlignment="1">
      <alignment horizontal="center" vertical="center"/>
    </xf>
    <xf numFmtId="176" fontId="4" fillId="13" borderId="18" xfId="0" applyNumberFormat="1" applyFont="1" applyFill="1" applyBorder="1" applyAlignment="1">
      <alignment horizontal="center" vertical="center"/>
    </xf>
    <xf numFmtId="176" fontId="4" fillId="13" borderId="22" xfId="0" applyNumberFormat="1" applyFont="1" applyFill="1" applyBorder="1" applyAlignment="1">
      <alignment horizontal="center" vertical="center"/>
    </xf>
    <xf numFmtId="176" fontId="7" fillId="13" borderId="26" xfId="0" applyNumberFormat="1" applyFont="1" applyFill="1" applyBorder="1" applyAlignment="1">
      <alignment horizontal="center" vertical="center"/>
    </xf>
    <xf numFmtId="178" fontId="2" fillId="13" borderId="3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>
      <alignment vertical="center"/>
    </xf>
    <xf numFmtId="176" fontId="0" fillId="0" borderId="15" xfId="0" applyNumberFormat="1" applyBorder="1">
      <alignment vertical="center"/>
    </xf>
    <xf numFmtId="0" fontId="0" fillId="3" borderId="0" xfId="0" applyFill="1" applyBorder="1" applyAlignment="1">
      <alignment horizontal="center" vertical="center"/>
    </xf>
    <xf numFmtId="41" fontId="0" fillId="2" borderId="0" xfId="1" applyFont="1" applyFill="1" applyBorder="1" applyAlignment="1">
      <alignment vertical="center"/>
    </xf>
    <xf numFmtId="41" fontId="0" fillId="2" borderId="0" xfId="0" applyNumberFormat="1" applyFill="1" applyBorder="1" applyAlignment="1">
      <alignment vertical="center"/>
    </xf>
    <xf numFmtId="176" fontId="0" fillId="6" borderId="0" xfId="0" applyNumberFormat="1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176" fontId="18" fillId="13" borderId="17" xfId="0" applyNumberFormat="1" applyFont="1" applyFill="1" applyBorder="1" applyAlignment="1">
      <alignment horizontal="center" vertical="center"/>
    </xf>
    <xf numFmtId="176" fontId="7" fillId="13" borderId="17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0" xfId="0" applyNumberFormat="1" applyBorder="1">
      <alignment vertical="center"/>
    </xf>
    <xf numFmtId="41" fontId="0" fillId="0" borderId="15" xfId="1" applyFont="1" applyBorder="1">
      <alignment vertical="center"/>
    </xf>
    <xf numFmtId="41" fontId="0" fillId="0" borderId="15" xfId="1" applyFont="1" applyFill="1" applyBorder="1">
      <alignment vertical="center"/>
    </xf>
    <xf numFmtId="176" fontId="0" fillId="0" borderId="41" xfId="0" applyNumberFormat="1" applyBorder="1">
      <alignment vertical="center"/>
    </xf>
    <xf numFmtId="176" fontId="4" fillId="5" borderId="15" xfId="0" applyNumberFormat="1" applyFont="1" applyFill="1" applyBorder="1" applyAlignment="1">
      <alignment horizontal="center" vertical="center"/>
    </xf>
    <xf numFmtId="176" fontId="4" fillId="2" borderId="15" xfId="0" applyNumberFormat="1" applyFont="1" applyFill="1" applyBorder="1" applyAlignment="1">
      <alignment horizontal="center" vertical="center"/>
    </xf>
    <xf numFmtId="176" fontId="13" fillId="5" borderId="15" xfId="0" applyNumberFormat="1" applyFont="1" applyFill="1" applyBorder="1" applyAlignment="1">
      <alignment horizontal="center" vertical="center"/>
    </xf>
    <xf numFmtId="176" fontId="13" fillId="2" borderId="15" xfId="0" applyNumberFormat="1" applyFont="1" applyFill="1" applyBorder="1" applyAlignment="1">
      <alignment horizontal="center" vertical="center"/>
    </xf>
    <xf numFmtId="176" fontId="13" fillId="13" borderId="15" xfId="0" applyNumberFormat="1" applyFont="1" applyFill="1" applyBorder="1" applyAlignment="1">
      <alignment horizontal="center" vertical="center"/>
    </xf>
    <xf numFmtId="176" fontId="2" fillId="5" borderId="15" xfId="0" applyNumberFormat="1" applyFont="1" applyFill="1" applyBorder="1" applyAlignment="1">
      <alignment horizontal="center" vertical="center"/>
    </xf>
    <xf numFmtId="176" fontId="7" fillId="5" borderId="15" xfId="0" applyNumberFormat="1" applyFont="1" applyFill="1" applyBorder="1" applyAlignment="1">
      <alignment horizontal="center" vertical="center"/>
    </xf>
    <xf numFmtId="176" fontId="7" fillId="2" borderId="15" xfId="0" applyNumberFormat="1" applyFont="1" applyFill="1" applyBorder="1" applyAlignment="1">
      <alignment horizontal="center" vertical="center"/>
    </xf>
    <xf numFmtId="180" fontId="2" fillId="5" borderId="15" xfId="0" applyNumberFormat="1" applyFont="1" applyFill="1" applyBorder="1" applyAlignment="1">
      <alignment horizontal="center" vertical="center"/>
    </xf>
    <xf numFmtId="180" fontId="2" fillId="2" borderId="15" xfId="0" applyNumberFormat="1" applyFont="1" applyFill="1" applyBorder="1" applyAlignment="1">
      <alignment horizontal="center" vertical="center"/>
    </xf>
    <xf numFmtId="180" fontId="2" fillId="13" borderId="15" xfId="0" applyNumberFormat="1" applyFont="1" applyFill="1" applyBorder="1" applyAlignment="1">
      <alignment horizontal="center" vertical="center"/>
    </xf>
    <xf numFmtId="176" fontId="18" fillId="13" borderId="15" xfId="0" applyNumberFormat="1" applyFont="1" applyFill="1" applyBorder="1" applyAlignment="1">
      <alignment horizontal="center" vertical="center"/>
    </xf>
    <xf numFmtId="176" fontId="4" fillId="13" borderId="15" xfId="0" applyNumberFormat="1" applyFont="1" applyFill="1" applyBorder="1" applyAlignment="1">
      <alignment horizontal="center" vertical="center"/>
    </xf>
    <xf numFmtId="176" fontId="18" fillId="2" borderId="15" xfId="0" applyNumberFormat="1" applyFont="1" applyFill="1" applyBorder="1" applyAlignment="1">
      <alignment horizontal="center" vertical="center"/>
    </xf>
    <xf numFmtId="176" fontId="7" fillId="13" borderId="15" xfId="0" applyNumberFormat="1" applyFont="1" applyFill="1" applyBorder="1" applyAlignment="1">
      <alignment horizontal="center" vertical="center"/>
    </xf>
    <xf numFmtId="41" fontId="2" fillId="11" borderId="48" xfId="1" applyFont="1" applyFill="1" applyBorder="1" applyAlignment="1">
      <alignment horizontal="center" vertical="center"/>
    </xf>
    <xf numFmtId="41" fontId="2" fillId="11" borderId="46" xfId="1" applyFont="1" applyFill="1" applyBorder="1" applyAlignment="1">
      <alignment horizontal="center" vertical="center"/>
    </xf>
    <xf numFmtId="41" fontId="2" fillId="11" borderId="49" xfId="1" applyFont="1" applyFill="1" applyBorder="1" applyAlignment="1">
      <alignment horizontal="center" vertical="center"/>
    </xf>
    <xf numFmtId="41" fontId="2" fillId="11" borderId="45" xfId="1" applyFont="1" applyFill="1" applyBorder="1" applyAlignment="1">
      <alignment horizontal="center" vertical="center"/>
    </xf>
    <xf numFmtId="41" fontId="2" fillId="11" borderId="47" xfId="1" applyFont="1" applyFill="1" applyBorder="1" applyAlignment="1">
      <alignment horizontal="center" vertical="center"/>
    </xf>
    <xf numFmtId="176" fontId="0" fillId="0" borderId="15" xfId="0" applyNumberFormat="1" applyBorder="1" applyAlignment="1">
      <alignment horizontal="right" vertical="center"/>
    </xf>
    <xf numFmtId="176" fontId="0" fillId="0" borderId="15" xfId="0" applyNumberFormat="1" applyBorder="1" applyAlignment="1">
      <alignment horizontal="right" vertical="center" wrapText="1"/>
    </xf>
    <xf numFmtId="178" fontId="2" fillId="11" borderId="15" xfId="0" applyNumberFormat="1" applyFont="1" applyFill="1" applyBorder="1" applyAlignment="1">
      <alignment horizontal="center" vertical="center"/>
    </xf>
    <xf numFmtId="176" fontId="4" fillId="5" borderId="50" xfId="0" applyNumberFormat="1" applyFont="1" applyFill="1" applyBorder="1" applyAlignment="1">
      <alignment horizontal="center" vertical="center"/>
    </xf>
    <xf numFmtId="0" fontId="2" fillId="10" borderId="7" xfId="0" quotePrefix="1" applyFont="1" applyFill="1" applyBorder="1" applyAlignment="1">
      <alignment horizontal="center" vertical="center"/>
    </xf>
    <xf numFmtId="0" fontId="4" fillId="10" borderId="16" xfId="0" quotePrefix="1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26" fontId="2" fillId="0" borderId="56" xfId="0" applyNumberFormat="1" applyFont="1" applyBorder="1" applyAlignment="1">
      <alignment horizontal="center" vertical="center"/>
    </xf>
    <xf numFmtId="26" fontId="2" fillId="11" borderId="56" xfId="0" applyNumberFormat="1" applyFont="1" applyFill="1" applyBorder="1" applyAlignment="1">
      <alignment horizontal="center" vertical="center"/>
    </xf>
    <xf numFmtId="41" fontId="2" fillId="11" borderId="57" xfId="1" applyFont="1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 wrapText="1"/>
    </xf>
    <xf numFmtId="176" fontId="21" fillId="0" borderId="1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76" fontId="4" fillId="2" borderId="31" xfId="0" applyNumberFormat="1" applyFont="1" applyFill="1" applyBorder="1" applyAlignment="1">
      <alignment horizontal="center" vertical="center"/>
    </xf>
    <xf numFmtId="176" fontId="22" fillId="2" borderId="15" xfId="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176" fontId="12" fillId="11" borderId="15" xfId="0" applyNumberFormat="1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176" fontId="12" fillId="14" borderId="15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80" fontId="12" fillId="2" borderId="15" xfId="0" applyNumberFormat="1" applyFont="1" applyFill="1" applyBorder="1" applyAlignment="1">
      <alignment horizontal="center" vertical="center"/>
    </xf>
    <xf numFmtId="178" fontId="12" fillId="2" borderId="15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3" fillId="8" borderId="10" xfId="0" applyFont="1" applyFill="1" applyBorder="1" applyAlignment="1">
      <alignment horizontal="center" vertical="center"/>
    </xf>
    <xf numFmtId="176" fontId="22" fillId="8" borderId="15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176" fontId="22" fillId="3" borderId="15" xfId="0" applyNumberFormat="1" applyFont="1" applyFill="1" applyBorder="1" applyAlignment="1">
      <alignment horizontal="center" vertical="center"/>
    </xf>
    <xf numFmtId="176" fontId="2" fillId="13" borderId="31" xfId="0" applyNumberFormat="1" applyFont="1" applyFill="1" applyBorder="1" applyAlignment="1">
      <alignment horizontal="center" vertical="center"/>
    </xf>
    <xf numFmtId="176" fontId="4" fillId="5" borderId="31" xfId="0" applyNumberFormat="1" applyFont="1" applyFill="1" applyBorder="1" applyAlignment="1">
      <alignment horizontal="center" vertical="center"/>
    </xf>
    <xf numFmtId="176" fontId="7" fillId="5" borderId="31" xfId="0" applyNumberFormat="1" applyFont="1" applyFill="1" applyBorder="1" applyAlignment="1">
      <alignment horizontal="center" vertical="center"/>
    </xf>
    <xf numFmtId="176" fontId="4" fillId="13" borderId="31" xfId="0" applyNumberFormat="1" applyFont="1" applyFill="1" applyBorder="1" applyAlignment="1">
      <alignment horizontal="center" vertical="center"/>
    </xf>
    <xf numFmtId="176" fontId="2" fillId="2" borderId="39" xfId="0" applyNumberFormat="1" applyFont="1" applyFill="1" applyBorder="1" applyAlignment="1">
      <alignment horizontal="center" vertical="center"/>
    </xf>
    <xf numFmtId="176" fontId="2" fillId="5" borderId="39" xfId="0" applyNumberFormat="1" applyFont="1" applyFill="1" applyBorder="1" applyAlignment="1">
      <alignment horizontal="center" vertical="center"/>
    </xf>
    <xf numFmtId="176" fontId="2" fillId="13" borderId="39" xfId="0" applyNumberFormat="1" applyFont="1" applyFill="1" applyBorder="1" applyAlignment="1">
      <alignment horizontal="center" vertical="center"/>
    </xf>
    <xf numFmtId="176" fontId="4" fillId="5" borderId="39" xfId="0" applyNumberFormat="1" applyFont="1" applyFill="1" applyBorder="1" applyAlignment="1">
      <alignment horizontal="center" vertical="center"/>
    </xf>
    <xf numFmtId="176" fontId="4" fillId="2" borderId="39" xfId="0" applyNumberFormat="1" applyFont="1" applyFill="1" applyBorder="1" applyAlignment="1">
      <alignment horizontal="center" vertical="center"/>
    </xf>
    <xf numFmtId="176" fontId="4" fillId="13" borderId="39" xfId="0" applyNumberFormat="1" applyFont="1" applyFill="1" applyBorder="1" applyAlignment="1">
      <alignment horizontal="center" vertical="center"/>
    </xf>
    <xf numFmtId="176" fontId="7" fillId="2" borderId="39" xfId="0" applyNumberFormat="1" applyFont="1" applyFill="1" applyBorder="1" applyAlignment="1">
      <alignment horizontal="center" vertical="center"/>
    </xf>
    <xf numFmtId="176" fontId="7" fillId="2" borderId="31" xfId="0" applyNumberFormat="1" applyFont="1" applyFill="1" applyBorder="1" applyAlignment="1">
      <alignment horizontal="center" vertical="center"/>
    </xf>
    <xf numFmtId="176" fontId="7" fillId="5" borderId="39" xfId="0" applyNumberFormat="1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176" fontId="24" fillId="2" borderId="17" xfId="0" applyNumberFormat="1" applyFont="1" applyFill="1" applyBorder="1" applyAlignment="1">
      <alignment horizontal="center" vertical="center" wrapText="1"/>
    </xf>
    <xf numFmtId="176" fontId="25" fillId="2" borderId="25" xfId="0" applyNumberFormat="1" applyFont="1" applyFill="1" applyBorder="1" applyAlignment="1">
      <alignment horizontal="center" vertical="center" wrapText="1"/>
    </xf>
    <xf numFmtId="176" fontId="25" fillId="2" borderId="17" xfId="0" applyNumberFormat="1" applyFont="1" applyFill="1" applyBorder="1" applyAlignment="1">
      <alignment horizontal="center" vertical="center" wrapText="1"/>
    </xf>
    <xf numFmtId="176" fontId="4" fillId="2" borderId="60" xfId="0" applyNumberFormat="1" applyFont="1" applyFill="1" applyBorder="1" applyAlignment="1">
      <alignment horizontal="center" vertical="center"/>
    </xf>
    <xf numFmtId="176" fontId="25" fillId="5" borderId="25" xfId="0" applyNumberFormat="1" applyFont="1" applyFill="1" applyBorder="1" applyAlignment="1">
      <alignment horizontal="center" vertical="center" wrapText="1"/>
    </xf>
    <xf numFmtId="176" fontId="25" fillId="5" borderId="17" xfId="0" applyNumberFormat="1" applyFont="1" applyFill="1" applyBorder="1" applyAlignment="1">
      <alignment horizontal="center" vertical="center" wrapText="1"/>
    </xf>
    <xf numFmtId="176" fontId="24" fillId="5" borderId="25" xfId="0" applyNumberFormat="1" applyFont="1" applyFill="1" applyBorder="1" applyAlignment="1">
      <alignment horizontal="center" vertical="center" wrapText="1"/>
    </xf>
    <xf numFmtId="176" fontId="24" fillId="5" borderId="17" xfId="0" applyNumberFormat="1" applyFont="1" applyFill="1" applyBorder="1" applyAlignment="1">
      <alignment horizontal="center" vertical="center" wrapText="1"/>
    </xf>
    <xf numFmtId="176" fontId="25" fillId="5" borderId="25" xfId="0" applyNumberFormat="1" applyFont="1" applyFill="1" applyBorder="1" applyAlignment="1">
      <alignment horizontal="center" vertical="center"/>
    </xf>
    <xf numFmtId="176" fontId="25" fillId="5" borderId="17" xfId="0" applyNumberFormat="1" applyFont="1" applyFill="1" applyBorder="1" applyAlignment="1">
      <alignment horizontal="center" vertical="center"/>
    </xf>
    <xf numFmtId="0" fontId="2" fillId="7" borderId="61" xfId="0" quotePrefix="1" applyFont="1" applyFill="1" applyBorder="1" applyAlignment="1">
      <alignment horizontal="center" vertical="center"/>
    </xf>
    <xf numFmtId="0" fontId="4" fillId="7" borderId="62" xfId="0" quotePrefix="1" applyFont="1" applyFill="1" applyBorder="1" applyAlignment="1">
      <alignment horizontal="center" vertical="center" wrapText="1"/>
    </xf>
    <xf numFmtId="0" fontId="2" fillId="7" borderId="62" xfId="0" applyFont="1" applyFill="1" applyBorder="1" applyAlignment="1">
      <alignment horizontal="center" vertical="center"/>
    </xf>
    <xf numFmtId="176" fontId="4" fillId="5" borderId="63" xfId="0" applyNumberFormat="1" applyFont="1" applyFill="1" applyBorder="1" applyAlignment="1">
      <alignment horizontal="center" vertical="center"/>
    </xf>
    <xf numFmtId="176" fontId="4" fillId="2" borderId="63" xfId="0" applyNumberFormat="1" applyFon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4" xfId="0" applyBorder="1" applyAlignment="1">
      <alignment vertical="center" wrapText="1"/>
    </xf>
    <xf numFmtId="178" fontId="2" fillId="5" borderId="70" xfId="0" applyNumberFormat="1" applyFont="1" applyFill="1" applyBorder="1" applyAlignment="1">
      <alignment horizontal="center" vertical="center"/>
    </xf>
    <xf numFmtId="176" fontId="2" fillId="5" borderId="73" xfId="0" applyNumberFormat="1" applyFont="1" applyFill="1" applyBorder="1" applyAlignment="1">
      <alignment horizontal="center" vertical="center"/>
    </xf>
    <xf numFmtId="176" fontId="4" fillId="2" borderId="74" xfId="0" applyNumberFormat="1" applyFont="1" applyFill="1" applyBorder="1" applyAlignment="1">
      <alignment horizontal="center" vertical="center"/>
    </xf>
    <xf numFmtId="176" fontId="2" fillId="5" borderId="75" xfId="0" applyNumberFormat="1" applyFont="1" applyFill="1" applyBorder="1" applyAlignment="1">
      <alignment horizontal="center" vertical="center"/>
    </xf>
    <xf numFmtId="176" fontId="4" fillId="2" borderId="76" xfId="0" applyNumberFormat="1" applyFont="1" applyFill="1" applyBorder="1" applyAlignment="1">
      <alignment horizontal="center" vertical="center"/>
    </xf>
    <xf numFmtId="176" fontId="2" fillId="5" borderId="77" xfId="0" applyNumberFormat="1" applyFont="1" applyFill="1" applyBorder="1" applyAlignment="1">
      <alignment horizontal="center" vertical="center"/>
    </xf>
    <xf numFmtId="176" fontId="4" fillId="2" borderId="78" xfId="0" applyNumberFormat="1" applyFont="1" applyFill="1" applyBorder="1" applyAlignment="1">
      <alignment horizontal="center" vertical="center"/>
    </xf>
    <xf numFmtId="176" fontId="4" fillId="2" borderId="80" xfId="0" applyNumberFormat="1" applyFont="1" applyFill="1" applyBorder="1" applyAlignment="1">
      <alignment horizontal="center" vertical="center"/>
    </xf>
    <xf numFmtId="176" fontId="2" fillId="5" borderId="81" xfId="0" applyNumberFormat="1" applyFont="1" applyFill="1" applyBorder="1" applyAlignment="1">
      <alignment horizontal="center" vertical="center"/>
    </xf>
    <xf numFmtId="176" fontId="4" fillId="2" borderId="82" xfId="0" applyNumberFormat="1" applyFont="1" applyFill="1" applyBorder="1" applyAlignment="1">
      <alignment horizontal="center" vertical="center"/>
    </xf>
    <xf numFmtId="176" fontId="2" fillId="5" borderId="83" xfId="0" applyNumberFormat="1" applyFont="1" applyFill="1" applyBorder="1" applyAlignment="1">
      <alignment horizontal="center" vertical="center"/>
    </xf>
    <xf numFmtId="176" fontId="4" fillId="2" borderId="84" xfId="0" applyNumberFormat="1" applyFont="1" applyFill="1" applyBorder="1" applyAlignment="1">
      <alignment horizontal="center" vertical="center"/>
    </xf>
    <xf numFmtId="176" fontId="2" fillId="5" borderId="85" xfId="0" applyNumberFormat="1" applyFont="1" applyFill="1" applyBorder="1" applyAlignment="1">
      <alignment horizontal="center" vertical="center"/>
    </xf>
    <xf numFmtId="176" fontId="4" fillId="2" borderId="86" xfId="0" applyNumberFormat="1" applyFont="1" applyFill="1" applyBorder="1" applyAlignment="1">
      <alignment horizontal="center" vertical="center"/>
    </xf>
    <xf numFmtId="176" fontId="4" fillId="2" borderId="72" xfId="0" applyNumberFormat="1" applyFont="1" applyFill="1" applyBorder="1" applyAlignment="1">
      <alignment horizontal="center" vertical="center"/>
    </xf>
    <xf numFmtId="176" fontId="2" fillId="5" borderId="87" xfId="0" applyNumberFormat="1" applyFont="1" applyFill="1" applyBorder="1" applyAlignment="1">
      <alignment horizontal="center" vertical="center"/>
    </xf>
    <xf numFmtId="176" fontId="4" fillId="2" borderId="88" xfId="0" applyNumberFormat="1" applyFont="1" applyFill="1" applyBorder="1" applyAlignment="1">
      <alignment horizontal="center" vertical="center"/>
    </xf>
    <xf numFmtId="176" fontId="2" fillId="5" borderId="89" xfId="0" applyNumberFormat="1" applyFont="1" applyFill="1" applyBorder="1" applyAlignment="1">
      <alignment horizontal="center" vertical="center"/>
    </xf>
    <xf numFmtId="176" fontId="4" fillId="2" borderId="90" xfId="0" applyNumberFormat="1" applyFont="1" applyFill="1" applyBorder="1" applyAlignment="1">
      <alignment horizontal="center" vertical="center"/>
    </xf>
    <xf numFmtId="177" fontId="2" fillId="5" borderId="79" xfId="0" applyNumberFormat="1" applyFont="1" applyFill="1" applyBorder="1" applyAlignment="1">
      <alignment horizontal="center" vertical="center"/>
    </xf>
    <xf numFmtId="177" fontId="4" fillId="2" borderId="80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4" fillId="2" borderId="17" xfId="0" applyNumberFormat="1" applyFont="1" applyFill="1" applyBorder="1" applyAlignment="1">
      <alignment horizontal="center" vertical="center" wrapText="1"/>
    </xf>
    <xf numFmtId="176" fontId="4" fillId="5" borderId="74" xfId="0" applyNumberFormat="1" applyFont="1" applyFill="1" applyBorder="1" applyAlignment="1">
      <alignment horizontal="center" vertical="center"/>
    </xf>
    <xf numFmtId="176" fontId="4" fillId="5" borderId="76" xfId="0" applyNumberFormat="1" applyFont="1" applyFill="1" applyBorder="1" applyAlignment="1">
      <alignment horizontal="center" vertical="center"/>
    </xf>
    <xf numFmtId="176" fontId="4" fillId="5" borderId="78" xfId="0" applyNumberFormat="1" applyFont="1" applyFill="1" applyBorder="1" applyAlignment="1">
      <alignment horizontal="center" vertical="center"/>
    </xf>
    <xf numFmtId="176" fontId="4" fillId="5" borderId="80" xfId="0" applyNumberFormat="1" applyFont="1" applyFill="1" applyBorder="1" applyAlignment="1">
      <alignment horizontal="center" vertical="center"/>
    </xf>
    <xf numFmtId="176" fontId="4" fillId="5" borderId="82" xfId="0" applyNumberFormat="1" applyFont="1" applyFill="1" applyBorder="1" applyAlignment="1">
      <alignment horizontal="center" vertical="center"/>
    </xf>
    <xf numFmtId="176" fontId="4" fillId="5" borderId="84" xfId="0" applyNumberFormat="1" applyFont="1" applyFill="1" applyBorder="1" applyAlignment="1">
      <alignment horizontal="center" vertical="center"/>
    </xf>
    <xf numFmtId="176" fontId="4" fillId="5" borderId="86" xfId="0" applyNumberFormat="1" applyFont="1" applyFill="1" applyBorder="1" applyAlignment="1">
      <alignment horizontal="center" vertical="center"/>
    </xf>
    <xf numFmtId="176" fontId="4" fillId="5" borderId="72" xfId="0" applyNumberFormat="1" applyFont="1" applyFill="1" applyBorder="1" applyAlignment="1">
      <alignment horizontal="center" vertical="center"/>
    </xf>
    <xf numFmtId="176" fontId="4" fillId="5" borderId="88" xfId="0" applyNumberFormat="1" applyFont="1" applyFill="1" applyBorder="1" applyAlignment="1">
      <alignment horizontal="center" vertical="center"/>
    </xf>
    <xf numFmtId="176" fontId="4" fillId="5" borderId="90" xfId="0" applyNumberFormat="1" applyFont="1" applyFill="1" applyBorder="1" applyAlignment="1">
      <alignment horizontal="center" vertical="center"/>
    </xf>
    <xf numFmtId="177" fontId="4" fillId="5" borderId="80" xfId="0" applyNumberFormat="1" applyFont="1" applyFill="1" applyBorder="1" applyAlignment="1">
      <alignment horizontal="center" vertical="center"/>
    </xf>
    <xf numFmtId="26" fontId="4" fillId="2" borderId="31" xfId="0" applyNumberFormat="1" applyFont="1" applyFill="1" applyBorder="1" applyAlignment="1">
      <alignment horizontal="center" vertical="center"/>
    </xf>
    <xf numFmtId="26" fontId="4" fillId="2" borderId="21" xfId="0" applyNumberFormat="1" applyFont="1" applyFill="1" applyBorder="1" applyAlignment="1">
      <alignment horizontal="center" vertical="center"/>
    </xf>
    <xf numFmtId="26" fontId="4" fillId="2" borderId="17" xfId="0" applyNumberFormat="1" applyFont="1" applyFill="1" applyBorder="1" applyAlignment="1">
      <alignment horizontal="center" vertical="center"/>
    </xf>
    <xf numFmtId="26" fontId="4" fillId="2" borderId="20" xfId="0" applyNumberFormat="1" applyFont="1" applyFill="1" applyBorder="1" applyAlignment="1">
      <alignment horizontal="center" vertical="center"/>
    </xf>
    <xf numFmtId="26" fontId="4" fillId="2" borderId="22" xfId="0" applyNumberFormat="1" applyFont="1" applyFill="1" applyBorder="1" applyAlignment="1">
      <alignment horizontal="center" vertical="center"/>
    </xf>
    <xf numFmtId="26" fontId="4" fillId="2" borderId="39" xfId="0" applyNumberFormat="1" applyFont="1" applyFill="1" applyBorder="1" applyAlignment="1">
      <alignment horizontal="center" vertical="center"/>
    </xf>
    <xf numFmtId="26" fontId="2" fillId="2" borderId="25" xfId="0" applyNumberFormat="1" applyFont="1" applyFill="1" applyBorder="1" applyAlignment="1">
      <alignment horizontal="center" vertical="center"/>
    </xf>
    <xf numFmtId="26" fontId="2" fillId="2" borderId="26" xfId="0" applyNumberFormat="1" applyFont="1" applyFill="1" applyBorder="1" applyAlignment="1">
      <alignment horizontal="center" vertical="center"/>
    </xf>
    <xf numFmtId="26" fontId="2" fillId="2" borderId="19" xfId="0" applyNumberFormat="1" applyFont="1" applyFill="1" applyBorder="1" applyAlignment="1">
      <alignment horizontal="center" vertical="center"/>
    </xf>
    <xf numFmtId="26" fontId="2" fillId="2" borderId="17" xfId="0" applyNumberFormat="1" applyFont="1" applyFill="1" applyBorder="1" applyAlignment="1">
      <alignment horizontal="center" vertical="center"/>
    </xf>
    <xf numFmtId="176" fontId="2" fillId="2" borderId="25" xfId="0" applyNumberFormat="1" applyFont="1" applyFill="1" applyBorder="1" applyAlignment="1">
      <alignment horizontal="center" vertical="center" wrapText="1"/>
    </xf>
    <xf numFmtId="176" fontId="2" fillId="2" borderId="17" xfId="0" applyNumberFormat="1" applyFont="1" applyFill="1" applyBorder="1" applyAlignment="1">
      <alignment horizontal="center" vertical="center" wrapText="1"/>
    </xf>
    <xf numFmtId="176" fontId="4" fillId="2" borderId="25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6" fontId="4" fillId="5" borderId="17" xfId="0" applyNumberFormat="1" applyFont="1" applyFill="1" applyBorder="1" applyAlignment="1">
      <alignment horizontal="center" vertical="center" wrapText="1"/>
    </xf>
    <xf numFmtId="176" fontId="4" fillId="5" borderId="25" xfId="0" applyNumberFormat="1" applyFont="1" applyFill="1" applyBorder="1" applyAlignment="1">
      <alignment horizontal="center" vertical="center" wrapText="1"/>
    </xf>
    <xf numFmtId="176" fontId="2" fillId="5" borderId="25" xfId="0" applyNumberFormat="1" applyFont="1" applyFill="1" applyBorder="1" applyAlignment="1">
      <alignment horizontal="center" vertical="center" wrapText="1"/>
    </xf>
    <xf numFmtId="176" fontId="2" fillId="5" borderId="17" xfId="0" applyNumberFormat="1" applyFont="1" applyFill="1" applyBorder="1" applyAlignment="1">
      <alignment horizontal="center" vertical="center" wrapText="1"/>
    </xf>
    <xf numFmtId="26" fontId="0" fillId="0" borderId="54" xfId="0" applyNumberFormat="1" applyBorder="1">
      <alignment vertical="center"/>
    </xf>
    <xf numFmtId="26" fontId="4" fillId="5" borderId="31" xfId="0" applyNumberFormat="1" applyFont="1" applyFill="1" applyBorder="1" applyAlignment="1">
      <alignment horizontal="center" vertical="center"/>
    </xf>
    <xf numFmtId="26" fontId="4" fillId="5" borderId="21" xfId="0" applyNumberFormat="1" applyFont="1" applyFill="1" applyBorder="1" applyAlignment="1">
      <alignment horizontal="center" vertical="center"/>
    </xf>
    <xf numFmtId="26" fontId="4" fillId="5" borderId="17" xfId="0" applyNumberFormat="1" applyFont="1" applyFill="1" applyBorder="1" applyAlignment="1">
      <alignment horizontal="center" vertical="center"/>
    </xf>
    <xf numFmtId="26" fontId="4" fillId="5" borderId="20" xfId="0" applyNumberFormat="1" applyFont="1" applyFill="1" applyBorder="1" applyAlignment="1">
      <alignment horizontal="center" vertical="center"/>
    </xf>
    <xf numFmtId="26" fontId="4" fillId="5" borderId="22" xfId="0" applyNumberFormat="1" applyFont="1" applyFill="1" applyBorder="1" applyAlignment="1">
      <alignment horizontal="center" vertical="center"/>
    </xf>
    <xf numFmtId="26" fontId="4" fillId="5" borderId="39" xfId="0" applyNumberFormat="1" applyFont="1" applyFill="1" applyBorder="1" applyAlignment="1">
      <alignment horizontal="center" vertical="center"/>
    </xf>
    <xf numFmtId="26" fontId="2" fillId="5" borderId="25" xfId="0" applyNumberFormat="1" applyFont="1" applyFill="1" applyBorder="1" applyAlignment="1">
      <alignment horizontal="center" vertical="center"/>
    </xf>
    <xf numFmtId="26" fontId="2" fillId="5" borderId="26" xfId="0" applyNumberFormat="1" applyFont="1" applyFill="1" applyBorder="1" applyAlignment="1">
      <alignment horizontal="center" vertical="center"/>
    </xf>
    <xf numFmtId="26" fontId="2" fillId="5" borderId="19" xfId="0" applyNumberFormat="1" applyFont="1" applyFill="1" applyBorder="1" applyAlignment="1">
      <alignment horizontal="center" vertical="center"/>
    </xf>
    <xf numFmtId="26" fontId="2" fillId="5" borderId="17" xfId="0" applyNumberFormat="1" applyFont="1" applyFill="1" applyBorder="1" applyAlignment="1">
      <alignment horizontal="center" vertical="center"/>
    </xf>
    <xf numFmtId="0" fontId="2" fillId="3" borderId="91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76" fontId="4" fillId="2" borderId="0" xfId="0" applyNumberFormat="1" applyFont="1" applyFill="1" applyBorder="1" applyAlignment="1">
      <alignment horizontal="center" vertical="center"/>
    </xf>
    <xf numFmtId="177" fontId="4" fillId="2" borderId="0" xfId="0" applyNumberFormat="1" applyFont="1" applyFill="1" applyBorder="1" applyAlignment="1">
      <alignment horizontal="center" vertical="center"/>
    </xf>
    <xf numFmtId="177" fontId="2" fillId="13" borderId="39" xfId="0" applyNumberFormat="1" applyFont="1" applyFill="1" applyBorder="1" applyAlignment="1">
      <alignment horizontal="center" vertical="center"/>
    </xf>
    <xf numFmtId="176" fontId="24" fillId="13" borderId="17" xfId="0" applyNumberFormat="1" applyFont="1" applyFill="1" applyBorder="1" applyAlignment="1">
      <alignment horizontal="center" vertical="center" wrapText="1"/>
    </xf>
    <xf numFmtId="176" fontId="4" fillId="13" borderId="74" xfId="0" applyNumberFormat="1" applyFont="1" applyFill="1" applyBorder="1" applyAlignment="1">
      <alignment horizontal="center" vertical="center"/>
    </xf>
    <xf numFmtId="176" fontId="4" fillId="13" borderId="76" xfId="0" applyNumberFormat="1" applyFont="1" applyFill="1" applyBorder="1" applyAlignment="1">
      <alignment horizontal="center" vertical="center"/>
    </xf>
    <xf numFmtId="176" fontId="4" fillId="13" borderId="78" xfId="0" applyNumberFormat="1" applyFont="1" applyFill="1" applyBorder="1" applyAlignment="1">
      <alignment horizontal="center" vertical="center"/>
    </xf>
    <xf numFmtId="176" fontId="4" fillId="13" borderId="80" xfId="0" applyNumberFormat="1" applyFont="1" applyFill="1" applyBorder="1" applyAlignment="1">
      <alignment horizontal="center" vertical="center"/>
    </xf>
    <xf numFmtId="176" fontId="4" fillId="13" borderId="82" xfId="0" applyNumberFormat="1" applyFont="1" applyFill="1" applyBorder="1" applyAlignment="1">
      <alignment horizontal="center" vertical="center"/>
    </xf>
    <xf numFmtId="176" fontId="4" fillId="13" borderId="84" xfId="0" applyNumberFormat="1" applyFont="1" applyFill="1" applyBorder="1" applyAlignment="1">
      <alignment horizontal="center" vertical="center"/>
    </xf>
    <xf numFmtId="176" fontId="4" fillId="13" borderId="86" xfId="0" applyNumberFormat="1" applyFont="1" applyFill="1" applyBorder="1" applyAlignment="1">
      <alignment horizontal="center" vertical="center"/>
    </xf>
    <xf numFmtId="176" fontId="4" fillId="13" borderId="72" xfId="0" applyNumberFormat="1" applyFont="1" applyFill="1" applyBorder="1" applyAlignment="1">
      <alignment horizontal="center" vertical="center"/>
    </xf>
    <xf numFmtId="176" fontId="4" fillId="13" borderId="88" xfId="0" applyNumberFormat="1" applyFont="1" applyFill="1" applyBorder="1" applyAlignment="1">
      <alignment horizontal="center" vertical="center"/>
    </xf>
    <xf numFmtId="176" fontId="4" fillId="13" borderId="90" xfId="0" applyNumberFormat="1" applyFont="1" applyFill="1" applyBorder="1" applyAlignment="1">
      <alignment horizontal="center" vertical="center"/>
    </xf>
    <xf numFmtId="177" fontId="4" fillId="13" borderId="80" xfId="0" applyNumberFormat="1" applyFont="1" applyFill="1" applyBorder="1" applyAlignment="1">
      <alignment horizontal="center" vertical="center"/>
    </xf>
    <xf numFmtId="176" fontId="18" fillId="13" borderId="39" xfId="0" applyNumberFormat="1" applyFont="1" applyFill="1" applyBorder="1" applyAlignment="1">
      <alignment horizontal="center" vertical="center"/>
    </xf>
    <xf numFmtId="176" fontId="18" fillId="2" borderId="39" xfId="0" applyNumberFormat="1" applyFont="1" applyFill="1" applyBorder="1" applyAlignment="1">
      <alignment horizontal="center" vertical="center"/>
    </xf>
    <xf numFmtId="26" fontId="4" fillId="15" borderId="39" xfId="0" applyNumberFormat="1" applyFont="1" applyFill="1" applyBorder="1" applyAlignment="1">
      <alignment horizontal="center" vertical="center"/>
    </xf>
    <xf numFmtId="176" fontId="7" fillId="13" borderId="39" xfId="0" applyNumberFormat="1" applyFont="1" applyFill="1" applyBorder="1" applyAlignment="1">
      <alignment horizontal="center" vertical="center"/>
    </xf>
    <xf numFmtId="176" fontId="4" fillId="5" borderId="92" xfId="0" applyNumberFormat="1" applyFont="1" applyFill="1" applyBorder="1" applyAlignment="1">
      <alignment horizontal="center" vertical="center"/>
    </xf>
    <xf numFmtId="176" fontId="4" fillId="2" borderId="92" xfId="0" applyNumberFormat="1" applyFont="1" applyFill="1" applyBorder="1" applyAlignment="1">
      <alignment horizontal="center" vertical="center"/>
    </xf>
    <xf numFmtId="176" fontId="4" fillId="11" borderId="80" xfId="0" applyNumberFormat="1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6" fontId="4" fillId="2" borderId="80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0" borderId="94" xfId="0" applyBorder="1">
      <alignment vertical="center"/>
    </xf>
    <xf numFmtId="176" fontId="25" fillId="13" borderId="25" xfId="0" applyNumberFormat="1" applyFont="1" applyFill="1" applyBorder="1" applyAlignment="1">
      <alignment horizontal="center" vertical="center" wrapText="1"/>
    </xf>
    <xf numFmtId="176" fontId="25" fillId="13" borderId="17" xfId="0" applyNumberFormat="1" applyFont="1" applyFill="1" applyBorder="1" applyAlignment="1">
      <alignment horizontal="center" vertical="center" wrapText="1"/>
    </xf>
    <xf numFmtId="26" fontId="4" fillId="13" borderId="31" xfId="0" applyNumberFormat="1" applyFont="1" applyFill="1" applyBorder="1" applyAlignment="1">
      <alignment horizontal="center" vertical="center"/>
    </xf>
    <xf numFmtId="26" fontId="4" fillId="13" borderId="21" xfId="0" applyNumberFormat="1" applyFont="1" applyFill="1" applyBorder="1" applyAlignment="1">
      <alignment horizontal="center" vertical="center"/>
    </xf>
    <xf numFmtId="26" fontId="4" fillId="13" borderId="17" xfId="0" applyNumberFormat="1" applyFont="1" applyFill="1" applyBorder="1" applyAlignment="1">
      <alignment horizontal="center" vertical="center"/>
    </xf>
    <xf numFmtId="26" fontId="4" fillId="13" borderId="20" xfId="0" applyNumberFormat="1" applyFont="1" applyFill="1" applyBorder="1" applyAlignment="1">
      <alignment horizontal="center" vertical="center"/>
    </xf>
    <xf numFmtId="26" fontId="4" fillId="13" borderId="22" xfId="0" applyNumberFormat="1" applyFont="1" applyFill="1" applyBorder="1" applyAlignment="1">
      <alignment horizontal="center" vertical="center"/>
    </xf>
    <xf numFmtId="26" fontId="4" fillId="13" borderId="39" xfId="0" applyNumberFormat="1" applyFont="1" applyFill="1" applyBorder="1" applyAlignment="1">
      <alignment horizontal="center" vertical="center"/>
    </xf>
    <xf numFmtId="26" fontId="2" fillId="13" borderId="25" xfId="0" applyNumberFormat="1" applyFont="1" applyFill="1" applyBorder="1" applyAlignment="1">
      <alignment horizontal="center" vertical="center"/>
    </xf>
    <xf numFmtId="26" fontId="2" fillId="13" borderId="26" xfId="0" applyNumberFormat="1" applyFont="1" applyFill="1" applyBorder="1" applyAlignment="1">
      <alignment horizontal="center" vertical="center"/>
    </xf>
    <xf numFmtId="26" fontId="2" fillId="13" borderId="19" xfId="0" applyNumberFormat="1" applyFont="1" applyFill="1" applyBorder="1" applyAlignment="1">
      <alignment horizontal="center" vertical="center"/>
    </xf>
    <xf numFmtId="26" fontId="2" fillId="13" borderId="17" xfId="0" applyNumberFormat="1" applyFont="1" applyFill="1" applyBorder="1" applyAlignment="1">
      <alignment horizontal="center" vertical="center"/>
    </xf>
    <xf numFmtId="176" fontId="4" fillId="13" borderId="17" xfId="0" applyNumberFormat="1" applyFont="1" applyFill="1" applyBorder="1" applyAlignment="1">
      <alignment horizontal="center" vertical="center" wrapText="1"/>
    </xf>
    <xf numFmtId="176" fontId="4" fillId="13" borderId="25" xfId="0" applyNumberFormat="1" applyFont="1" applyFill="1" applyBorder="1" applyAlignment="1">
      <alignment horizontal="center" vertical="center" wrapText="1"/>
    </xf>
    <xf numFmtId="176" fontId="26" fillId="13" borderId="25" xfId="0" applyNumberFormat="1" applyFont="1" applyFill="1" applyBorder="1" applyAlignment="1">
      <alignment horizontal="center" vertical="center" wrapText="1"/>
    </xf>
    <xf numFmtId="176" fontId="2" fillId="13" borderId="25" xfId="0" applyNumberFormat="1" applyFont="1" applyFill="1" applyBorder="1" applyAlignment="1">
      <alignment horizontal="center" vertical="center" wrapText="1"/>
    </xf>
    <xf numFmtId="176" fontId="2" fillId="13" borderId="1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5" xfId="0" applyBorder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101" xfId="0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2" fillId="8" borderId="100" xfId="0" quotePrefix="1" applyFont="1" applyFill="1" applyBorder="1" applyAlignment="1">
      <alignment horizontal="center" vertical="center"/>
    </xf>
    <xf numFmtId="0" fontId="2" fillId="8" borderId="101" xfId="0" applyFont="1" applyFill="1" applyBorder="1" applyAlignment="1">
      <alignment horizontal="center" vertical="center"/>
    </xf>
    <xf numFmtId="178" fontId="0" fillId="8" borderId="109" xfId="0" applyNumberFormat="1" applyFill="1" applyBorder="1" applyAlignment="1">
      <alignment horizontal="center" vertical="center"/>
    </xf>
    <xf numFmtId="176" fontId="13" fillId="8" borderId="98" xfId="0" applyNumberFormat="1" applyFont="1" applyFill="1" applyBorder="1" applyAlignment="1">
      <alignment horizontal="center" vertical="center"/>
    </xf>
    <xf numFmtId="176" fontId="20" fillId="8" borderId="99" xfId="0" applyNumberFormat="1" applyFont="1" applyFill="1" applyBorder="1" applyAlignment="1">
      <alignment horizontal="center" vertical="center"/>
    </xf>
    <xf numFmtId="176" fontId="8" fillId="8" borderId="104" xfId="0" applyNumberFormat="1" applyFont="1" applyFill="1" applyBorder="1" applyAlignment="1">
      <alignment horizontal="center" vertical="center"/>
    </xf>
    <xf numFmtId="0" fontId="2" fillId="7" borderId="105" xfId="0" quotePrefix="1" applyFont="1" applyFill="1" applyBorder="1" applyAlignment="1">
      <alignment horizontal="center" vertical="center"/>
    </xf>
    <xf numFmtId="0" fontId="4" fillId="7" borderId="11" xfId="0" quotePrefix="1" applyFont="1" applyFill="1" applyBorder="1" applyAlignment="1">
      <alignment horizontal="center" vertical="center" wrapText="1"/>
    </xf>
    <xf numFmtId="0" fontId="2" fillId="7" borderId="111" xfId="0" applyFont="1" applyFill="1" applyBorder="1" applyAlignment="1">
      <alignment horizontal="center" vertical="center"/>
    </xf>
    <xf numFmtId="178" fontId="0" fillId="7" borderId="110" xfId="0" applyNumberFormat="1" applyFill="1" applyBorder="1" applyAlignment="1">
      <alignment horizontal="center" vertical="center"/>
    </xf>
    <xf numFmtId="176" fontId="20" fillId="7" borderId="106" xfId="0" applyNumberFormat="1" applyFont="1" applyFill="1" applyBorder="1" applyAlignment="1">
      <alignment horizontal="center" vertical="center"/>
    </xf>
    <xf numFmtId="176" fontId="13" fillId="7" borderId="106" xfId="0" applyNumberFormat="1" applyFont="1" applyFill="1" applyBorder="1" applyAlignment="1">
      <alignment horizontal="center" vertical="center"/>
    </xf>
    <xf numFmtId="176" fontId="13" fillId="7" borderId="107" xfId="0" applyNumberFormat="1" applyFont="1" applyFill="1" applyBorder="1" applyAlignment="1">
      <alignment horizontal="center" vertical="center"/>
    </xf>
    <xf numFmtId="176" fontId="8" fillId="7" borderId="108" xfId="0" applyNumberFormat="1" applyFont="1" applyFill="1" applyBorder="1" applyAlignment="1">
      <alignment horizontal="center" vertical="center"/>
    </xf>
    <xf numFmtId="0" fontId="0" fillId="3" borderId="97" xfId="0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3" borderId="5" xfId="0" applyNumberFormat="1" applyFill="1" applyBorder="1" applyAlignment="1">
      <alignment horizontal="center" vertical="center"/>
    </xf>
    <xf numFmtId="0" fontId="2" fillId="7" borderId="9" xfId="0" quotePrefix="1" applyFont="1" applyFill="1" applyBorder="1" applyAlignment="1">
      <alignment horizontal="center" vertical="center"/>
    </xf>
    <xf numFmtId="176" fontId="0" fillId="0" borderId="10" xfId="0" applyNumberFormat="1" applyFill="1" applyBorder="1" applyAlignment="1">
      <alignment horizontal="center" vertical="center"/>
    </xf>
    <xf numFmtId="176" fontId="0" fillId="0" borderId="113" xfId="0" applyNumberFormat="1" applyBorder="1">
      <alignment vertical="center"/>
    </xf>
    <xf numFmtId="176" fontId="0" fillId="3" borderId="112" xfId="0" applyNumberFormat="1" applyFill="1" applyBorder="1" applyAlignment="1">
      <alignment horizontal="center" vertical="center"/>
    </xf>
    <xf numFmtId="0" fontId="0" fillId="0" borderId="114" xfId="0" applyBorder="1">
      <alignment vertical="center"/>
    </xf>
    <xf numFmtId="0" fontId="0" fillId="0" borderId="115" xfId="0" applyBorder="1">
      <alignment vertical="center"/>
    </xf>
    <xf numFmtId="0" fontId="0" fillId="15" borderId="13" xfId="0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16" xfId="0" applyFont="1" applyFill="1" applyBorder="1" applyAlignment="1">
      <alignment horizontal="center" vertical="center" wrapText="1"/>
    </xf>
    <xf numFmtId="176" fontId="4" fillId="2" borderId="122" xfId="0" applyNumberFormat="1" applyFont="1" applyFill="1" applyBorder="1" applyAlignment="1">
      <alignment horizontal="center" vertical="center"/>
    </xf>
    <xf numFmtId="176" fontId="4" fillId="2" borderId="119" xfId="0" applyNumberFormat="1" applyFont="1" applyFill="1" applyBorder="1" applyAlignment="1">
      <alignment horizontal="center" vertical="center"/>
    </xf>
    <xf numFmtId="176" fontId="4" fillId="2" borderId="120" xfId="0" applyNumberFormat="1" applyFont="1" applyFill="1" applyBorder="1" applyAlignment="1">
      <alignment horizontal="center" vertical="center"/>
    </xf>
    <xf numFmtId="176" fontId="4" fillId="2" borderId="118" xfId="0" applyNumberFormat="1" applyFont="1" applyFill="1" applyBorder="1" applyAlignment="1">
      <alignment horizontal="center" vertical="center"/>
    </xf>
    <xf numFmtId="176" fontId="4" fillId="2" borderId="123" xfId="0" applyNumberFormat="1" applyFont="1" applyFill="1" applyBorder="1" applyAlignment="1">
      <alignment horizontal="center" vertical="center"/>
    </xf>
    <xf numFmtId="176" fontId="4" fillId="2" borderId="124" xfId="0" applyNumberFormat="1" applyFont="1" applyFill="1" applyBorder="1" applyAlignment="1">
      <alignment horizontal="center" vertical="center"/>
    </xf>
    <xf numFmtId="176" fontId="4" fillId="2" borderId="117" xfId="0" applyNumberFormat="1" applyFont="1" applyFill="1" applyBorder="1" applyAlignment="1">
      <alignment horizontal="center" vertical="center"/>
    </xf>
    <xf numFmtId="176" fontId="4" fillId="2" borderId="121" xfId="0" applyNumberFormat="1" applyFont="1" applyFill="1" applyBorder="1" applyAlignment="1">
      <alignment horizontal="center" vertical="center"/>
    </xf>
    <xf numFmtId="176" fontId="4" fillId="2" borderId="125" xfId="0" applyNumberFormat="1" applyFont="1" applyFill="1" applyBorder="1" applyAlignment="1">
      <alignment horizontal="center" vertical="center"/>
    </xf>
    <xf numFmtId="176" fontId="4" fillId="2" borderId="126" xfId="0" applyNumberFormat="1" applyFont="1" applyFill="1" applyBorder="1" applyAlignment="1">
      <alignment horizontal="center" vertical="center"/>
    </xf>
    <xf numFmtId="178" fontId="2" fillId="11" borderId="1" xfId="0" applyNumberFormat="1" applyFont="1" applyFill="1" applyBorder="1" applyAlignment="1">
      <alignment horizontal="center" vertical="center"/>
    </xf>
    <xf numFmtId="0" fontId="2" fillId="2" borderId="128" xfId="0" applyFont="1" applyFill="1" applyBorder="1" applyAlignment="1">
      <alignment horizontal="center" vertical="center"/>
    </xf>
    <xf numFmtId="176" fontId="2" fillId="2" borderId="128" xfId="0" applyNumberFormat="1" applyFont="1" applyFill="1" applyBorder="1" applyAlignment="1">
      <alignment horizontal="center" vertical="center"/>
    </xf>
    <xf numFmtId="176" fontId="2" fillId="13" borderId="128" xfId="0" applyNumberFormat="1" applyFont="1" applyFill="1" applyBorder="1" applyAlignment="1">
      <alignment horizontal="center" vertical="center"/>
    </xf>
    <xf numFmtId="176" fontId="2" fillId="11" borderId="128" xfId="0" applyNumberFormat="1" applyFont="1" applyFill="1" applyBorder="1" applyAlignment="1">
      <alignment horizontal="center" vertical="center"/>
    </xf>
    <xf numFmtId="41" fontId="2" fillId="11" borderId="129" xfId="1" applyFont="1" applyFill="1" applyBorder="1" applyAlignment="1">
      <alignment horizontal="center" vertical="center"/>
    </xf>
    <xf numFmtId="176" fontId="2" fillId="5" borderId="130" xfId="0" applyNumberFormat="1" applyFont="1" applyFill="1" applyBorder="1" applyAlignment="1">
      <alignment horizontal="center" vertical="center"/>
    </xf>
    <xf numFmtId="176" fontId="2" fillId="5" borderId="131" xfId="0" applyNumberFormat="1" applyFont="1" applyFill="1" applyBorder="1" applyAlignment="1">
      <alignment horizontal="center" vertical="center"/>
    </xf>
    <xf numFmtId="176" fontId="2" fillId="2" borderId="131" xfId="0" applyNumberFormat="1" applyFont="1" applyFill="1" applyBorder="1" applyAlignment="1">
      <alignment horizontal="center" vertical="center"/>
    </xf>
    <xf numFmtId="176" fontId="2" fillId="13" borderId="131" xfId="0" applyNumberFormat="1" applyFont="1" applyFill="1" applyBorder="1" applyAlignment="1">
      <alignment horizontal="center" vertical="center"/>
    </xf>
    <xf numFmtId="176" fontId="4" fillId="5" borderId="131" xfId="0" applyNumberFormat="1" applyFont="1" applyFill="1" applyBorder="1" applyAlignment="1">
      <alignment horizontal="center" vertical="center"/>
    </xf>
    <xf numFmtId="176" fontId="4" fillId="2" borderId="131" xfId="0" applyNumberFormat="1" applyFont="1" applyFill="1" applyBorder="1" applyAlignment="1">
      <alignment horizontal="center" vertical="center"/>
    </xf>
    <xf numFmtId="176" fontId="4" fillId="13" borderId="131" xfId="0" applyNumberFormat="1" applyFont="1" applyFill="1" applyBorder="1" applyAlignment="1">
      <alignment horizontal="center" vertical="center"/>
    </xf>
    <xf numFmtId="176" fontId="4" fillId="5" borderId="132" xfId="0" applyNumberFormat="1" applyFont="1" applyFill="1" applyBorder="1" applyAlignment="1">
      <alignment horizontal="center" vertical="center"/>
    </xf>
    <xf numFmtId="176" fontId="4" fillId="2" borderId="132" xfId="0" applyNumberFormat="1" applyFont="1" applyFill="1" applyBorder="1" applyAlignment="1">
      <alignment horizontal="center" vertical="center"/>
    </xf>
    <xf numFmtId="176" fontId="4" fillId="13" borderId="132" xfId="0" applyNumberFormat="1" applyFont="1" applyFill="1" applyBorder="1" applyAlignment="1">
      <alignment horizontal="center" vertical="center"/>
    </xf>
    <xf numFmtId="182" fontId="0" fillId="0" borderId="0" xfId="2" applyNumberFormat="1" applyFont="1">
      <alignment vertical="center"/>
    </xf>
    <xf numFmtId="0" fontId="0" fillId="2" borderId="127" xfId="0" applyFill="1" applyBorder="1" applyAlignment="1">
      <alignment horizontal="center" vertical="center"/>
    </xf>
    <xf numFmtId="0" fontId="4" fillId="2" borderId="128" xfId="0" applyFont="1" applyFill="1" applyBorder="1" applyAlignment="1">
      <alignment horizontal="center" vertical="center"/>
    </xf>
    <xf numFmtId="0" fontId="2" fillId="8" borderId="51" xfId="0" applyFont="1" applyFill="1" applyBorder="1" applyAlignment="1">
      <alignment horizontal="center" vertical="center"/>
    </xf>
    <xf numFmtId="176" fontId="2" fillId="8" borderId="51" xfId="0" applyNumberFormat="1" applyFont="1" applyFill="1" applyBorder="1" applyAlignment="1">
      <alignment horizontal="center" vertical="center"/>
    </xf>
    <xf numFmtId="176" fontId="2" fillId="8" borderId="51" xfId="0" applyNumberFormat="1" applyFont="1" applyFill="1" applyBorder="1" applyAlignment="1">
      <alignment horizontal="center" vertical="center" wrapText="1"/>
    </xf>
    <xf numFmtId="41" fontId="2" fillId="8" borderId="52" xfId="1" applyFont="1" applyFill="1" applyBorder="1" applyAlignment="1">
      <alignment horizontal="center" vertical="center"/>
    </xf>
    <xf numFmtId="176" fontId="2" fillId="8" borderId="93" xfId="0" applyNumberFormat="1" applyFont="1" applyFill="1" applyBorder="1" applyAlignment="1">
      <alignment horizontal="center" vertical="center"/>
    </xf>
    <xf numFmtId="176" fontId="2" fillId="8" borderId="53" xfId="0" applyNumberFormat="1" applyFont="1" applyFill="1" applyBorder="1" applyAlignment="1">
      <alignment horizontal="center" vertical="center"/>
    </xf>
    <xf numFmtId="176" fontId="4" fillId="8" borderId="53" xfId="0" applyNumberFormat="1" applyFont="1" applyFill="1" applyBorder="1" applyAlignment="1">
      <alignment horizontal="center" vertical="center"/>
    </xf>
    <xf numFmtId="176" fontId="13" fillId="8" borderId="53" xfId="0" applyNumberFormat="1" applyFont="1" applyFill="1" applyBorder="1" applyAlignment="1">
      <alignment horizontal="center" vertical="center"/>
    </xf>
    <xf numFmtId="176" fontId="13" fillId="8" borderId="63" xfId="0" applyNumberFormat="1" applyFont="1" applyFill="1" applyBorder="1" applyAlignment="1">
      <alignment horizontal="center" vertical="center"/>
    </xf>
    <xf numFmtId="176" fontId="13" fillId="8" borderId="39" xfId="0" applyNumberFormat="1" applyFont="1" applyFill="1" applyBorder="1" applyAlignment="1">
      <alignment horizontal="center" vertical="center"/>
    </xf>
    <xf numFmtId="176" fontId="4" fillId="8" borderId="39" xfId="0" applyNumberFormat="1" applyFont="1" applyFill="1" applyBorder="1" applyAlignment="1">
      <alignment horizontal="center" vertical="center"/>
    </xf>
    <xf numFmtId="176" fontId="2" fillId="8" borderId="39" xfId="0" applyNumberFormat="1" applyFont="1" applyFill="1" applyBorder="1" applyAlignment="1">
      <alignment horizontal="center" vertical="center"/>
    </xf>
    <xf numFmtId="176" fontId="7" fillId="8" borderId="39" xfId="0" applyNumberFormat="1" applyFont="1" applyFill="1" applyBorder="1" applyAlignment="1">
      <alignment horizontal="center" vertical="center"/>
    </xf>
    <xf numFmtId="26" fontId="4" fillId="8" borderId="39" xfId="0" applyNumberFormat="1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176" fontId="2" fillId="9" borderId="14" xfId="0" applyNumberFormat="1" applyFont="1" applyFill="1" applyBorder="1" applyAlignment="1">
      <alignment horizontal="center" vertical="center"/>
    </xf>
    <xf numFmtId="41" fontId="2" fillId="9" borderId="48" xfId="1" applyFont="1" applyFill="1" applyBorder="1" applyAlignment="1">
      <alignment horizontal="center" vertical="center"/>
    </xf>
    <xf numFmtId="176" fontId="2" fillId="9" borderId="73" xfId="0" applyNumberFormat="1" applyFont="1" applyFill="1" applyBorder="1" applyAlignment="1">
      <alignment horizontal="center" vertical="center"/>
    </xf>
    <xf numFmtId="176" fontId="2" fillId="9" borderId="17" xfId="0" applyNumberFormat="1" applyFont="1" applyFill="1" applyBorder="1" applyAlignment="1">
      <alignment horizontal="center" vertical="center"/>
    </xf>
    <xf numFmtId="176" fontId="4" fillId="9" borderId="17" xfId="0" applyNumberFormat="1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176" fontId="4" fillId="5" borderId="16" xfId="0" applyNumberFormat="1" applyFont="1" applyFill="1" applyBorder="1" applyAlignment="1">
      <alignment horizontal="center" vertical="center"/>
    </xf>
    <xf numFmtId="176" fontId="4" fillId="2" borderId="16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176" fontId="13" fillId="13" borderId="16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3" fillId="13" borderId="1" xfId="0" applyNumberFormat="1" applyFont="1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5" borderId="15" xfId="0" applyFill="1" applyBorder="1">
      <alignment vertical="center"/>
    </xf>
    <xf numFmtId="0" fontId="10" fillId="0" borderId="15" xfId="0" applyFont="1" applyBorder="1">
      <alignment vertical="center"/>
    </xf>
    <xf numFmtId="0" fontId="0" fillId="0" borderId="16" xfId="0" applyBorder="1" applyAlignment="1">
      <alignment horizontal="center" vertical="center"/>
    </xf>
    <xf numFmtId="179" fontId="0" fillId="0" borderId="16" xfId="0" applyNumberFormat="1" applyBorder="1" applyAlignment="1">
      <alignment horizontal="center" vertical="center"/>
    </xf>
    <xf numFmtId="0" fontId="0" fillId="2" borderId="1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176" fontId="2" fillId="5" borderId="14" xfId="0" applyNumberFormat="1" applyFont="1" applyFill="1" applyBorder="1" applyAlignment="1">
      <alignment horizontal="center" vertical="center"/>
    </xf>
    <xf numFmtId="176" fontId="8" fillId="5" borderId="14" xfId="0" applyNumberFormat="1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>
      <alignment horizontal="center" vertical="center"/>
    </xf>
    <xf numFmtId="176" fontId="8" fillId="13" borderId="14" xfId="0" applyNumberFormat="1" applyFont="1" applyFill="1" applyBorder="1" applyAlignment="1">
      <alignment horizontal="center" vertical="center"/>
    </xf>
    <xf numFmtId="0" fontId="0" fillId="2" borderId="14" xfId="0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176" fontId="7" fillId="5" borderId="11" xfId="0" applyNumberFormat="1" applyFont="1" applyFill="1" applyBorder="1" applyAlignment="1">
      <alignment horizontal="center" vertical="center"/>
    </xf>
    <xf numFmtId="176" fontId="4" fillId="5" borderId="11" xfId="0" applyNumberFormat="1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/>
    </xf>
    <xf numFmtId="176" fontId="13" fillId="5" borderId="11" xfId="0" applyNumberFormat="1" applyFont="1" applyFill="1" applyBorder="1" applyAlignment="1">
      <alignment horizontal="center" vertical="center"/>
    </xf>
    <xf numFmtId="176" fontId="13" fillId="2" borderId="11" xfId="0" applyNumberFormat="1" applyFont="1" applyFill="1" applyBorder="1" applyAlignment="1">
      <alignment horizontal="center" vertical="center"/>
    </xf>
    <xf numFmtId="176" fontId="20" fillId="13" borderId="11" xfId="0" applyNumberFormat="1" applyFont="1" applyFill="1" applyBorder="1" applyAlignment="1">
      <alignment horizontal="center" vertical="center"/>
    </xf>
    <xf numFmtId="176" fontId="20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0" fillId="0" borderId="1" xfId="0" applyFont="1" applyBorder="1">
      <alignment vertical="center"/>
    </xf>
    <xf numFmtId="179" fontId="0" fillId="0" borderId="14" xfId="0" applyNumberFormat="1" applyBorder="1" applyAlignment="1">
      <alignment horizontal="center" vertical="center"/>
    </xf>
    <xf numFmtId="180" fontId="2" fillId="5" borderId="14" xfId="0" applyNumberFormat="1" applyFont="1" applyFill="1" applyBorder="1" applyAlignment="1">
      <alignment horizontal="center" vertical="center"/>
    </xf>
    <xf numFmtId="180" fontId="2" fillId="2" borderId="14" xfId="0" applyNumberFormat="1" applyFont="1" applyFill="1" applyBorder="1" applyAlignment="1">
      <alignment horizontal="center" vertical="center"/>
    </xf>
    <xf numFmtId="180" fontId="2" fillId="13" borderId="14" xfId="0" applyNumberFormat="1" applyFont="1" applyFill="1" applyBorder="1" applyAlignment="1">
      <alignment horizontal="center" vertical="center"/>
    </xf>
    <xf numFmtId="0" fontId="0" fillId="0" borderId="101" xfId="0" applyBorder="1">
      <alignment vertical="center"/>
    </xf>
    <xf numFmtId="0" fontId="0" fillId="0" borderId="103" xfId="0" applyBorder="1">
      <alignment vertical="center"/>
    </xf>
    <xf numFmtId="0" fontId="0" fillId="0" borderId="111" xfId="0" applyBorder="1">
      <alignment vertical="center"/>
    </xf>
    <xf numFmtId="0" fontId="0" fillId="0" borderId="13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9" xfId="0" applyBorder="1">
      <alignment vertical="center"/>
    </xf>
    <xf numFmtId="176" fontId="2" fillId="5" borderId="59" xfId="0" applyNumberFormat="1" applyFont="1" applyFill="1" applyBorder="1" applyAlignment="1">
      <alignment horizontal="center" vertical="center"/>
    </xf>
    <xf numFmtId="176" fontId="2" fillId="2" borderId="59" xfId="0" applyNumberFormat="1" applyFont="1" applyFill="1" applyBorder="1" applyAlignment="1">
      <alignment horizontal="center" vertical="center"/>
    </xf>
    <xf numFmtId="176" fontId="4" fillId="2" borderId="59" xfId="0" applyNumberFormat="1" applyFont="1" applyFill="1" applyBorder="1" applyAlignment="1">
      <alignment horizontal="center" vertical="center"/>
    </xf>
    <xf numFmtId="176" fontId="4" fillId="5" borderId="59" xfId="0" applyNumberFormat="1" applyFont="1" applyFill="1" applyBorder="1" applyAlignment="1">
      <alignment horizontal="center" vertical="center"/>
    </xf>
    <xf numFmtId="176" fontId="13" fillId="5" borderId="59" xfId="0" applyNumberFormat="1" applyFont="1" applyFill="1" applyBorder="1" applyAlignment="1">
      <alignment horizontal="center" vertical="center"/>
    </xf>
    <xf numFmtId="176" fontId="13" fillId="2" borderId="59" xfId="0" applyNumberFormat="1" applyFont="1" applyFill="1" applyBorder="1" applyAlignment="1">
      <alignment horizontal="center" vertical="center"/>
    </xf>
    <xf numFmtId="176" fontId="13" fillId="13" borderId="59" xfId="0" applyNumberFormat="1" applyFont="1" applyFill="1" applyBorder="1" applyAlignment="1">
      <alignment horizontal="center" vertical="center"/>
    </xf>
    <xf numFmtId="0" fontId="0" fillId="2" borderId="59" xfId="0" applyFill="1" applyBorder="1">
      <alignment vertical="center"/>
    </xf>
    <xf numFmtId="0" fontId="5" fillId="0" borderId="59" xfId="0" applyFont="1" applyBorder="1">
      <alignment vertical="center"/>
    </xf>
    <xf numFmtId="0" fontId="0" fillId="0" borderId="139" xfId="0" applyBorder="1">
      <alignment vertical="center"/>
    </xf>
    <xf numFmtId="0" fontId="0" fillId="5" borderId="14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59" xfId="0" applyFill="1" applyBorder="1">
      <alignment vertical="center"/>
    </xf>
    <xf numFmtId="0" fontId="0" fillId="5" borderId="101" xfId="0" applyFill="1" applyBorder="1">
      <alignment vertical="center"/>
    </xf>
    <xf numFmtId="0" fontId="0" fillId="5" borderId="103" xfId="0" applyFill="1" applyBorder="1">
      <alignment vertical="center"/>
    </xf>
    <xf numFmtId="0" fontId="0" fillId="5" borderId="111" xfId="0" applyFill="1" applyBorder="1">
      <alignment vertical="center"/>
    </xf>
    <xf numFmtId="0" fontId="0" fillId="5" borderId="139" xfId="0" applyFill="1" applyBorder="1">
      <alignment vertical="center"/>
    </xf>
    <xf numFmtId="178" fontId="0" fillId="0" borderId="0" xfId="0" applyNumberFormat="1">
      <alignment vertical="center"/>
    </xf>
    <xf numFmtId="0" fontId="2" fillId="2" borderId="55" xfId="0" quotePrefix="1" applyFont="1" applyFill="1" applyBorder="1" applyAlignment="1">
      <alignment horizontal="center" vertical="center"/>
    </xf>
    <xf numFmtId="0" fontId="4" fillId="2" borderId="56" xfId="0" quotePrefix="1" applyFont="1" applyFill="1" applyBorder="1" applyAlignment="1">
      <alignment horizontal="center" vertical="center" wrapText="1"/>
    </xf>
    <xf numFmtId="178" fontId="0" fillId="2" borderId="0" xfId="0" applyNumberFormat="1" applyFill="1">
      <alignment vertical="center"/>
    </xf>
    <xf numFmtId="0" fontId="23" fillId="0" borderId="10" xfId="0" applyFont="1" applyFill="1" applyBorder="1" applyAlignment="1">
      <alignment horizontal="center" vertical="center"/>
    </xf>
    <xf numFmtId="176" fontId="22" fillId="0" borderId="15" xfId="0" applyNumberFormat="1" applyFont="1" applyFill="1" applyBorder="1" applyAlignment="1">
      <alignment horizontal="center" vertical="center"/>
    </xf>
    <xf numFmtId="0" fontId="2" fillId="3" borderId="64" xfId="0" applyFont="1" applyFill="1" applyBorder="1" applyAlignment="1">
      <alignment vertical="center" wrapText="1"/>
    </xf>
    <xf numFmtId="0" fontId="2" fillId="3" borderId="6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26" fontId="0" fillId="0" borderId="15" xfId="0" applyNumberFormat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8" fontId="8" fillId="2" borderId="15" xfId="0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/>
    </xf>
    <xf numFmtId="0" fontId="2" fillId="8" borderId="58" xfId="0" quotePrefix="1" applyFont="1" applyFill="1" applyBorder="1" applyAlignment="1">
      <alignment horizontal="center" vertical="center"/>
    </xf>
    <xf numFmtId="0" fontId="4" fillId="8" borderId="40" xfId="0" quotePrefix="1" applyFont="1" applyFill="1" applyBorder="1" applyAlignment="1">
      <alignment horizontal="center" vertical="center" wrapText="1"/>
    </xf>
    <xf numFmtId="0" fontId="2" fillId="8" borderId="40" xfId="0" applyFont="1" applyFill="1" applyBorder="1" applyAlignment="1">
      <alignment horizontal="center" vertical="center"/>
    </xf>
    <xf numFmtId="176" fontId="24" fillId="2" borderId="0" xfId="0" applyNumberFormat="1" applyFont="1" applyFill="1" applyBorder="1" applyAlignment="1">
      <alignment horizontal="center" vertical="center" wrapText="1"/>
    </xf>
    <xf numFmtId="176" fontId="4" fillId="9" borderId="0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8" fontId="2" fillId="2" borderId="141" xfId="0" applyNumberFormat="1" applyFont="1" applyFill="1" applyBorder="1" applyAlignment="1">
      <alignment horizontal="center" vertical="center"/>
    </xf>
    <xf numFmtId="176" fontId="4" fillId="2" borderId="142" xfId="0" applyNumberFormat="1" applyFont="1" applyFill="1" applyBorder="1" applyAlignment="1">
      <alignment horizontal="center" vertical="center"/>
    </xf>
    <xf numFmtId="176" fontId="4" fillId="8" borderId="142" xfId="0" applyNumberFormat="1" applyFont="1" applyFill="1" applyBorder="1" applyAlignment="1">
      <alignment horizontal="center" vertical="center"/>
    </xf>
    <xf numFmtId="178" fontId="2" fillId="2" borderId="24" xfId="0" applyNumberFormat="1" applyFont="1" applyFill="1" applyBorder="1" applyAlignment="1">
      <alignment horizontal="center" vertical="center"/>
    </xf>
    <xf numFmtId="178" fontId="2" fillId="2" borderId="143" xfId="0" applyNumberFormat="1" applyFont="1" applyFill="1" applyBorder="1" applyAlignment="1">
      <alignment horizontal="center" vertical="center"/>
    </xf>
    <xf numFmtId="176" fontId="4" fillId="2" borderId="144" xfId="0" applyNumberFormat="1" applyFont="1" applyFill="1" applyBorder="1" applyAlignment="1">
      <alignment horizontal="center" vertical="center"/>
    </xf>
    <xf numFmtId="176" fontId="4" fillId="8" borderId="145" xfId="0" applyNumberFormat="1" applyFont="1" applyFill="1" applyBorder="1" applyAlignment="1">
      <alignment horizontal="center" vertical="center"/>
    </xf>
    <xf numFmtId="178" fontId="2" fillId="2" borderId="146" xfId="0" applyNumberFormat="1" applyFont="1" applyFill="1" applyBorder="1" applyAlignment="1">
      <alignment horizontal="center" vertical="center"/>
    </xf>
    <xf numFmtId="176" fontId="4" fillId="8" borderId="147" xfId="0" applyNumberFormat="1" applyFont="1" applyFill="1" applyBorder="1" applyAlignment="1">
      <alignment horizontal="center" vertical="center"/>
    </xf>
    <xf numFmtId="176" fontId="4" fillId="2" borderId="148" xfId="0" applyNumberFormat="1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vertical="center" wrapText="1"/>
    </xf>
    <xf numFmtId="178" fontId="2" fillId="2" borderId="149" xfId="0" applyNumberFormat="1" applyFont="1" applyFill="1" applyBorder="1" applyAlignment="1">
      <alignment horizontal="center" vertical="center"/>
    </xf>
    <xf numFmtId="176" fontId="4" fillId="8" borderId="80" xfId="0" applyNumberFormat="1" applyFont="1" applyFill="1" applyBorder="1" applyAlignment="1">
      <alignment horizontal="center" vertical="center"/>
    </xf>
    <xf numFmtId="178" fontId="2" fillId="2" borderId="150" xfId="0" applyNumberFormat="1" applyFont="1" applyFill="1" applyBorder="1" applyAlignment="1">
      <alignment horizontal="center" vertical="center"/>
    </xf>
    <xf numFmtId="178" fontId="2" fillId="2" borderId="71" xfId="0" applyNumberFormat="1" applyFont="1" applyFill="1" applyBorder="1" applyAlignment="1">
      <alignment horizontal="center" vertical="center"/>
    </xf>
    <xf numFmtId="176" fontId="4" fillId="8" borderId="79" xfId="0" applyNumberFormat="1" applyFont="1" applyFill="1" applyBorder="1" applyAlignment="1">
      <alignment horizontal="center" vertical="center"/>
    </xf>
    <xf numFmtId="176" fontId="4" fillId="2" borderId="79" xfId="0" applyNumberFormat="1" applyFont="1" applyFill="1" applyBorder="1" applyAlignment="1">
      <alignment horizontal="center" vertical="center"/>
    </xf>
    <xf numFmtId="178" fontId="2" fillId="5" borderId="151" xfId="0" applyNumberFormat="1" applyFont="1" applyFill="1" applyBorder="1" applyAlignment="1">
      <alignment horizontal="center" vertical="center"/>
    </xf>
    <xf numFmtId="178" fontId="2" fillId="2" borderId="151" xfId="0" applyNumberFormat="1" applyFont="1" applyFill="1" applyBorder="1" applyAlignment="1">
      <alignment horizontal="center" vertical="center"/>
    </xf>
    <xf numFmtId="178" fontId="4" fillId="2" borderId="151" xfId="0" applyNumberFormat="1" applyFont="1" applyFill="1" applyBorder="1" applyAlignment="1">
      <alignment horizontal="center" vertical="center"/>
    </xf>
    <xf numFmtId="178" fontId="4" fillId="5" borderId="151" xfId="0" applyNumberFormat="1" applyFont="1" applyFill="1" applyBorder="1" applyAlignment="1">
      <alignment horizontal="center" vertical="center"/>
    </xf>
    <xf numFmtId="178" fontId="4" fillId="13" borderId="151" xfId="0" applyNumberFormat="1" applyFont="1" applyFill="1" applyBorder="1" applyAlignment="1">
      <alignment horizontal="center" vertical="center"/>
    </xf>
    <xf numFmtId="0" fontId="0" fillId="0" borderId="152" xfId="0" applyBorder="1">
      <alignment vertical="center"/>
    </xf>
    <xf numFmtId="176" fontId="0" fillId="0" borderId="152" xfId="0" applyNumberFormat="1" applyBorder="1">
      <alignment vertical="center"/>
    </xf>
    <xf numFmtId="0" fontId="0" fillId="0" borderId="153" xfId="0" applyBorder="1">
      <alignment vertical="center"/>
    </xf>
    <xf numFmtId="178" fontId="2" fillId="2" borderId="70" xfId="0" applyNumberFormat="1" applyFont="1" applyFill="1" applyBorder="1" applyAlignment="1">
      <alignment horizontal="center" vertical="center"/>
    </xf>
    <xf numFmtId="176" fontId="8" fillId="5" borderId="154" xfId="0" applyNumberFormat="1" applyFont="1" applyFill="1" applyBorder="1" applyAlignment="1">
      <alignment horizontal="center" vertical="center"/>
    </xf>
    <xf numFmtId="176" fontId="20" fillId="5" borderId="154" xfId="0" applyNumberFormat="1" applyFont="1" applyFill="1" applyBorder="1" applyAlignment="1">
      <alignment horizontal="center" vertical="center"/>
    </xf>
    <xf numFmtId="176" fontId="20" fillId="2" borderId="154" xfId="0" applyNumberFormat="1" applyFont="1" applyFill="1" applyBorder="1" applyAlignment="1">
      <alignment horizontal="center" vertical="center"/>
    </xf>
    <xf numFmtId="176" fontId="13" fillId="2" borderId="154" xfId="0" applyNumberFormat="1" applyFont="1" applyFill="1" applyBorder="1" applyAlignment="1">
      <alignment horizontal="center" vertical="center"/>
    </xf>
    <xf numFmtId="176" fontId="13" fillId="5" borderId="154" xfId="0" applyNumberFormat="1" applyFont="1" applyFill="1" applyBorder="1" applyAlignment="1">
      <alignment horizontal="center" vertical="center"/>
    </xf>
    <xf numFmtId="176" fontId="19" fillId="13" borderId="154" xfId="0" applyNumberFormat="1" applyFont="1" applyFill="1" applyBorder="1" applyAlignment="1">
      <alignment horizontal="center" vertical="center"/>
    </xf>
    <xf numFmtId="176" fontId="4" fillId="5" borderId="154" xfId="0" applyNumberFormat="1" applyFont="1" applyFill="1" applyBorder="1" applyAlignment="1">
      <alignment horizontal="center" vertical="center"/>
    </xf>
    <xf numFmtId="176" fontId="4" fillId="8" borderId="154" xfId="0" applyNumberFormat="1" applyFont="1" applyFill="1" applyBorder="1" applyAlignment="1">
      <alignment horizontal="center" vertical="center"/>
    </xf>
    <xf numFmtId="176" fontId="13" fillId="13" borderId="154" xfId="0" applyNumberFormat="1" applyFont="1" applyFill="1" applyBorder="1" applyAlignment="1">
      <alignment horizontal="center" vertical="center"/>
    </xf>
    <xf numFmtId="26" fontId="13" fillId="2" borderId="154" xfId="0" applyNumberFormat="1" applyFont="1" applyFill="1" applyBorder="1" applyAlignment="1">
      <alignment horizontal="center" vertical="center"/>
    </xf>
    <xf numFmtId="176" fontId="13" fillId="2" borderId="153" xfId="0" applyNumberFormat="1" applyFont="1" applyFill="1" applyBorder="1" applyAlignment="1">
      <alignment horizontal="center" vertical="center"/>
    </xf>
    <xf numFmtId="176" fontId="0" fillId="0" borderId="155" xfId="0" applyNumberFormat="1" applyBorder="1">
      <alignment vertical="center"/>
    </xf>
    <xf numFmtId="26" fontId="0" fillId="0" borderId="155" xfId="0" applyNumberFormat="1" applyBorder="1">
      <alignment vertical="center"/>
    </xf>
    <xf numFmtId="176" fontId="0" fillId="0" borderId="154" xfId="0" applyNumberFormat="1" applyBorder="1">
      <alignment vertical="center"/>
    </xf>
    <xf numFmtId="176" fontId="2" fillId="5" borderId="154" xfId="0" applyNumberFormat="1" applyFont="1" applyFill="1" applyBorder="1" applyAlignment="1">
      <alignment horizontal="center" vertical="center"/>
    </xf>
    <xf numFmtId="176" fontId="2" fillId="2" borderId="154" xfId="0" applyNumberFormat="1" applyFont="1" applyFill="1" applyBorder="1" applyAlignment="1">
      <alignment horizontal="center" vertical="center"/>
    </xf>
    <xf numFmtId="176" fontId="4" fillId="2" borderId="154" xfId="0" applyNumberFormat="1" applyFont="1" applyFill="1" applyBorder="1" applyAlignment="1">
      <alignment horizontal="center" vertical="center"/>
    </xf>
    <xf numFmtId="176" fontId="4" fillId="13" borderId="154" xfId="0" applyNumberFormat="1" applyFont="1" applyFill="1" applyBorder="1" applyAlignment="1">
      <alignment horizontal="center" vertical="center"/>
    </xf>
    <xf numFmtId="176" fontId="4" fillId="11" borderId="154" xfId="0" applyNumberFormat="1" applyFont="1" applyFill="1" applyBorder="1" applyAlignment="1">
      <alignment horizontal="center" vertical="center"/>
    </xf>
    <xf numFmtId="26" fontId="4" fillId="2" borderId="154" xfId="0" applyNumberFormat="1" applyFont="1" applyFill="1" applyBorder="1" applyAlignment="1">
      <alignment horizontal="center" vertical="center"/>
    </xf>
    <xf numFmtId="176" fontId="4" fillId="2" borderId="153" xfId="0" applyNumberFormat="1" applyFont="1" applyFill="1" applyBorder="1" applyAlignment="1">
      <alignment horizontal="center" vertical="center"/>
    </xf>
    <xf numFmtId="176" fontId="0" fillId="0" borderId="152" xfId="0" applyNumberFormat="1" applyBorder="1" applyAlignment="1">
      <alignment horizontal="right" vertical="center" wrapText="1"/>
    </xf>
    <xf numFmtId="176" fontId="0" fillId="0" borderId="156" xfId="0" applyNumberFormat="1" applyBorder="1">
      <alignment vertical="center"/>
    </xf>
    <xf numFmtId="178" fontId="2" fillId="2" borderId="157" xfId="0" applyNumberFormat="1" applyFont="1" applyFill="1" applyBorder="1" applyAlignment="1">
      <alignment horizontal="center" vertical="center"/>
    </xf>
    <xf numFmtId="176" fontId="4" fillId="2" borderId="147" xfId="0" applyNumberFormat="1" applyFont="1" applyFill="1" applyBorder="1" applyAlignment="1">
      <alignment horizontal="center" vertical="center"/>
    </xf>
    <xf numFmtId="178" fontId="2" fillId="5" borderId="157" xfId="0" applyNumberFormat="1" applyFont="1" applyFill="1" applyBorder="1" applyAlignment="1">
      <alignment horizontal="center" vertical="center"/>
    </xf>
    <xf numFmtId="176" fontId="4" fillId="5" borderId="147" xfId="0" applyNumberFormat="1" applyFont="1" applyFill="1" applyBorder="1" applyAlignment="1">
      <alignment horizontal="center" vertical="center"/>
    </xf>
    <xf numFmtId="176" fontId="2" fillId="2" borderId="79" xfId="0" applyNumberFormat="1" applyFont="1" applyFill="1" applyBorder="1" applyAlignment="1">
      <alignment horizontal="center" vertical="center"/>
    </xf>
    <xf numFmtId="176" fontId="2" fillId="2" borderId="80" xfId="0" applyNumberFormat="1" applyFont="1" applyFill="1" applyBorder="1" applyAlignment="1">
      <alignment horizontal="center" vertical="center"/>
    </xf>
    <xf numFmtId="0" fontId="0" fillId="3" borderId="140" xfId="0" applyFill="1" applyBorder="1" applyAlignment="1">
      <alignment vertical="center"/>
    </xf>
    <xf numFmtId="0" fontId="0" fillId="3" borderId="65" xfId="0" applyFill="1" applyBorder="1" applyAlignment="1">
      <alignment vertical="center"/>
    </xf>
    <xf numFmtId="0" fontId="0" fillId="3" borderId="69" xfId="0" applyFill="1" applyBorder="1" applyAlignment="1">
      <alignment vertic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3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8" xfId="0" quotePrefix="1" applyFont="1" applyFill="1" applyBorder="1" applyAlignment="1">
      <alignment horizontal="center" vertical="center"/>
    </xf>
    <xf numFmtId="0" fontId="2" fillId="3" borderId="15" xfId="0" quotePrefix="1" applyFont="1" applyFill="1" applyBorder="1" applyAlignment="1">
      <alignment horizontal="center" vertical="center"/>
    </xf>
    <xf numFmtId="0" fontId="2" fillId="3" borderId="65" xfId="0" applyFont="1" applyFill="1" applyBorder="1" applyAlignment="1">
      <alignment horizontal="center" vertical="center" wrapText="1"/>
    </xf>
    <xf numFmtId="0" fontId="0" fillId="3" borderId="101" xfId="0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2" fillId="3" borderId="64" xfId="0" applyFont="1" applyFill="1" applyBorder="1" applyAlignment="1">
      <alignment horizontal="center" vertical="center"/>
    </xf>
    <xf numFmtId="0" fontId="2" fillId="3" borderId="65" xfId="0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3" borderId="133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/>
    </xf>
    <xf numFmtId="0" fontId="2" fillId="3" borderId="140" xfId="0" applyFont="1" applyFill="1" applyBorder="1" applyAlignment="1">
      <alignment horizontal="center" vertical="center" wrapText="1"/>
    </xf>
    <xf numFmtId="0" fontId="0" fillId="3" borderId="100" xfId="0" applyFill="1" applyBorder="1" applyAlignment="1">
      <alignment horizontal="center" vertical="center"/>
    </xf>
    <xf numFmtId="0" fontId="0" fillId="3" borderId="102" xfId="0" applyFill="1" applyBorder="1" applyAlignment="1">
      <alignment horizontal="center" vertical="center"/>
    </xf>
    <xf numFmtId="0" fontId="0" fillId="3" borderId="14" xfId="0" quotePrefix="1" applyFill="1" applyBorder="1" applyAlignment="1">
      <alignment horizontal="center" vertical="center"/>
    </xf>
    <xf numFmtId="0" fontId="0" fillId="3" borderId="16" xfId="0" quotePrefix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/>
    </xf>
    <xf numFmtId="41" fontId="0" fillId="2" borderId="15" xfId="1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41" fontId="0" fillId="2" borderId="36" xfId="0" applyNumberForma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4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9" fontId="0" fillId="0" borderId="15" xfId="2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1.3492975369393286E-2"/>
          <c:y val="0.17901225511697766"/>
          <c:w val="0.982872852707116"/>
          <c:h val="0.74474140179184412"/>
        </c:manualLayout>
      </c:layout>
      <c:lineChart>
        <c:grouping val="stacked"/>
        <c:varyColors val="0"/>
        <c:ser>
          <c:idx val="6"/>
          <c:order val="0"/>
          <c:tx>
            <c:strRef>
              <c:f>'동향 그래프 ~시세반영 '!$A$45</c:f>
              <c:strCache>
                <c:ptCount val="1"/>
                <c:pt idx="0">
                  <c:v>RDS CHINA DUCK DOWN   80/20 GREY 600FP+</c:v>
                </c:pt>
              </c:strCache>
            </c:strRef>
          </c:tx>
          <c:marker>
            <c:symbol val="none"/>
          </c:marker>
          <c:cat>
            <c:numRef>
              <c:f>'동향 그래프 ~시세반영 '!$C$36:$CU$36</c:f>
              <c:numCache>
                <c:formatCode>m"/"d;@</c:formatCode>
                <c:ptCount val="38"/>
                <c:pt idx="0">
                  <c:v>45666</c:v>
                </c:pt>
                <c:pt idx="1">
                  <c:v>45701</c:v>
                </c:pt>
                <c:pt idx="2">
                  <c:v>45716</c:v>
                </c:pt>
                <c:pt idx="3">
                  <c:v>45729</c:v>
                </c:pt>
                <c:pt idx="4">
                  <c:v>45757</c:v>
                </c:pt>
                <c:pt idx="5">
                  <c:v>45764</c:v>
                </c:pt>
                <c:pt idx="6">
                  <c:v>45778</c:v>
                </c:pt>
                <c:pt idx="7">
                  <c:v>45793</c:v>
                </c:pt>
                <c:pt idx="8">
                  <c:v>45806</c:v>
                </c:pt>
                <c:pt idx="9">
                  <c:v>45820</c:v>
                </c:pt>
                <c:pt idx="10">
                  <c:v>45833</c:v>
                </c:pt>
                <c:pt idx="11">
                  <c:v>45848</c:v>
                </c:pt>
                <c:pt idx="12">
                  <c:v>45862</c:v>
                </c:pt>
                <c:pt idx="13">
                  <c:v>45876</c:v>
                </c:pt>
                <c:pt idx="14">
                  <c:v>45890</c:v>
                </c:pt>
                <c:pt idx="15">
                  <c:v>45904</c:v>
                </c:pt>
                <c:pt idx="16">
                  <c:v>45917</c:v>
                </c:pt>
                <c:pt idx="17">
                  <c:v>45932</c:v>
                </c:pt>
                <c:pt idx="18">
                  <c:v>45946</c:v>
                </c:pt>
                <c:pt idx="19">
                  <c:v>45959</c:v>
                </c:pt>
                <c:pt idx="20">
                  <c:v>45975</c:v>
                </c:pt>
                <c:pt idx="21">
                  <c:v>45988</c:v>
                </c:pt>
                <c:pt idx="22">
                  <c:v>46002</c:v>
                </c:pt>
                <c:pt idx="23">
                  <c:v>46020</c:v>
                </c:pt>
                <c:pt idx="24">
                  <c:v>46031</c:v>
                </c:pt>
                <c:pt idx="25">
                  <c:v>46051</c:v>
                </c:pt>
                <c:pt idx="26">
                  <c:v>46057</c:v>
                </c:pt>
                <c:pt idx="27">
                  <c:v>46073</c:v>
                </c:pt>
                <c:pt idx="28">
                  <c:v>46093</c:v>
                </c:pt>
                <c:pt idx="29">
                  <c:v>46114</c:v>
                </c:pt>
                <c:pt idx="30">
                  <c:v>46132</c:v>
                </c:pt>
                <c:pt idx="31">
                  <c:v>46142</c:v>
                </c:pt>
                <c:pt idx="32">
                  <c:v>46163</c:v>
                </c:pt>
                <c:pt idx="33">
                  <c:v>46192</c:v>
                </c:pt>
                <c:pt idx="34">
                  <c:v>46212</c:v>
                </c:pt>
                <c:pt idx="35">
                  <c:v>46233</c:v>
                </c:pt>
                <c:pt idx="36">
                  <c:v>46247</c:v>
                </c:pt>
                <c:pt idx="37">
                  <c:v>46269</c:v>
                </c:pt>
              </c:numCache>
            </c:numRef>
          </c:cat>
          <c:val>
            <c:numRef>
              <c:f>'동향 그래프 ~시세반영 '!$C$45:$CU$45</c:f>
              <c:numCache>
                <c:formatCode>\$#,##0.0_);[Red]\(\$#,##0.0\)</c:formatCode>
                <c:ptCount val="38"/>
                <c:pt idx="0">
                  <c:v>45.266666666666673</c:v>
                </c:pt>
                <c:pt idx="1">
                  <c:v>45.116666666666674</c:v>
                </c:pt>
                <c:pt idx="2">
                  <c:v>44.616666666666674</c:v>
                </c:pt>
                <c:pt idx="3">
                  <c:v>44.366666666666674</c:v>
                </c:pt>
                <c:pt idx="4">
                  <c:v>43.06666666666667</c:v>
                </c:pt>
                <c:pt idx="5">
                  <c:v>42.783333333333339</c:v>
                </c:pt>
                <c:pt idx="6">
                  <c:v>43.033333333333339</c:v>
                </c:pt>
                <c:pt idx="7">
                  <c:v>43</c:v>
                </c:pt>
                <c:pt idx="8">
                  <c:v>45.433333333333337</c:v>
                </c:pt>
                <c:pt idx="9">
                  <c:v>46.5</c:v>
                </c:pt>
                <c:pt idx="10">
                  <c:v>47.133333333333333</c:v>
                </c:pt>
                <c:pt idx="11">
                  <c:v>44.45000000000001</c:v>
                </c:pt>
                <c:pt idx="12">
                  <c:v>45.20000000000001</c:v>
                </c:pt>
                <c:pt idx="13">
                  <c:v>45.533333333333339</c:v>
                </c:pt>
                <c:pt idx="14">
                  <c:v>47.466666666666669</c:v>
                </c:pt>
                <c:pt idx="15">
                  <c:v>48.166666666666664</c:v>
                </c:pt>
                <c:pt idx="16">
                  <c:v>47.083333333333336</c:v>
                </c:pt>
                <c:pt idx="17">
                  <c:v>47.233333333333341</c:v>
                </c:pt>
                <c:pt idx="18">
                  <c:v>50.233333333333341</c:v>
                </c:pt>
                <c:pt idx="19">
                  <c:v>54.20000000000001</c:v>
                </c:pt>
                <c:pt idx="20">
                  <c:v>55.466666666666669</c:v>
                </c:pt>
                <c:pt idx="21">
                  <c:v>54.85</c:v>
                </c:pt>
                <c:pt idx="22">
                  <c:v>52.524285714285718</c:v>
                </c:pt>
                <c:pt idx="23">
                  <c:v>52.095714285714287</c:v>
                </c:pt>
                <c:pt idx="24">
                  <c:v>51.157142857142858</c:v>
                </c:pt>
                <c:pt idx="25">
                  <c:v>53.32</c:v>
                </c:pt>
                <c:pt idx="26">
                  <c:v>53.33428571428572</c:v>
                </c:pt>
                <c:pt idx="27">
                  <c:v>54.177142857142861</c:v>
                </c:pt>
                <c:pt idx="28">
                  <c:v>59.331428571428567</c:v>
                </c:pt>
                <c:pt idx="29">
                  <c:v>59.527142857142856</c:v>
                </c:pt>
                <c:pt idx="30">
                  <c:v>61.142857142857146</c:v>
                </c:pt>
                <c:pt idx="31">
                  <c:v>61.842857142857142</c:v>
                </c:pt>
                <c:pt idx="32">
                  <c:v>61.571428571428569</c:v>
                </c:pt>
                <c:pt idx="33">
                  <c:v>61.4</c:v>
                </c:pt>
                <c:pt idx="34">
                  <c:v>62.183333333333337</c:v>
                </c:pt>
                <c:pt idx="35">
                  <c:v>59.633333333333333</c:v>
                </c:pt>
                <c:pt idx="36">
                  <c:v>59.683333333333337</c:v>
                </c:pt>
                <c:pt idx="37">
                  <c:v>58.928571428571431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343424"/>
        <c:axId val="220977920"/>
      </c:lineChart>
      <c:catAx>
        <c:axId val="242343424"/>
        <c:scaling>
          <c:orientation val="minMax"/>
        </c:scaling>
        <c:delete val="0"/>
        <c:axPos val="b"/>
        <c:numFmt formatCode="m&quot;/&quot;d;@" sourceLinked="1"/>
        <c:majorTickMark val="out"/>
        <c:minorTickMark val="none"/>
        <c:tickLblPos val="nextTo"/>
        <c:crossAx val="220977920"/>
        <c:crosses val="autoZero"/>
        <c:auto val="0"/>
        <c:lblAlgn val="ctr"/>
        <c:lblOffset val="100"/>
        <c:noMultiLvlLbl val="0"/>
      </c:catAx>
      <c:valAx>
        <c:axId val="220977920"/>
        <c:scaling>
          <c:orientation val="minMax"/>
          <c:max val="70"/>
          <c:min val="25"/>
        </c:scaling>
        <c:delete val="0"/>
        <c:axPos val="l"/>
        <c:majorGridlines/>
        <c:numFmt formatCode="\$#,##0.0_);[Red]\(\$#,##0.0\)" sourceLinked="1"/>
        <c:majorTickMark val="out"/>
        <c:minorTickMark val="none"/>
        <c:tickLblPos val="nextTo"/>
        <c:crossAx val="242343424"/>
        <c:crosses val="autoZero"/>
        <c:crossBetween val="between"/>
      </c:valAx>
      <c:spPr>
        <a:pattFill prst="pct5">
          <a:fgClr>
            <a:schemeClr val="accent1"/>
          </a:fgClr>
          <a:bgClr>
            <a:schemeClr val="bg1"/>
          </a:bgClr>
        </a:pattFill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6"/>
          <c:order val="0"/>
          <c:tx>
            <c:strRef>
              <c:f>'동향 그래프 ~시세반영 '!$A$13</c:f>
              <c:strCache>
                <c:ptCount val="1"/>
                <c:pt idx="0">
                  <c:v>RDS CHINA GOOSE DOWN   80/20 GREY 650FP+</c:v>
                </c:pt>
              </c:strCache>
            </c:strRef>
          </c:tx>
          <c:marker>
            <c:symbol val="none"/>
          </c:marker>
          <c:cat>
            <c:numRef>
              <c:f>'동향 그래프 ~시세반영 '!$E$3:$CU$3</c:f>
              <c:numCache>
                <c:formatCode>m"/"d;@</c:formatCode>
                <c:ptCount val="38"/>
                <c:pt idx="0">
                  <c:v>45666</c:v>
                </c:pt>
                <c:pt idx="1">
                  <c:v>45701</c:v>
                </c:pt>
                <c:pt idx="2">
                  <c:v>45716</c:v>
                </c:pt>
                <c:pt idx="3">
                  <c:v>45729</c:v>
                </c:pt>
                <c:pt idx="4">
                  <c:v>45757</c:v>
                </c:pt>
                <c:pt idx="5">
                  <c:v>45764</c:v>
                </c:pt>
                <c:pt idx="6">
                  <c:v>45778</c:v>
                </c:pt>
                <c:pt idx="7">
                  <c:v>45793</c:v>
                </c:pt>
                <c:pt idx="8">
                  <c:v>45806</c:v>
                </c:pt>
                <c:pt idx="9">
                  <c:v>45820</c:v>
                </c:pt>
                <c:pt idx="10">
                  <c:v>45833</c:v>
                </c:pt>
                <c:pt idx="11">
                  <c:v>45848</c:v>
                </c:pt>
                <c:pt idx="12">
                  <c:v>45862</c:v>
                </c:pt>
                <c:pt idx="13">
                  <c:v>45876</c:v>
                </c:pt>
                <c:pt idx="14">
                  <c:v>45890</c:v>
                </c:pt>
                <c:pt idx="15">
                  <c:v>45904</c:v>
                </c:pt>
                <c:pt idx="16">
                  <c:v>45917</c:v>
                </c:pt>
                <c:pt idx="17">
                  <c:v>45932</c:v>
                </c:pt>
                <c:pt idx="18">
                  <c:v>45946</c:v>
                </c:pt>
                <c:pt idx="19">
                  <c:v>45959</c:v>
                </c:pt>
                <c:pt idx="20">
                  <c:v>45975</c:v>
                </c:pt>
                <c:pt idx="21">
                  <c:v>45988</c:v>
                </c:pt>
                <c:pt idx="22">
                  <c:v>46002</c:v>
                </c:pt>
                <c:pt idx="23">
                  <c:v>46020</c:v>
                </c:pt>
                <c:pt idx="24">
                  <c:v>46031</c:v>
                </c:pt>
                <c:pt idx="25">
                  <c:v>46051</c:v>
                </c:pt>
                <c:pt idx="26">
                  <c:v>46057</c:v>
                </c:pt>
                <c:pt idx="27">
                  <c:v>46073</c:v>
                </c:pt>
                <c:pt idx="28">
                  <c:v>46093</c:v>
                </c:pt>
                <c:pt idx="29">
                  <c:v>46114</c:v>
                </c:pt>
                <c:pt idx="30">
                  <c:v>46132</c:v>
                </c:pt>
                <c:pt idx="31">
                  <c:v>46142</c:v>
                </c:pt>
                <c:pt idx="32">
                  <c:v>46163</c:v>
                </c:pt>
                <c:pt idx="33">
                  <c:v>46192</c:v>
                </c:pt>
                <c:pt idx="34">
                  <c:v>46212</c:v>
                </c:pt>
                <c:pt idx="35">
                  <c:v>46233</c:v>
                </c:pt>
                <c:pt idx="36">
                  <c:v>46247</c:v>
                </c:pt>
                <c:pt idx="37">
                  <c:v>46269</c:v>
                </c:pt>
              </c:numCache>
            </c:numRef>
          </c:cat>
          <c:val>
            <c:numRef>
              <c:f>'동향 그래프 ~시세반영 '!$E$13:$CU$13</c:f>
              <c:numCache>
                <c:formatCode>\$#,##0.0_);[Red]\(\$#,##0.0\)</c:formatCode>
                <c:ptCount val="38"/>
                <c:pt idx="0">
                  <c:v>93.733333333333334</c:v>
                </c:pt>
                <c:pt idx="1">
                  <c:v>91.716666666666683</c:v>
                </c:pt>
                <c:pt idx="2">
                  <c:v>88.416666666666671</c:v>
                </c:pt>
                <c:pt idx="3">
                  <c:v>88.5</c:v>
                </c:pt>
                <c:pt idx="4">
                  <c:v>85.416666666666671</c:v>
                </c:pt>
                <c:pt idx="5">
                  <c:v>84.516666666666666</c:v>
                </c:pt>
                <c:pt idx="6">
                  <c:v>84.183333333333337</c:v>
                </c:pt>
                <c:pt idx="7">
                  <c:v>83.066666666666677</c:v>
                </c:pt>
                <c:pt idx="8">
                  <c:v>85.833333333333329</c:v>
                </c:pt>
                <c:pt idx="9">
                  <c:v>87.333333333333329</c:v>
                </c:pt>
                <c:pt idx="10">
                  <c:v>86.766666666666666</c:v>
                </c:pt>
                <c:pt idx="11">
                  <c:v>85.13333333333334</c:v>
                </c:pt>
                <c:pt idx="12">
                  <c:v>82.45</c:v>
                </c:pt>
                <c:pt idx="13">
                  <c:v>82.100000000000009</c:v>
                </c:pt>
                <c:pt idx="14">
                  <c:v>83.600000000000009</c:v>
                </c:pt>
                <c:pt idx="15">
                  <c:v>85.01428571428572</c:v>
                </c:pt>
                <c:pt idx="16">
                  <c:v>82.728571428571428</c:v>
                </c:pt>
                <c:pt idx="17">
                  <c:v>82.8</c:v>
                </c:pt>
                <c:pt idx="18">
                  <c:v>85.54285714285713</c:v>
                </c:pt>
                <c:pt idx="19">
                  <c:v>88.685714285714297</c:v>
                </c:pt>
                <c:pt idx="20">
                  <c:v>89.45714285714287</c:v>
                </c:pt>
                <c:pt idx="21">
                  <c:v>89.471428571428575</c:v>
                </c:pt>
                <c:pt idx="22">
                  <c:v>87.484999999999999</c:v>
                </c:pt>
                <c:pt idx="23">
                  <c:v>84.86</c:v>
                </c:pt>
                <c:pt idx="24">
                  <c:v>84.046250000000001</c:v>
                </c:pt>
                <c:pt idx="25">
                  <c:v>85.342500000000001</c:v>
                </c:pt>
                <c:pt idx="26">
                  <c:v>85.63</c:v>
                </c:pt>
                <c:pt idx="27">
                  <c:v>86.942499999999995</c:v>
                </c:pt>
                <c:pt idx="28">
                  <c:v>92.982500000000002</c:v>
                </c:pt>
                <c:pt idx="29">
                  <c:v>94.836250000000007</c:v>
                </c:pt>
                <c:pt idx="30">
                  <c:v>96.474999999999994</c:v>
                </c:pt>
                <c:pt idx="31">
                  <c:v>96.887500000000003</c:v>
                </c:pt>
                <c:pt idx="32">
                  <c:v>100.0625</c:v>
                </c:pt>
                <c:pt idx="33">
                  <c:v>103.27500000000001</c:v>
                </c:pt>
                <c:pt idx="34">
                  <c:v>103.65714285714286</c:v>
                </c:pt>
                <c:pt idx="35">
                  <c:v>101.12857142857142</c:v>
                </c:pt>
                <c:pt idx="36">
                  <c:v>102.04285714285713</c:v>
                </c:pt>
                <c:pt idx="37">
                  <c:v>102.8875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11200"/>
        <c:axId val="236397120"/>
      </c:lineChart>
      <c:catAx>
        <c:axId val="234611200"/>
        <c:scaling>
          <c:orientation val="minMax"/>
        </c:scaling>
        <c:delete val="0"/>
        <c:axPos val="b"/>
        <c:numFmt formatCode="m&quot;/&quot;d;@" sourceLinked="1"/>
        <c:majorTickMark val="out"/>
        <c:minorTickMark val="none"/>
        <c:tickLblPos val="nextTo"/>
        <c:crossAx val="236397120"/>
        <c:crosses val="autoZero"/>
        <c:auto val="0"/>
        <c:lblAlgn val="ctr"/>
        <c:lblOffset val="100"/>
        <c:noMultiLvlLbl val="0"/>
      </c:catAx>
      <c:valAx>
        <c:axId val="236397120"/>
        <c:scaling>
          <c:orientation val="minMax"/>
          <c:max val="120"/>
          <c:min val="60"/>
        </c:scaling>
        <c:delete val="0"/>
        <c:axPos val="l"/>
        <c:majorGridlines/>
        <c:numFmt formatCode="\$#,##0.0_);[Red]\(\$#,##0.0\)" sourceLinked="1"/>
        <c:majorTickMark val="out"/>
        <c:minorTickMark val="none"/>
        <c:tickLblPos val="nextTo"/>
        <c:crossAx val="234611200"/>
        <c:crosses val="autoZero"/>
        <c:crossBetween val="between"/>
        <c:majorUnit val="5"/>
      </c:valAx>
      <c:spPr>
        <a:pattFill prst="pct5">
          <a:fgClr>
            <a:schemeClr val="accent1"/>
          </a:fgClr>
          <a:bgClr>
            <a:schemeClr val="bg1"/>
          </a:bgClr>
        </a:pattFill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152385</xdr:colOff>
      <xdr:row>45</xdr:row>
      <xdr:rowOff>161925</xdr:rowOff>
    </xdr:from>
    <xdr:to>
      <xdr:col>99</xdr:col>
      <xdr:colOff>-1</xdr:colOff>
      <xdr:row>61</xdr:row>
      <xdr:rowOff>95248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158552</xdr:colOff>
      <xdr:row>13</xdr:row>
      <xdr:rowOff>173130</xdr:rowOff>
    </xdr:from>
    <xdr:to>
      <xdr:col>98</xdr:col>
      <xdr:colOff>680356</xdr:colOff>
      <xdr:row>28</xdr:row>
      <xdr:rowOff>154079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10SS%20MD%20PLAN(&#52572;&#513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DB(NorthCape)14S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16SS\16SS%20MD%20PLAN1507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S10%20&#51452;&#44036;&#54032;&#47588;&#48516;&#49437;(SPO&#48320;&#44221;)12061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&#50900;&#47568;&#44208;&#51116;(CS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10FW%20MD%20P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63.14.212\2013\&#51088;&#47308;\Eider\2008\FW\&#54032;&#47588;&#54788;&#54889;\&#51088;&#47308;\2007\FW\&#54032;&#47588;&#54788;&#54889;\K2\&#51088;&#47308;\2008\SS\&#44592;&#54925;&#51088;&#47308;\&#47928;&#49436;\Bando%20sports\&#48516;&#49437;&#51088;&#47308;\04&#45380;&#46020;\&#47588;&#52636;&#54788;&#54889;\&#44277;&#50976;\&#51069;&#44592;\&#48516;&#49437;&#51088;&#47308;\03&#45380;&#46020;\4%20B3W%20&#48516;&#4943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29;&#52404;&#48324;%20&#54788;&#5488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96FW(&#49373;&#49328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roups\Plan\5%20&#48516;&#49437;&#51088;&#47308;\F08\F08%20&#44592;&#54925;&#54032;&#47588;&#54788;&#54889;(SPO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&#54924;&#51109;&#45784;%20&#48372;&#44256;&#51088;&#473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9733;20FW%20DOWN%20&#49324;&#50857;%20&#54788;&#54889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63.14.212\2013\&#51088;&#47308;\Eider\2008\FW\&#54032;&#47588;&#54788;&#54889;\&#51088;&#47308;\2007\FW\&#54032;&#47588;&#54788;&#54889;\K2\&#51088;&#47308;\2008\SS\&#44592;&#54925;&#51088;&#47308;\&#44277;&#50976;\&#50416;&#44592;\&#54032;&#47588;&#48516;&#49437;\C5S\&#48516;&#49437;&#51088;&#47308;\04&#45380;&#46020;\5%20B4S%20&#48516;&#4943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DB(NorthCape)13S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12FW%20MD%20&#52572;&#51333;(&#47196;&#51592;&#47196;&#48260;5&#50900;14&#51068;&#51088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oul\Data\Users\mbyoo\&#53084;&#47100;&#48708;&#50500;\ITEM(KNIT,%20ACC)\ACC%20REVIE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13SS%20WS_WV%20MD%20PLAN_BOTTOMS_092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roups\Plan\5%20&#48516;&#49437;&#51088;&#47308;\F07\F'07%20Sports%20&#54032;&#47588;&#54788;&#548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S10%20&#51452;&#44036;&#54032;&#47588;&#48516;&#49437;(SPO(&#51064;&#49604;&#50857;)&#52572;&#4988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116;&#50865;&#44284;&#51109;\&#49345;&#54408;&#44592;&#54925;&#44277;&#50976;&#54260;&#45908;\F'06%20knit%20&#54032;&#47588;&#54788;&#548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매출목표"/>
      <sheetName val="집계"/>
      <sheetName val="시즌별(카테고리)"/>
      <sheetName val="TOTAL(시즌별 CO)"/>
      <sheetName val="TOTAL(시즌별)"/>
      <sheetName val="출고"/>
      <sheetName val="ITEM"/>
      <sheetName val="사전원가"/>
      <sheetName val="원자재"/>
      <sheetName val="총 업체별 금액"/>
      <sheetName val="컬러"/>
      <sheetName val="Sheet1"/>
      <sheetName val="수입원가표지"/>
      <sheetName val="스타일별 판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C4">
            <v>8000</v>
          </cell>
        </row>
      </sheetData>
      <sheetData sheetId="7" refreshError="1">
        <row r="4">
          <cell r="C4">
            <v>8000</v>
          </cell>
          <cell r="F4" t="str">
            <v>D</v>
          </cell>
          <cell r="V4">
            <v>42054630.552000001</v>
          </cell>
          <cell r="AJ4">
            <v>40254</v>
          </cell>
        </row>
        <row r="5">
          <cell r="C5">
            <v>8000</v>
          </cell>
          <cell r="F5" t="str">
            <v>D</v>
          </cell>
          <cell r="V5">
            <v>42054630.552000001</v>
          </cell>
          <cell r="AJ5">
            <v>40254</v>
          </cell>
        </row>
        <row r="6">
          <cell r="C6">
            <v>8000</v>
          </cell>
          <cell r="F6" t="str">
            <v>D</v>
          </cell>
          <cell r="V6">
            <v>26135851.5</v>
          </cell>
          <cell r="AJ6">
            <v>40254</v>
          </cell>
        </row>
        <row r="7">
          <cell r="C7">
            <v>8000</v>
          </cell>
          <cell r="F7" t="str">
            <v>D</v>
          </cell>
          <cell r="V7">
            <v>20327884.5</v>
          </cell>
          <cell r="AJ7">
            <v>40254</v>
          </cell>
        </row>
        <row r="8">
          <cell r="C8">
            <v>8000</v>
          </cell>
          <cell r="F8" t="str">
            <v>D</v>
          </cell>
          <cell r="V8">
            <v>20327884.5</v>
          </cell>
          <cell r="AJ8">
            <v>40254</v>
          </cell>
        </row>
        <row r="9">
          <cell r="C9">
            <v>8000</v>
          </cell>
          <cell r="F9" t="str">
            <v>D</v>
          </cell>
          <cell r="V9">
            <v>10181325</v>
          </cell>
          <cell r="AJ9">
            <v>40254</v>
          </cell>
        </row>
        <row r="10">
          <cell r="C10">
            <v>8000</v>
          </cell>
          <cell r="F10" t="str">
            <v>D</v>
          </cell>
          <cell r="V10">
            <v>14253855.000000002</v>
          </cell>
          <cell r="AJ10">
            <v>40254</v>
          </cell>
        </row>
        <row r="11">
          <cell r="C11">
            <v>8000</v>
          </cell>
          <cell r="F11" t="str">
            <v>D</v>
          </cell>
          <cell r="V11">
            <v>10181325</v>
          </cell>
          <cell r="AJ11">
            <v>40254</v>
          </cell>
        </row>
        <row r="12">
          <cell r="C12">
            <v>8000</v>
          </cell>
          <cell r="F12" t="str">
            <v>D</v>
          </cell>
          <cell r="V12">
            <v>9930250</v>
          </cell>
          <cell r="AJ12">
            <v>40254</v>
          </cell>
        </row>
        <row r="13">
          <cell r="C13">
            <v>8000</v>
          </cell>
          <cell r="F13" t="str">
            <v>D</v>
          </cell>
          <cell r="V13">
            <v>9930250</v>
          </cell>
          <cell r="AJ13">
            <v>40254</v>
          </cell>
        </row>
        <row r="14">
          <cell r="C14">
            <v>8000</v>
          </cell>
          <cell r="F14" t="str">
            <v>D</v>
          </cell>
          <cell r="V14">
            <v>13803322.5</v>
          </cell>
          <cell r="AJ14">
            <v>40254</v>
          </cell>
        </row>
        <row r="15">
          <cell r="C15">
            <v>8000</v>
          </cell>
          <cell r="F15" t="str">
            <v>D</v>
          </cell>
          <cell r="V15">
            <v>19324651.5</v>
          </cell>
          <cell r="AJ15">
            <v>40254</v>
          </cell>
        </row>
        <row r="16">
          <cell r="C16">
            <v>8000</v>
          </cell>
          <cell r="F16" t="str">
            <v>D</v>
          </cell>
          <cell r="V16">
            <v>0</v>
          </cell>
        </row>
        <row r="17">
          <cell r="C17">
            <v>8000</v>
          </cell>
          <cell r="F17" t="str">
            <v>D</v>
          </cell>
          <cell r="V17">
            <v>0</v>
          </cell>
        </row>
        <row r="18">
          <cell r="C18">
            <v>8000</v>
          </cell>
          <cell r="F18" t="str">
            <v>D</v>
          </cell>
          <cell r="V18">
            <v>0</v>
          </cell>
        </row>
        <row r="19">
          <cell r="C19">
            <v>8000</v>
          </cell>
          <cell r="F19" t="str">
            <v>D</v>
          </cell>
          <cell r="V19">
            <v>0</v>
          </cell>
        </row>
        <row r="20">
          <cell r="C20">
            <v>8000</v>
          </cell>
          <cell r="F20" t="str">
            <v>D</v>
          </cell>
          <cell r="V20">
            <v>0</v>
          </cell>
        </row>
        <row r="21">
          <cell r="C21">
            <v>8000</v>
          </cell>
          <cell r="F21" t="str">
            <v>D</v>
          </cell>
          <cell r="V21">
            <v>14105211.978</v>
          </cell>
          <cell r="AJ21">
            <v>40254</v>
          </cell>
        </row>
        <row r="22">
          <cell r="C22">
            <v>8000</v>
          </cell>
          <cell r="F22" t="str">
            <v>D</v>
          </cell>
          <cell r="V22">
            <v>14105211.978</v>
          </cell>
          <cell r="AJ22">
            <v>40254</v>
          </cell>
        </row>
        <row r="23">
          <cell r="C23">
            <v>8000</v>
          </cell>
          <cell r="F23" t="str">
            <v>D</v>
          </cell>
          <cell r="V23">
            <v>14105211.978</v>
          </cell>
          <cell r="AJ23">
            <v>40254</v>
          </cell>
        </row>
        <row r="24">
          <cell r="C24">
            <v>8000</v>
          </cell>
          <cell r="F24" t="str">
            <v>D</v>
          </cell>
          <cell r="V24">
            <v>8224524</v>
          </cell>
          <cell r="AJ24">
            <v>40254</v>
          </cell>
        </row>
        <row r="25">
          <cell r="C25">
            <v>8000</v>
          </cell>
          <cell r="F25" t="str">
            <v>D</v>
          </cell>
          <cell r="V25">
            <v>10574388</v>
          </cell>
          <cell r="AJ25">
            <v>40254</v>
          </cell>
        </row>
        <row r="26">
          <cell r="C26">
            <v>8000</v>
          </cell>
          <cell r="F26" t="str">
            <v>D</v>
          </cell>
          <cell r="V26">
            <v>8224524</v>
          </cell>
          <cell r="AJ26">
            <v>40254</v>
          </cell>
        </row>
        <row r="27">
          <cell r="C27">
            <v>8000</v>
          </cell>
          <cell r="F27" t="str">
            <v>D</v>
          </cell>
          <cell r="V27">
            <v>9327087</v>
          </cell>
          <cell r="AJ27">
            <v>40254</v>
          </cell>
        </row>
        <row r="28">
          <cell r="C28">
            <v>8000</v>
          </cell>
          <cell r="F28" t="str">
            <v>D</v>
          </cell>
          <cell r="V28">
            <v>11991969</v>
          </cell>
          <cell r="AJ28">
            <v>40254</v>
          </cell>
        </row>
        <row r="29">
          <cell r="C29">
            <v>8000</v>
          </cell>
          <cell r="F29" t="str">
            <v>D</v>
          </cell>
          <cell r="V29">
            <v>9327087</v>
          </cell>
          <cell r="AJ29">
            <v>40254</v>
          </cell>
        </row>
        <row r="30">
          <cell r="C30">
            <v>8000</v>
          </cell>
          <cell r="F30" t="str">
            <v>D</v>
          </cell>
          <cell r="V30">
            <v>16957325</v>
          </cell>
          <cell r="AJ30">
            <v>40268</v>
          </cell>
        </row>
        <row r="31">
          <cell r="C31">
            <v>8000</v>
          </cell>
          <cell r="F31" t="str">
            <v>D</v>
          </cell>
          <cell r="V31">
            <v>12112375</v>
          </cell>
          <cell r="AJ31">
            <v>40268</v>
          </cell>
        </row>
        <row r="32">
          <cell r="C32">
            <v>8000</v>
          </cell>
          <cell r="F32" t="str">
            <v>D</v>
          </cell>
          <cell r="V32">
            <v>8194037.5</v>
          </cell>
          <cell r="AJ32">
            <v>40254</v>
          </cell>
        </row>
        <row r="33">
          <cell r="C33">
            <v>8000</v>
          </cell>
          <cell r="F33" t="str">
            <v>D</v>
          </cell>
          <cell r="V33">
            <v>8194037.5</v>
          </cell>
          <cell r="AJ33">
            <v>40254</v>
          </cell>
        </row>
        <row r="34">
          <cell r="C34">
            <v>8000</v>
          </cell>
          <cell r="F34" t="str">
            <v>D</v>
          </cell>
          <cell r="V34">
            <v>9589965</v>
          </cell>
          <cell r="AJ34">
            <v>40268</v>
          </cell>
        </row>
        <row r="35">
          <cell r="C35">
            <v>8000</v>
          </cell>
          <cell r="F35" t="str">
            <v>D</v>
          </cell>
          <cell r="V35">
            <v>6849975</v>
          </cell>
          <cell r="AJ35">
            <v>40268</v>
          </cell>
        </row>
        <row r="36">
          <cell r="C36">
            <v>8000</v>
          </cell>
          <cell r="F36" t="str">
            <v>D</v>
          </cell>
          <cell r="V36">
            <v>4735912.5</v>
          </cell>
          <cell r="AJ36">
            <v>40254</v>
          </cell>
        </row>
        <row r="37">
          <cell r="C37">
            <v>8000</v>
          </cell>
          <cell r="F37" t="str">
            <v>D</v>
          </cell>
          <cell r="V37">
            <v>6630277.5000000009</v>
          </cell>
          <cell r="AJ37">
            <v>40254</v>
          </cell>
        </row>
        <row r="38">
          <cell r="C38">
            <v>8000</v>
          </cell>
          <cell r="F38" t="str">
            <v>D</v>
          </cell>
          <cell r="V38">
            <v>4244075</v>
          </cell>
          <cell r="AJ38">
            <v>40254</v>
          </cell>
        </row>
        <row r="39">
          <cell r="C39">
            <v>8000</v>
          </cell>
          <cell r="F39" t="str">
            <v>D</v>
          </cell>
          <cell r="V39">
            <v>4244075</v>
          </cell>
          <cell r="AJ39">
            <v>40254</v>
          </cell>
        </row>
        <row r="40">
          <cell r="C40" t="str">
            <v>EXPLORE</v>
          </cell>
          <cell r="F40" t="str">
            <v>D</v>
          </cell>
          <cell r="V40">
            <v>9247122.5</v>
          </cell>
          <cell r="AJ40">
            <v>40268</v>
          </cell>
        </row>
        <row r="41">
          <cell r="C41" t="str">
            <v>EXPLORE</v>
          </cell>
          <cell r="F41" t="str">
            <v>D</v>
          </cell>
          <cell r="V41">
            <v>6605087.5</v>
          </cell>
          <cell r="AJ41">
            <v>40268</v>
          </cell>
        </row>
        <row r="42">
          <cell r="C42" t="str">
            <v>EXPLORE</v>
          </cell>
          <cell r="F42" t="str">
            <v>D</v>
          </cell>
          <cell r="V42">
            <v>11049775</v>
          </cell>
          <cell r="AJ42">
            <v>40254</v>
          </cell>
        </row>
        <row r="43">
          <cell r="C43" t="str">
            <v>EXPLORE</v>
          </cell>
          <cell r="F43" t="str">
            <v>D</v>
          </cell>
          <cell r="V43">
            <v>8839820</v>
          </cell>
          <cell r="AJ43">
            <v>40254</v>
          </cell>
        </row>
        <row r="44">
          <cell r="C44" t="str">
            <v>EXPLORE</v>
          </cell>
          <cell r="F44" t="str">
            <v>D</v>
          </cell>
          <cell r="V44">
            <v>7253950</v>
          </cell>
          <cell r="AJ44">
            <v>40283</v>
          </cell>
        </row>
        <row r="45">
          <cell r="C45" t="str">
            <v>EXPLORE</v>
          </cell>
          <cell r="F45" t="str">
            <v>D</v>
          </cell>
          <cell r="V45">
            <v>5803160</v>
          </cell>
          <cell r="AJ45">
            <v>40283</v>
          </cell>
        </row>
        <row r="46">
          <cell r="C46" t="str">
            <v>EXPLORE</v>
          </cell>
          <cell r="F46" t="str">
            <v>D</v>
          </cell>
          <cell r="V46">
            <v>9772125</v>
          </cell>
          <cell r="AJ46">
            <v>40254</v>
          </cell>
        </row>
        <row r="47">
          <cell r="C47" t="str">
            <v>EXPLORE</v>
          </cell>
          <cell r="F47" t="str">
            <v>D</v>
          </cell>
          <cell r="V47">
            <v>7817700</v>
          </cell>
          <cell r="AJ47">
            <v>40254</v>
          </cell>
        </row>
        <row r="48">
          <cell r="C48" t="str">
            <v>EXPLORE</v>
          </cell>
          <cell r="F48" t="str">
            <v>D</v>
          </cell>
          <cell r="V48">
            <v>11315425</v>
          </cell>
          <cell r="AJ48">
            <v>40254</v>
          </cell>
        </row>
        <row r="49">
          <cell r="C49" t="str">
            <v>EXPLORE</v>
          </cell>
          <cell r="F49" t="str">
            <v>D</v>
          </cell>
          <cell r="V49">
            <v>9052340</v>
          </cell>
          <cell r="AJ49">
            <v>40254</v>
          </cell>
        </row>
        <row r="50">
          <cell r="C50" t="str">
            <v>EXPLORE</v>
          </cell>
          <cell r="F50" t="str">
            <v>D</v>
          </cell>
          <cell r="V50">
            <v>4492125</v>
          </cell>
          <cell r="AJ50">
            <v>40283</v>
          </cell>
        </row>
        <row r="51">
          <cell r="C51" t="str">
            <v>EXPLORE</v>
          </cell>
          <cell r="F51" t="str">
            <v>D</v>
          </cell>
          <cell r="V51">
            <v>3593700</v>
          </cell>
          <cell r="AJ51">
            <v>40283</v>
          </cell>
        </row>
        <row r="52">
          <cell r="C52" t="str">
            <v>EXPLORE</v>
          </cell>
          <cell r="F52" t="str">
            <v>D</v>
          </cell>
          <cell r="V52">
            <v>3933600</v>
          </cell>
          <cell r="AJ52">
            <v>40283</v>
          </cell>
        </row>
        <row r="53">
          <cell r="C53" t="str">
            <v>EXPLORE</v>
          </cell>
          <cell r="F53" t="str">
            <v>D</v>
          </cell>
          <cell r="V53">
            <v>3933600</v>
          </cell>
          <cell r="AJ53">
            <v>40283</v>
          </cell>
        </row>
        <row r="54">
          <cell r="C54" t="str">
            <v>EXPLORE</v>
          </cell>
          <cell r="F54" t="str">
            <v>D</v>
          </cell>
          <cell r="V54">
            <v>8443875</v>
          </cell>
          <cell r="AJ54">
            <v>40254</v>
          </cell>
        </row>
        <row r="55">
          <cell r="C55" t="str">
            <v>EXPLORE</v>
          </cell>
          <cell r="F55" t="str">
            <v>D</v>
          </cell>
          <cell r="V55">
            <v>6755100</v>
          </cell>
          <cell r="AJ55">
            <v>40254</v>
          </cell>
        </row>
        <row r="56">
          <cell r="C56" t="str">
            <v>Wild Cross</v>
          </cell>
          <cell r="F56" t="str">
            <v>D</v>
          </cell>
          <cell r="V56">
            <v>6944850</v>
          </cell>
          <cell r="AJ56">
            <v>40268</v>
          </cell>
        </row>
        <row r="57">
          <cell r="C57" t="str">
            <v>Wild Cross</v>
          </cell>
          <cell r="F57" t="str">
            <v>D</v>
          </cell>
          <cell r="V57">
            <v>6944850</v>
          </cell>
          <cell r="AJ57">
            <v>40268</v>
          </cell>
        </row>
        <row r="58">
          <cell r="C58" t="str">
            <v>Wild Cross</v>
          </cell>
          <cell r="F58" t="str">
            <v>D</v>
          </cell>
          <cell r="V58">
            <v>8497681.5</v>
          </cell>
          <cell r="AJ58">
            <v>40254</v>
          </cell>
        </row>
        <row r="59">
          <cell r="C59" t="str">
            <v>Wild Cross</v>
          </cell>
          <cell r="F59" t="str">
            <v>D</v>
          </cell>
          <cell r="V59">
            <v>8497681.5</v>
          </cell>
          <cell r="AJ59">
            <v>40254</v>
          </cell>
        </row>
        <row r="60">
          <cell r="C60" t="str">
            <v>Wild Cross</v>
          </cell>
          <cell r="F60" t="str">
            <v>D</v>
          </cell>
          <cell r="V60">
            <v>11467225</v>
          </cell>
          <cell r="AJ60">
            <v>40254</v>
          </cell>
        </row>
        <row r="61">
          <cell r="C61" t="str">
            <v>Wild Cross</v>
          </cell>
          <cell r="F61" t="str">
            <v>D</v>
          </cell>
          <cell r="V61">
            <v>11467225</v>
          </cell>
          <cell r="AJ61">
            <v>40254</v>
          </cell>
        </row>
        <row r="62">
          <cell r="C62" t="str">
            <v>Wild Cross</v>
          </cell>
          <cell r="F62" t="str">
            <v>D</v>
          </cell>
          <cell r="V62">
            <v>13891281.25</v>
          </cell>
          <cell r="AJ62">
            <v>40254</v>
          </cell>
        </row>
        <row r="63">
          <cell r="C63" t="str">
            <v>Wild Cross</v>
          </cell>
          <cell r="F63" t="str">
            <v>D</v>
          </cell>
          <cell r="V63">
            <v>9922343.75</v>
          </cell>
          <cell r="AJ63">
            <v>40254</v>
          </cell>
        </row>
        <row r="64">
          <cell r="C64" t="str">
            <v>Wild Cross</v>
          </cell>
          <cell r="F64" t="str">
            <v>D</v>
          </cell>
          <cell r="V64">
            <v>5500000</v>
          </cell>
          <cell r="AJ64">
            <v>40254</v>
          </cell>
        </row>
        <row r="65">
          <cell r="C65" t="str">
            <v>Wild Cross</v>
          </cell>
          <cell r="F65" t="str">
            <v>D</v>
          </cell>
          <cell r="V65">
            <v>5500000</v>
          </cell>
          <cell r="AJ65">
            <v>40254</v>
          </cell>
        </row>
        <row r="66">
          <cell r="C66" t="str">
            <v>Wild Cross</v>
          </cell>
          <cell r="F66" t="str">
            <v>D</v>
          </cell>
          <cell r="V66">
            <v>5500000</v>
          </cell>
          <cell r="AJ66">
            <v>40263</v>
          </cell>
        </row>
        <row r="67">
          <cell r="C67" t="str">
            <v>Wild Cross</v>
          </cell>
          <cell r="F67" t="str">
            <v>D</v>
          </cell>
          <cell r="V67">
            <v>5500000</v>
          </cell>
          <cell r="AJ67">
            <v>40263</v>
          </cell>
        </row>
        <row r="68">
          <cell r="C68" t="str">
            <v>Wild Cross</v>
          </cell>
          <cell r="F68" t="str">
            <v>D</v>
          </cell>
          <cell r="V68">
            <v>7518843.7500000009</v>
          </cell>
          <cell r="AJ68">
            <v>40254</v>
          </cell>
        </row>
        <row r="69">
          <cell r="C69" t="str">
            <v>Wild Cross</v>
          </cell>
          <cell r="F69" t="str">
            <v>D</v>
          </cell>
          <cell r="V69">
            <v>7518843.7500000009</v>
          </cell>
          <cell r="AJ69">
            <v>40254</v>
          </cell>
        </row>
        <row r="70">
          <cell r="C70" t="str">
            <v>Wild Cross</v>
          </cell>
          <cell r="F70" t="str">
            <v>D</v>
          </cell>
          <cell r="V70">
            <v>4975245</v>
          </cell>
          <cell r="AJ70">
            <v>40254</v>
          </cell>
        </row>
        <row r="71">
          <cell r="C71" t="str">
            <v>Wild Cross</v>
          </cell>
          <cell r="F71" t="str">
            <v>D</v>
          </cell>
          <cell r="V71">
            <v>4758930</v>
          </cell>
          <cell r="AJ71">
            <v>40254</v>
          </cell>
        </row>
        <row r="72">
          <cell r="C72" t="str">
            <v>Wild Cross</v>
          </cell>
          <cell r="F72" t="str">
            <v>D</v>
          </cell>
          <cell r="V72">
            <v>7744330</v>
          </cell>
          <cell r="AJ72">
            <v>40254</v>
          </cell>
        </row>
        <row r="73">
          <cell r="C73" t="str">
            <v>Wild Cross</v>
          </cell>
          <cell r="F73" t="str">
            <v>D</v>
          </cell>
          <cell r="V73">
            <v>7744330</v>
          </cell>
          <cell r="AJ73">
            <v>40254</v>
          </cell>
        </row>
        <row r="74">
          <cell r="C74" t="str">
            <v>Wild Cross</v>
          </cell>
          <cell r="F74" t="str">
            <v>D</v>
          </cell>
          <cell r="V74">
            <v>6278195</v>
          </cell>
          <cell r="AJ74">
            <v>40254</v>
          </cell>
        </row>
        <row r="75">
          <cell r="C75" t="str">
            <v>Wild Cross</v>
          </cell>
          <cell r="F75" t="str">
            <v>D</v>
          </cell>
          <cell r="V75">
            <v>6278195</v>
          </cell>
          <cell r="AJ75">
            <v>40254</v>
          </cell>
        </row>
        <row r="76">
          <cell r="C76" t="str">
            <v>Wild Cross</v>
          </cell>
          <cell r="F76" t="str">
            <v>D</v>
          </cell>
          <cell r="V76">
            <v>7491962.5</v>
          </cell>
          <cell r="AJ76">
            <v>40254</v>
          </cell>
        </row>
        <row r="77">
          <cell r="C77" t="str">
            <v>Wild Cross</v>
          </cell>
          <cell r="F77" t="str">
            <v>D</v>
          </cell>
          <cell r="V77">
            <v>5993570</v>
          </cell>
          <cell r="AJ77">
            <v>40254</v>
          </cell>
        </row>
        <row r="78">
          <cell r="C78" t="str">
            <v>Wild Cross</v>
          </cell>
          <cell r="F78" t="str">
            <v>D</v>
          </cell>
          <cell r="V78">
            <v>6590650</v>
          </cell>
          <cell r="AJ78">
            <v>40254</v>
          </cell>
        </row>
        <row r="79">
          <cell r="C79" t="str">
            <v>Wild Cross</v>
          </cell>
          <cell r="F79" t="str">
            <v>D</v>
          </cell>
          <cell r="V79">
            <v>6590650</v>
          </cell>
          <cell r="AJ79">
            <v>40254</v>
          </cell>
        </row>
        <row r="80">
          <cell r="C80" t="str">
            <v>Wild Cross</v>
          </cell>
          <cell r="F80" t="str">
            <v>D</v>
          </cell>
          <cell r="V80">
            <v>6936880.5</v>
          </cell>
          <cell r="AJ80">
            <v>40254</v>
          </cell>
        </row>
        <row r="81">
          <cell r="C81" t="str">
            <v>Wild Cross</v>
          </cell>
          <cell r="F81" t="str">
            <v>D</v>
          </cell>
          <cell r="V81">
            <v>5016231</v>
          </cell>
          <cell r="AJ81">
            <v>40254</v>
          </cell>
        </row>
        <row r="82">
          <cell r="C82">
            <v>8000</v>
          </cell>
          <cell r="F82" t="str">
            <v>D</v>
          </cell>
          <cell r="V82">
            <v>41431368</v>
          </cell>
          <cell r="AJ82">
            <v>40298</v>
          </cell>
        </row>
        <row r="83">
          <cell r="C83">
            <v>8000</v>
          </cell>
          <cell r="F83" t="str">
            <v>D</v>
          </cell>
          <cell r="V83">
            <v>27620912</v>
          </cell>
          <cell r="AJ83">
            <v>40298</v>
          </cell>
        </row>
        <row r="84">
          <cell r="C84">
            <v>8000</v>
          </cell>
          <cell r="F84" t="str">
            <v>D</v>
          </cell>
          <cell r="V84">
            <v>14487935</v>
          </cell>
          <cell r="AJ84">
            <v>40268</v>
          </cell>
        </row>
        <row r="85">
          <cell r="C85">
            <v>8000</v>
          </cell>
          <cell r="F85" t="str">
            <v>D</v>
          </cell>
          <cell r="V85">
            <v>8278820</v>
          </cell>
          <cell r="AJ85">
            <v>40268</v>
          </cell>
        </row>
        <row r="86">
          <cell r="C86">
            <v>8000</v>
          </cell>
          <cell r="F86" t="str">
            <v>D</v>
          </cell>
          <cell r="V86">
            <v>18627345</v>
          </cell>
          <cell r="AJ86">
            <v>40268</v>
          </cell>
        </row>
        <row r="87">
          <cell r="C87">
            <v>8000</v>
          </cell>
          <cell r="F87" t="str">
            <v>D</v>
          </cell>
          <cell r="V87">
            <v>10607025</v>
          </cell>
          <cell r="AJ87">
            <v>40254</v>
          </cell>
        </row>
        <row r="88">
          <cell r="C88">
            <v>8000</v>
          </cell>
          <cell r="F88" t="str">
            <v>D</v>
          </cell>
          <cell r="V88">
            <v>7071350</v>
          </cell>
          <cell r="AJ88">
            <v>40254</v>
          </cell>
        </row>
        <row r="89">
          <cell r="C89">
            <v>8000</v>
          </cell>
          <cell r="F89" t="str">
            <v>D</v>
          </cell>
          <cell r="V89">
            <v>17678375</v>
          </cell>
          <cell r="AJ89">
            <v>40254</v>
          </cell>
        </row>
        <row r="90">
          <cell r="C90">
            <v>8000</v>
          </cell>
          <cell r="F90" t="str">
            <v>D</v>
          </cell>
          <cell r="V90">
            <v>17936160</v>
          </cell>
          <cell r="AJ90">
            <v>40254</v>
          </cell>
        </row>
        <row r="91">
          <cell r="C91" t="str">
            <v>Wild Cross</v>
          </cell>
          <cell r="F91" t="str">
            <v>D</v>
          </cell>
          <cell r="V91">
            <v>3946800</v>
          </cell>
          <cell r="AJ91" t="str">
            <v>3/3</v>
          </cell>
        </row>
        <row r="92">
          <cell r="C92" t="str">
            <v>Wild Cross</v>
          </cell>
          <cell r="F92" t="str">
            <v>D</v>
          </cell>
          <cell r="V92">
            <v>3946800</v>
          </cell>
          <cell r="AJ92" t="str">
            <v>3/3</v>
          </cell>
        </row>
        <row r="93">
          <cell r="C93" t="str">
            <v>Wild Cross</v>
          </cell>
          <cell r="F93" t="str">
            <v>D</v>
          </cell>
          <cell r="V93">
            <v>4629900</v>
          </cell>
          <cell r="AJ93" t="str">
            <v>3/3</v>
          </cell>
        </row>
        <row r="94">
          <cell r="C94" t="str">
            <v>Wild Cross</v>
          </cell>
          <cell r="F94" t="str">
            <v>D</v>
          </cell>
          <cell r="V94">
            <v>4629900</v>
          </cell>
          <cell r="AJ94" t="str">
            <v>3/3</v>
          </cell>
        </row>
        <row r="95">
          <cell r="C95">
            <v>8000</v>
          </cell>
          <cell r="F95" t="str">
            <v>D</v>
          </cell>
          <cell r="V95">
            <v>9614000</v>
          </cell>
          <cell r="AJ95">
            <v>40235</v>
          </cell>
        </row>
        <row r="96">
          <cell r="C96">
            <v>8000</v>
          </cell>
          <cell r="F96" t="str">
            <v>D</v>
          </cell>
          <cell r="V96">
            <v>12017500</v>
          </cell>
          <cell r="AJ96">
            <v>40235</v>
          </cell>
        </row>
        <row r="97">
          <cell r="C97">
            <v>8000</v>
          </cell>
          <cell r="F97" t="str">
            <v>D</v>
          </cell>
          <cell r="V97">
            <v>4807000</v>
          </cell>
          <cell r="AJ97">
            <v>40235</v>
          </cell>
        </row>
        <row r="98">
          <cell r="C98">
            <v>8000</v>
          </cell>
          <cell r="F98" t="str">
            <v>D</v>
          </cell>
          <cell r="V98">
            <v>7137130</v>
          </cell>
          <cell r="AJ98">
            <v>40235</v>
          </cell>
        </row>
        <row r="99">
          <cell r="C99">
            <v>8000</v>
          </cell>
          <cell r="F99" t="str">
            <v>D</v>
          </cell>
          <cell r="V99">
            <v>6117540</v>
          </cell>
          <cell r="AJ99">
            <v>40235</v>
          </cell>
        </row>
        <row r="100">
          <cell r="C100">
            <v>8000</v>
          </cell>
          <cell r="F100" t="str">
            <v>D</v>
          </cell>
          <cell r="V100">
            <v>7137130</v>
          </cell>
          <cell r="AJ100">
            <v>40235</v>
          </cell>
        </row>
        <row r="101">
          <cell r="C101">
            <v>8000</v>
          </cell>
          <cell r="F101" t="str">
            <v>D</v>
          </cell>
          <cell r="V101">
            <v>4781700</v>
          </cell>
          <cell r="AJ101">
            <v>40240</v>
          </cell>
        </row>
        <row r="102">
          <cell r="C102">
            <v>8000</v>
          </cell>
          <cell r="F102" t="str">
            <v>D</v>
          </cell>
          <cell r="V102">
            <v>5578650</v>
          </cell>
          <cell r="AJ102">
            <v>40240</v>
          </cell>
        </row>
        <row r="103">
          <cell r="C103">
            <v>8000</v>
          </cell>
          <cell r="F103" t="str">
            <v>D</v>
          </cell>
          <cell r="V103">
            <v>7172550</v>
          </cell>
          <cell r="AJ103">
            <v>40240</v>
          </cell>
        </row>
        <row r="104">
          <cell r="C104">
            <v>8000</v>
          </cell>
          <cell r="F104" t="str">
            <v>D</v>
          </cell>
          <cell r="V104">
            <v>8453362.5</v>
          </cell>
          <cell r="AJ104">
            <v>40242</v>
          </cell>
        </row>
        <row r="105">
          <cell r="C105">
            <v>8000</v>
          </cell>
          <cell r="F105" t="str">
            <v>D</v>
          </cell>
          <cell r="V105">
            <v>6574837.5</v>
          </cell>
          <cell r="AJ105">
            <v>40242</v>
          </cell>
        </row>
        <row r="106">
          <cell r="C106">
            <v>8000</v>
          </cell>
          <cell r="F106" t="str">
            <v>D</v>
          </cell>
          <cell r="V106">
            <v>12569040</v>
          </cell>
          <cell r="AJ106">
            <v>40239</v>
          </cell>
        </row>
        <row r="107">
          <cell r="C107">
            <v>8000</v>
          </cell>
          <cell r="F107" t="str">
            <v>D</v>
          </cell>
          <cell r="V107">
            <v>9775920</v>
          </cell>
          <cell r="AJ107">
            <v>40239</v>
          </cell>
        </row>
        <row r="108">
          <cell r="C108">
            <v>8000</v>
          </cell>
          <cell r="F108" t="str">
            <v>D</v>
          </cell>
          <cell r="V108">
            <v>8379360</v>
          </cell>
          <cell r="AJ108">
            <v>40239</v>
          </cell>
        </row>
        <row r="109">
          <cell r="C109">
            <v>8000</v>
          </cell>
          <cell r="F109" t="str">
            <v>D</v>
          </cell>
          <cell r="V109">
            <v>6398370</v>
          </cell>
          <cell r="AJ109">
            <v>40242</v>
          </cell>
        </row>
        <row r="110">
          <cell r="C110">
            <v>8000</v>
          </cell>
          <cell r="F110" t="str">
            <v>D</v>
          </cell>
          <cell r="V110">
            <v>6398370</v>
          </cell>
          <cell r="AJ110">
            <v>40242</v>
          </cell>
        </row>
        <row r="111">
          <cell r="C111">
            <v>8000</v>
          </cell>
          <cell r="F111" t="str">
            <v>D</v>
          </cell>
          <cell r="V111">
            <v>7013159.9999999991</v>
          </cell>
          <cell r="AJ111">
            <v>40239</v>
          </cell>
        </row>
        <row r="112">
          <cell r="C112">
            <v>8000</v>
          </cell>
          <cell r="F112" t="str">
            <v>D</v>
          </cell>
          <cell r="V112">
            <v>7013159.9999999991</v>
          </cell>
          <cell r="AJ112">
            <v>40239</v>
          </cell>
        </row>
        <row r="113">
          <cell r="C113">
            <v>8000</v>
          </cell>
          <cell r="F113" t="str">
            <v>D</v>
          </cell>
          <cell r="V113">
            <v>6790899.5</v>
          </cell>
          <cell r="AJ113">
            <v>40246</v>
          </cell>
        </row>
        <row r="114">
          <cell r="C114">
            <v>8000</v>
          </cell>
          <cell r="F114" t="str">
            <v>D</v>
          </cell>
          <cell r="V114">
            <v>6790899.5</v>
          </cell>
          <cell r="AJ114">
            <v>40246</v>
          </cell>
        </row>
        <row r="115">
          <cell r="C115">
            <v>8000</v>
          </cell>
          <cell r="F115" t="str">
            <v>D</v>
          </cell>
          <cell r="V115">
            <v>7620360</v>
          </cell>
          <cell r="AJ115">
            <v>40246</v>
          </cell>
        </row>
        <row r="116">
          <cell r="C116">
            <v>8000</v>
          </cell>
          <cell r="F116" t="str">
            <v>D</v>
          </cell>
          <cell r="V116">
            <v>7620360</v>
          </cell>
          <cell r="AJ116">
            <v>40246</v>
          </cell>
        </row>
        <row r="117">
          <cell r="C117">
            <v>8000</v>
          </cell>
          <cell r="F117" t="str">
            <v>D</v>
          </cell>
          <cell r="V117">
            <v>10160480</v>
          </cell>
          <cell r="AJ117">
            <v>40246</v>
          </cell>
        </row>
        <row r="118">
          <cell r="C118">
            <v>8000</v>
          </cell>
          <cell r="F118" t="str">
            <v>D</v>
          </cell>
          <cell r="V118">
            <v>5996100</v>
          </cell>
          <cell r="AJ118">
            <v>40246</v>
          </cell>
        </row>
        <row r="119">
          <cell r="C119">
            <v>8000</v>
          </cell>
          <cell r="F119" t="str">
            <v>D</v>
          </cell>
          <cell r="V119">
            <v>5996100</v>
          </cell>
          <cell r="AJ119">
            <v>40246</v>
          </cell>
        </row>
        <row r="120">
          <cell r="C120">
            <v>8000</v>
          </cell>
          <cell r="F120" t="str">
            <v>D</v>
          </cell>
          <cell r="V120">
            <v>5534375</v>
          </cell>
          <cell r="AJ120">
            <v>40246</v>
          </cell>
        </row>
        <row r="121">
          <cell r="C121">
            <v>8000</v>
          </cell>
          <cell r="F121" t="str">
            <v>D</v>
          </cell>
          <cell r="V121">
            <v>5534375</v>
          </cell>
          <cell r="AJ121">
            <v>40246</v>
          </cell>
        </row>
        <row r="122">
          <cell r="C122">
            <v>8000</v>
          </cell>
          <cell r="F122" t="str">
            <v>D</v>
          </cell>
          <cell r="V122">
            <v>4870250</v>
          </cell>
          <cell r="AJ122">
            <v>40246</v>
          </cell>
        </row>
        <row r="123">
          <cell r="C123">
            <v>8000</v>
          </cell>
          <cell r="F123" t="str">
            <v>D</v>
          </cell>
          <cell r="V123">
            <v>4870250</v>
          </cell>
          <cell r="AJ123">
            <v>40246</v>
          </cell>
        </row>
        <row r="124">
          <cell r="C124">
            <v>8000</v>
          </cell>
          <cell r="F124" t="str">
            <v>D</v>
          </cell>
          <cell r="V124">
            <v>5932850</v>
          </cell>
          <cell r="AJ124">
            <v>40246</v>
          </cell>
        </row>
        <row r="125">
          <cell r="C125">
            <v>8000</v>
          </cell>
          <cell r="F125" t="str">
            <v>D</v>
          </cell>
          <cell r="V125">
            <v>5085300</v>
          </cell>
          <cell r="AJ125">
            <v>40246</v>
          </cell>
        </row>
        <row r="126">
          <cell r="C126">
            <v>8000</v>
          </cell>
          <cell r="F126" t="str">
            <v>D</v>
          </cell>
          <cell r="V126">
            <v>4250400</v>
          </cell>
          <cell r="AJ126" t="str">
            <v>3/15</v>
          </cell>
        </row>
        <row r="127">
          <cell r="C127">
            <v>8000</v>
          </cell>
          <cell r="F127" t="str">
            <v>D</v>
          </cell>
          <cell r="V127">
            <v>4250400</v>
          </cell>
          <cell r="AJ127" t="str">
            <v>3/15</v>
          </cell>
        </row>
        <row r="128">
          <cell r="C128">
            <v>8000</v>
          </cell>
          <cell r="F128" t="str">
            <v>D</v>
          </cell>
          <cell r="V128">
            <v>4958800</v>
          </cell>
          <cell r="AJ128" t="str">
            <v>3/15</v>
          </cell>
        </row>
        <row r="129">
          <cell r="C129" t="str">
            <v>EXPLORE</v>
          </cell>
          <cell r="F129" t="str">
            <v>D</v>
          </cell>
          <cell r="V129">
            <v>6074530</v>
          </cell>
          <cell r="AJ129" t="str">
            <v>2/26</v>
          </cell>
        </row>
        <row r="130">
          <cell r="C130" t="str">
            <v>EXPLORE</v>
          </cell>
          <cell r="F130" t="str">
            <v>D</v>
          </cell>
          <cell r="V130">
            <v>5206740</v>
          </cell>
          <cell r="AJ130" t="str">
            <v>2/26</v>
          </cell>
        </row>
        <row r="131">
          <cell r="C131" t="str">
            <v>EXPLORE</v>
          </cell>
          <cell r="F131" t="str">
            <v>D</v>
          </cell>
          <cell r="V131">
            <v>6074530</v>
          </cell>
          <cell r="AJ131" t="str">
            <v>2/26</v>
          </cell>
        </row>
        <row r="132">
          <cell r="C132" t="str">
            <v>EXPLORE</v>
          </cell>
          <cell r="F132" t="str">
            <v>D</v>
          </cell>
          <cell r="V132">
            <v>5206740</v>
          </cell>
          <cell r="AJ132" t="str">
            <v>2/26</v>
          </cell>
        </row>
        <row r="133">
          <cell r="C133" t="str">
            <v>EXPLORE</v>
          </cell>
          <cell r="F133" t="str">
            <v>D</v>
          </cell>
          <cell r="V133">
            <v>6793050</v>
          </cell>
          <cell r="AJ133">
            <v>40263</v>
          </cell>
        </row>
        <row r="134">
          <cell r="C134" t="str">
            <v>EXPLORE</v>
          </cell>
          <cell r="F134" t="str">
            <v>D</v>
          </cell>
          <cell r="V134">
            <v>7925225</v>
          </cell>
          <cell r="AJ134">
            <v>40263</v>
          </cell>
        </row>
        <row r="135">
          <cell r="C135" t="str">
            <v>EXPLORE</v>
          </cell>
          <cell r="F135" t="str">
            <v>D</v>
          </cell>
          <cell r="V135">
            <v>6072000</v>
          </cell>
          <cell r="AJ135" t="str">
            <v>2/26</v>
          </cell>
        </row>
        <row r="136">
          <cell r="C136" t="str">
            <v>EXPLORE</v>
          </cell>
          <cell r="F136" t="str">
            <v>D</v>
          </cell>
          <cell r="V136">
            <v>6072000</v>
          </cell>
          <cell r="AJ136" t="str">
            <v>2/26</v>
          </cell>
        </row>
        <row r="137">
          <cell r="C137" t="str">
            <v>EXPLORE</v>
          </cell>
          <cell r="F137" t="str">
            <v>D</v>
          </cell>
          <cell r="V137">
            <v>3004375</v>
          </cell>
          <cell r="AJ137" t="str">
            <v>2/26</v>
          </cell>
        </row>
        <row r="138">
          <cell r="C138" t="str">
            <v>EXPLORE</v>
          </cell>
          <cell r="F138" t="str">
            <v>D</v>
          </cell>
          <cell r="V138">
            <v>3004375</v>
          </cell>
          <cell r="AJ138" t="str">
            <v>2/26</v>
          </cell>
        </row>
        <row r="139">
          <cell r="C139" t="str">
            <v>EXPLORE</v>
          </cell>
          <cell r="F139" t="str">
            <v>D</v>
          </cell>
          <cell r="V139">
            <v>3004375</v>
          </cell>
          <cell r="AJ139" t="str">
            <v>2/26</v>
          </cell>
        </row>
        <row r="140">
          <cell r="C140" t="str">
            <v>EXPLORE</v>
          </cell>
          <cell r="F140" t="str">
            <v>D</v>
          </cell>
          <cell r="V140">
            <v>5950560</v>
          </cell>
          <cell r="AJ140">
            <v>40252</v>
          </cell>
        </row>
        <row r="141">
          <cell r="C141" t="str">
            <v>EXPLORE</v>
          </cell>
          <cell r="F141" t="str">
            <v>D</v>
          </cell>
          <cell r="V141">
            <v>6942320</v>
          </cell>
          <cell r="AJ141">
            <v>40252</v>
          </cell>
        </row>
        <row r="142">
          <cell r="C142" t="str">
            <v>Wild Cross</v>
          </cell>
          <cell r="F142" t="str">
            <v>D</v>
          </cell>
          <cell r="V142">
            <v>4048000</v>
          </cell>
          <cell r="AJ142" t="str">
            <v>2/26</v>
          </cell>
        </row>
        <row r="143">
          <cell r="C143" t="str">
            <v>Wild Cross</v>
          </cell>
          <cell r="F143" t="str">
            <v>D</v>
          </cell>
          <cell r="V143">
            <v>4048000</v>
          </cell>
          <cell r="AJ143" t="str">
            <v>2/26</v>
          </cell>
        </row>
        <row r="144">
          <cell r="C144" t="str">
            <v>Wild Cross</v>
          </cell>
          <cell r="F144" t="str">
            <v>D</v>
          </cell>
          <cell r="V144">
            <v>3048650</v>
          </cell>
          <cell r="AJ144" t="str">
            <v>3/19</v>
          </cell>
        </row>
        <row r="145">
          <cell r="C145" t="str">
            <v>Wild Cross</v>
          </cell>
          <cell r="F145" t="str">
            <v>D</v>
          </cell>
          <cell r="V145">
            <v>3048650</v>
          </cell>
          <cell r="AJ145" t="str">
            <v>3/19</v>
          </cell>
        </row>
        <row r="146">
          <cell r="C146" t="str">
            <v>Wild Cross</v>
          </cell>
          <cell r="F146" t="str">
            <v>D</v>
          </cell>
          <cell r="V146">
            <v>3048650</v>
          </cell>
          <cell r="AJ146" t="str">
            <v>3/3</v>
          </cell>
        </row>
        <row r="147">
          <cell r="C147" t="str">
            <v>Wild Cross</v>
          </cell>
          <cell r="F147" t="str">
            <v>D</v>
          </cell>
          <cell r="V147">
            <v>3048650</v>
          </cell>
          <cell r="AJ147" t="str">
            <v>3/3</v>
          </cell>
        </row>
        <row r="148">
          <cell r="C148" t="str">
            <v>Wild Cross</v>
          </cell>
          <cell r="F148" t="str">
            <v>D</v>
          </cell>
          <cell r="V148">
            <v>3339600</v>
          </cell>
          <cell r="AJ148" t="str">
            <v>3/3</v>
          </cell>
        </row>
        <row r="149">
          <cell r="C149" t="str">
            <v>Wild Cross</v>
          </cell>
          <cell r="F149" t="str">
            <v>D</v>
          </cell>
          <cell r="V149">
            <v>3339600</v>
          </cell>
          <cell r="AJ149" t="str">
            <v>3/3</v>
          </cell>
        </row>
        <row r="150">
          <cell r="C150" t="str">
            <v>EXPLORE</v>
          </cell>
          <cell r="F150" t="str">
            <v>D</v>
          </cell>
          <cell r="V150">
            <v>3339600</v>
          </cell>
          <cell r="AJ150" t="str">
            <v>3/9</v>
          </cell>
        </row>
        <row r="151">
          <cell r="C151" t="str">
            <v>EXPLORE</v>
          </cell>
          <cell r="F151" t="str">
            <v>D</v>
          </cell>
          <cell r="V151">
            <v>3339600</v>
          </cell>
          <cell r="AJ151" t="str">
            <v>3/9</v>
          </cell>
        </row>
        <row r="152">
          <cell r="C152" t="str">
            <v>EXPLORE</v>
          </cell>
          <cell r="F152" t="str">
            <v>D</v>
          </cell>
          <cell r="V152">
            <v>9391360</v>
          </cell>
          <cell r="AJ152" t="str">
            <v>3/9</v>
          </cell>
        </row>
        <row r="153">
          <cell r="C153" t="str">
            <v>EXPLORE</v>
          </cell>
          <cell r="F153" t="str">
            <v>D</v>
          </cell>
          <cell r="V153">
            <v>9391360</v>
          </cell>
          <cell r="AJ153" t="str">
            <v>3/9</v>
          </cell>
        </row>
        <row r="154">
          <cell r="C154" t="str">
            <v>EXPLORE</v>
          </cell>
          <cell r="F154" t="str">
            <v>D</v>
          </cell>
          <cell r="V154">
            <v>4695680</v>
          </cell>
          <cell r="AJ154" t="str">
            <v>3/9</v>
          </cell>
        </row>
        <row r="155">
          <cell r="C155">
            <v>8000</v>
          </cell>
          <cell r="F155" t="str">
            <v>D</v>
          </cell>
          <cell r="V155">
            <v>4695680</v>
          </cell>
          <cell r="AJ155">
            <v>40249</v>
          </cell>
        </row>
        <row r="156">
          <cell r="C156">
            <v>8000</v>
          </cell>
          <cell r="F156" t="str">
            <v>D</v>
          </cell>
          <cell r="V156">
            <v>4695680</v>
          </cell>
          <cell r="AJ156">
            <v>40249</v>
          </cell>
        </row>
        <row r="157">
          <cell r="C157">
            <v>8000</v>
          </cell>
          <cell r="F157" t="str">
            <v>D</v>
          </cell>
          <cell r="V157">
            <v>6475218.7500000009</v>
          </cell>
          <cell r="AJ157">
            <v>40249</v>
          </cell>
        </row>
        <row r="158">
          <cell r="C158">
            <v>8000</v>
          </cell>
          <cell r="F158" t="str">
            <v>D</v>
          </cell>
          <cell r="V158">
            <v>7914156.2500000009</v>
          </cell>
          <cell r="AJ158" t="str">
            <v>3/16</v>
          </cell>
        </row>
        <row r="159">
          <cell r="C159">
            <v>8000</v>
          </cell>
          <cell r="F159" t="str">
            <v>D</v>
          </cell>
          <cell r="V159">
            <v>5755750.0000000009</v>
          </cell>
          <cell r="AJ159" t="str">
            <v>3/16</v>
          </cell>
        </row>
        <row r="160">
          <cell r="C160">
            <v>8000</v>
          </cell>
          <cell r="F160" t="str">
            <v>D</v>
          </cell>
          <cell r="V160">
            <v>4743750</v>
          </cell>
          <cell r="AJ160" t="str">
            <v>3/16</v>
          </cell>
        </row>
        <row r="161">
          <cell r="C161">
            <v>8000</v>
          </cell>
          <cell r="F161" t="str">
            <v>D</v>
          </cell>
          <cell r="V161">
            <v>8696875</v>
          </cell>
          <cell r="AJ161" t="str">
            <v>3/5</v>
          </cell>
        </row>
        <row r="162">
          <cell r="C162">
            <v>8000</v>
          </cell>
          <cell r="F162" t="str">
            <v>D</v>
          </cell>
          <cell r="V162">
            <v>7115625</v>
          </cell>
          <cell r="AJ162" t="str">
            <v>3/5</v>
          </cell>
        </row>
        <row r="163">
          <cell r="C163">
            <v>8000</v>
          </cell>
          <cell r="F163" t="str">
            <v>D</v>
          </cell>
          <cell r="V163">
            <v>5578650</v>
          </cell>
          <cell r="AJ163" t="str">
            <v>3/12</v>
          </cell>
        </row>
        <row r="164">
          <cell r="C164">
            <v>8000</v>
          </cell>
          <cell r="F164" t="str">
            <v>D</v>
          </cell>
          <cell r="V164">
            <v>5578650</v>
          </cell>
          <cell r="AJ164" t="str">
            <v>3/12</v>
          </cell>
        </row>
        <row r="165">
          <cell r="C165">
            <v>8000</v>
          </cell>
          <cell r="F165" t="str">
            <v>D</v>
          </cell>
          <cell r="V165">
            <v>4554000</v>
          </cell>
          <cell r="AJ165">
            <v>40249</v>
          </cell>
        </row>
        <row r="166">
          <cell r="C166">
            <v>8000</v>
          </cell>
          <cell r="F166" t="str">
            <v>D</v>
          </cell>
          <cell r="V166">
            <v>4554000</v>
          </cell>
          <cell r="AJ166">
            <v>40249</v>
          </cell>
        </row>
        <row r="167">
          <cell r="C167">
            <v>8000</v>
          </cell>
          <cell r="F167" t="str">
            <v>D</v>
          </cell>
          <cell r="V167">
            <v>8166289.7250000015</v>
          </cell>
          <cell r="AJ167">
            <v>40249</v>
          </cell>
        </row>
        <row r="168">
          <cell r="C168">
            <v>8000</v>
          </cell>
          <cell r="F168" t="str">
            <v>D</v>
          </cell>
          <cell r="V168">
            <v>5444193.1500000013</v>
          </cell>
          <cell r="AJ168">
            <v>40249</v>
          </cell>
        </row>
        <row r="169">
          <cell r="C169">
            <v>8000</v>
          </cell>
          <cell r="F169" t="str">
            <v>D</v>
          </cell>
          <cell r="V169">
            <v>4743750</v>
          </cell>
          <cell r="AJ169">
            <v>40256</v>
          </cell>
        </row>
        <row r="170">
          <cell r="C170" t="str">
            <v>EXPLORE</v>
          </cell>
          <cell r="F170" t="str">
            <v>D</v>
          </cell>
          <cell r="V170">
            <v>4743750</v>
          </cell>
          <cell r="AJ170" t="str">
            <v>2/26</v>
          </cell>
        </row>
        <row r="171">
          <cell r="C171" t="str">
            <v>EXPLORE</v>
          </cell>
          <cell r="F171" t="str">
            <v>D</v>
          </cell>
          <cell r="V171">
            <v>3383875</v>
          </cell>
          <cell r="AJ171" t="str">
            <v>2/26</v>
          </cell>
        </row>
        <row r="172">
          <cell r="C172" t="str">
            <v>EXPLORE</v>
          </cell>
          <cell r="F172" t="str">
            <v>D</v>
          </cell>
          <cell r="V172">
            <v>5533110</v>
          </cell>
          <cell r="AJ172">
            <v>40253</v>
          </cell>
        </row>
        <row r="173">
          <cell r="C173" t="str">
            <v>EXPLORE</v>
          </cell>
          <cell r="F173" t="str">
            <v>D</v>
          </cell>
          <cell r="V173">
            <v>5533110</v>
          </cell>
          <cell r="AJ173">
            <v>40253</v>
          </cell>
        </row>
        <row r="174">
          <cell r="C174" t="str">
            <v>EXPLORE</v>
          </cell>
          <cell r="F174" t="str">
            <v>D</v>
          </cell>
          <cell r="V174">
            <v>2561625</v>
          </cell>
          <cell r="AJ174">
            <v>40253</v>
          </cell>
        </row>
        <row r="175">
          <cell r="C175" t="str">
            <v>EXPLORE</v>
          </cell>
          <cell r="F175" t="str">
            <v>D</v>
          </cell>
          <cell r="V175">
            <v>2561625</v>
          </cell>
          <cell r="AJ175">
            <v>40263</v>
          </cell>
        </row>
        <row r="176">
          <cell r="C176" t="str">
            <v>EXPLORE</v>
          </cell>
          <cell r="F176" t="str">
            <v>D</v>
          </cell>
          <cell r="V176">
            <v>2561625</v>
          </cell>
          <cell r="AJ176">
            <v>40263</v>
          </cell>
        </row>
        <row r="177">
          <cell r="C177" t="str">
            <v>EXPLORE</v>
          </cell>
          <cell r="F177" t="str">
            <v>D</v>
          </cell>
          <cell r="V177">
            <v>8298400</v>
          </cell>
          <cell r="AJ177">
            <v>40263</v>
          </cell>
        </row>
        <row r="178">
          <cell r="C178" t="str">
            <v>EXPLORE</v>
          </cell>
          <cell r="F178" t="str">
            <v>D</v>
          </cell>
          <cell r="V178">
            <v>6638720</v>
          </cell>
          <cell r="AJ178">
            <v>40263</v>
          </cell>
        </row>
        <row r="179">
          <cell r="C179" t="str">
            <v>EXPLORE</v>
          </cell>
          <cell r="F179" t="str">
            <v>D</v>
          </cell>
          <cell r="V179">
            <v>8298400</v>
          </cell>
          <cell r="AJ179">
            <v>40263</v>
          </cell>
        </row>
        <row r="180">
          <cell r="C180" t="str">
            <v>EXPLORE</v>
          </cell>
          <cell r="F180" t="str">
            <v>D</v>
          </cell>
          <cell r="V180">
            <v>6638720</v>
          </cell>
          <cell r="AJ180">
            <v>40263</v>
          </cell>
        </row>
        <row r="181">
          <cell r="C181" t="str">
            <v>EXPLORE</v>
          </cell>
          <cell r="F181" t="str">
            <v>D</v>
          </cell>
          <cell r="V181">
            <v>5808880</v>
          </cell>
          <cell r="AJ181">
            <v>40263</v>
          </cell>
        </row>
        <row r="182">
          <cell r="C182" t="str">
            <v>EXPLORE</v>
          </cell>
          <cell r="F182" t="str">
            <v>D</v>
          </cell>
          <cell r="V182">
            <v>6767750</v>
          </cell>
          <cell r="AJ182">
            <v>40253</v>
          </cell>
        </row>
        <row r="183">
          <cell r="C183" t="str">
            <v>EXPLORE</v>
          </cell>
          <cell r="F183" t="str">
            <v>D</v>
          </cell>
          <cell r="V183">
            <v>5414200</v>
          </cell>
          <cell r="AJ183">
            <v>40253</v>
          </cell>
        </row>
        <row r="184">
          <cell r="C184" t="str">
            <v>EXPLORE</v>
          </cell>
          <cell r="F184" t="str">
            <v>D</v>
          </cell>
          <cell r="V184">
            <v>5882250</v>
          </cell>
          <cell r="AJ184">
            <v>40253</v>
          </cell>
        </row>
        <row r="185">
          <cell r="C185" t="str">
            <v>EXPLORE</v>
          </cell>
          <cell r="F185" t="str">
            <v>D</v>
          </cell>
          <cell r="V185">
            <v>6862625</v>
          </cell>
          <cell r="AJ185">
            <v>40253</v>
          </cell>
        </row>
        <row r="186">
          <cell r="C186" t="str">
            <v>EXPLORE</v>
          </cell>
          <cell r="F186" t="str">
            <v>D</v>
          </cell>
          <cell r="V186">
            <v>5882250</v>
          </cell>
          <cell r="AJ186">
            <v>40253</v>
          </cell>
        </row>
        <row r="187">
          <cell r="C187" t="str">
            <v>EXPLORE</v>
          </cell>
          <cell r="F187" t="str">
            <v>D</v>
          </cell>
          <cell r="V187">
            <v>5047350</v>
          </cell>
          <cell r="AJ187">
            <v>40253</v>
          </cell>
        </row>
        <row r="188">
          <cell r="C188" t="str">
            <v>EXPLORE</v>
          </cell>
          <cell r="F188" t="str">
            <v>D</v>
          </cell>
          <cell r="V188">
            <v>5888575</v>
          </cell>
          <cell r="AJ188">
            <v>40262</v>
          </cell>
        </row>
        <row r="189">
          <cell r="C189" t="str">
            <v>EXPLORE</v>
          </cell>
          <cell r="F189" t="str">
            <v>D</v>
          </cell>
          <cell r="V189">
            <v>5047350</v>
          </cell>
          <cell r="AJ189">
            <v>40262</v>
          </cell>
        </row>
        <row r="190">
          <cell r="C190" t="str">
            <v>EXPLORE</v>
          </cell>
          <cell r="F190" t="str">
            <v>D</v>
          </cell>
          <cell r="V190">
            <v>4933500</v>
          </cell>
          <cell r="AJ190" t="str">
            <v>3/19</v>
          </cell>
        </row>
        <row r="191">
          <cell r="C191" t="str">
            <v>EXPLORE</v>
          </cell>
          <cell r="F191" t="str">
            <v>D</v>
          </cell>
          <cell r="V191">
            <v>4933500</v>
          </cell>
          <cell r="AJ191" t="str">
            <v>3/19</v>
          </cell>
        </row>
        <row r="192">
          <cell r="C192" t="str">
            <v>EXPLORE</v>
          </cell>
          <cell r="F192" t="str">
            <v>D</v>
          </cell>
          <cell r="V192">
            <v>7172550</v>
          </cell>
          <cell r="AJ192" t="str">
            <v>3/5</v>
          </cell>
        </row>
        <row r="193">
          <cell r="C193" t="str">
            <v>EXPLORE</v>
          </cell>
          <cell r="F193" t="str">
            <v>D</v>
          </cell>
          <cell r="V193">
            <v>4781700</v>
          </cell>
          <cell r="AJ193" t="str">
            <v>3/5</v>
          </cell>
        </row>
        <row r="194">
          <cell r="C194" t="str">
            <v>EXPLORE</v>
          </cell>
          <cell r="F194" t="str">
            <v>D</v>
          </cell>
          <cell r="V194">
            <v>9961875</v>
          </cell>
          <cell r="AJ194" t="str">
            <v>3/23</v>
          </cell>
        </row>
        <row r="195">
          <cell r="C195" t="str">
            <v>EXPLORE</v>
          </cell>
          <cell r="F195" t="str">
            <v>D</v>
          </cell>
          <cell r="V195">
            <v>6641250</v>
          </cell>
          <cell r="AJ195" t="str">
            <v>3/23</v>
          </cell>
        </row>
        <row r="196">
          <cell r="C196" t="str">
            <v>EXPLORE</v>
          </cell>
          <cell r="F196" t="str">
            <v>D</v>
          </cell>
          <cell r="V196">
            <v>6967620</v>
          </cell>
          <cell r="AJ196" t="str">
            <v>3/5</v>
          </cell>
        </row>
        <row r="197">
          <cell r="C197" t="str">
            <v>EXPLORE</v>
          </cell>
          <cell r="F197" t="str">
            <v>D</v>
          </cell>
          <cell r="V197">
            <v>4645080</v>
          </cell>
          <cell r="AJ197" t="str">
            <v>3/5</v>
          </cell>
        </row>
        <row r="198">
          <cell r="C198" t="str">
            <v>EXPLORE</v>
          </cell>
          <cell r="F198" t="str">
            <v>D</v>
          </cell>
          <cell r="V198">
            <v>4383225</v>
          </cell>
          <cell r="AJ198" t="str">
            <v>3/19</v>
          </cell>
        </row>
        <row r="199">
          <cell r="C199" t="str">
            <v>EXPLORE</v>
          </cell>
          <cell r="F199" t="str">
            <v>D</v>
          </cell>
          <cell r="V199">
            <v>3652687.5</v>
          </cell>
          <cell r="AJ199" t="str">
            <v>3/19</v>
          </cell>
        </row>
        <row r="200">
          <cell r="C200" t="str">
            <v>EXPLORE</v>
          </cell>
          <cell r="F200" t="str">
            <v>D</v>
          </cell>
          <cell r="V200">
            <v>3447125</v>
          </cell>
          <cell r="AJ200" t="str">
            <v>3/19</v>
          </cell>
        </row>
        <row r="201">
          <cell r="C201" t="str">
            <v>EXPLORE</v>
          </cell>
          <cell r="F201" t="str">
            <v>D</v>
          </cell>
          <cell r="V201">
            <v>3447125</v>
          </cell>
          <cell r="AJ201" t="str">
            <v>3/19</v>
          </cell>
        </row>
        <row r="202">
          <cell r="C202" t="str">
            <v>EXPLORE</v>
          </cell>
          <cell r="F202" t="str">
            <v>D</v>
          </cell>
          <cell r="V202">
            <v>3447125</v>
          </cell>
          <cell r="AJ202" t="str">
            <v>3/5</v>
          </cell>
        </row>
        <row r="203">
          <cell r="C203" t="str">
            <v>EXPLORE</v>
          </cell>
          <cell r="F203" t="str">
            <v>D</v>
          </cell>
          <cell r="V203">
            <v>3447125</v>
          </cell>
          <cell r="AJ203" t="str">
            <v>3/5</v>
          </cell>
        </row>
        <row r="204">
          <cell r="C204" t="str">
            <v>Wild Cross</v>
          </cell>
          <cell r="F204" t="str">
            <v>D</v>
          </cell>
          <cell r="V204">
            <v>6400000</v>
          </cell>
          <cell r="AJ204">
            <v>40256</v>
          </cell>
        </row>
        <row r="205">
          <cell r="C205" t="str">
            <v>Wild Cross</v>
          </cell>
          <cell r="F205" t="str">
            <v>D</v>
          </cell>
          <cell r="V205">
            <v>8000000</v>
          </cell>
          <cell r="AJ205">
            <v>40256</v>
          </cell>
        </row>
        <row r="206">
          <cell r="C206" t="str">
            <v>Wild Cross</v>
          </cell>
          <cell r="F206" t="str">
            <v>D</v>
          </cell>
          <cell r="V206">
            <v>5534375</v>
          </cell>
          <cell r="AJ206" t="str">
            <v>3/24</v>
          </cell>
        </row>
        <row r="207">
          <cell r="C207" t="str">
            <v>Wild Cross</v>
          </cell>
          <cell r="F207" t="str">
            <v>D</v>
          </cell>
          <cell r="V207">
            <v>7115625</v>
          </cell>
          <cell r="AJ207" t="str">
            <v>3/24</v>
          </cell>
        </row>
        <row r="208">
          <cell r="C208" t="str">
            <v>Wild Cross</v>
          </cell>
          <cell r="F208" t="str">
            <v>D</v>
          </cell>
          <cell r="V208">
            <v>7536869.9999999991</v>
          </cell>
          <cell r="AJ208">
            <v>40256</v>
          </cell>
        </row>
        <row r="209">
          <cell r="C209" t="str">
            <v>Wild Cross</v>
          </cell>
          <cell r="F209" t="str">
            <v>D</v>
          </cell>
          <cell r="V209">
            <v>5862009.9999999991</v>
          </cell>
          <cell r="AJ209">
            <v>40256</v>
          </cell>
        </row>
        <row r="210">
          <cell r="C210" t="str">
            <v>Wild Cross</v>
          </cell>
          <cell r="F210" t="str">
            <v>D</v>
          </cell>
          <cell r="V210">
            <v>3700125</v>
          </cell>
          <cell r="AJ210">
            <v>40256</v>
          </cell>
        </row>
        <row r="211">
          <cell r="C211" t="str">
            <v>Wild Cross</v>
          </cell>
          <cell r="F211" t="str">
            <v>D</v>
          </cell>
          <cell r="V211">
            <v>2960100</v>
          </cell>
          <cell r="AJ211">
            <v>40256</v>
          </cell>
        </row>
        <row r="212">
          <cell r="C212" t="str">
            <v>Wild Cross</v>
          </cell>
          <cell r="F212" t="str">
            <v>D</v>
          </cell>
          <cell r="V212">
            <v>3266230</v>
          </cell>
          <cell r="AJ212">
            <v>40256</v>
          </cell>
        </row>
        <row r="213">
          <cell r="C213" t="str">
            <v>Wild Cross</v>
          </cell>
          <cell r="F213" t="str">
            <v>D</v>
          </cell>
          <cell r="V213">
            <v>3266230</v>
          </cell>
          <cell r="AJ213">
            <v>40256</v>
          </cell>
        </row>
        <row r="214">
          <cell r="C214" t="str">
            <v>Wild Cross</v>
          </cell>
          <cell r="F214" t="str">
            <v>D</v>
          </cell>
          <cell r="V214">
            <v>3200450</v>
          </cell>
          <cell r="AJ214" t="str">
            <v>3/19</v>
          </cell>
        </row>
        <row r="215">
          <cell r="C215" t="str">
            <v>Wild Cross</v>
          </cell>
          <cell r="F215" t="str">
            <v>D</v>
          </cell>
          <cell r="V215">
            <v>3200450</v>
          </cell>
          <cell r="AJ215" t="str">
            <v>3/26</v>
          </cell>
        </row>
        <row r="216">
          <cell r="C216" t="str">
            <v>Wild Cross</v>
          </cell>
          <cell r="F216" t="str">
            <v>D</v>
          </cell>
          <cell r="V216">
            <v>3238400</v>
          </cell>
          <cell r="AJ216" t="str">
            <v>3/26</v>
          </cell>
        </row>
        <row r="217">
          <cell r="C217" t="str">
            <v>Wild Cross</v>
          </cell>
          <cell r="F217" t="str">
            <v>D</v>
          </cell>
          <cell r="V217">
            <v>3046120</v>
          </cell>
          <cell r="AJ217" t="str">
            <v>3/3</v>
          </cell>
        </row>
        <row r="218">
          <cell r="C218" t="str">
            <v>Wild Cross</v>
          </cell>
          <cell r="F218" t="str">
            <v>D</v>
          </cell>
          <cell r="V218">
            <v>3046120</v>
          </cell>
          <cell r="AJ218" t="str">
            <v>3/3</v>
          </cell>
        </row>
        <row r="219">
          <cell r="C219" t="str">
            <v>Wild Cross</v>
          </cell>
          <cell r="F219" t="str">
            <v>D</v>
          </cell>
          <cell r="V219">
            <v>4018905</v>
          </cell>
          <cell r="AJ219" t="str">
            <v>3/5</v>
          </cell>
        </row>
        <row r="220">
          <cell r="C220" t="str">
            <v>Wild Cross</v>
          </cell>
          <cell r="F220" t="str">
            <v>D</v>
          </cell>
          <cell r="V220">
            <v>2679270</v>
          </cell>
          <cell r="AJ220" t="str">
            <v>3/5</v>
          </cell>
        </row>
        <row r="221">
          <cell r="C221" t="str">
            <v>Wild Cross</v>
          </cell>
          <cell r="F221" t="str">
            <v>D</v>
          </cell>
          <cell r="V221">
            <v>4777905</v>
          </cell>
          <cell r="AJ221" t="str">
            <v>3/3</v>
          </cell>
        </row>
        <row r="222">
          <cell r="C222" t="str">
            <v>Wild Cross</v>
          </cell>
          <cell r="F222" t="str">
            <v>D</v>
          </cell>
          <cell r="V222">
            <v>3981587.5</v>
          </cell>
          <cell r="AJ222" t="str">
            <v>3/3</v>
          </cell>
        </row>
        <row r="223">
          <cell r="C223">
            <v>8000</v>
          </cell>
          <cell r="F223" t="str">
            <v>D</v>
          </cell>
          <cell r="V223">
            <v>2492050</v>
          </cell>
        </row>
        <row r="224">
          <cell r="C224">
            <v>8000</v>
          </cell>
          <cell r="F224" t="str">
            <v>D</v>
          </cell>
          <cell r="V224">
            <v>2492050</v>
          </cell>
        </row>
        <row r="225">
          <cell r="C225" t="str">
            <v>EXPLORE</v>
          </cell>
          <cell r="F225" t="str">
            <v>D</v>
          </cell>
          <cell r="AJ225" t="str">
            <v>6/1</v>
          </cell>
        </row>
        <row r="226">
          <cell r="C226" t="str">
            <v>EXPLORE</v>
          </cell>
          <cell r="F226" t="str">
            <v>D</v>
          </cell>
          <cell r="AJ226" t="str">
            <v>6/1</v>
          </cell>
        </row>
        <row r="227">
          <cell r="C227" t="str">
            <v>EXPLORE</v>
          </cell>
          <cell r="F227" t="str">
            <v>D</v>
          </cell>
          <cell r="AJ227" t="str">
            <v>6/1</v>
          </cell>
        </row>
        <row r="228">
          <cell r="C228" t="str">
            <v>EXPLORE</v>
          </cell>
          <cell r="F228" t="str">
            <v>D</v>
          </cell>
          <cell r="AJ228" t="str">
            <v>6/1</v>
          </cell>
        </row>
        <row r="229">
          <cell r="C229" t="str">
            <v>EXPLORE</v>
          </cell>
          <cell r="F229" t="str">
            <v>D</v>
          </cell>
          <cell r="AJ229" t="str">
            <v>6/1</v>
          </cell>
        </row>
        <row r="230">
          <cell r="C230" t="str">
            <v>EXPLORE</v>
          </cell>
          <cell r="F230" t="str">
            <v>D</v>
          </cell>
          <cell r="AJ230" t="str">
            <v>6/1</v>
          </cell>
        </row>
        <row r="231">
          <cell r="C231" t="str">
            <v>EXPLORE</v>
          </cell>
          <cell r="F231" t="str">
            <v>D</v>
          </cell>
          <cell r="V231">
            <v>2123440</v>
          </cell>
          <cell r="AJ231">
            <v>40254</v>
          </cell>
        </row>
        <row r="232">
          <cell r="C232" t="str">
            <v>EXPLORE</v>
          </cell>
          <cell r="F232" t="str">
            <v>D</v>
          </cell>
          <cell r="V232">
            <v>2702560</v>
          </cell>
          <cell r="AJ232">
            <v>40254</v>
          </cell>
        </row>
        <row r="233">
          <cell r="C233" t="str">
            <v>EXPLORE</v>
          </cell>
          <cell r="F233" t="str">
            <v>D</v>
          </cell>
          <cell r="V233">
            <v>7748125</v>
          </cell>
          <cell r="AJ233">
            <v>40257</v>
          </cell>
        </row>
        <row r="234">
          <cell r="C234" t="str">
            <v>EXPLORE</v>
          </cell>
          <cell r="F234" t="str">
            <v>D</v>
          </cell>
          <cell r="V234">
            <v>7748125</v>
          </cell>
          <cell r="AJ234">
            <v>40249</v>
          </cell>
        </row>
        <row r="235">
          <cell r="C235" t="str">
            <v>EXPLORE</v>
          </cell>
          <cell r="F235" t="str">
            <v>D</v>
          </cell>
          <cell r="V235">
            <v>7748125</v>
          </cell>
          <cell r="AJ235">
            <v>40249</v>
          </cell>
        </row>
        <row r="236">
          <cell r="C236" t="str">
            <v>EXPLORE</v>
          </cell>
          <cell r="F236" t="str">
            <v>D</v>
          </cell>
          <cell r="V236">
            <v>5977125</v>
          </cell>
          <cell r="AJ236">
            <v>40262</v>
          </cell>
        </row>
        <row r="237">
          <cell r="C237">
            <v>8000</v>
          </cell>
          <cell r="F237" t="str">
            <v>D</v>
          </cell>
          <cell r="V237">
            <v>7748125</v>
          </cell>
          <cell r="AJ237" t="str">
            <v>3/18</v>
          </cell>
        </row>
        <row r="238">
          <cell r="C238">
            <v>8000</v>
          </cell>
          <cell r="F238" t="str">
            <v>D</v>
          </cell>
          <cell r="V238">
            <v>6053025</v>
          </cell>
          <cell r="AJ238" t="str">
            <v>3/18</v>
          </cell>
        </row>
        <row r="239">
          <cell r="C239">
            <v>8000</v>
          </cell>
          <cell r="F239" t="str">
            <v>D</v>
          </cell>
          <cell r="V239">
            <v>28372080</v>
          </cell>
          <cell r="AJ239" t="str">
            <v>3/18</v>
          </cell>
        </row>
        <row r="240">
          <cell r="C240">
            <v>8000</v>
          </cell>
          <cell r="F240" t="str">
            <v>D</v>
          </cell>
          <cell r="V240">
            <v>4728680</v>
          </cell>
          <cell r="AJ240" t="str">
            <v>3/18</v>
          </cell>
        </row>
        <row r="241">
          <cell r="C241">
            <v>8000</v>
          </cell>
          <cell r="F241" t="str">
            <v>D</v>
          </cell>
          <cell r="V241">
            <v>4728680</v>
          </cell>
          <cell r="AJ241" t="str">
            <v>3/18</v>
          </cell>
        </row>
        <row r="242">
          <cell r="C242">
            <v>8000</v>
          </cell>
          <cell r="F242" t="str">
            <v>D</v>
          </cell>
          <cell r="V242">
            <v>13201100</v>
          </cell>
          <cell r="AJ242" t="str">
            <v>3/18</v>
          </cell>
        </row>
        <row r="243">
          <cell r="C243">
            <v>8000</v>
          </cell>
          <cell r="F243" t="str">
            <v>D</v>
          </cell>
          <cell r="V243">
            <v>6600550</v>
          </cell>
          <cell r="AJ243" t="str">
            <v>3/18</v>
          </cell>
        </row>
        <row r="244">
          <cell r="C244">
            <v>8000</v>
          </cell>
          <cell r="F244" t="str">
            <v>D</v>
          </cell>
          <cell r="V244">
            <v>14350600</v>
          </cell>
          <cell r="AJ244" t="str">
            <v>3/18</v>
          </cell>
        </row>
        <row r="245">
          <cell r="C245">
            <v>8000</v>
          </cell>
          <cell r="F245" t="str">
            <v>D</v>
          </cell>
          <cell r="V245">
            <v>7175300</v>
          </cell>
          <cell r="AJ245" t="str">
            <v>3/18</v>
          </cell>
        </row>
        <row r="246">
          <cell r="C246">
            <v>8000</v>
          </cell>
          <cell r="F246" t="str">
            <v>D</v>
          </cell>
          <cell r="V246">
            <v>15439600</v>
          </cell>
          <cell r="AJ246" t="str">
            <v>3/17</v>
          </cell>
        </row>
        <row r="247">
          <cell r="C247">
            <v>8000</v>
          </cell>
          <cell r="F247" t="str">
            <v>D</v>
          </cell>
          <cell r="V247">
            <v>9263760</v>
          </cell>
          <cell r="AJ247" t="str">
            <v>3/17</v>
          </cell>
        </row>
        <row r="248">
          <cell r="C248">
            <v>8000</v>
          </cell>
          <cell r="F248" t="str">
            <v>D</v>
          </cell>
          <cell r="V248">
            <v>6843760.0000000009</v>
          </cell>
          <cell r="AJ248" t="str">
            <v>3/17</v>
          </cell>
        </row>
        <row r="249">
          <cell r="C249">
            <v>8000</v>
          </cell>
          <cell r="F249" t="str">
            <v>D</v>
          </cell>
          <cell r="V249">
            <v>10265640</v>
          </cell>
          <cell r="AJ249" t="str">
            <v>3/17</v>
          </cell>
        </row>
        <row r="250">
          <cell r="C250">
            <v>8000</v>
          </cell>
          <cell r="F250" t="str">
            <v>D</v>
          </cell>
          <cell r="V250">
            <v>9793740</v>
          </cell>
          <cell r="AJ250" t="str">
            <v>3/17</v>
          </cell>
        </row>
        <row r="251">
          <cell r="C251">
            <v>8000</v>
          </cell>
          <cell r="F251" t="str">
            <v>D</v>
          </cell>
          <cell r="V251">
            <v>6529160</v>
          </cell>
          <cell r="AJ251" t="str">
            <v>3/17</v>
          </cell>
        </row>
        <row r="252">
          <cell r="C252">
            <v>8000</v>
          </cell>
          <cell r="F252" t="str">
            <v>D</v>
          </cell>
          <cell r="V252">
            <v>11426030</v>
          </cell>
          <cell r="AJ252" t="str">
            <v>3/17</v>
          </cell>
        </row>
        <row r="253">
          <cell r="C253">
            <v>8000</v>
          </cell>
          <cell r="F253" t="str">
            <v>D</v>
          </cell>
          <cell r="V253">
            <v>8161450</v>
          </cell>
          <cell r="AJ253" t="str">
            <v>3/18</v>
          </cell>
        </row>
        <row r="254">
          <cell r="C254">
            <v>8000</v>
          </cell>
          <cell r="F254" t="str">
            <v>D</v>
          </cell>
          <cell r="V254">
            <v>13058320</v>
          </cell>
          <cell r="AJ254" t="str">
            <v>3/18</v>
          </cell>
        </row>
        <row r="255">
          <cell r="C255">
            <v>8000</v>
          </cell>
          <cell r="F255" t="str">
            <v>D</v>
          </cell>
          <cell r="V255">
            <v>33967120</v>
          </cell>
          <cell r="AJ255" t="str">
            <v>3/18</v>
          </cell>
        </row>
        <row r="256">
          <cell r="C256">
            <v>8000</v>
          </cell>
          <cell r="F256" t="str">
            <v>D</v>
          </cell>
          <cell r="V256">
            <v>26353800</v>
          </cell>
          <cell r="AJ256" t="str">
            <v>3/18</v>
          </cell>
        </row>
        <row r="257">
          <cell r="C257">
            <v>8000</v>
          </cell>
          <cell r="F257" t="str">
            <v>D</v>
          </cell>
          <cell r="V257">
            <v>16862560</v>
          </cell>
          <cell r="AJ257" t="str">
            <v>3/18</v>
          </cell>
        </row>
        <row r="258">
          <cell r="C258">
            <v>8000</v>
          </cell>
          <cell r="F258" t="str">
            <v>D</v>
          </cell>
          <cell r="V258">
            <v>4215640</v>
          </cell>
          <cell r="AJ258">
            <v>40277</v>
          </cell>
        </row>
        <row r="259">
          <cell r="C259">
            <v>8000</v>
          </cell>
          <cell r="F259" t="str">
            <v>D</v>
          </cell>
          <cell r="V259">
            <v>6323460</v>
          </cell>
          <cell r="AJ259">
            <v>40277</v>
          </cell>
        </row>
        <row r="260">
          <cell r="C260">
            <v>8000</v>
          </cell>
          <cell r="F260" t="str">
            <v>D</v>
          </cell>
          <cell r="V260">
            <v>15391200</v>
          </cell>
          <cell r="AJ260">
            <v>40277</v>
          </cell>
        </row>
        <row r="261">
          <cell r="C261">
            <v>8000</v>
          </cell>
          <cell r="F261" t="str">
            <v>D</v>
          </cell>
          <cell r="V261">
            <v>9234720</v>
          </cell>
          <cell r="AJ261">
            <v>40253</v>
          </cell>
        </row>
        <row r="262">
          <cell r="C262">
            <v>8000</v>
          </cell>
          <cell r="F262" t="str">
            <v>D</v>
          </cell>
          <cell r="V262">
            <v>4617360</v>
          </cell>
          <cell r="AJ262">
            <v>40253</v>
          </cell>
        </row>
        <row r="263">
          <cell r="C263">
            <v>8000</v>
          </cell>
          <cell r="F263" t="str">
            <v>D</v>
          </cell>
          <cell r="V263">
            <v>9892960</v>
          </cell>
          <cell r="AJ263" t="str">
            <v>3/17</v>
          </cell>
        </row>
        <row r="264">
          <cell r="C264">
            <v>8000</v>
          </cell>
          <cell r="F264" t="str">
            <v>D</v>
          </cell>
          <cell r="V264">
            <v>6183100</v>
          </cell>
          <cell r="AJ264" t="str">
            <v>3/17</v>
          </cell>
        </row>
        <row r="265">
          <cell r="C265">
            <v>8000</v>
          </cell>
          <cell r="F265" t="str">
            <v>D</v>
          </cell>
          <cell r="V265">
            <v>15149200</v>
          </cell>
          <cell r="AJ265" t="str">
            <v>3/26</v>
          </cell>
        </row>
        <row r="266">
          <cell r="C266">
            <v>8000</v>
          </cell>
          <cell r="F266" t="str">
            <v>D</v>
          </cell>
          <cell r="V266">
            <v>9468250</v>
          </cell>
          <cell r="AJ266" t="str">
            <v>3/26</v>
          </cell>
        </row>
        <row r="267">
          <cell r="C267">
            <v>8000</v>
          </cell>
          <cell r="F267" t="str">
            <v>D</v>
          </cell>
          <cell r="V267">
            <v>12080640</v>
          </cell>
          <cell r="AJ267" t="str">
            <v>3/30</v>
          </cell>
        </row>
        <row r="268">
          <cell r="C268">
            <v>8000</v>
          </cell>
          <cell r="F268" t="str">
            <v>D</v>
          </cell>
          <cell r="V268">
            <v>7550400</v>
          </cell>
          <cell r="AJ268" t="str">
            <v>3/30</v>
          </cell>
        </row>
        <row r="269">
          <cell r="C269">
            <v>8000</v>
          </cell>
          <cell r="F269" t="str">
            <v>D</v>
          </cell>
          <cell r="V269">
            <v>10357600</v>
          </cell>
          <cell r="AJ269" t="str">
            <v>3/26</v>
          </cell>
        </row>
        <row r="270">
          <cell r="C270">
            <v>8000</v>
          </cell>
          <cell r="F270" t="str">
            <v>D</v>
          </cell>
          <cell r="V270">
            <v>6473500</v>
          </cell>
          <cell r="AJ270" t="str">
            <v>3/26</v>
          </cell>
        </row>
        <row r="271">
          <cell r="C271">
            <v>8000</v>
          </cell>
          <cell r="F271" t="str">
            <v>D</v>
          </cell>
          <cell r="V271">
            <v>7284200</v>
          </cell>
          <cell r="AJ271">
            <v>40277</v>
          </cell>
        </row>
        <row r="272">
          <cell r="C272">
            <v>8000</v>
          </cell>
          <cell r="F272" t="str">
            <v>D</v>
          </cell>
          <cell r="V272">
            <v>4552625</v>
          </cell>
          <cell r="AJ272">
            <v>40277</v>
          </cell>
        </row>
        <row r="273">
          <cell r="C273" t="str">
            <v>EXPLORE</v>
          </cell>
          <cell r="F273" t="str">
            <v>D</v>
          </cell>
          <cell r="V273">
            <v>5227200</v>
          </cell>
          <cell r="AJ273" t="str">
            <v>3/19</v>
          </cell>
        </row>
        <row r="274">
          <cell r="C274" t="str">
            <v>EXPLORE</v>
          </cell>
          <cell r="F274" t="str">
            <v>D</v>
          </cell>
          <cell r="V274">
            <v>5227200</v>
          </cell>
          <cell r="AJ274" t="str">
            <v>3/19</v>
          </cell>
        </row>
        <row r="275">
          <cell r="C275" t="str">
            <v>EXPLORE</v>
          </cell>
          <cell r="F275" t="str">
            <v>D</v>
          </cell>
          <cell r="V275">
            <v>12670240</v>
          </cell>
          <cell r="AJ275" t="str">
            <v>3/2</v>
          </cell>
        </row>
        <row r="276">
          <cell r="C276" t="str">
            <v>EXPLORE</v>
          </cell>
          <cell r="F276" t="str">
            <v>D</v>
          </cell>
          <cell r="V276">
            <v>7918900</v>
          </cell>
          <cell r="AJ276" t="str">
            <v>3/2</v>
          </cell>
        </row>
        <row r="277">
          <cell r="C277" t="str">
            <v>EXPLORE</v>
          </cell>
          <cell r="F277" t="str">
            <v>D</v>
          </cell>
          <cell r="V277">
            <v>11476080</v>
          </cell>
          <cell r="AJ277" t="str">
            <v>3/2</v>
          </cell>
        </row>
        <row r="278">
          <cell r="C278" t="str">
            <v>EXPLORE</v>
          </cell>
          <cell r="F278" t="str">
            <v>D</v>
          </cell>
          <cell r="V278">
            <v>5738040</v>
          </cell>
          <cell r="AJ278">
            <v>40257</v>
          </cell>
        </row>
        <row r="279">
          <cell r="C279" t="str">
            <v>EXPLORE</v>
          </cell>
          <cell r="F279" t="str">
            <v>D</v>
          </cell>
          <cell r="V279">
            <v>5738040</v>
          </cell>
          <cell r="AJ279">
            <v>40257</v>
          </cell>
        </row>
        <row r="280">
          <cell r="C280" t="str">
            <v>EXPLORE</v>
          </cell>
          <cell r="F280" t="str">
            <v>D</v>
          </cell>
          <cell r="V280">
            <v>6429362.5</v>
          </cell>
          <cell r="AJ280" t="str">
            <v>3/5</v>
          </cell>
        </row>
        <row r="281">
          <cell r="C281" t="str">
            <v>EXPLORE</v>
          </cell>
          <cell r="F281" t="str">
            <v>D</v>
          </cell>
          <cell r="V281">
            <v>6429362.5</v>
          </cell>
          <cell r="AJ281" t="str">
            <v>3/5</v>
          </cell>
        </row>
        <row r="282">
          <cell r="C282" t="str">
            <v>EXPLORE</v>
          </cell>
          <cell r="F282" t="str">
            <v>D</v>
          </cell>
          <cell r="V282">
            <v>9108000</v>
          </cell>
          <cell r="AJ282" t="str">
            <v>3/10</v>
          </cell>
        </row>
        <row r="283">
          <cell r="C283" t="str">
            <v>EXPLORE</v>
          </cell>
          <cell r="F283" t="str">
            <v>D</v>
          </cell>
          <cell r="V283">
            <v>9108000</v>
          </cell>
          <cell r="AJ283" t="str">
            <v>3/10</v>
          </cell>
        </row>
        <row r="284">
          <cell r="C284" t="str">
            <v>EXPLORE</v>
          </cell>
          <cell r="F284" t="str">
            <v>D</v>
          </cell>
          <cell r="V284">
            <v>10519740</v>
          </cell>
          <cell r="AJ284">
            <v>40257</v>
          </cell>
        </row>
        <row r="285">
          <cell r="C285" t="str">
            <v>EXPLORE</v>
          </cell>
          <cell r="F285" t="str">
            <v>D</v>
          </cell>
          <cell r="V285">
            <v>7514100</v>
          </cell>
          <cell r="AJ285">
            <v>40257</v>
          </cell>
        </row>
        <row r="286">
          <cell r="C286" t="str">
            <v>EXPLORE</v>
          </cell>
          <cell r="F286" t="str">
            <v>D</v>
          </cell>
          <cell r="V286">
            <v>6720312.5</v>
          </cell>
          <cell r="AJ286" t="str">
            <v>3/26</v>
          </cell>
        </row>
        <row r="287">
          <cell r="C287" t="str">
            <v>EXPLORE</v>
          </cell>
          <cell r="F287" t="str">
            <v>D</v>
          </cell>
          <cell r="V287">
            <v>6720312.5</v>
          </cell>
          <cell r="AJ287" t="str">
            <v>3/26</v>
          </cell>
        </row>
        <row r="288">
          <cell r="C288" t="str">
            <v>EXPLORE</v>
          </cell>
          <cell r="F288" t="str">
            <v>D</v>
          </cell>
          <cell r="V288">
            <v>7362300</v>
          </cell>
          <cell r="AJ288" t="str">
            <v>3/26</v>
          </cell>
        </row>
        <row r="289">
          <cell r="C289" t="str">
            <v>EXPLORE</v>
          </cell>
          <cell r="F289" t="str">
            <v>D</v>
          </cell>
          <cell r="V289">
            <v>7362300</v>
          </cell>
          <cell r="AJ289" t="str">
            <v>3/26</v>
          </cell>
        </row>
        <row r="290">
          <cell r="C290" t="str">
            <v>EXPLORE</v>
          </cell>
          <cell r="F290" t="str">
            <v>D</v>
          </cell>
          <cell r="V290">
            <v>7033400</v>
          </cell>
          <cell r="AJ290" t="str">
            <v>3/26</v>
          </cell>
        </row>
        <row r="291">
          <cell r="C291" t="str">
            <v>EXPLORE</v>
          </cell>
          <cell r="F291" t="str">
            <v>D</v>
          </cell>
          <cell r="V291">
            <v>7033400</v>
          </cell>
          <cell r="AJ291" t="str">
            <v>3/26</v>
          </cell>
        </row>
        <row r="292">
          <cell r="C292" t="str">
            <v>EXPLORE</v>
          </cell>
          <cell r="F292" t="str">
            <v>D</v>
          </cell>
          <cell r="V292">
            <v>7590000</v>
          </cell>
          <cell r="AJ292" t="str">
            <v>4/15</v>
          </cell>
        </row>
        <row r="293">
          <cell r="C293" t="str">
            <v>EXPLORE</v>
          </cell>
          <cell r="F293" t="str">
            <v>D</v>
          </cell>
          <cell r="V293">
            <v>7590000</v>
          </cell>
          <cell r="AJ293" t="str">
            <v>4/15</v>
          </cell>
        </row>
        <row r="294">
          <cell r="C294" t="str">
            <v>Wild Cross</v>
          </cell>
          <cell r="F294" t="str">
            <v>D</v>
          </cell>
          <cell r="V294">
            <v>5629250</v>
          </cell>
          <cell r="AJ294" t="str">
            <v>3/19</v>
          </cell>
        </row>
        <row r="295">
          <cell r="C295" t="str">
            <v>Wild Cross</v>
          </cell>
          <cell r="F295" t="str">
            <v>D</v>
          </cell>
          <cell r="V295">
            <v>5629250</v>
          </cell>
          <cell r="AJ295" t="str">
            <v>3/19</v>
          </cell>
        </row>
        <row r="296">
          <cell r="C296" t="str">
            <v>Wild Cross</v>
          </cell>
          <cell r="F296" t="str">
            <v>D</v>
          </cell>
          <cell r="V296">
            <v>5057800</v>
          </cell>
          <cell r="AJ296" t="str">
            <v>3/17</v>
          </cell>
        </row>
        <row r="297">
          <cell r="C297" t="str">
            <v>Wild Cross</v>
          </cell>
          <cell r="F297" t="str">
            <v>D</v>
          </cell>
          <cell r="V297">
            <v>5057800</v>
          </cell>
          <cell r="AJ297">
            <v>40263</v>
          </cell>
        </row>
        <row r="298">
          <cell r="C298" t="str">
            <v>Wild Cross</v>
          </cell>
          <cell r="F298" t="str">
            <v>D</v>
          </cell>
          <cell r="V298">
            <v>5057800</v>
          </cell>
          <cell r="AJ298">
            <v>40263</v>
          </cell>
        </row>
        <row r="299">
          <cell r="C299" t="str">
            <v>Wild Cross</v>
          </cell>
          <cell r="F299" t="str">
            <v>D</v>
          </cell>
          <cell r="V299">
            <v>4840000</v>
          </cell>
          <cell r="AJ299">
            <v>40263</v>
          </cell>
        </row>
        <row r="300">
          <cell r="C300" t="str">
            <v>Wild Cross</v>
          </cell>
          <cell r="F300" t="str">
            <v>D</v>
          </cell>
          <cell r="V300">
            <v>4840000</v>
          </cell>
          <cell r="AJ300">
            <v>40268</v>
          </cell>
        </row>
        <row r="301">
          <cell r="C301" t="str">
            <v>Wild Cross</v>
          </cell>
          <cell r="F301" t="str">
            <v>D</v>
          </cell>
          <cell r="V301">
            <v>5106200</v>
          </cell>
          <cell r="AJ301">
            <v>40252</v>
          </cell>
        </row>
        <row r="302">
          <cell r="C302" t="str">
            <v>Wild Cross</v>
          </cell>
          <cell r="F302" t="str">
            <v>D</v>
          </cell>
          <cell r="V302">
            <v>3993000</v>
          </cell>
          <cell r="AJ302" t="str">
            <v>3/3</v>
          </cell>
        </row>
        <row r="303">
          <cell r="C303" t="str">
            <v>Wild Cross</v>
          </cell>
          <cell r="F303" t="str">
            <v>D</v>
          </cell>
          <cell r="V303">
            <v>3339600</v>
          </cell>
          <cell r="AJ303" t="str">
            <v>3/3</v>
          </cell>
        </row>
        <row r="304">
          <cell r="C304" t="str">
            <v>Wild Cross</v>
          </cell>
          <cell r="F304" t="str">
            <v>D</v>
          </cell>
          <cell r="V304">
            <v>5653120</v>
          </cell>
          <cell r="AJ304" t="str">
            <v>3/3</v>
          </cell>
        </row>
        <row r="305">
          <cell r="C305" t="str">
            <v>Wild Cross</v>
          </cell>
          <cell r="F305" t="str">
            <v>D</v>
          </cell>
          <cell r="V305">
            <v>5653120</v>
          </cell>
          <cell r="AJ305" t="str">
            <v>3/3</v>
          </cell>
        </row>
        <row r="306">
          <cell r="C306" t="str">
            <v>Wild Cross</v>
          </cell>
          <cell r="F306" t="str">
            <v>D</v>
          </cell>
          <cell r="V306">
            <v>5808000</v>
          </cell>
          <cell r="AJ306" t="str">
            <v>3/3</v>
          </cell>
        </row>
        <row r="307">
          <cell r="C307" t="str">
            <v>Wild Cross</v>
          </cell>
          <cell r="F307" t="str">
            <v>D</v>
          </cell>
          <cell r="V307">
            <v>5808000</v>
          </cell>
          <cell r="AJ307" t="str">
            <v>3/3</v>
          </cell>
        </row>
        <row r="308">
          <cell r="C308" t="str">
            <v>Wild Cross</v>
          </cell>
          <cell r="F308" t="str">
            <v>D</v>
          </cell>
          <cell r="V308">
            <v>5009400</v>
          </cell>
          <cell r="AJ308" t="str">
            <v>3/3</v>
          </cell>
        </row>
        <row r="309">
          <cell r="C309" t="str">
            <v>Wild Cross</v>
          </cell>
          <cell r="F309" t="str">
            <v>D</v>
          </cell>
          <cell r="V309">
            <v>5009400</v>
          </cell>
          <cell r="AJ309" t="str">
            <v>3/3</v>
          </cell>
        </row>
        <row r="310">
          <cell r="C310" t="str">
            <v>EXPLORE</v>
          </cell>
          <cell r="F310" t="str">
            <v>D</v>
          </cell>
          <cell r="V310">
            <v>7123875</v>
          </cell>
          <cell r="AJ310" t="str">
            <v>6/1</v>
          </cell>
        </row>
        <row r="311">
          <cell r="C311" t="str">
            <v>EXPLORE</v>
          </cell>
          <cell r="F311" t="str">
            <v>D</v>
          </cell>
          <cell r="V311">
            <v>5699100</v>
          </cell>
          <cell r="AJ311" t="str">
            <v>6/1</v>
          </cell>
        </row>
        <row r="312">
          <cell r="C312" t="str">
            <v>EXPLORE</v>
          </cell>
          <cell r="F312" t="str">
            <v>D</v>
          </cell>
          <cell r="V312">
            <v>2752000</v>
          </cell>
        </row>
        <row r="313">
          <cell r="C313" t="str">
            <v>EXPLORE</v>
          </cell>
          <cell r="F313" t="str">
            <v>D</v>
          </cell>
          <cell r="V313">
            <v>1761280</v>
          </cell>
        </row>
        <row r="314">
          <cell r="C314" t="str">
            <v>EXPLORE</v>
          </cell>
          <cell r="F314" t="str">
            <v>D</v>
          </cell>
        </row>
        <row r="315">
          <cell r="C315">
            <v>8000</v>
          </cell>
          <cell r="F315" t="str">
            <v>I</v>
          </cell>
          <cell r="AJ315">
            <v>40237</v>
          </cell>
        </row>
        <row r="316">
          <cell r="C316">
            <v>8000</v>
          </cell>
          <cell r="F316" t="str">
            <v>D</v>
          </cell>
          <cell r="V316">
            <v>1901600</v>
          </cell>
          <cell r="AJ316">
            <v>40237</v>
          </cell>
        </row>
        <row r="317">
          <cell r="C317">
            <v>8000</v>
          </cell>
          <cell r="F317" t="str">
            <v>I</v>
          </cell>
          <cell r="V317">
            <v>31250000</v>
          </cell>
          <cell r="AJ317">
            <v>40237</v>
          </cell>
        </row>
        <row r="318">
          <cell r="C318">
            <v>8000</v>
          </cell>
          <cell r="F318" t="str">
            <v>I</v>
          </cell>
          <cell r="V318">
            <v>31250000</v>
          </cell>
          <cell r="AJ318">
            <v>40237</v>
          </cell>
        </row>
        <row r="319">
          <cell r="C319">
            <v>8000</v>
          </cell>
          <cell r="F319" t="str">
            <v>I</v>
          </cell>
          <cell r="V319">
            <v>36064000</v>
          </cell>
          <cell r="AJ319">
            <v>40237</v>
          </cell>
        </row>
        <row r="320">
          <cell r="C320">
            <v>8000</v>
          </cell>
          <cell r="F320" t="str">
            <v>I</v>
          </cell>
          <cell r="V320">
            <v>39200000</v>
          </cell>
          <cell r="AJ320">
            <v>40256</v>
          </cell>
        </row>
        <row r="321">
          <cell r="C321">
            <v>8000</v>
          </cell>
          <cell r="F321" t="str">
            <v>i</v>
          </cell>
          <cell r="V321">
            <v>39200000</v>
          </cell>
          <cell r="AJ321">
            <v>40256</v>
          </cell>
        </row>
        <row r="322">
          <cell r="C322">
            <v>8000</v>
          </cell>
          <cell r="F322" t="str">
            <v>I</v>
          </cell>
          <cell r="V322">
            <v>55200000</v>
          </cell>
          <cell r="AJ322">
            <v>40249</v>
          </cell>
        </row>
        <row r="323">
          <cell r="C323">
            <v>8000</v>
          </cell>
          <cell r="F323" t="str">
            <v>I</v>
          </cell>
          <cell r="V323">
            <v>55200000</v>
          </cell>
          <cell r="AJ323">
            <v>40249</v>
          </cell>
        </row>
        <row r="324">
          <cell r="C324">
            <v>8000</v>
          </cell>
          <cell r="F324" t="str">
            <v>I</v>
          </cell>
          <cell r="V324">
            <v>19950000</v>
          </cell>
          <cell r="AJ324">
            <v>40249</v>
          </cell>
        </row>
        <row r="325">
          <cell r="C325">
            <v>8000</v>
          </cell>
          <cell r="F325" t="str">
            <v>I</v>
          </cell>
          <cell r="V325">
            <v>26600000</v>
          </cell>
          <cell r="AJ325">
            <v>40235</v>
          </cell>
        </row>
        <row r="326">
          <cell r="C326">
            <v>8000</v>
          </cell>
          <cell r="F326" t="str">
            <v>I</v>
          </cell>
          <cell r="V326">
            <v>33250000</v>
          </cell>
          <cell r="AJ326">
            <v>40235</v>
          </cell>
        </row>
        <row r="327">
          <cell r="C327">
            <v>8000</v>
          </cell>
          <cell r="F327" t="str">
            <v>I</v>
          </cell>
          <cell r="V327">
            <v>27900000</v>
          </cell>
          <cell r="AJ327">
            <v>40249</v>
          </cell>
        </row>
        <row r="328">
          <cell r="C328">
            <v>8000</v>
          </cell>
          <cell r="F328" t="str">
            <v>I</v>
          </cell>
          <cell r="V328">
            <v>46500000</v>
          </cell>
          <cell r="AJ328">
            <v>40249</v>
          </cell>
        </row>
        <row r="329">
          <cell r="C329">
            <v>8000</v>
          </cell>
          <cell r="F329" t="str">
            <v>I</v>
          </cell>
          <cell r="V329">
            <v>19350000</v>
          </cell>
          <cell r="AJ329">
            <v>40249</v>
          </cell>
        </row>
        <row r="330">
          <cell r="C330">
            <v>8000</v>
          </cell>
          <cell r="F330" t="str">
            <v>I</v>
          </cell>
          <cell r="V330">
            <v>19350000</v>
          </cell>
          <cell r="AJ330">
            <v>40235</v>
          </cell>
        </row>
        <row r="331">
          <cell r="C331">
            <v>8000</v>
          </cell>
          <cell r="F331" t="str">
            <v>I</v>
          </cell>
          <cell r="V331">
            <v>25800000</v>
          </cell>
          <cell r="AJ331">
            <v>40237</v>
          </cell>
        </row>
        <row r="332">
          <cell r="C332">
            <v>8000</v>
          </cell>
          <cell r="F332" t="str">
            <v>I</v>
          </cell>
          <cell r="V332">
            <v>13200000</v>
          </cell>
          <cell r="AJ332">
            <v>40256</v>
          </cell>
        </row>
        <row r="333">
          <cell r="C333">
            <v>8000</v>
          </cell>
          <cell r="F333" t="str">
            <v>I</v>
          </cell>
          <cell r="V333">
            <v>19488000</v>
          </cell>
          <cell r="AJ333" t="str">
            <v xml:space="preserve">3/11,3/26 </v>
          </cell>
        </row>
        <row r="334">
          <cell r="C334">
            <v>8000</v>
          </cell>
          <cell r="F334" t="str">
            <v>I</v>
          </cell>
          <cell r="V334">
            <v>15200000</v>
          </cell>
          <cell r="AJ334" t="str">
            <v xml:space="preserve">3/11,3/26 </v>
          </cell>
        </row>
        <row r="335">
          <cell r="C335">
            <v>8000</v>
          </cell>
          <cell r="F335" t="str">
            <v>I</v>
          </cell>
          <cell r="V335">
            <v>1650000</v>
          </cell>
          <cell r="AJ335" t="str">
            <v xml:space="preserve">3/11,3/26 </v>
          </cell>
        </row>
        <row r="336">
          <cell r="C336">
            <v>8000</v>
          </cell>
          <cell r="F336" t="str">
            <v>I</v>
          </cell>
          <cell r="V336">
            <v>1980000</v>
          </cell>
          <cell r="AJ336" t="str">
            <v xml:space="preserve">3/11,3/26 </v>
          </cell>
        </row>
        <row r="337">
          <cell r="C337">
            <v>8000</v>
          </cell>
          <cell r="F337" t="str">
            <v>I</v>
          </cell>
          <cell r="V337">
            <v>1650000</v>
          </cell>
          <cell r="AJ337" t="str">
            <v xml:space="preserve">3/11,3/26 </v>
          </cell>
        </row>
        <row r="338">
          <cell r="C338">
            <v>8000</v>
          </cell>
          <cell r="F338" t="str">
            <v>I</v>
          </cell>
          <cell r="V338">
            <v>1500000</v>
          </cell>
          <cell r="AJ338" t="str">
            <v xml:space="preserve">3/11,3/26 </v>
          </cell>
        </row>
        <row r="339">
          <cell r="C339" t="str">
            <v>EXPLORE</v>
          </cell>
          <cell r="F339" t="str">
            <v>I</v>
          </cell>
          <cell r="V339">
            <v>1500000</v>
          </cell>
          <cell r="AJ339">
            <v>40256</v>
          </cell>
        </row>
        <row r="340">
          <cell r="C340" t="str">
            <v>EXPLORE</v>
          </cell>
          <cell r="F340" t="str">
            <v>I</v>
          </cell>
          <cell r="V340">
            <v>1500000</v>
          </cell>
          <cell r="AJ340">
            <v>40256</v>
          </cell>
        </row>
        <row r="341">
          <cell r="C341" t="str">
            <v>EXPLORE</v>
          </cell>
          <cell r="F341" t="str">
            <v>I</v>
          </cell>
          <cell r="V341">
            <v>7900000</v>
          </cell>
          <cell r="AJ341" t="str">
            <v>3/17,3/22</v>
          </cell>
        </row>
        <row r="342">
          <cell r="C342" t="str">
            <v>EXPLORE</v>
          </cell>
          <cell r="F342" t="str">
            <v>I</v>
          </cell>
          <cell r="V342">
            <v>7900000</v>
          </cell>
          <cell r="AJ342" t="str">
            <v>3/17,3/22</v>
          </cell>
        </row>
        <row r="343">
          <cell r="C343" t="str">
            <v>EXPLORE</v>
          </cell>
          <cell r="F343" t="str">
            <v>I</v>
          </cell>
          <cell r="V343">
            <v>3600000</v>
          </cell>
          <cell r="AJ343" t="str">
            <v>3/17,3/22</v>
          </cell>
        </row>
        <row r="344">
          <cell r="C344" t="str">
            <v>EXPLORE</v>
          </cell>
          <cell r="F344" t="str">
            <v>I</v>
          </cell>
          <cell r="V344">
            <v>3600000</v>
          </cell>
          <cell r="AJ344" t="str">
            <v>3/17,3/22</v>
          </cell>
        </row>
        <row r="345">
          <cell r="C345" t="str">
            <v>EXPLORE</v>
          </cell>
          <cell r="F345" t="str">
            <v>I</v>
          </cell>
          <cell r="V345">
            <v>4050000</v>
          </cell>
          <cell r="AJ345" t="str">
            <v>3/17,3/22</v>
          </cell>
        </row>
        <row r="346">
          <cell r="C346" t="str">
            <v>EXPLORE</v>
          </cell>
          <cell r="F346" t="str">
            <v>I</v>
          </cell>
          <cell r="V346">
            <v>4050000</v>
          </cell>
          <cell r="AJ346" t="str">
            <v>3/17,3/22</v>
          </cell>
        </row>
        <row r="347">
          <cell r="C347" t="str">
            <v>Wild Cross</v>
          </cell>
          <cell r="F347" t="str">
            <v>I</v>
          </cell>
          <cell r="V347">
            <v>3000000</v>
          </cell>
          <cell r="AJ347">
            <v>40249</v>
          </cell>
        </row>
        <row r="348">
          <cell r="C348" t="str">
            <v>Wild Cross</v>
          </cell>
          <cell r="F348" t="str">
            <v>I</v>
          </cell>
          <cell r="V348">
            <v>3000000</v>
          </cell>
          <cell r="AJ348">
            <v>40249</v>
          </cell>
        </row>
        <row r="349">
          <cell r="C349" t="str">
            <v>Wild Cross</v>
          </cell>
          <cell r="F349" t="str">
            <v>I</v>
          </cell>
          <cell r="V349">
            <v>7840000</v>
          </cell>
          <cell r="AJ349">
            <v>40263</v>
          </cell>
        </row>
        <row r="350">
          <cell r="C350" t="str">
            <v>Wild Cross</v>
          </cell>
          <cell r="F350" t="str">
            <v>I</v>
          </cell>
          <cell r="V350">
            <v>7840000</v>
          </cell>
          <cell r="AJ350">
            <v>40263</v>
          </cell>
        </row>
        <row r="351">
          <cell r="C351" t="str">
            <v>Wild Cross</v>
          </cell>
          <cell r="F351" t="str">
            <v>I</v>
          </cell>
          <cell r="V351">
            <v>12750000</v>
          </cell>
          <cell r="AJ351">
            <v>40263</v>
          </cell>
        </row>
        <row r="352">
          <cell r="C352" t="str">
            <v>Wild Cross</v>
          </cell>
          <cell r="F352" t="str">
            <v>I</v>
          </cell>
          <cell r="V352">
            <v>5950000</v>
          </cell>
          <cell r="AJ352">
            <v>40263</v>
          </cell>
        </row>
        <row r="353">
          <cell r="C353" t="str">
            <v>Wild Cross</v>
          </cell>
          <cell r="F353" t="str">
            <v>I</v>
          </cell>
          <cell r="V353">
            <v>3300000</v>
          </cell>
          <cell r="AJ353">
            <v>40263</v>
          </cell>
        </row>
        <row r="354">
          <cell r="C354" t="str">
            <v>Wild Cross</v>
          </cell>
          <cell r="F354" t="str">
            <v>I</v>
          </cell>
          <cell r="V354">
            <v>2706000</v>
          </cell>
          <cell r="AJ354">
            <v>40263</v>
          </cell>
        </row>
        <row r="355">
          <cell r="C355" t="str">
            <v>Wild Cross</v>
          </cell>
          <cell r="F355" t="str">
            <v>I</v>
          </cell>
          <cell r="V355">
            <v>3300000</v>
          </cell>
          <cell r="AJ355">
            <v>40263</v>
          </cell>
        </row>
        <row r="356">
          <cell r="C356" t="str">
            <v>Wild Cross</v>
          </cell>
          <cell r="F356" t="str">
            <v>I</v>
          </cell>
          <cell r="V356">
            <v>3150000</v>
          </cell>
          <cell r="AJ356">
            <v>40263</v>
          </cell>
        </row>
        <row r="357">
          <cell r="C357" t="str">
            <v>Wild Cross</v>
          </cell>
          <cell r="F357" t="str">
            <v>I</v>
          </cell>
          <cell r="V357">
            <v>3150000</v>
          </cell>
          <cell r="AJ357">
            <v>40263</v>
          </cell>
        </row>
        <row r="358">
          <cell r="C358" t="str">
            <v>Wild Cross</v>
          </cell>
          <cell r="F358" t="str">
            <v>I</v>
          </cell>
          <cell r="V358">
            <v>3200000</v>
          </cell>
          <cell r="AJ358">
            <v>40263</v>
          </cell>
        </row>
        <row r="359">
          <cell r="C359" t="str">
            <v>Wild Cross</v>
          </cell>
          <cell r="F359" t="str">
            <v>I</v>
          </cell>
          <cell r="V359">
            <v>3200000</v>
          </cell>
          <cell r="AJ359">
            <v>40263</v>
          </cell>
        </row>
        <row r="360">
          <cell r="C360" t="str">
            <v>Wild Cross</v>
          </cell>
          <cell r="F360" t="str">
            <v>I</v>
          </cell>
          <cell r="V360">
            <v>1860000</v>
          </cell>
          <cell r="AJ360">
            <v>40263</v>
          </cell>
        </row>
        <row r="361">
          <cell r="C361" t="str">
            <v>Wild Cross</v>
          </cell>
          <cell r="F361" t="str">
            <v>I</v>
          </cell>
          <cell r="V361">
            <v>1860000</v>
          </cell>
          <cell r="AJ361">
            <v>40263</v>
          </cell>
        </row>
        <row r="362">
          <cell r="C362" t="str">
            <v>Wild Cross</v>
          </cell>
          <cell r="F362" t="str">
            <v>I</v>
          </cell>
          <cell r="V362">
            <v>2400000</v>
          </cell>
          <cell r="AJ362">
            <v>40263</v>
          </cell>
        </row>
        <row r="363">
          <cell r="C363" t="str">
            <v>Wild Cross</v>
          </cell>
          <cell r="F363" t="str">
            <v>I</v>
          </cell>
          <cell r="V363">
            <v>2400000</v>
          </cell>
          <cell r="AJ363">
            <v>40263</v>
          </cell>
        </row>
        <row r="364">
          <cell r="C364" t="str">
            <v>Wild Cross</v>
          </cell>
          <cell r="F364" t="str">
            <v>I</v>
          </cell>
          <cell r="V364">
            <v>1860000</v>
          </cell>
          <cell r="AJ364">
            <v>40263</v>
          </cell>
        </row>
        <row r="365">
          <cell r="C365" t="str">
            <v>Wild Cross</v>
          </cell>
          <cell r="F365" t="str">
            <v>I</v>
          </cell>
          <cell r="V365">
            <v>1860000</v>
          </cell>
          <cell r="AJ365">
            <v>40259</v>
          </cell>
        </row>
        <row r="366">
          <cell r="C366" t="str">
            <v>Wild Cross</v>
          </cell>
          <cell r="F366" t="str">
            <v>I</v>
          </cell>
          <cell r="V366">
            <v>1860000</v>
          </cell>
          <cell r="AJ366">
            <v>40259</v>
          </cell>
        </row>
        <row r="367">
          <cell r="C367" t="str">
            <v>Wild Cross</v>
          </cell>
          <cell r="F367" t="str">
            <v>I</v>
          </cell>
          <cell r="V367">
            <v>1972000</v>
          </cell>
          <cell r="AJ367">
            <v>40259</v>
          </cell>
        </row>
        <row r="368">
          <cell r="C368" t="str">
            <v>Wild Cross</v>
          </cell>
          <cell r="F368" t="str">
            <v>I</v>
          </cell>
          <cell r="V368">
            <v>2040000</v>
          </cell>
          <cell r="AJ368">
            <v>40263</v>
          </cell>
        </row>
        <row r="369">
          <cell r="C369" t="str">
            <v>Wild Cross</v>
          </cell>
          <cell r="F369" t="str">
            <v>I</v>
          </cell>
          <cell r="V369">
            <v>1080000</v>
          </cell>
          <cell r="AJ369">
            <v>40263</v>
          </cell>
        </row>
        <row r="370">
          <cell r="C370" t="str">
            <v>Wild Cross</v>
          </cell>
          <cell r="F370" t="str">
            <v>I</v>
          </cell>
          <cell r="V370">
            <v>750000</v>
          </cell>
          <cell r="AJ370">
            <v>40259</v>
          </cell>
        </row>
        <row r="371">
          <cell r="C371" t="str">
            <v>Wild Cross</v>
          </cell>
          <cell r="F371" t="str">
            <v>I</v>
          </cell>
          <cell r="V371">
            <v>750000</v>
          </cell>
          <cell r="AJ371">
            <v>40259</v>
          </cell>
        </row>
        <row r="372">
          <cell r="C372" t="str">
            <v>Wild Cross</v>
          </cell>
          <cell r="F372" t="str">
            <v>I</v>
          </cell>
          <cell r="V372">
            <v>2300000</v>
          </cell>
          <cell r="AJ372">
            <v>40259</v>
          </cell>
        </row>
        <row r="373">
          <cell r="C373" t="str">
            <v>Wild Cross</v>
          </cell>
          <cell r="F373" t="str">
            <v>I</v>
          </cell>
          <cell r="V373">
            <v>2160000</v>
          </cell>
          <cell r="AJ373">
            <v>40259</v>
          </cell>
        </row>
        <row r="374">
          <cell r="C374" t="str">
            <v>Wild Cross</v>
          </cell>
          <cell r="F374" t="str">
            <v>I</v>
          </cell>
          <cell r="V374">
            <v>1080000</v>
          </cell>
          <cell r="AJ374">
            <v>40259</v>
          </cell>
        </row>
        <row r="375">
          <cell r="C375" t="str">
            <v>Wild Cross</v>
          </cell>
          <cell r="F375" t="str">
            <v>I</v>
          </cell>
          <cell r="V375">
            <v>2040000</v>
          </cell>
          <cell r="AJ375">
            <v>40259</v>
          </cell>
        </row>
        <row r="376">
          <cell r="C376" t="str">
            <v>Wild Cross</v>
          </cell>
          <cell r="F376" t="str">
            <v>I</v>
          </cell>
          <cell r="V376">
            <v>2040000</v>
          </cell>
          <cell r="AJ376">
            <v>40259</v>
          </cell>
        </row>
        <row r="377">
          <cell r="C377">
            <v>8000</v>
          </cell>
          <cell r="F377" t="str">
            <v>D</v>
          </cell>
          <cell r="V377">
            <v>2160000</v>
          </cell>
          <cell r="AJ377" t="str">
            <v>3/16</v>
          </cell>
        </row>
        <row r="378">
          <cell r="C378">
            <v>8000</v>
          </cell>
          <cell r="F378" t="str">
            <v>I</v>
          </cell>
          <cell r="V378">
            <v>2160000</v>
          </cell>
          <cell r="AJ378" t="str">
            <v>3/16</v>
          </cell>
        </row>
        <row r="379">
          <cell r="C379">
            <v>8000</v>
          </cell>
          <cell r="F379" t="str">
            <v>D</v>
          </cell>
          <cell r="V379">
            <v>11603400</v>
          </cell>
          <cell r="AJ379" t="str">
            <v>5/25</v>
          </cell>
        </row>
        <row r="380">
          <cell r="C380">
            <v>8000</v>
          </cell>
          <cell r="F380" t="str">
            <v>D</v>
          </cell>
          <cell r="V380">
            <v>11603400</v>
          </cell>
          <cell r="AJ380" t="str">
            <v>5/25</v>
          </cell>
        </row>
        <row r="381">
          <cell r="C381">
            <v>8000</v>
          </cell>
          <cell r="F381" t="str">
            <v>D</v>
          </cell>
          <cell r="V381">
            <v>6149802</v>
          </cell>
          <cell r="AJ381" t="str">
            <v>3/16</v>
          </cell>
        </row>
        <row r="382">
          <cell r="C382">
            <v>8000</v>
          </cell>
          <cell r="F382" t="str">
            <v>D</v>
          </cell>
          <cell r="V382">
            <v>9282720</v>
          </cell>
          <cell r="AJ382" t="str">
            <v>3/16</v>
          </cell>
        </row>
        <row r="383">
          <cell r="C383">
            <v>8000</v>
          </cell>
          <cell r="F383" t="str">
            <v>D</v>
          </cell>
          <cell r="V383">
            <v>14491800</v>
          </cell>
          <cell r="AJ383" t="str">
            <v>6/15</v>
          </cell>
        </row>
        <row r="384">
          <cell r="C384">
            <v>8000</v>
          </cell>
          <cell r="F384" t="str">
            <v>D</v>
          </cell>
          <cell r="V384">
            <v>13246800</v>
          </cell>
          <cell r="AJ384" t="str">
            <v>6/15</v>
          </cell>
        </row>
        <row r="385">
          <cell r="C385">
            <v>8000</v>
          </cell>
          <cell r="F385" t="str">
            <v>D</v>
          </cell>
          <cell r="V385">
            <v>14730840</v>
          </cell>
          <cell r="AJ385" t="str">
            <v>6/15</v>
          </cell>
        </row>
        <row r="386">
          <cell r="C386">
            <v>8000</v>
          </cell>
          <cell r="F386" t="str">
            <v>D</v>
          </cell>
          <cell r="V386">
            <v>14730840</v>
          </cell>
          <cell r="AJ386" t="str">
            <v>6/15</v>
          </cell>
        </row>
        <row r="387">
          <cell r="C387">
            <v>8000</v>
          </cell>
          <cell r="F387" t="str">
            <v>D</v>
          </cell>
          <cell r="V387">
            <v>19728000</v>
          </cell>
          <cell r="AJ387" t="str">
            <v>6/15</v>
          </cell>
        </row>
        <row r="388">
          <cell r="C388">
            <v>8000</v>
          </cell>
          <cell r="F388" t="str">
            <v>D</v>
          </cell>
          <cell r="V388">
            <v>18504000</v>
          </cell>
          <cell r="AJ388" t="str">
            <v>6/15</v>
          </cell>
        </row>
        <row r="389">
          <cell r="C389">
            <v>8000</v>
          </cell>
          <cell r="F389" t="str">
            <v>D</v>
          </cell>
          <cell r="V389">
            <v>26667900</v>
          </cell>
          <cell r="AJ389" t="str">
            <v>6/15</v>
          </cell>
        </row>
        <row r="390">
          <cell r="C390">
            <v>8000</v>
          </cell>
          <cell r="F390" t="str">
            <v>D</v>
          </cell>
          <cell r="V390">
            <v>2133432</v>
          </cell>
          <cell r="AJ390" t="str">
            <v>6/15</v>
          </cell>
        </row>
        <row r="391">
          <cell r="C391">
            <v>8000</v>
          </cell>
          <cell r="F391" t="str">
            <v>D</v>
          </cell>
          <cell r="V391">
            <v>34110720</v>
          </cell>
          <cell r="AJ391" t="str">
            <v>6/15</v>
          </cell>
        </row>
        <row r="392">
          <cell r="C392">
            <v>8000</v>
          </cell>
          <cell r="F392" t="str">
            <v>D</v>
          </cell>
          <cell r="V392">
            <v>28535400</v>
          </cell>
          <cell r="AJ392" t="str">
            <v>6/15</v>
          </cell>
        </row>
        <row r="393">
          <cell r="C393">
            <v>8000</v>
          </cell>
          <cell r="F393" t="str">
            <v>D</v>
          </cell>
          <cell r="V393">
            <v>22049280</v>
          </cell>
          <cell r="AJ393" t="str">
            <v>6/15</v>
          </cell>
        </row>
        <row r="394">
          <cell r="C394">
            <v>8000</v>
          </cell>
          <cell r="F394" t="str">
            <v>D</v>
          </cell>
          <cell r="V394">
            <v>44802072</v>
          </cell>
          <cell r="AJ394" t="str">
            <v>6/15</v>
          </cell>
        </row>
        <row r="395">
          <cell r="C395">
            <v>8000</v>
          </cell>
          <cell r="F395" t="str">
            <v>D</v>
          </cell>
          <cell r="V395">
            <v>21824352</v>
          </cell>
          <cell r="AJ395" t="str">
            <v>3/16</v>
          </cell>
        </row>
        <row r="396">
          <cell r="C396">
            <v>8000</v>
          </cell>
          <cell r="V396">
            <v>19840320</v>
          </cell>
          <cell r="AJ396" t="str">
            <v>3/16</v>
          </cell>
        </row>
        <row r="397">
          <cell r="C397">
            <v>8000</v>
          </cell>
          <cell r="F397" t="str">
            <v>D</v>
          </cell>
          <cell r="V397">
            <v>12656160</v>
          </cell>
          <cell r="AJ397" t="str">
            <v>3/16</v>
          </cell>
        </row>
        <row r="398">
          <cell r="C398">
            <v>8000</v>
          </cell>
          <cell r="F398" t="str">
            <v>D</v>
          </cell>
          <cell r="V398">
            <v>12656160</v>
          </cell>
          <cell r="AJ398" t="str">
            <v>3/16</v>
          </cell>
        </row>
        <row r="399">
          <cell r="C399">
            <v>8000</v>
          </cell>
          <cell r="F399" t="str">
            <v>D</v>
          </cell>
          <cell r="V399">
            <v>18189000</v>
          </cell>
          <cell r="AJ399" t="str">
            <v>3/16</v>
          </cell>
        </row>
        <row r="400">
          <cell r="C400">
            <v>8000</v>
          </cell>
          <cell r="F400" t="str">
            <v>D</v>
          </cell>
          <cell r="V400">
            <v>18189000</v>
          </cell>
          <cell r="AJ400" t="str">
            <v>3/16</v>
          </cell>
        </row>
        <row r="401">
          <cell r="C401">
            <v>8000</v>
          </cell>
          <cell r="F401" t="str">
            <v>D</v>
          </cell>
          <cell r="V401">
            <v>18189000</v>
          </cell>
          <cell r="AJ401" t="str">
            <v>3/16</v>
          </cell>
        </row>
        <row r="402">
          <cell r="C402" t="str">
            <v>EXPLORE</v>
          </cell>
          <cell r="F402" t="str">
            <v>D</v>
          </cell>
          <cell r="V402">
            <v>11640960</v>
          </cell>
          <cell r="AJ402" t="str">
            <v>3/16</v>
          </cell>
        </row>
        <row r="403">
          <cell r="C403" t="str">
            <v>EXPLORE</v>
          </cell>
          <cell r="F403" t="str">
            <v>D</v>
          </cell>
          <cell r="V403">
            <v>11640960</v>
          </cell>
          <cell r="AJ403" t="str">
            <v>3/16</v>
          </cell>
        </row>
        <row r="404">
          <cell r="C404" t="str">
            <v>EXPLORE</v>
          </cell>
          <cell r="F404" t="str">
            <v>D</v>
          </cell>
          <cell r="V404">
            <v>3243000</v>
          </cell>
          <cell r="AJ404" t="str">
            <v>3/16</v>
          </cell>
        </row>
        <row r="405">
          <cell r="C405" t="str">
            <v>EXPLORE</v>
          </cell>
          <cell r="F405" t="str">
            <v>D</v>
          </cell>
          <cell r="V405">
            <v>3243000</v>
          </cell>
          <cell r="AJ405" t="str">
            <v>3/16</v>
          </cell>
        </row>
        <row r="406">
          <cell r="C406">
            <v>8000</v>
          </cell>
          <cell r="F406" t="str">
            <v>D</v>
          </cell>
          <cell r="V406">
            <v>6948480</v>
          </cell>
          <cell r="AJ406" t="str">
            <v>3/16</v>
          </cell>
        </row>
        <row r="407">
          <cell r="C407">
            <v>8000</v>
          </cell>
          <cell r="F407" t="str">
            <v>D</v>
          </cell>
          <cell r="V407">
            <v>6948480</v>
          </cell>
          <cell r="AJ407" t="str">
            <v>3/16</v>
          </cell>
        </row>
        <row r="408">
          <cell r="C408">
            <v>8000</v>
          </cell>
          <cell r="F408" t="str">
            <v>D</v>
          </cell>
          <cell r="V408">
            <v>0</v>
          </cell>
          <cell r="AJ408" t="str">
            <v>3/16</v>
          </cell>
        </row>
        <row r="409">
          <cell r="C409">
            <v>8000</v>
          </cell>
          <cell r="F409" t="str">
            <v>D</v>
          </cell>
          <cell r="V409">
            <v>0</v>
          </cell>
          <cell r="AJ409" t="str">
            <v>3/16</v>
          </cell>
        </row>
        <row r="410">
          <cell r="C410">
            <v>8000</v>
          </cell>
          <cell r="F410" t="str">
            <v>D</v>
          </cell>
          <cell r="V410">
            <v>0</v>
          </cell>
          <cell r="AJ410" t="str">
            <v>3/16</v>
          </cell>
        </row>
        <row r="411">
          <cell r="C411">
            <v>8000</v>
          </cell>
          <cell r="F411" t="str">
            <v>D</v>
          </cell>
          <cell r="V411">
            <v>0</v>
          </cell>
          <cell r="AJ411" t="str">
            <v>3/16</v>
          </cell>
        </row>
        <row r="412">
          <cell r="C412">
            <v>8000</v>
          </cell>
          <cell r="F412" t="str">
            <v>D</v>
          </cell>
          <cell r="V412">
            <v>0</v>
          </cell>
          <cell r="AJ412" t="str">
            <v>3/16</v>
          </cell>
        </row>
        <row r="413">
          <cell r="C413">
            <v>8000</v>
          </cell>
          <cell r="F413" t="str">
            <v>D</v>
          </cell>
          <cell r="V413">
            <v>0</v>
          </cell>
          <cell r="AJ413" t="str">
            <v>3/16</v>
          </cell>
        </row>
        <row r="414">
          <cell r="C414">
            <v>8000</v>
          </cell>
          <cell r="F414" t="str">
            <v>D</v>
          </cell>
          <cell r="V414">
            <v>0</v>
          </cell>
          <cell r="AJ414" t="str">
            <v>3/16</v>
          </cell>
        </row>
        <row r="415">
          <cell r="C415">
            <v>8000</v>
          </cell>
          <cell r="F415" t="str">
            <v>D</v>
          </cell>
          <cell r="V415">
            <v>0</v>
          </cell>
          <cell r="AJ415" t="str">
            <v>3/17</v>
          </cell>
        </row>
        <row r="416">
          <cell r="C416">
            <v>8000</v>
          </cell>
          <cell r="F416" t="str">
            <v>D</v>
          </cell>
          <cell r="V416">
            <v>0</v>
          </cell>
          <cell r="AJ416" t="str">
            <v>3/17</v>
          </cell>
        </row>
        <row r="417">
          <cell r="C417">
            <v>8000</v>
          </cell>
          <cell r="F417" t="str">
            <v>D</v>
          </cell>
          <cell r="V417">
            <v>6000000</v>
          </cell>
          <cell r="AJ417" t="str">
            <v>3/17</v>
          </cell>
        </row>
        <row r="418">
          <cell r="C418">
            <v>8000</v>
          </cell>
          <cell r="F418" t="str">
            <v>D</v>
          </cell>
          <cell r="V418">
            <v>3000000</v>
          </cell>
          <cell r="AJ418" t="str">
            <v>3/17</v>
          </cell>
        </row>
        <row r="419">
          <cell r="C419">
            <v>8000</v>
          </cell>
          <cell r="F419" t="str">
            <v>D</v>
          </cell>
          <cell r="V419">
            <v>2571428.5714285714</v>
          </cell>
          <cell r="AJ419" t="str">
            <v>3/17</v>
          </cell>
        </row>
        <row r="420">
          <cell r="C420">
            <v>8000</v>
          </cell>
          <cell r="F420" t="str">
            <v>D</v>
          </cell>
          <cell r="V420">
            <v>5142857.1428571427</v>
          </cell>
          <cell r="AJ420" t="str">
            <v>3/17</v>
          </cell>
        </row>
        <row r="421">
          <cell r="C421">
            <v>8000</v>
          </cell>
          <cell r="F421" t="str">
            <v>D</v>
          </cell>
          <cell r="V421">
            <v>5142857.1428571427</v>
          </cell>
          <cell r="AJ421" t="str">
            <v>3/17</v>
          </cell>
        </row>
        <row r="422">
          <cell r="C422">
            <v>8000</v>
          </cell>
          <cell r="F422" t="str">
            <v>D</v>
          </cell>
          <cell r="V422">
            <v>2428571.4285714286</v>
          </cell>
          <cell r="AJ422" t="str">
            <v>3/17</v>
          </cell>
        </row>
        <row r="423">
          <cell r="C423">
            <v>8000</v>
          </cell>
          <cell r="F423" t="str">
            <v>D</v>
          </cell>
          <cell r="V423">
            <v>4857142.8571428573</v>
          </cell>
          <cell r="AJ423" t="str">
            <v>3/17</v>
          </cell>
        </row>
        <row r="424">
          <cell r="C424">
            <v>8000</v>
          </cell>
          <cell r="F424" t="str">
            <v>D</v>
          </cell>
          <cell r="V424">
            <v>2428571.4285714286</v>
          </cell>
          <cell r="AJ424" t="str">
            <v>3/17</v>
          </cell>
        </row>
        <row r="425">
          <cell r="C425">
            <v>8000</v>
          </cell>
          <cell r="F425" t="str">
            <v>D</v>
          </cell>
          <cell r="V425">
            <v>4857142.8571428573</v>
          </cell>
          <cell r="AJ425" t="str">
            <v>3/17</v>
          </cell>
        </row>
        <row r="426">
          <cell r="C426">
            <v>8000</v>
          </cell>
          <cell r="F426" t="str">
            <v>D</v>
          </cell>
          <cell r="V426">
            <v>4857142.8571428573</v>
          </cell>
          <cell r="AJ426" t="str">
            <v>3/17</v>
          </cell>
        </row>
        <row r="427">
          <cell r="C427">
            <v>8000</v>
          </cell>
          <cell r="F427" t="str">
            <v>D</v>
          </cell>
          <cell r="V427">
            <v>4571428.5714285718</v>
          </cell>
          <cell r="AJ427" t="str">
            <v>4/1</v>
          </cell>
        </row>
        <row r="428">
          <cell r="C428">
            <v>8000</v>
          </cell>
          <cell r="F428" t="str">
            <v>D</v>
          </cell>
          <cell r="V428">
            <v>4571428.5714285718</v>
          </cell>
          <cell r="AJ428" t="str">
            <v>4/1</v>
          </cell>
        </row>
        <row r="429">
          <cell r="C429" t="str">
            <v>EXPLORE</v>
          </cell>
          <cell r="F429" t="str">
            <v>D</v>
          </cell>
          <cell r="V429">
            <v>2285714.2857142859</v>
          </cell>
          <cell r="AJ429" t="str">
            <v>4/1</v>
          </cell>
        </row>
        <row r="430">
          <cell r="C430" t="str">
            <v>EXPLORE</v>
          </cell>
          <cell r="F430" t="str">
            <v>D</v>
          </cell>
          <cell r="V430">
            <v>3428571.4285714286</v>
          </cell>
          <cell r="AJ430" t="str">
            <v>4/1</v>
          </cell>
        </row>
        <row r="431">
          <cell r="C431">
            <v>8000</v>
          </cell>
          <cell r="F431" t="str">
            <v>D</v>
          </cell>
          <cell r="V431">
            <v>3000000</v>
          </cell>
          <cell r="AJ431" t="str">
            <v>4/1</v>
          </cell>
        </row>
        <row r="432">
          <cell r="C432">
            <v>8000</v>
          </cell>
          <cell r="F432" t="str">
            <v>D</v>
          </cell>
          <cell r="V432">
            <v>2000000</v>
          </cell>
          <cell r="AJ432" t="str">
            <v>4/1</v>
          </cell>
        </row>
        <row r="433">
          <cell r="C433" t="str">
            <v>Wild Cross</v>
          </cell>
          <cell r="F433" t="str">
            <v>D</v>
          </cell>
          <cell r="V433">
            <v>3085714.2857142859</v>
          </cell>
          <cell r="AJ433" t="str">
            <v>3/17</v>
          </cell>
        </row>
        <row r="434">
          <cell r="C434" t="str">
            <v>Wild Cross</v>
          </cell>
          <cell r="F434" t="str">
            <v>D</v>
          </cell>
          <cell r="V434">
            <v>2057142.8571428573</v>
          </cell>
          <cell r="AJ434" t="str">
            <v>3/17</v>
          </cell>
        </row>
        <row r="435">
          <cell r="C435" t="str">
            <v>EXPLORE</v>
          </cell>
          <cell r="F435" t="str">
            <v>D</v>
          </cell>
          <cell r="V435">
            <v>1000000</v>
          </cell>
          <cell r="AJ435" t="str">
            <v>3/17</v>
          </cell>
        </row>
        <row r="436">
          <cell r="C436" t="str">
            <v>EXPLORE</v>
          </cell>
          <cell r="F436" t="str">
            <v>D</v>
          </cell>
          <cell r="V436">
            <v>1500000</v>
          </cell>
          <cell r="AJ436" t="str">
            <v>3/17</v>
          </cell>
        </row>
        <row r="437">
          <cell r="C437" t="str">
            <v>EXPLORE</v>
          </cell>
          <cell r="F437" t="str">
            <v>D</v>
          </cell>
          <cell r="V437">
            <v>857142.85714285704</v>
          </cell>
          <cell r="AJ437" t="str">
            <v>3/17</v>
          </cell>
        </row>
        <row r="438">
          <cell r="C438" t="str">
            <v>EXPLORE</v>
          </cell>
          <cell r="F438" t="str">
            <v>D</v>
          </cell>
          <cell r="V438">
            <v>1285714.2857142857</v>
          </cell>
          <cell r="AJ438" t="str">
            <v>3/17</v>
          </cell>
        </row>
        <row r="439">
          <cell r="C439" t="str">
            <v>EXPLORE</v>
          </cell>
          <cell r="F439" t="str">
            <v>D</v>
          </cell>
          <cell r="V439">
            <v>1428571.4285714286</v>
          </cell>
          <cell r="AJ439" t="str">
            <v>3/17</v>
          </cell>
        </row>
        <row r="440">
          <cell r="C440" t="str">
            <v>EXPLORE</v>
          </cell>
          <cell r="F440" t="str">
            <v>D</v>
          </cell>
          <cell r="V440">
            <v>1428571.4285714286</v>
          </cell>
          <cell r="AJ440" t="str">
            <v>3/17</v>
          </cell>
        </row>
        <row r="441">
          <cell r="C441" t="str">
            <v>Wild Cross</v>
          </cell>
          <cell r="F441" t="str">
            <v>D</v>
          </cell>
          <cell r="V441">
            <v>1285714.2857142857</v>
          </cell>
          <cell r="AJ441" t="str">
            <v>3/17</v>
          </cell>
        </row>
        <row r="442">
          <cell r="C442" t="str">
            <v>Wild Cross</v>
          </cell>
          <cell r="F442" t="str">
            <v>D</v>
          </cell>
          <cell r="V442">
            <v>642857.14285714284</v>
          </cell>
          <cell r="AJ442" t="str">
            <v>3/17</v>
          </cell>
        </row>
        <row r="443">
          <cell r="C443" t="str">
            <v>Wild Cross</v>
          </cell>
          <cell r="F443" t="str">
            <v>D</v>
          </cell>
          <cell r="V443">
            <v>1928571.4285714286</v>
          </cell>
          <cell r="AJ443" t="str">
            <v>3/17</v>
          </cell>
        </row>
        <row r="444">
          <cell r="C444" t="str">
            <v>EXPLORE</v>
          </cell>
          <cell r="F444" t="str">
            <v>D</v>
          </cell>
          <cell r="V444">
            <v>1285714.2857142857</v>
          </cell>
          <cell r="AJ444" t="str">
            <v>3/17</v>
          </cell>
        </row>
        <row r="445">
          <cell r="C445" t="str">
            <v>EXPLORE</v>
          </cell>
          <cell r="F445" t="str">
            <v>D</v>
          </cell>
          <cell r="V445">
            <v>1285714.2857142857</v>
          </cell>
          <cell r="AJ445" t="str">
            <v>3/17</v>
          </cell>
        </row>
        <row r="446">
          <cell r="C446">
            <v>8000</v>
          </cell>
          <cell r="F446" t="str">
            <v>D</v>
          </cell>
          <cell r="V446">
            <v>1285714.2857142857</v>
          </cell>
          <cell r="AJ446" t="str">
            <v>3/17</v>
          </cell>
        </row>
        <row r="447">
          <cell r="C447">
            <v>8000</v>
          </cell>
          <cell r="F447" t="str">
            <v>D</v>
          </cell>
          <cell r="V447">
            <v>1928571.4285714286</v>
          </cell>
          <cell r="AJ447" t="str">
            <v>3/17</v>
          </cell>
        </row>
        <row r="448">
          <cell r="C448">
            <v>8000</v>
          </cell>
          <cell r="F448" t="str">
            <v>D</v>
          </cell>
          <cell r="V448">
            <v>1285714.2857142857</v>
          </cell>
          <cell r="AJ448" t="str">
            <v>3/17</v>
          </cell>
        </row>
        <row r="449">
          <cell r="C449">
            <v>8000</v>
          </cell>
          <cell r="F449" t="str">
            <v>D</v>
          </cell>
          <cell r="V449">
            <v>1928571.4285714286</v>
          </cell>
          <cell r="AJ449" t="str">
            <v>3/17</v>
          </cell>
        </row>
        <row r="450">
          <cell r="C450">
            <v>8000</v>
          </cell>
          <cell r="F450" t="str">
            <v>D</v>
          </cell>
          <cell r="V450">
            <v>2857142.8571428573</v>
          </cell>
          <cell r="AJ450" t="str">
            <v>3/17</v>
          </cell>
        </row>
        <row r="451">
          <cell r="C451">
            <v>8000</v>
          </cell>
          <cell r="F451" t="str">
            <v>D</v>
          </cell>
          <cell r="V451">
            <v>2142857.1428571427</v>
          </cell>
          <cell r="AJ451" t="str">
            <v>3/17</v>
          </cell>
        </row>
        <row r="452">
          <cell r="C452" t="str">
            <v>EXPLORE</v>
          </cell>
          <cell r="F452" t="str">
            <v>D</v>
          </cell>
          <cell r="V452">
            <v>3714285.7142857146</v>
          </cell>
          <cell r="AJ452" t="str">
            <v>3/17</v>
          </cell>
        </row>
        <row r="453">
          <cell r="C453">
            <v>8000</v>
          </cell>
          <cell r="F453" t="str">
            <v>D</v>
          </cell>
          <cell r="V453">
            <v>2000000</v>
          </cell>
          <cell r="AJ453" t="str">
            <v>3/17</v>
          </cell>
        </row>
        <row r="454">
          <cell r="C454">
            <v>8000</v>
          </cell>
          <cell r="F454" t="str">
            <v>D</v>
          </cell>
          <cell r="V454">
            <v>2250000</v>
          </cell>
          <cell r="AJ454" t="str">
            <v>3/17</v>
          </cell>
        </row>
        <row r="455">
          <cell r="C455">
            <v>8000</v>
          </cell>
          <cell r="F455" t="str">
            <v>D</v>
          </cell>
          <cell r="V455">
            <v>3150000</v>
          </cell>
          <cell r="AJ455" t="str">
            <v>3/17</v>
          </cell>
        </row>
        <row r="456">
          <cell r="C456" t="str">
            <v>EXPLORE</v>
          </cell>
          <cell r="F456" t="str">
            <v>D</v>
          </cell>
          <cell r="V456">
            <v>2100000</v>
          </cell>
          <cell r="AJ456" t="str">
            <v>3/17</v>
          </cell>
        </row>
        <row r="457">
          <cell r="C457" t="str">
            <v>EXPLORE</v>
          </cell>
          <cell r="F457" t="str">
            <v>D</v>
          </cell>
          <cell r="V457">
            <v>3150000</v>
          </cell>
          <cell r="AJ457" t="str">
            <v>3/17</v>
          </cell>
        </row>
        <row r="458">
          <cell r="C458" t="str">
            <v>EXPLORE</v>
          </cell>
          <cell r="F458" t="str">
            <v>D</v>
          </cell>
          <cell r="V458">
            <v>2100000</v>
          </cell>
          <cell r="AJ458" t="str">
            <v>3/17</v>
          </cell>
        </row>
        <row r="459">
          <cell r="C459" t="str">
            <v>EXPLORE</v>
          </cell>
          <cell r="F459" t="str">
            <v>D</v>
          </cell>
          <cell r="V459">
            <v>3150000</v>
          </cell>
          <cell r="AJ459" t="str">
            <v>3/17</v>
          </cell>
        </row>
        <row r="460">
          <cell r="C460" t="str">
            <v>EXPLORE</v>
          </cell>
          <cell r="F460" t="str">
            <v>D</v>
          </cell>
          <cell r="V460">
            <v>2100000</v>
          </cell>
          <cell r="AJ460" t="str">
            <v>3/17</v>
          </cell>
        </row>
        <row r="461">
          <cell r="C461" t="str">
            <v>EXPLORE</v>
          </cell>
          <cell r="F461" t="str">
            <v>D</v>
          </cell>
          <cell r="V461">
            <v>2250000</v>
          </cell>
          <cell r="AJ461" t="str">
            <v>3/17</v>
          </cell>
        </row>
        <row r="462">
          <cell r="C462" t="str">
            <v>EXPLORE</v>
          </cell>
          <cell r="F462" t="str">
            <v>D</v>
          </cell>
          <cell r="V462">
            <v>1687500</v>
          </cell>
          <cell r="AJ462" t="str">
            <v>3/17</v>
          </cell>
        </row>
        <row r="463">
          <cell r="C463" t="str">
            <v>Wild Cross</v>
          </cell>
          <cell r="F463" t="str">
            <v>D</v>
          </cell>
          <cell r="V463">
            <v>1500000</v>
          </cell>
          <cell r="AJ463" t="str">
            <v>3/15</v>
          </cell>
        </row>
        <row r="464">
          <cell r="C464" t="str">
            <v>Wild Cross</v>
          </cell>
          <cell r="F464" t="str">
            <v>D</v>
          </cell>
          <cell r="V464">
            <v>1000000</v>
          </cell>
          <cell r="AJ464" t="str">
            <v>3/15</v>
          </cell>
        </row>
        <row r="465">
          <cell r="C465">
            <v>8000</v>
          </cell>
          <cell r="F465" t="str">
            <v>D</v>
          </cell>
          <cell r="V465">
            <v>875000</v>
          </cell>
          <cell r="AJ465" t="str">
            <v>3/15</v>
          </cell>
        </row>
        <row r="466">
          <cell r="C466">
            <v>8000</v>
          </cell>
          <cell r="F466" t="str">
            <v>D</v>
          </cell>
          <cell r="V466">
            <v>1312500</v>
          </cell>
          <cell r="AJ466" t="str">
            <v>3/15</v>
          </cell>
        </row>
        <row r="467">
          <cell r="C467">
            <v>8000</v>
          </cell>
          <cell r="F467" t="str">
            <v>D</v>
          </cell>
          <cell r="V467">
            <v>2250000</v>
          </cell>
          <cell r="AJ467" t="str">
            <v>3/15</v>
          </cell>
        </row>
        <row r="468">
          <cell r="C468">
            <v>8000</v>
          </cell>
          <cell r="F468" t="str">
            <v>D</v>
          </cell>
          <cell r="V468">
            <v>3375000</v>
          </cell>
          <cell r="AJ468" t="str">
            <v>3/15</v>
          </cell>
        </row>
        <row r="469">
          <cell r="C469">
            <v>8000</v>
          </cell>
          <cell r="F469" t="str">
            <v>D</v>
          </cell>
          <cell r="V469">
            <v>3375000</v>
          </cell>
          <cell r="AJ469" t="str">
            <v>3/15</v>
          </cell>
        </row>
        <row r="470">
          <cell r="C470">
            <v>8000</v>
          </cell>
          <cell r="F470" t="str">
            <v>D</v>
          </cell>
          <cell r="V470">
            <v>2800000</v>
          </cell>
          <cell r="AJ470" t="str">
            <v>3/15</v>
          </cell>
        </row>
        <row r="471">
          <cell r="C471">
            <v>8000</v>
          </cell>
          <cell r="F471" t="str">
            <v>D</v>
          </cell>
          <cell r="V471">
            <v>1600000</v>
          </cell>
          <cell r="AJ471" t="str">
            <v>4/30</v>
          </cell>
        </row>
        <row r="472">
          <cell r="C472">
            <v>8000</v>
          </cell>
          <cell r="F472" t="str">
            <v>D</v>
          </cell>
          <cell r="V472">
            <v>1200000</v>
          </cell>
          <cell r="AJ472" t="str">
            <v>3/15</v>
          </cell>
        </row>
        <row r="473">
          <cell r="C473">
            <v>8000</v>
          </cell>
          <cell r="V473">
            <v>800000</v>
          </cell>
          <cell r="AJ473" t="str">
            <v>3/15</v>
          </cell>
        </row>
        <row r="474">
          <cell r="C474">
            <v>8000</v>
          </cell>
          <cell r="F474" t="str">
            <v>D</v>
          </cell>
          <cell r="V474">
            <v>1900000</v>
          </cell>
          <cell r="AJ474" t="str">
            <v>3/15</v>
          </cell>
        </row>
        <row r="475">
          <cell r="C475">
            <v>8000</v>
          </cell>
          <cell r="F475" t="str">
            <v>D</v>
          </cell>
          <cell r="V475">
            <v>1900000</v>
          </cell>
          <cell r="AJ475" t="str">
            <v>3/17</v>
          </cell>
        </row>
        <row r="476">
          <cell r="C476">
            <v>8000</v>
          </cell>
          <cell r="F476" t="str">
            <v>D</v>
          </cell>
          <cell r="V476">
            <v>2850000</v>
          </cell>
          <cell r="AJ476" t="str">
            <v>3/17</v>
          </cell>
        </row>
        <row r="477">
          <cell r="C477">
            <v>8000</v>
          </cell>
          <cell r="F477" t="str">
            <v>D</v>
          </cell>
          <cell r="V477">
            <v>1500000</v>
          </cell>
          <cell r="AJ477" t="str">
            <v>3/17</v>
          </cell>
        </row>
        <row r="478">
          <cell r="C478">
            <v>8000</v>
          </cell>
          <cell r="F478" t="str">
            <v>D</v>
          </cell>
          <cell r="V478">
            <v>1500000</v>
          </cell>
          <cell r="AJ478" t="str">
            <v>3/16</v>
          </cell>
        </row>
        <row r="479">
          <cell r="C479">
            <v>8000</v>
          </cell>
          <cell r="F479" t="str">
            <v>D</v>
          </cell>
          <cell r="V479">
            <v>2250000</v>
          </cell>
          <cell r="AJ479" t="str">
            <v>3/16</v>
          </cell>
        </row>
        <row r="480">
          <cell r="C480">
            <v>8000</v>
          </cell>
          <cell r="F480" t="str">
            <v>D</v>
          </cell>
          <cell r="V480">
            <v>750000</v>
          </cell>
          <cell r="AJ480" t="str">
            <v>3/16</v>
          </cell>
        </row>
        <row r="481">
          <cell r="C481">
            <v>8000</v>
          </cell>
          <cell r="F481" t="str">
            <v>D</v>
          </cell>
          <cell r="V481">
            <v>750000</v>
          </cell>
          <cell r="AJ481" t="str">
            <v>3/16</v>
          </cell>
        </row>
        <row r="482">
          <cell r="C482">
            <v>8000</v>
          </cell>
          <cell r="F482" t="str">
            <v>D</v>
          </cell>
          <cell r="V482">
            <v>750000</v>
          </cell>
          <cell r="AJ482" t="str">
            <v>3/16</v>
          </cell>
        </row>
        <row r="483">
          <cell r="C483">
            <v>8000</v>
          </cell>
          <cell r="F483" t="str">
            <v>D</v>
          </cell>
          <cell r="V483">
            <v>750000</v>
          </cell>
          <cell r="AJ483" t="str">
            <v>3/16</v>
          </cell>
        </row>
        <row r="484">
          <cell r="C484">
            <v>8000</v>
          </cell>
          <cell r="F484" t="str">
            <v>D</v>
          </cell>
          <cell r="V484">
            <v>450000</v>
          </cell>
          <cell r="AJ484" t="str">
            <v>3/16</v>
          </cell>
        </row>
        <row r="485">
          <cell r="C485">
            <v>8000</v>
          </cell>
          <cell r="F485" t="str">
            <v>D</v>
          </cell>
          <cell r="V485">
            <v>1125000</v>
          </cell>
          <cell r="AJ485" t="str">
            <v>3/16</v>
          </cell>
        </row>
        <row r="486">
          <cell r="C486">
            <v>8000</v>
          </cell>
          <cell r="F486" t="str">
            <v>D</v>
          </cell>
          <cell r="V486">
            <v>1875000</v>
          </cell>
          <cell r="AJ486" t="str">
            <v>5/30</v>
          </cell>
        </row>
        <row r="487">
          <cell r="C487">
            <v>8000</v>
          </cell>
          <cell r="F487" t="str">
            <v>D</v>
          </cell>
          <cell r="V487">
            <v>1125000</v>
          </cell>
          <cell r="AJ487" t="str">
            <v>5/30</v>
          </cell>
        </row>
        <row r="488">
          <cell r="C488" t="str">
            <v>EXPLORE</v>
          </cell>
          <cell r="F488" t="str">
            <v>D</v>
          </cell>
          <cell r="V488">
            <v>1740000</v>
          </cell>
          <cell r="AJ488" t="str">
            <v>6/30</v>
          </cell>
        </row>
        <row r="489">
          <cell r="C489" t="str">
            <v>EXPLORE</v>
          </cell>
          <cell r="F489" t="str">
            <v>D</v>
          </cell>
          <cell r="V489">
            <v>2000000</v>
          </cell>
          <cell r="AJ489" t="str">
            <v>6/30</v>
          </cell>
        </row>
        <row r="490">
          <cell r="C490" t="str">
            <v>EXPLORE</v>
          </cell>
          <cell r="F490" t="str">
            <v>D</v>
          </cell>
          <cell r="V490">
            <v>380000</v>
          </cell>
          <cell r="AJ490" t="str">
            <v>5/15</v>
          </cell>
        </row>
        <row r="491">
          <cell r="C491">
            <v>8000</v>
          </cell>
          <cell r="F491" t="str">
            <v>D</v>
          </cell>
          <cell r="V491">
            <v>380000</v>
          </cell>
          <cell r="AJ491" t="str">
            <v>3/17</v>
          </cell>
        </row>
        <row r="492">
          <cell r="C492">
            <v>8000</v>
          </cell>
          <cell r="F492" t="str">
            <v>D</v>
          </cell>
          <cell r="V492">
            <v>1245000</v>
          </cell>
          <cell r="AJ492" t="str">
            <v>3/17</v>
          </cell>
        </row>
        <row r="493">
          <cell r="C493">
            <v>8000</v>
          </cell>
          <cell r="F493" t="str">
            <v>D</v>
          </cell>
          <cell r="V493">
            <v>1750000</v>
          </cell>
          <cell r="AJ493" t="str">
            <v>3/17</v>
          </cell>
        </row>
        <row r="494">
          <cell r="C494">
            <v>8000</v>
          </cell>
          <cell r="F494" t="str">
            <v>D</v>
          </cell>
          <cell r="V494">
            <v>1312500</v>
          </cell>
          <cell r="AJ494" t="str">
            <v>3/17</v>
          </cell>
        </row>
        <row r="495">
          <cell r="C495" t="str">
            <v>Wild Cross</v>
          </cell>
          <cell r="F495" t="str">
            <v>D</v>
          </cell>
          <cell r="V495">
            <v>1600000</v>
          </cell>
          <cell r="AJ495" t="str">
            <v>3/17</v>
          </cell>
        </row>
        <row r="496">
          <cell r="C496">
            <v>8000</v>
          </cell>
          <cell r="F496" t="str">
            <v>D</v>
          </cell>
          <cell r="V496">
            <v>2400000</v>
          </cell>
          <cell r="AJ496" t="str">
            <v>3/17</v>
          </cell>
        </row>
        <row r="497">
          <cell r="C497">
            <v>8000</v>
          </cell>
          <cell r="F497" t="str">
            <v>D</v>
          </cell>
          <cell r="V497">
            <v>1875000</v>
          </cell>
          <cell r="AJ497" t="str">
            <v>3/17</v>
          </cell>
        </row>
        <row r="498">
          <cell r="C498">
            <v>8000</v>
          </cell>
          <cell r="F498" t="str">
            <v>D</v>
          </cell>
          <cell r="V498">
            <v>3000000</v>
          </cell>
          <cell r="AJ498" t="str">
            <v>3/17</v>
          </cell>
        </row>
        <row r="499">
          <cell r="C499">
            <v>8000</v>
          </cell>
          <cell r="F499" t="str">
            <v>D</v>
          </cell>
          <cell r="V499">
            <v>2000000</v>
          </cell>
          <cell r="AJ499" t="str">
            <v>3/17</v>
          </cell>
        </row>
        <row r="500">
          <cell r="C500">
            <v>8000</v>
          </cell>
          <cell r="F500" t="str">
            <v>D</v>
          </cell>
          <cell r="V500">
            <v>1125000</v>
          </cell>
          <cell r="AJ500" t="str">
            <v>3/17</v>
          </cell>
        </row>
        <row r="501">
          <cell r="C501">
            <v>8000</v>
          </cell>
          <cell r="F501" t="str">
            <v>D</v>
          </cell>
          <cell r="V501">
            <v>1500000</v>
          </cell>
          <cell r="AJ501" t="str">
            <v>3/17</v>
          </cell>
        </row>
        <row r="502">
          <cell r="C502">
            <v>8000</v>
          </cell>
          <cell r="F502" t="str">
            <v>D</v>
          </cell>
          <cell r="V502">
            <v>1200000</v>
          </cell>
          <cell r="AJ502" t="str">
            <v>3/16</v>
          </cell>
        </row>
        <row r="503">
          <cell r="C503">
            <v>8000</v>
          </cell>
          <cell r="F503" t="str">
            <v>D</v>
          </cell>
          <cell r="V503">
            <v>800000</v>
          </cell>
          <cell r="AJ503" t="str">
            <v>3/16</v>
          </cell>
        </row>
        <row r="504">
          <cell r="C504">
            <v>8000</v>
          </cell>
          <cell r="F504" t="str">
            <v>D</v>
          </cell>
          <cell r="V504">
            <v>6000000</v>
          </cell>
          <cell r="AJ504" t="str">
            <v>3/16</v>
          </cell>
        </row>
        <row r="505">
          <cell r="C505" t="str">
            <v>Wild Cross</v>
          </cell>
          <cell r="F505" t="str">
            <v>D</v>
          </cell>
          <cell r="V505">
            <v>3600000</v>
          </cell>
          <cell r="AJ505" t="str">
            <v>3/16</v>
          </cell>
        </row>
        <row r="506">
          <cell r="C506" t="str">
            <v>Wild Cross</v>
          </cell>
          <cell r="F506" t="str">
            <v>D</v>
          </cell>
          <cell r="V506">
            <v>6000000</v>
          </cell>
          <cell r="AJ506" t="str">
            <v>3/16</v>
          </cell>
        </row>
        <row r="507">
          <cell r="C507" t="str">
            <v>Wild Cross</v>
          </cell>
          <cell r="F507" t="str">
            <v>D</v>
          </cell>
          <cell r="V507">
            <v>7500000</v>
          </cell>
          <cell r="AJ507" t="str">
            <v>3/16</v>
          </cell>
        </row>
        <row r="508">
          <cell r="C508">
            <v>8000</v>
          </cell>
          <cell r="F508" t="str">
            <v>D</v>
          </cell>
          <cell r="V508">
            <v>4500000</v>
          </cell>
          <cell r="AJ508" t="str">
            <v>3/17</v>
          </cell>
        </row>
        <row r="509">
          <cell r="C509">
            <v>8000</v>
          </cell>
          <cell r="F509" t="str">
            <v>D</v>
          </cell>
          <cell r="V509">
            <v>4500000</v>
          </cell>
          <cell r="AJ509" t="str">
            <v>3/17</v>
          </cell>
        </row>
        <row r="510">
          <cell r="C510">
            <v>8000</v>
          </cell>
          <cell r="F510" t="str">
            <v>D</v>
          </cell>
          <cell r="V510">
            <v>900000</v>
          </cell>
          <cell r="AJ510" t="str">
            <v>3/17</v>
          </cell>
        </row>
        <row r="511">
          <cell r="C511">
            <v>8000</v>
          </cell>
          <cell r="F511" t="str">
            <v>D</v>
          </cell>
          <cell r="V511">
            <v>1200000</v>
          </cell>
          <cell r="AJ511" t="str">
            <v>3/17</v>
          </cell>
        </row>
        <row r="512">
          <cell r="C512">
            <v>8000</v>
          </cell>
          <cell r="F512" t="str">
            <v>D</v>
          </cell>
          <cell r="V512">
            <v>1300000</v>
          </cell>
          <cell r="AJ512" t="str">
            <v>3/17</v>
          </cell>
        </row>
        <row r="513">
          <cell r="C513">
            <v>8000</v>
          </cell>
          <cell r="F513" t="str">
            <v>D</v>
          </cell>
          <cell r="V513">
            <v>975000</v>
          </cell>
          <cell r="AJ513" t="str">
            <v>3/17</v>
          </cell>
        </row>
        <row r="514">
          <cell r="C514">
            <v>8000</v>
          </cell>
          <cell r="F514" t="str">
            <v>D</v>
          </cell>
          <cell r="V514">
            <v>975000</v>
          </cell>
          <cell r="AJ514" t="str">
            <v>3/17</v>
          </cell>
        </row>
        <row r="515">
          <cell r="C515">
            <v>8000</v>
          </cell>
          <cell r="F515" t="str">
            <v>D</v>
          </cell>
          <cell r="V515">
            <v>650000</v>
          </cell>
          <cell r="AJ515" t="str">
            <v>3/17</v>
          </cell>
        </row>
        <row r="516">
          <cell r="C516">
            <v>8000</v>
          </cell>
          <cell r="F516" t="str">
            <v>D</v>
          </cell>
          <cell r="V516">
            <v>600000</v>
          </cell>
          <cell r="AJ516" t="str">
            <v>3/17</v>
          </cell>
        </row>
        <row r="517">
          <cell r="C517" t="str">
            <v>EXPLORE</v>
          </cell>
          <cell r="F517" t="str">
            <v>D</v>
          </cell>
          <cell r="V517">
            <v>1000000</v>
          </cell>
          <cell r="AJ517" t="str">
            <v>3/17</v>
          </cell>
        </row>
        <row r="518">
          <cell r="C518" t="str">
            <v>EXPLORE</v>
          </cell>
          <cell r="F518" t="str">
            <v>D</v>
          </cell>
          <cell r="V518">
            <v>750000</v>
          </cell>
          <cell r="AJ518" t="str">
            <v>3/17</v>
          </cell>
        </row>
        <row r="519">
          <cell r="C519" t="str">
            <v>EXPLORE</v>
          </cell>
          <cell r="F519" t="str">
            <v>D</v>
          </cell>
          <cell r="V519">
            <v>600000</v>
          </cell>
          <cell r="AJ519" t="str">
            <v>3/17</v>
          </cell>
        </row>
        <row r="520">
          <cell r="C520">
            <v>8000</v>
          </cell>
          <cell r="F520" t="str">
            <v>D</v>
          </cell>
          <cell r="V520">
            <v>800000</v>
          </cell>
          <cell r="AJ520" t="str">
            <v>3/17</v>
          </cell>
        </row>
        <row r="521">
          <cell r="C521">
            <v>8000</v>
          </cell>
          <cell r="F521" t="str">
            <v>D</v>
          </cell>
          <cell r="V521">
            <v>600000</v>
          </cell>
          <cell r="AJ521" t="str">
            <v>3/17</v>
          </cell>
        </row>
        <row r="522">
          <cell r="C522">
            <v>8000</v>
          </cell>
          <cell r="F522" t="str">
            <v>D</v>
          </cell>
          <cell r="V522">
            <v>2625000</v>
          </cell>
          <cell r="AJ522" t="str">
            <v>3/17</v>
          </cell>
        </row>
        <row r="523">
          <cell r="C523">
            <v>8000</v>
          </cell>
          <cell r="F523" t="str">
            <v>D</v>
          </cell>
          <cell r="V523">
            <v>2625000</v>
          </cell>
          <cell r="AJ523" t="str">
            <v>3/17</v>
          </cell>
        </row>
        <row r="524">
          <cell r="C524">
            <v>8000</v>
          </cell>
          <cell r="F524" t="str">
            <v>D</v>
          </cell>
          <cell r="V524">
            <v>4800000</v>
          </cell>
          <cell r="AJ524" t="str">
            <v>3/17</v>
          </cell>
        </row>
        <row r="525">
          <cell r="C525">
            <v>8000</v>
          </cell>
          <cell r="F525" t="str">
            <v>D</v>
          </cell>
          <cell r="V525">
            <v>4800000</v>
          </cell>
          <cell r="AJ525" t="str">
            <v>3/17</v>
          </cell>
        </row>
        <row r="526">
          <cell r="C526">
            <v>8000</v>
          </cell>
          <cell r="F526" t="str">
            <v>D</v>
          </cell>
          <cell r="V526">
            <v>3450000</v>
          </cell>
          <cell r="AJ526" t="str">
            <v>4/13</v>
          </cell>
        </row>
        <row r="527">
          <cell r="C527">
            <v>8000</v>
          </cell>
          <cell r="F527" t="str">
            <v>D</v>
          </cell>
          <cell r="V527">
            <v>3450000</v>
          </cell>
          <cell r="AJ527" t="str">
            <v>4/13</v>
          </cell>
        </row>
        <row r="528">
          <cell r="C528">
            <v>8000</v>
          </cell>
          <cell r="F528" t="str">
            <v>D</v>
          </cell>
          <cell r="V528">
            <v>4375000</v>
          </cell>
          <cell r="AJ528" t="str">
            <v>4/28</v>
          </cell>
        </row>
        <row r="529">
          <cell r="C529">
            <v>8000</v>
          </cell>
          <cell r="F529" t="str">
            <v>D</v>
          </cell>
          <cell r="V529">
            <v>4375000</v>
          </cell>
          <cell r="AJ529" t="str">
            <v>4/28</v>
          </cell>
        </row>
        <row r="530">
          <cell r="C530">
            <v>8000</v>
          </cell>
          <cell r="F530" t="str">
            <v>D</v>
          </cell>
          <cell r="V530">
            <v>6125000</v>
          </cell>
          <cell r="AJ530" t="str">
            <v>4/13</v>
          </cell>
        </row>
        <row r="531">
          <cell r="C531">
            <v>8000</v>
          </cell>
          <cell r="F531" t="str">
            <v>D</v>
          </cell>
          <cell r="V531">
            <v>6125000</v>
          </cell>
          <cell r="AJ531" t="str">
            <v>4/13</v>
          </cell>
        </row>
        <row r="532">
          <cell r="C532">
            <v>8000</v>
          </cell>
          <cell r="F532" t="str">
            <v>D</v>
          </cell>
          <cell r="V532">
            <v>3125000</v>
          </cell>
          <cell r="AJ532" t="str">
            <v>4/30</v>
          </cell>
        </row>
        <row r="533">
          <cell r="C533">
            <v>8000</v>
          </cell>
          <cell r="F533" t="str">
            <v>D</v>
          </cell>
          <cell r="V533">
            <v>3125000</v>
          </cell>
          <cell r="AJ533" t="str">
            <v>4/30</v>
          </cell>
        </row>
        <row r="534">
          <cell r="C534" t="str">
            <v>EXPLORE</v>
          </cell>
          <cell r="F534" t="str">
            <v>D</v>
          </cell>
          <cell r="V534">
            <v>1725000</v>
          </cell>
          <cell r="AJ534" t="str">
            <v>4/28</v>
          </cell>
        </row>
        <row r="535">
          <cell r="C535" t="str">
            <v>EXPLORE</v>
          </cell>
          <cell r="F535" t="str">
            <v>D</v>
          </cell>
          <cell r="V535">
            <v>1725000</v>
          </cell>
          <cell r="AJ535" t="str">
            <v>4/28</v>
          </cell>
        </row>
        <row r="536">
          <cell r="C536" t="str">
            <v>EXPLORE</v>
          </cell>
          <cell r="F536" t="str">
            <v>D</v>
          </cell>
          <cell r="V536">
            <v>5600000</v>
          </cell>
          <cell r="AJ536" t="str">
            <v>4/21</v>
          </cell>
        </row>
        <row r="537">
          <cell r="C537" t="str">
            <v>EXPLORE</v>
          </cell>
          <cell r="F537" t="str">
            <v>D</v>
          </cell>
          <cell r="V537">
            <v>5600000</v>
          </cell>
          <cell r="AJ537" t="str">
            <v>4/21</v>
          </cell>
        </row>
        <row r="538">
          <cell r="C538" t="str">
            <v>EXPLORE</v>
          </cell>
          <cell r="F538" t="str">
            <v>D</v>
          </cell>
          <cell r="V538">
            <v>4025000</v>
          </cell>
          <cell r="AJ538" t="str">
            <v>4/21</v>
          </cell>
        </row>
        <row r="539">
          <cell r="C539">
            <v>8000</v>
          </cell>
          <cell r="F539" t="str">
            <v>D</v>
          </cell>
          <cell r="V539">
            <v>4025000</v>
          </cell>
          <cell r="AJ539" t="str">
            <v>3/18</v>
          </cell>
        </row>
        <row r="540">
          <cell r="C540">
            <v>8000</v>
          </cell>
          <cell r="F540" t="str">
            <v>D</v>
          </cell>
          <cell r="V540">
            <v>3375000</v>
          </cell>
          <cell r="AJ540" t="str">
            <v>3/18</v>
          </cell>
        </row>
        <row r="541">
          <cell r="C541">
            <v>8000</v>
          </cell>
          <cell r="F541" t="str">
            <v>D</v>
          </cell>
          <cell r="V541">
            <v>7285714.2857142854</v>
          </cell>
          <cell r="AJ541" t="str">
            <v>3/18</v>
          </cell>
        </row>
        <row r="542">
          <cell r="C542">
            <v>8000</v>
          </cell>
          <cell r="F542" t="str">
            <v>D</v>
          </cell>
          <cell r="V542">
            <v>7285714.2857142854</v>
          </cell>
          <cell r="AJ542" t="str">
            <v>3/18</v>
          </cell>
        </row>
        <row r="543">
          <cell r="C543">
            <v>8000</v>
          </cell>
          <cell r="F543" t="str">
            <v>D</v>
          </cell>
          <cell r="V543">
            <v>7771428.5714285709</v>
          </cell>
          <cell r="AJ543" t="str">
            <v>3/18</v>
          </cell>
        </row>
        <row r="544">
          <cell r="C544">
            <v>8000</v>
          </cell>
          <cell r="F544" t="str">
            <v>D</v>
          </cell>
          <cell r="V544">
            <v>5828571.4285714282</v>
          </cell>
          <cell r="AJ544" t="str">
            <v>3/18</v>
          </cell>
        </row>
        <row r="545">
          <cell r="C545">
            <v>8000</v>
          </cell>
          <cell r="F545" t="str">
            <v>D</v>
          </cell>
          <cell r="V545">
            <v>7771428.5714285709</v>
          </cell>
          <cell r="AJ545" t="str">
            <v>3/18</v>
          </cell>
        </row>
        <row r="546">
          <cell r="C546">
            <v>8000</v>
          </cell>
          <cell r="F546" t="str">
            <v>D</v>
          </cell>
          <cell r="V546">
            <v>5828571.4285714282</v>
          </cell>
          <cell r="AJ546" t="str">
            <v>3/16</v>
          </cell>
        </row>
        <row r="547">
          <cell r="C547">
            <v>8000</v>
          </cell>
          <cell r="F547" t="str">
            <v>D</v>
          </cell>
          <cell r="V547">
            <v>5828571.4285714282</v>
          </cell>
          <cell r="AJ547" t="str">
            <v>3/16</v>
          </cell>
        </row>
        <row r="548">
          <cell r="C548">
            <v>8000</v>
          </cell>
          <cell r="F548" t="str">
            <v>D</v>
          </cell>
          <cell r="V548">
            <v>888888.88888888888</v>
          </cell>
          <cell r="AJ548" t="str">
            <v>3/16</v>
          </cell>
        </row>
        <row r="549">
          <cell r="C549">
            <v>8000</v>
          </cell>
          <cell r="F549" t="str">
            <v>D</v>
          </cell>
          <cell r="V549">
            <v>888888.88888888888</v>
          </cell>
          <cell r="AJ549" t="str">
            <v>3/16</v>
          </cell>
        </row>
        <row r="550">
          <cell r="C550">
            <v>8000</v>
          </cell>
          <cell r="F550" t="str">
            <v>D</v>
          </cell>
          <cell r="V550">
            <v>0</v>
          </cell>
          <cell r="AJ550" t="str">
            <v>3/16</v>
          </cell>
        </row>
        <row r="551">
          <cell r="C551">
            <v>8000</v>
          </cell>
          <cell r="F551" t="str">
            <v>D</v>
          </cell>
          <cell r="V551">
            <v>0</v>
          </cell>
          <cell r="AJ551" t="str">
            <v>3/16</v>
          </cell>
        </row>
        <row r="552">
          <cell r="C552">
            <v>8000</v>
          </cell>
          <cell r="F552" t="str">
            <v>D</v>
          </cell>
          <cell r="V552">
            <v>0</v>
          </cell>
          <cell r="AJ552" t="str">
            <v>3/16</v>
          </cell>
        </row>
        <row r="553">
          <cell r="C553">
            <v>8000</v>
          </cell>
          <cell r="F553" t="str">
            <v>D</v>
          </cell>
          <cell r="V553">
            <v>0</v>
          </cell>
          <cell r="AJ553" t="str">
            <v>3/16</v>
          </cell>
        </row>
        <row r="554">
          <cell r="C554">
            <v>8000</v>
          </cell>
          <cell r="F554" t="str">
            <v>D</v>
          </cell>
          <cell r="V554">
            <v>0</v>
          </cell>
          <cell r="AJ554" t="str">
            <v>3/16</v>
          </cell>
        </row>
        <row r="555">
          <cell r="C555">
            <v>8000</v>
          </cell>
          <cell r="F555" t="str">
            <v>D</v>
          </cell>
          <cell r="V555">
            <v>0</v>
          </cell>
          <cell r="AJ555" t="str">
            <v>3/16</v>
          </cell>
        </row>
        <row r="556">
          <cell r="C556">
            <v>8000</v>
          </cell>
          <cell r="F556" t="str">
            <v>D</v>
          </cell>
          <cell r="V556">
            <v>0</v>
          </cell>
          <cell r="AJ556" t="str">
            <v>3/16</v>
          </cell>
        </row>
        <row r="557">
          <cell r="C557">
            <v>8000</v>
          </cell>
          <cell r="F557" t="str">
            <v>D</v>
          </cell>
          <cell r="V557">
            <v>0</v>
          </cell>
          <cell r="AJ557" t="str">
            <v>3/16</v>
          </cell>
        </row>
        <row r="558">
          <cell r="C558">
            <v>8000</v>
          </cell>
          <cell r="F558" t="str">
            <v>D</v>
          </cell>
          <cell r="V558">
            <v>0</v>
          </cell>
          <cell r="AJ558" t="str">
            <v>3/16</v>
          </cell>
        </row>
        <row r="559">
          <cell r="C559">
            <v>8000</v>
          </cell>
          <cell r="F559" t="str">
            <v>D</v>
          </cell>
          <cell r="V559">
            <v>0</v>
          </cell>
          <cell r="AJ559" t="str">
            <v>3/16</v>
          </cell>
        </row>
        <row r="560">
          <cell r="C560">
            <v>8000</v>
          </cell>
          <cell r="F560" t="str">
            <v>D</v>
          </cell>
          <cell r="V560">
            <v>0</v>
          </cell>
          <cell r="AJ560" t="str">
            <v>3/16</v>
          </cell>
        </row>
        <row r="561">
          <cell r="C561">
            <v>8000</v>
          </cell>
          <cell r="F561" t="str">
            <v>D</v>
          </cell>
          <cell r="V561">
            <v>0</v>
          </cell>
          <cell r="AJ561" t="str">
            <v>3/16</v>
          </cell>
        </row>
        <row r="562">
          <cell r="C562">
            <v>8000</v>
          </cell>
          <cell r="F562" t="str">
            <v>D</v>
          </cell>
          <cell r="V562">
            <v>0</v>
          </cell>
          <cell r="AJ562" t="str">
            <v>3/16</v>
          </cell>
        </row>
        <row r="563">
          <cell r="C563">
            <v>8000</v>
          </cell>
          <cell r="F563" t="str">
            <v>D</v>
          </cell>
          <cell r="V563">
            <v>0</v>
          </cell>
          <cell r="AJ563" t="str">
            <v>3/16</v>
          </cell>
        </row>
        <row r="564">
          <cell r="C564">
            <v>8000</v>
          </cell>
          <cell r="F564" t="str">
            <v>D</v>
          </cell>
          <cell r="V564">
            <v>0</v>
          </cell>
          <cell r="AJ564" t="str">
            <v>3/16</v>
          </cell>
        </row>
        <row r="565">
          <cell r="C565">
            <v>8000</v>
          </cell>
          <cell r="F565" t="str">
            <v>D</v>
          </cell>
          <cell r="V565">
            <v>0</v>
          </cell>
          <cell r="AJ565" t="str">
            <v>3/16</v>
          </cell>
        </row>
        <row r="566">
          <cell r="C566">
            <v>8000</v>
          </cell>
          <cell r="F566" t="str">
            <v>D</v>
          </cell>
          <cell r="V566">
            <v>0</v>
          </cell>
          <cell r="AJ566" t="str">
            <v>3/16</v>
          </cell>
        </row>
        <row r="567">
          <cell r="C567">
            <v>8000</v>
          </cell>
          <cell r="F567" t="str">
            <v>D</v>
          </cell>
          <cell r="V567">
            <v>0</v>
          </cell>
          <cell r="AJ567" t="str">
            <v>3/16</v>
          </cell>
        </row>
        <row r="568">
          <cell r="C568">
            <v>8000</v>
          </cell>
          <cell r="F568" t="str">
            <v>D</v>
          </cell>
          <cell r="V568">
            <v>0</v>
          </cell>
          <cell r="AJ568" t="str">
            <v>3/16</v>
          </cell>
        </row>
        <row r="569">
          <cell r="C569">
            <v>8000</v>
          </cell>
          <cell r="F569" t="str">
            <v>D</v>
          </cell>
          <cell r="V569">
            <v>0</v>
          </cell>
          <cell r="AJ569" t="str">
            <v>3/16</v>
          </cell>
        </row>
        <row r="570">
          <cell r="C570">
            <v>8000</v>
          </cell>
          <cell r="F570" t="str">
            <v>D</v>
          </cell>
          <cell r="V570">
            <v>0</v>
          </cell>
          <cell r="AJ570" t="str">
            <v>3/16</v>
          </cell>
        </row>
        <row r="571">
          <cell r="C571">
            <v>8000</v>
          </cell>
          <cell r="F571" t="str">
            <v>D</v>
          </cell>
          <cell r="V571">
            <v>0</v>
          </cell>
          <cell r="AJ571" t="str">
            <v>3/16</v>
          </cell>
        </row>
        <row r="572">
          <cell r="C572">
            <v>8000</v>
          </cell>
          <cell r="F572" t="str">
            <v>D</v>
          </cell>
          <cell r="V572">
            <v>0</v>
          </cell>
          <cell r="AJ572" t="str">
            <v>3/16</v>
          </cell>
        </row>
        <row r="573">
          <cell r="C573">
            <v>8000</v>
          </cell>
          <cell r="F573" t="str">
            <v>D</v>
          </cell>
          <cell r="V573">
            <v>0</v>
          </cell>
          <cell r="AJ573" t="str">
            <v>3/16</v>
          </cell>
        </row>
        <row r="574">
          <cell r="C574">
            <v>8000</v>
          </cell>
          <cell r="F574" t="str">
            <v>D</v>
          </cell>
          <cell r="V574">
            <v>0</v>
          </cell>
          <cell r="AJ574" t="str">
            <v>3/16</v>
          </cell>
        </row>
        <row r="575">
          <cell r="C575">
            <v>8000</v>
          </cell>
          <cell r="F575" t="str">
            <v>D</v>
          </cell>
          <cell r="V575">
            <v>0</v>
          </cell>
          <cell r="AJ575" t="str">
            <v>3/16</v>
          </cell>
        </row>
        <row r="576">
          <cell r="C576">
            <v>8000</v>
          </cell>
          <cell r="F576" t="str">
            <v>D</v>
          </cell>
          <cell r="V576">
            <v>0</v>
          </cell>
          <cell r="AJ576" t="str">
            <v>3/16</v>
          </cell>
        </row>
        <row r="577">
          <cell r="C577">
            <v>8000</v>
          </cell>
          <cell r="F577" t="str">
            <v>D</v>
          </cell>
          <cell r="V577">
            <v>0</v>
          </cell>
          <cell r="AJ577" t="str">
            <v>3/16</v>
          </cell>
        </row>
        <row r="578">
          <cell r="C578">
            <v>8000</v>
          </cell>
          <cell r="F578" t="str">
            <v>D</v>
          </cell>
          <cell r="V578">
            <v>0</v>
          </cell>
          <cell r="AJ578" t="str">
            <v>3/16</v>
          </cell>
        </row>
        <row r="579">
          <cell r="C579">
            <v>8000</v>
          </cell>
          <cell r="F579" t="str">
            <v>D</v>
          </cell>
          <cell r="V579">
            <v>0</v>
          </cell>
          <cell r="AJ579" t="str">
            <v>3/16</v>
          </cell>
        </row>
        <row r="580">
          <cell r="C580">
            <v>8000</v>
          </cell>
          <cell r="F580" t="str">
            <v>D</v>
          </cell>
          <cell r="V580">
            <v>0</v>
          </cell>
          <cell r="AJ580" t="str">
            <v>3/16</v>
          </cell>
        </row>
        <row r="581">
          <cell r="C581">
            <v>8000</v>
          </cell>
          <cell r="F581" t="str">
            <v>D</v>
          </cell>
          <cell r="V581">
            <v>0</v>
          </cell>
          <cell r="AJ581" t="str">
            <v>3/16</v>
          </cell>
        </row>
        <row r="582">
          <cell r="C582">
            <v>8000</v>
          </cell>
          <cell r="F582" t="str">
            <v>D</v>
          </cell>
          <cell r="V582">
            <v>0</v>
          </cell>
          <cell r="AJ582" t="str">
            <v>3/16</v>
          </cell>
        </row>
        <row r="583">
          <cell r="C583">
            <v>8000</v>
          </cell>
          <cell r="F583" t="str">
            <v>D</v>
          </cell>
          <cell r="V583">
            <v>0</v>
          </cell>
          <cell r="AJ583" t="str">
            <v>3/16</v>
          </cell>
        </row>
        <row r="584">
          <cell r="C584">
            <v>8000</v>
          </cell>
          <cell r="F584" t="str">
            <v>D</v>
          </cell>
          <cell r="V584">
            <v>0</v>
          </cell>
          <cell r="AJ584" t="str">
            <v>3/16</v>
          </cell>
        </row>
        <row r="585">
          <cell r="C585">
            <v>8000</v>
          </cell>
          <cell r="F585" t="str">
            <v>D</v>
          </cell>
          <cell r="V585">
            <v>0</v>
          </cell>
          <cell r="AJ585" t="str">
            <v>3/16</v>
          </cell>
        </row>
        <row r="586">
          <cell r="C586">
            <v>8000</v>
          </cell>
          <cell r="F586" t="str">
            <v>D</v>
          </cell>
          <cell r="V586">
            <v>0</v>
          </cell>
          <cell r="AJ586" t="str">
            <v>3/16</v>
          </cell>
        </row>
        <row r="587">
          <cell r="C587">
            <v>8000</v>
          </cell>
          <cell r="F587" t="str">
            <v>D</v>
          </cell>
          <cell r="V587">
            <v>0</v>
          </cell>
          <cell r="AJ587" t="str">
            <v>3/16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AST"/>
      <sheetName val="GAB"/>
      <sheetName val="부"/>
      <sheetName val="원(SM)"/>
      <sheetName val="☎"/>
      <sheetName val="R"/>
      <sheetName val="DS"/>
      <sheetName val="업체MD"/>
      <sheetName val="업체"/>
      <sheetName val="입고"/>
      <sheetName val="판매MD"/>
      <sheetName val="MD"/>
      <sheetName val="MSR"/>
      <sheetName val="종합"/>
      <sheetName val="현황"/>
      <sheetName val="S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3">
          <cell r="L13">
            <v>1</v>
          </cell>
          <cell r="EF13">
            <v>97.825000000000003</v>
          </cell>
        </row>
        <row r="14">
          <cell r="EF14">
            <v>78.260000000000005</v>
          </cell>
        </row>
        <row r="15">
          <cell r="L15">
            <v>1</v>
          </cell>
          <cell r="EF15">
            <v>174.65</v>
          </cell>
        </row>
        <row r="16">
          <cell r="EF16">
            <v>174.65</v>
          </cell>
        </row>
        <row r="17">
          <cell r="L17">
            <v>1</v>
          </cell>
          <cell r="EF17">
            <v>107.41500000000001</v>
          </cell>
        </row>
        <row r="18">
          <cell r="EF18">
            <v>87.885000000000005</v>
          </cell>
        </row>
        <row r="19">
          <cell r="L19">
            <v>1</v>
          </cell>
          <cell r="EF19">
            <v>83.055000000000007</v>
          </cell>
        </row>
        <row r="20">
          <cell r="EF20">
            <v>106.785</v>
          </cell>
        </row>
        <row r="21">
          <cell r="L21">
            <v>1</v>
          </cell>
          <cell r="EF21">
            <v>69.825000000000003</v>
          </cell>
        </row>
        <row r="22">
          <cell r="EF22">
            <v>55.86</v>
          </cell>
        </row>
        <row r="23">
          <cell r="L23">
            <v>1</v>
          </cell>
          <cell r="EF23">
            <v>174.65</v>
          </cell>
        </row>
        <row r="24">
          <cell r="EF24">
            <v>174.65</v>
          </cell>
        </row>
        <row r="25">
          <cell r="L25">
            <v>1</v>
          </cell>
          <cell r="EF25">
            <v>97.825000000000003</v>
          </cell>
        </row>
        <row r="26">
          <cell r="EF26">
            <v>78.260000000000005</v>
          </cell>
        </row>
        <row r="27">
          <cell r="L27">
            <v>1</v>
          </cell>
          <cell r="EF27">
            <v>68.355000000000004</v>
          </cell>
        </row>
        <row r="28">
          <cell r="EF28">
            <v>87.885000000000005</v>
          </cell>
        </row>
        <row r="29">
          <cell r="L29">
            <v>1</v>
          </cell>
          <cell r="EF29">
            <v>71.19</v>
          </cell>
        </row>
        <row r="30">
          <cell r="EF30">
            <v>83.055000000000007</v>
          </cell>
        </row>
        <row r="31">
          <cell r="L31">
            <v>1</v>
          </cell>
          <cell r="EF31">
            <v>69.825000000000003</v>
          </cell>
        </row>
        <row r="32">
          <cell r="EF32">
            <v>55.86</v>
          </cell>
        </row>
        <row r="33">
          <cell r="L33">
            <v>1</v>
          </cell>
          <cell r="EF33">
            <v>150.78</v>
          </cell>
        </row>
        <row r="34">
          <cell r="EF34">
            <v>100.52</v>
          </cell>
        </row>
        <row r="35">
          <cell r="EF35">
            <v>150.78</v>
          </cell>
        </row>
        <row r="36">
          <cell r="L36">
            <v>1</v>
          </cell>
          <cell r="EF36">
            <v>71.19</v>
          </cell>
        </row>
        <row r="37">
          <cell r="EF37">
            <v>83.055000000000007</v>
          </cell>
        </row>
        <row r="38">
          <cell r="EF38">
            <v>94.92</v>
          </cell>
        </row>
        <row r="39">
          <cell r="L39">
            <v>1</v>
          </cell>
          <cell r="EF39">
            <v>125.65</v>
          </cell>
        </row>
        <row r="40">
          <cell r="EF40">
            <v>175.91</v>
          </cell>
        </row>
        <row r="41">
          <cell r="EF41">
            <v>75.39</v>
          </cell>
        </row>
        <row r="42">
          <cell r="L42">
            <v>1</v>
          </cell>
          <cell r="EF42">
            <v>83.055000000000007</v>
          </cell>
        </row>
        <row r="43">
          <cell r="EF43">
            <v>59.325000000000003</v>
          </cell>
        </row>
        <row r="44">
          <cell r="EF44">
            <v>106.785</v>
          </cell>
        </row>
        <row r="45">
          <cell r="L45">
            <v>1</v>
          </cell>
          <cell r="EF45">
            <v>97.754999999999995</v>
          </cell>
        </row>
        <row r="47">
          <cell r="L47">
            <v>1</v>
          </cell>
          <cell r="EF47">
            <v>89.25</v>
          </cell>
        </row>
        <row r="48">
          <cell r="EF48">
            <v>223.125</v>
          </cell>
        </row>
        <row r="49">
          <cell r="EF49">
            <v>133.875</v>
          </cell>
        </row>
        <row r="50">
          <cell r="L50">
            <v>1</v>
          </cell>
          <cell r="EF50">
            <v>29.024999999999999</v>
          </cell>
        </row>
        <row r="51">
          <cell r="EF51">
            <v>77.400000000000006</v>
          </cell>
        </row>
        <row r="52">
          <cell r="EF52">
            <v>38.700000000000003</v>
          </cell>
        </row>
        <row r="53">
          <cell r="L53">
            <v>1</v>
          </cell>
          <cell r="EF53">
            <v>133.875</v>
          </cell>
        </row>
        <row r="54">
          <cell r="EF54">
            <v>178.5</v>
          </cell>
        </row>
        <row r="55">
          <cell r="EF55">
            <v>89.25</v>
          </cell>
        </row>
        <row r="56">
          <cell r="L56">
            <v>1</v>
          </cell>
          <cell r="EF56">
            <v>38.700000000000003</v>
          </cell>
        </row>
        <row r="57">
          <cell r="EF57">
            <v>58.05</v>
          </cell>
        </row>
        <row r="58">
          <cell r="EF58">
            <v>48.375</v>
          </cell>
        </row>
        <row r="64">
          <cell r="L64">
            <v>1</v>
          </cell>
          <cell r="EF64">
            <v>92.8</v>
          </cell>
        </row>
        <row r="65">
          <cell r="EF65">
            <v>69.599999999999994</v>
          </cell>
        </row>
        <row r="66">
          <cell r="L66">
            <v>1</v>
          </cell>
          <cell r="EF66">
            <v>75.400000000000006</v>
          </cell>
        </row>
        <row r="67">
          <cell r="EF67">
            <v>63.8</v>
          </cell>
        </row>
        <row r="68">
          <cell r="L68">
            <v>1</v>
          </cell>
          <cell r="EF68">
            <v>116.56</v>
          </cell>
        </row>
        <row r="69">
          <cell r="EF69">
            <v>99.64</v>
          </cell>
        </row>
        <row r="70">
          <cell r="L70">
            <v>1</v>
          </cell>
          <cell r="EF70">
            <v>140</v>
          </cell>
        </row>
        <row r="71">
          <cell r="EF71">
            <v>112</v>
          </cell>
        </row>
        <row r="72">
          <cell r="L72">
            <v>1</v>
          </cell>
          <cell r="EF72">
            <v>97.2</v>
          </cell>
        </row>
        <row r="73">
          <cell r="EF73">
            <v>54</v>
          </cell>
        </row>
        <row r="74">
          <cell r="EF74">
            <v>75.599999999999994</v>
          </cell>
        </row>
        <row r="75">
          <cell r="L75">
            <v>1</v>
          </cell>
          <cell r="EF75">
            <v>104.4</v>
          </cell>
        </row>
        <row r="76">
          <cell r="EF76">
            <v>86.4</v>
          </cell>
        </row>
        <row r="77">
          <cell r="L77">
            <v>1</v>
          </cell>
          <cell r="EF77">
            <v>112</v>
          </cell>
        </row>
        <row r="78">
          <cell r="EF78">
            <v>140</v>
          </cell>
        </row>
        <row r="79">
          <cell r="L79">
            <v>1</v>
          </cell>
          <cell r="EF79">
            <v>86.4</v>
          </cell>
        </row>
        <row r="80">
          <cell r="EF80">
            <v>54</v>
          </cell>
        </row>
        <row r="81">
          <cell r="EF81">
            <v>64.8</v>
          </cell>
        </row>
        <row r="82">
          <cell r="EF82" t="str">
            <v>-</v>
          </cell>
        </row>
        <row r="85">
          <cell r="EF85">
            <v>6155.6050000000005</v>
          </cell>
        </row>
        <row r="90">
          <cell r="EF90" t="str">
            <v>-</v>
          </cell>
        </row>
        <row r="91">
          <cell r="EF91" t="str">
            <v>-</v>
          </cell>
        </row>
        <row r="92">
          <cell r="EF92" t="str">
            <v>-</v>
          </cell>
        </row>
        <row r="93">
          <cell r="EF93" t="str">
            <v>-</v>
          </cell>
        </row>
        <row r="94">
          <cell r="EF94" t="str">
            <v>-</v>
          </cell>
        </row>
        <row r="95">
          <cell r="EF95" t="str">
            <v>-</v>
          </cell>
        </row>
        <row r="96">
          <cell r="EF96" t="str">
            <v>-</v>
          </cell>
        </row>
        <row r="97">
          <cell r="EF97" t="str">
            <v>-</v>
          </cell>
        </row>
        <row r="98">
          <cell r="EF98">
            <v>32.25</v>
          </cell>
        </row>
        <row r="99">
          <cell r="EF99">
            <v>38.700000000000003</v>
          </cell>
        </row>
        <row r="100">
          <cell r="EF100">
            <v>24.75</v>
          </cell>
        </row>
        <row r="101">
          <cell r="EF101">
            <v>19.8</v>
          </cell>
        </row>
        <row r="102">
          <cell r="EF102">
            <v>38.700000000000003</v>
          </cell>
        </row>
        <row r="103">
          <cell r="EF103">
            <v>19.75</v>
          </cell>
        </row>
        <row r="104">
          <cell r="EF104">
            <v>19.75</v>
          </cell>
        </row>
        <row r="105">
          <cell r="EF105">
            <v>23.7</v>
          </cell>
        </row>
        <row r="106">
          <cell r="EF106">
            <v>19.75</v>
          </cell>
        </row>
        <row r="107">
          <cell r="EF107" t="str">
            <v>-</v>
          </cell>
        </row>
        <row r="108">
          <cell r="EF108" t="str">
            <v>-</v>
          </cell>
        </row>
        <row r="109">
          <cell r="EF109" t="str">
            <v>-</v>
          </cell>
        </row>
        <row r="110">
          <cell r="EF110" t="str">
            <v>-</v>
          </cell>
        </row>
        <row r="111">
          <cell r="EF111" t="str">
            <v>-</v>
          </cell>
        </row>
        <row r="112">
          <cell r="EF112" t="str">
            <v>-</v>
          </cell>
        </row>
        <row r="113">
          <cell r="EF113" t="str">
            <v>-</v>
          </cell>
        </row>
        <row r="114">
          <cell r="EF114">
            <v>35.1</v>
          </cell>
        </row>
        <row r="115">
          <cell r="EF115">
            <v>23.4</v>
          </cell>
        </row>
        <row r="116">
          <cell r="EF116">
            <v>27.3</v>
          </cell>
        </row>
        <row r="117">
          <cell r="EF117">
            <v>19.5</v>
          </cell>
        </row>
        <row r="118">
          <cell r="EF118">
            <v>19.5</v>
          </cell>
        </row>
        <row r="119">
          <cell r="EF119">
            <v>25.35</v>
          </cell>
        </row>
        <row r="120">
          <cell r="EF120">
            <v>101.4</v>
          </cell>
        </row>
        <row r="121">
          <cell r="EF121">
            <v>84.5</v>
          </cell>
        </row>
        <row r="122">
          <cell r="EF122">
            <v>113.68</v>
          </cell>
        </row>
        <row r="123">
          <cell r="EF123">
            <v>113.68</v>
          </cell>
        </row>
        <row r="124">
          <cell r="EF124">
            <v>87.45</v>
          </cell>
        </row>
        <row r="125">
          <cell r="EF125">
            <v>71.55</v>
          </cell>
        </row>
        <row r="126">
          <cell r="EF126">
            <v>97.76</v>
          </cell>
        </row>
        <row r="127">
          <cell r="EF127">
            <v>97.76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생산계"/>
      <sheetName val="아이템별"/>
      <sheetName val="라인별"/>
      <sheetName val="업체"/>
      <sheetName val="생산국"/>
      <sheetName val="월별입고"/>
      <sheetName val="원가절감"/>
      <sheetName val="주간입고현황"/>
      <sheetName val="입고진행현황"/>
      <sheetName val="16SS MDPLAN 취합"/>
      <sheetName val="16SS 골프LIST"/>
      <sheetName val="기초자료"/>
      <sheetName val="16SS주간입고"/>
      <sheetName val="15SS MDPLAN 취합"/>
      <sheetName val="15S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 xml:space="preserve">▶2015년 WILDROSES S/S MD PLAN  </v>
          </cell>
          <cell r="X1">
            <v>6</v>
          </cell>
          <cell r="Y1">
            <v>7</v>
          </cell>
          <cell r="AD1">
            <v>12</v>
          </cell>
          <cell r="BM1">
            <v>47</v>
          </cell>
        </row>
        <row r="3">
          <cell r="X3">
            <v>308</v>
          </cell>
          <cell r="Y3">
            <v>641</v>
          </cell>
          <cell r="AD3">
            <v>43291808</v>
          </cell>
          <cell r="BM3">
            <v>9096939.999599997</v>
          </cell>
        </row>
        <row r="4">
          <cell r="B4" t="str">
            <v>브랜드</v>
          </cell>
          <cell r="D4" t="str">
            <v>SEASON</v>
          </cell>
          <cell r="G4" t="str">
            <v>ITEM</v>
          </cell>
          <cell r="X4" t="str">
            <v>STYLE</v>
          </cell>
          <cell r="Y4" t="str">
            <v>SKU</v>
          </cell>
          <cell r="AD4" t="str">
            <v>최초가금액</v>
          </cell>
          <cell r="BM4" t="str">
            <v>원가금액(VAT-)</v>
          </cell>
        </row>
        <row r="5">
          <cell r="B5" t="str">
            <v>WS</v>
          </cell>
          <cell r="D5" t="str">
            <v>S</v>
          </cell>
          <cell r="G5" t="str">
            <v>JK</v>
          </cell>
          <cell r="X5">
            <v>1</v>
          </cell>
          <cell r="Y5">
            <v>1</v>
          </cell>
          <cell r="AD5">
            <v>142800</v>
          </cell>
          <cell r="BM5">
            <v>29536.2</v>
          </cell>
        </row>
        <row r="6">
          <cell r="B6" t="str">
            <v>WS</v>
          </cell>
          <cell r="D6" t="str">
            <v>S</v>
          </cell>
          <cell r="G6" t="str">
            <v>JK</v>
          </cell>
          <cell r="Y6">
            <v>1</v>
          </cell>
          <cell r="AD6">
            <v>95200</v>
          </cell>
          <cell r="BM6">
            <v>19690.8</v>
          </cell>
        </row>
        <row r="7">
          <cell r="B7" t="str">
            <v>WS</v>
          </cell>
          <cell r="D7" t="str">
            <v>S</v>
          </cell>
          <cell r="G7" t="str">
            <v>JK</v>
          </cell>
          <cell r="X7">
            <v>1</v>
          </cell>
          <cell r="Y7">
            <v>1</v>
          </cell>
          <cell r="AD7">
            <v>124000</v>
          </cell>
          <cell r="BM7">
            <v>25513.5</v>
          </cell>
        </row>
        <row r="8">
          <cell r="B8" t="str">
            <v>WS</v>
          </cell>
          <cell r="D8" t="str">
            <v>S</v>
          </cell>
          <cell r="G8" t="str">
            <v>JK</v>
          </cell>
          <cell r="Y8">
            <v>1</v>
          </cell>
          <cell r="AD8">
            <v>124000</v>
          </cell>
          <cell r="BM8">
            <v>25513.5</v>
          </cell>
        </row>
        <row r="9">
          <cell r="B9" t="str">
            <v>WS</v>
          </cell>
          <cell r="D9" t="str">
            <v>S</v>
          </cell>
          <cell r="G9" t="str">
            <v>JK</v>
          </cell>
          <cell r="X9">
            <v>1</v>
          </cell>
          <cell r="Y9">
            <v>1</v>
          </cell>
          <cell r="AD9">
            <v>129000</v>
          </cell>
          <cell r="BM9">
            <v>26513.5</v>
          </cell>
        </row>
        <row r="10">
          <cell r="B10" t="str">
            <v>WS</v>
          </cell>
          <cell r="D10" t="str">
            <v>S</v>
          </cell>
          <cell r="G10" t="str">
            <v>JK</v>
          </cell>
          <cell r="Y10">
            <v>1</v>
          </cell>
          <cell r="AD10">
            <v>129000</v>
          </cell>
          <cell r="BM10">
            <v>26513.5</v>
          </cell>
        </row>
        <row r="11">
          <cell r="B11" t="str">
            <v>WS</v>
          </cell>
          <cell r="D11" t="str">
            <v>S</v>
          </cell>
          <cell r="G11" t="str">
            <v>JK</v>
          </cell>
          <cell r="X11">
            <v>1</v>
          </cell>
          <cell r="Y11">
            <v>1</v>
          </cell>
          <cell r="AD11">
            <v>142800</v>
          </cell>
          <cell r="BM11">
            <v>30814.2</v>
          </cell>
        </row>
        <row r="12">
          <cell r="B12" t="str">
            <v>WS</v>
          </cell>
          <cell r="D12" t="str">
            <v>S</v>
          </cell>
          <cell r="G12" t="str">
            <v>JK</v>
          </cell>
          <cell r="Y12">
            <v>1</v>
          </cell>
          <cell r="AD12">
            <v>166600</v>
          </cell>
          <cell r="BM12">
            <v>35949.9</v>
          </cell>
        </row>
        <row r="13">
          <cell r="B13" t="str">
            <v>WS</v>
          </cell>
          <cell r="D13" t="str">
            <v>S</v>
          </cell>
          <cell r="G13" t="str">
            <v>JK</v>
          </cell>
          <cell r="Y13">
            <v>1</v>
          </cell>
          <cell r="AD13">
            <v>214200</v>
          </cell>
          <cell r="BM13">
            <v>46221.3</v>
          </cell>
        </row>
        <row r="14">
          <cell r="B14" t="str">
            <v>WS</v>
          </cell>
          <cell r="D14" t="str">
            <v>S</v>
          </cell>
          <cell r="G14" t="str">
            <v>JK</v>
          </cell>
          <cell r="X14">
            <v>1</v>
          </cell>
          <cell r="Y14">
            <v>1</v>
          </cell>
          <cell r="AD14">
            <v>103200</v>
          </cell>
          <cell r="BM14">
            <v>20810.8</v>
          </cell>
        </row>
        <row r="15">
          <cell r="B15" t="str">
            <v>WS</v>
          </cell>
          <cell r="D15" t="str">
            <v>S</v>
          </cell>
          <cell r="G15" t="str">
            <v>JK</v>
          </cell>
          <cell r="Y15">
            <v>1</v>
          </cell>
          <cell r="AD15">
            <v>103200</v>
          </cell>
          <cell r="BM15">
            <v>20810.8</v>
          </cell>
        </row>
        <row r="16">
          <cell r="B16" t="str">
            <v>WS</v>
          </cell>
          <cell r="D16" t="str">
            <v>S</v>
          </cell>
          <cell r="G16" t="str">
            <v>JK</v>
          </cell>
          <cell r="X16">
            <v>1</v>
          </cell>
          <cell r="Y16">
            <v>1</v>
          </cell>
          <cell r="AD16">
            <v>226800</v>
          </cell>
          <cell r="BM16">
            <v>64232.4</v>
          </cell>
        </row>
        <row r="17">
          <cell r="B17" t="str">
            <v>WS</v>
          </cell>
          <cell r="D17" t="str">
            <v>S</v>
          </cell>
          <cell r="G17" t="str">
            <v>JK</v>
          </cell>
          <cell r="Y17">
            <v>1</v>
          </cell>
          <cell r="AD17">
            <v>283500</v>
          </cell>
          <cell r="BM17">
            <v>80290.5</v>
          </cell>
        </row>
        <row r="18">
          <cell r="B18" t="str">
            <v>WS</v>
          </cell>
          <cell r="D18" t="str">
            <v>S</v>
          </cell>
          <cell r="G18" t="str">
            <v>JK</v>
          </cell>
          <cell r="Y18">
            <v>1</v>
          </cell>
          <cell r="AD18">
            <v>94500</v>
          </cell>
          <cell r="BM18">
            <v>26763.5</v>
          </cell>
        </row>
        <row r="19">
          <cell r="B19" t="str">
            <v>WS</v>
          </cell>
          <cell r="D19" t="str">
            <v>S</v>
          </cell>
          <cell r="G19" t="str">
            <v>JP</v>
          </cell>
          <cell r="X19">
            <v>1</v>
          </cell>
          <cell r="Y19">
            <v>1</v>
          </cell>
          <cell r="AD19">
            <v>94800</v>
          </cell>
          <cell r="BM19">
            <v>21556.2</v>
          </cell>
        </row>
        <row r="20">
          <cell r="B20" t="str">
            <v>WS</v>
          </cell>
          <cell r="D20" t="str">
            <v>S</v>
          </cell>
          <cell r="G20" t="str">
            <v>JP</v>
          </cell>
          <cell r="Y20">
            <v>1</v>
          </cell>
          <cell r="AD20">
            <v>47400</v>
          </cell>
          <cell r="BM20">
            <v>10778.1</v>
          </cell>
        </row>
        <row r="21">
          <cell r="B21" t="str">
            <v>WS</v>
          </cell>
          <cell r="D21" t="str">
            <v>S</v>
          </cell>
          <cell r="G21" t="str">
            <v>JP</v>
          </cell>
          <cell r="X21">
            <v>1</v>
          </cell>
          <cell r="Y21">
            <v>1</v>
          </cell>
          <cell r="AD21">
            <v>198000</v>
          </cell>
          <cell r="BM21">
            <v>38527</v>
          </cell>
        </row>
        <row r="22">
          <cell r="B22" t="str">
            <v>WS</v>
          </cell>
          <cell r="D22" t="str">
            <v>S</v>
          </cell>
          <cell r="G22" t="str">
            <v>VT</v>
          </cell>
          <cell r="X22">
            <v>1</v>
          </cell>
          <cell r="Y22">
            <v>1</v>
          </cell>
          <cell r="AD22">
            <v>115200</v>
          </cell>
          <cell r="BM22">
            <v>26124.3</v>
          </cell>
        </row>
        <row r="23">
          <cell r="B23" t="str">
            <v>WS</v>
          </cell>
          <cell r="D23" t="str">
            <v>S</v>
          </cell>
          <cell r="G23" t="str">
            <v>VT</v>
          </cell>
          <cell r="Y23">
            <v>1</v>
          </cell>
          <cell r="AD23">
            <v>76800</v>
          </cell>
          <cell r="BM23">
            <v>17416.2</v>
          </cell>
        </row>
        <row r="24">
          <cell r="B24" t="str">
            <v>WS</v>
          </cell>
          <cell r="D24" t="str">
            <v>M</v>
          </cell>
          <cell r="G24" t="str">
            <v>JP</v>
          </cell>
          <cell r="X24">
            <v>1</v>
          </cell>
          <cell r="Y24">
            <v>1</v>
          </cell>
          <cell r="AD24">
            <v>99000</v>
          </cell>
          <cell r="BM24">
            <v>19778.5</v>
          </cell>
        </row>
        <row r="25">
          <cell r="B25" t="str">
            <v>WS</v>
          </cell>
          <cell r="D25" t="str">
            <v>M</v>
          </cell>
          <cell r="G25" t="str">
            <v>JP</v>
          </cell>
          <cell r="Y25">
            <v>1</v>
          </cell>
          <cell r="AD25">
            <v>99000</v>
          </cell>
          <cell r="BM25">
            <v>19778.5</v>
          </cell>
        </row>
        <row r="26">
          <cell r="B26" t="str">
            <v>WS</v>
          </cell>
          <cell r="D26" t="str">
            <v>M</v>
          </cell>
          <cell r="G26" t="str">
            <v>JP</v>
          </cell>
          <cell r="X26">
            <v>1</v>
          </cell>
          <cell r="Y26">
            <v>1</v>
          </cell>
          <cell r="AD26">
            <v>142400</v>
          </cell>
          <cell r="BM26">
            <v>23397.599999999999</v>
          </cell>
        </row>
        <row r="27">
          <cell r="B27" t="str">
            <v>WS</v>
          </cell>
          <cell r="D27" t="str">
            <v>M</v>
          </cell>
          <cell r="G27" t="str">
            <v>JP</v>
          </cell>
          <cell r="Y27">
            <v>1</v>
          </cell>
          <cell r="AD27">
            <v>124600</v>
          </cell>
          <cell r="BM27">
            <v>20472.900000000001</v>
          </cell>
        </row>
        <row r="28">
          <cell r="B28" t="str">
            <v>WS</v>
          </cell>
          <cell r="D28" t="str">
            <v>M</v>
          </cell>
          <cell r="G28" t="str">
            <v>JP</v>
          </cell>
          <cell r="X28">
            <v>1</v>
          </cell>
          <cell r="Y28">
            <v>1</v>
          </cell>
          <cell r="AD28">
            <v>74120</v>
          </cell>
          <cell r="BM28">
            <v>13989.98</v>
          </cell>
        </row>
        <row r="29">
          <cell r="B29" t="str">
            <v>WS</v>
          </cell>
          <cell r="D29" t="str">
            <v>M</v>
          </cell>
          <cell r="G29" t="str">
            <v>JP</v>
          </cell>
          <cell r="Y29">
            <v>1</v>
          </cell>
          <cell r="AD29">
            <v>130800</v>
          </cell>
          <cell r="BM29">
            <v>24688.2</v>
          </cell>
        </row>
        <row r="30">
          <cell r="B30" t="str">
            <v>WS</v>
          </cell>
          <cell r="D30" t="str">
            <v>M</v>
          </cell>
          <cell r="G30" t="str">
            <v>JP</v>
          </cell>
          <cell r="X30">
            <v>1</v>
          </cell>
          <cell r="Y30">
            <v>1</v>
          </cell>
          <cell r="AD30">
            <v>67200</v>
          </cell>
          <cell r="BM30">
            <v>13866.8</v>
          </cell>
        </row>
        <row r="31">
          <cell r="B31" t="str">
            <v>WS</v>
          </cell>
          <cell r="D31" t="str">
            <v>M</v>
          </cell>
          <cell r="G31" t="str">
            <v>JP</v>
          </cell>
          <cell r="Y31">
            <v>1</v>
          </cell>
          <cell r="AD31">
            <v>67200</v>
          </cell>
          <cell r="BM31">
            <v>13866.8</v>
          </cell>
        </row>
        <row r="32">
          <cell r="B32" t="str">
            <v>WS</v>
          </cell>
          <cell r="D32" t="str">
            <v>M</v>
          </cell>
          <cell r="G32" t="str">
            <v>JP</v>
          </cell>
          <cell r="X32">
            <v>1</v>
          </cell>
          <cell r="Y32">
            <v>1</v>
          </cell>
          <cell r="AD32">
            <v>126400</v>
          </cell>
          <cell r="BM32">
            <v>25485.599999999999</v>
          </cell>
        </row>
        <row r="33">
          <cell r="B33" t="str">
            <v>WS</v>
          </cell>
          <cell r="D33" t="str">
            <v>M</v>
          </cell>
          <cell r="G33" t="str">
            <v>JP</v>
          </cell>
          <cell r="Y33">
            <v>1</v>
          </cell>
          <cell r="AD33">
            <v>94800</v>
          </cell>
          <cell r="BM33">
            <v>19114.2</v>
          </cell>
        </row>
        <row r="34">
          <cell r="B34" t="str">
            <v>WS</v>
          </cell>
          <cell r="D34" t="str">
            <v>M</v>
          </cell>
          <cell r="G34" t="str">
            <v>JP</v>
          </cell>
          <cell r="X34">
            <v>1</v>
          </cell>
          <cell r="Y34">
            <v>1</v>
          </cell>
          <cell r="AD34">
            <v>94800</v>
          </cell>
          <cell r="BM34">
            <v>17416.2</v>
          </cell>
        </row>
        <row r="35">
          <cell r="B35" t="str">
            <v>WS</v>
          </cell>
          <cell r="D35" t="str">
            <v>M</v>
          </cell>
          <cell r="G35" t="str">
            <v>JP</v>
          </cell>
          <cell r="Y35">
            <v>1</v>
          </cell>
          <cell r="AD35">
            <v>94800</v>
          </cell>
          <cell r="BM35">
            <v>17416.2</v>
          </cell>
        </row>
        <row r="36">
          <cell r="B36" t="str">
            <v>WS</v>
          </cell>
          <cell r="D36" t="str">
            <v>M</v>
          </cell>
          <cell r="G36" t="str">
            <v>JP</v>
          </cell>
          <cell r="X36">
            <v>1</v>
          </cell>
          <cell r="Y36">
            <v>1</v>
          </cell>
          <cell r="AD36">
            <v>282000</v>
          </cell>
          <cell r="BM36">
            <v>54325.5</v>
          </cell>
        </row>
        <row r="37">
          <cell r="B37" t="str">
            <v>WS</v>
          </cell>
          <cell r="D37" t="str">
            <v>M</v>
          </cell>
          <cell r="G37" t="str">
            <v>JP</v>
          </cell>
          <cell r="Y37">
            <v>1</v>
          </cell>
          <cell r="AD37">
            <v>188000</v>
          </cell>
          <cell r="BM37">
            <v>36217</v>
          </cell>
        </row>
        <row r="38">
          <cell r="B38" t="str">
            <v>WS</v>
          </cell>
          <cell r="D38" t="str">
            <v>M</v>
          </cell>
          <cell r="G38" t="str">
            <v>JP</v>
          </cell>
          <cell r="X38">
            <v>1</v>
          </cell>
          <cell r="Y38">
            <v>1</v>
          </cell>
          <cell r="AD38">
            <v>231400</v>
          </cell>
          <cell r="BM38">
            <v>46757.1</v>
          </cell>
        </row>
        <row r="39">
          <cell r="B39" t="str">
            <v>WS</v>
          </cell>
          <cell r="D39" t="str">
            <v>M</v>
          </cell>
          <cell r="G39" t="str">
            <v>JP</v>
          </cell>
          <cell r="Y39">
            <v>1</v>
          </cell>
          <cell r="AD39">
            <v>178000</v>
          </cell>
          <cell r="BM39">
            <v>35967</v>
          </cell>
        </row>
        <row r="40">
          <cell r="B40" t="str">
            <v>WS</v>
          </cell>
          <cell r="D40" t="str">
            <v>M</v>
          </cell>
          <cell r="G40" t="str">
            <v>JP</v>
          </cell>
          <cell r="X40">
            <v>1</v>
          </cell>
          <cell r="Y40">
            <v>1</v>
          </cell>
          <cell r="AD40">
            <v>76800</v>
          </cell>
          <cell r="BM40">
            <v>16456.2</v>
          </cell>
        </row>
        <row r="41">
          <cell r="B41" t="str">
            <v>WS</v>
          </cell>
          <cell r="D41" t="str">
            <v>M</v>
          </cell>
          <cell r="G41" t="str">
            <v>JP</v>
          </cell>
          <cell r="Y41">
            <v>1</v>
          </cell>
          <cell r="AD41">
            <v>76800</v>
          </cell>
          <cell r="BM41">
            <v>16456.2</v>
          </cell>
        </row>
        <row r="42">
          <cell r="B42" t="str">
            <v>WS</v>
          </cell>
          <cell r="D42" t="str">
            <v>M</v>
          </cell>
          <cell r="G42" t="str">
            <v>JP</v>
          </cell>
          <cell r="X42">
            <v>1</v>
          </cell>
          <cell r="Y42">
            <v>1</v>
          </cell>
          <cell r="AD42">
            <v>94000</v>
          </cell>
          <cell r="BM42">
            <v>19698.5</v>
          </cell>
        </row>
        <row r="43">
          <cell r="B43" t="str">
            <v>WS</v>
          </cell>
          <cell r="D43" t="str">
            <v>M</v>
          </cell>
          <cell r="G43" t="str">
            <v>JP</v>
          </cell>
          <cell r="Y43">
            <v>1</v>
          </cell>
          <cell r="AD43">
            <v>94000</v>
          </cell>
          <cell r="BM43">
            <v>19698.5</v>
          </cell>
        </row>
        <row r="44">
          <cell r="B44" t="str">
            <v>WS</v>
          </cell>
          <cell r="D44" t="str">
            <v>M</v>
          </cell>
          <cell r="G44" t="str">
            <v>JP</v>
          </cell>
          <cell r="X44">
            <v>1</v>
          </cell>
          <cell r="Y44">
            <v>1</v>
          </cell>
          <cell r="AD44">
            <v>128000</v>
          </cell>
          <cell r="BM44">
            <v>26587</v>
          </cell>
        </row>
        <row r="45">
          <cell r="B45" t="str">
            <v>WS</v>
          </cell>
          <cell r="D45" t="str">
            <v>M</v>
          </cell>
          <cell r="G45" t="str">
            <v>JP</v>
          </cell>
          <cell r="Y45">
            <v>1</v>
          </cell>
          <cell r="AD45">
            <v>192000</v>
          </cell>
          <cell r="BM45">
            <v>39880.5</v>
          </cell>
        </row>
        <row r="46">
          <cell r="B46" t="str">
            <v>WS</v>
          </cell>
          <cell r="D46" t="str">
            <v>M</v>
          </cell>
          <cell r="G46" t="str">
            <v>JP</v>
          </cell>
          <cell r="Y46">
            <v>1</v>
          </cell>
          <cell r="AD46">
            <v>128000</v>
          </cell>
          <cell r="BM46">
            <v>26587</v>
          </cell>
        </row>
        <row r="47">
          <cell r="B47" t="str">
            <v>WS</v>
          </cell>
          <cell r="D47" t="str">
            <v>M</v>
          </cell>
          <cell r="G47" t="str">
            <v>JP</v>
          </cell>
          <cell r="X47">
            <v>1</v>
          </cell>
          <cell r="Y47">
            <v>1</v>
          </cell>
          <cell r="AD47">
            <v>74000</v>
          </cell>
          <cell r="BM47">
            <v>14798.5</v>
          </cell>
        </row>
        <row r="48">
          <cell r="B48" t="str">
            <v>WS</v>
          </cell>
          <cell r="D48" t="str">
            <v>M</v>
          </cell>
          <cell r="G48" t="str">
            <v>JP</v>
          </cell>
          <cell r="Y48">
            <v>1</v>
          </cell>
          <cell r="AD48">
            <v>59200</v>
          </cell>
          <cell r="BM48">
            <v>11838.8</v>
          </cell>
        </row>
        <row r="49">
          <cell r="B49" t="str">
            <v>WS</v>
          </cell>
          <cell r="D49" t="str">
            <v>M</v>
          </cell>
          <cell r="G49" t="str">
            <v>JP</v>
          </cell>
          <cell r="X49">
            <v>1</v>
          </cell>
          <cell r="Y49">
            <v>1</v>
          </cell>
          <cell r="AD49">
            <v>102400</v>
          </cell>
          <cell r="BM49">
            <v>23525.599999999999</v>
          </cell>
        </row>
        <row r="50">
          <cell r="B50" t="str">
            <v>WS</v>
          </cell>
          <cell r="D50" t="str">
            <v>M</v>
          </cell>
          <cell r="G50" t="str">
            <v>JP</v>
          </cell>
          <cell r="Y50">
            <v>1</v>
          </cell>
          <cell r="AD50">
            <v>102400</v>
          </cell>
          <cell r="BM50">
            <v>23525.599999999999</v>
          </cell>
        </row>
        <row r="51">
          <cell r="B51" t="str">
            <v>WS</v>
          </cell>
          <cell r="D51" t="str">
            <v>M</v>
          </cell>
          <cell r="G51" t="str">
            <v>JP</v>
          </cell>
          <cell r="X51">
            <v>1</v>
          </cell>
          <cell r="Y51">
            <v>1</v>
          </cell>
          <cell r="AD51">
            <v>110600</v>
          </cell>
          <cell r="BM51">
            <v>23426.9</v>
          </cell>
        </row>
        <row r="52">
          <cell r="B52" t="str">
            <v>WS</v>
          </cell>
          <cell r="D52" t="str">
            <v>M</v>
          </cell>
          <cell r="G52" t="str">
            <v>JP</v>
          </cell>
          <cell r="Y52">
            <v>1</v>
          </cell>
          <cell r="AD52">
            <v>63200</v>
          </cell>
          <cell r="BM52">
            <v>13386.8</v>
          </cell>
        </row>
        <row r="53">
          <cell r="B53" t="str">
            <v>WS</v>
          </cell>
          <cell r="D53" t="str">
            <v>M</v>
          </cell>
          <cell r="G53" t="str">
            <v>JP</v>
          </cell>
          <cell r="X53">
            <v>1</v>
          </cell>
          <cell r="Y53">
            <v>1</v>
          </cell>
          <cell r="AD53">
            <v>82800</v>
          </cell>
          <cell r="BM53">
            <v>14782.2</v>
          </cell>
        </row>
        <row r="54">
          <cell r="B54" t="str">
            <v>WS</v>
          </cell>
          <cell r="D54" t="str">
            <v>M</v>
          </cell>
          <cell r="G54" t="str">
            <v>JP</v>
          </cell>
          <cell r="Y54">
            <v>1</v>
          </cell>
          <cell r="AD54">
            <v>55200</v>
          </cell>
          <cell r="BM54">
            <v>9854.7999999999993</v>
          </cell>
        </row>
        <row r="55">
          <cell r="B55" t="str">
            <v>WS</v>
          </cell>
          <cell r="D55" t="str">
            <v>M</v>
          </cell>
          <cell r="G55" t="str">
            <v>JP</v>
          </cell>
          <cell r="X55">
            <v>1</v>
          </cell>
          <cell r="Y55">
            <v>1</v>
          </cell>
          <cell r="AD55">
            <v>118400</v>
          </cell>
          <cell r="BM55">
            <v>22965.599999999999</v>
          </cell>
        </row>
        <row r="56">
          <cell r="B56" t="str">
            <v>WS</v>
          </cell>
          <cell r="D56" t="str">
            <v>M</v>
          </cell>
          <cell r="G56" t="str">
            <v>JP</v>
          </cell>
          <cell r="Y56">
            <v>1</v>
          </cell>
          <cell r="AD56">
            <v>118400</v>
          </cell>
          <cell r="BM56">
            <v>22965.599999999999</v>
          </cell>
        </row>
        <row r="57">
          <cell r="B57" t="str">
            <v>WS</v>
          </cell>
          <cell r="D57" t="str">
            <v>M</v>
          </cell>
          <cell r="G57" t="str">
            <v>VT</v>
          </cell>
          <cell r="X57">
            <v>1</v>
          </cell>
          <cell r="Y57">
            <v>1</v>
          </cell>
          <cell r="AD57">
            <v>94400</v>
          </cell>
          <cell r="BM57">
            <v>18637.599999999999</v>
          </cell>
        </row>
        <row r="58">
          <cell r="B58" t="str">
            <v>WS</v>
          </cell>
          <cell r="D58" t="str">
            <v>M</v>
          </cell>
          <cell r="G58" t="str">
            <v>VT</v>
          </cell>
          <cell r="Y58">
            <v>1</v>
          </cell>
          <cell r="AD58">
            <v>94400</v>
          </cell>
          <cell r="BM58">
            <v>18637.599999999999</v>
          </cell>
        </row>
        <row r="59">
          <cell r="B59" t="str">
            <v>WS</v>
          </cell>
          <cell r="D59" t="str">
            <v>M</v>
          </cell>
          <cell r="G59" t="str">
            <v>VT</v>
          </cell>
          <cell r="X59">
            <v>1</v>
          </cell>
          <cell r="Y59">
            <v>1</v>
          </cell>
          <cell r="AD59">
            <v>128000</v>
          </cell>
          <cell r="BM59">
            <v>22537</v>
          </cell>
        </row>
        <row r="60">
          <cell r="B60" t="str">
            <v>WS</v>
          </cell>
          <cell r="D60" t="str">
            <v>M</v>
          </cell>
          <cell r="G60" t="str">
            <v>VT</v>
          </cell>
          <cell r="Y60">
            <v>1</v>
          </cell>
          <cell r="AD60">
            <v>102400</v>
          </cell>
          <cell r="BM60">
            <v>18029.599999999999</v>
          </cell>
        </row>
        <row r="61">
          <cell r="B61" t="str">
            <v>WS</v>
          </cell>
          <cell r="D61" t="str">
            <v>M</v>
          </cell>
          <cell r="G61" t="str">
            <v>VT</v>
          </cell>
          <cell r="X61">
            <v>1</v>
          </cell>
          <cell r="Y61">
            <v>1</v>
          </cell>
          <cell r="AD61">
            <v>207000</v>
          </cell>
          <cell r="BM61">
            <v>39040.5</v>
          </cell>
        </row>
        <row r="62">
          <cell r="B62" t="str">
            <v>WS</v>
          </cell>
          <cell r="D62" t="str">
            <v>M</v>
          </cell>
          <cell r="G62" t="str">
            <v>VT</v>
          </cell>
          <cell r="Y62">
            <v>1</v>
          </cell>
          <cell r="AD62">
            <v>138000</v>
          </cell>
          <cell r="BM62">
            <v>26027</v>
          </cell>
        </row>
        <row r="63">
          <cell r="B63" t="str">
            <v>WS</v>
          </cell>
          <cell r="D63" t="str">
            <v>M</v>
          </cell>
          <cell r="G63" t="str">
            <v>VT</v>
          </cell>
          <cell r="X63">
            <v>1</v>
          </cell>
          <cell r="Y63">
            <v>1</v>
          </cell>
          <cell r="AD63">
            <v>138000</v>
          </cell>
          <cell r="BM63">
            <v>25647</v>
          </cell>
        </row>
        <row r="64">
          <cell r="B64" t="str">
            <v>WS</v>
          </cell>
          <cell r="D64" t="str">
            <v>M</v>
          </cell>
          <cell r="G64" t="str">
            <v>VT</v>
          </cell>
          <cell r="Y64">
            <v>1</v>
          </cell>
          <cell r="AD64">
            <v>207000</v>
          </cell>
          <cell r="BM64">
            <v>38470.5</v>
          </cell>
        </row>
        <row r="65">
          <cell r="B65" t="str">
            <v>WS</v>
          </cell>
          <cell r="D65" t="str">
            <v>M</v>
          </cell>
          <cell r="G65" t="str">
            <v>VT</v>
          </cell>
          <cell r="X65">
            <v>1</v>
          </cell>
          <cell r="Y65">
            <v>1</v>
          </cell>
          <cell r="AD65">
            <v>94400</v>
          </cell>
          <cell r="BM65">
            <v>17957.599999999999</v>
          </cell>
        </row>
        <row r="66">
          <cell r="B66" t="str">
            <v>WS</v>
          </cell>
          <cell r="D66" t="str">
            <v>M</v>
          </cell>
          <cell r="G66" t="str">
            <v>VT</v>
          </cell>
          <cell r="Y66">
            <v>1</v>
          </cell>
          <cell r="AD66">
            <v>94400</v>
          </cell>
          <cell r="BM66">
            <v>17957.599999999999</v>
          </cell>
        </row>
        <row r="67">
          <cell r="B67" t="str">
            <v>WS</v>
          </cell>
          <cell r="D67" t="str">
            <v>M</v>
          </cell>
          <cell r="G67" t="str">
            <v>VT</v>
          </cell>
          <cell r="X67">
            <v>1</v>
          </cell>
          <cell r="Y67">
            <v>1</v>
          </cell>
          <cell r="AD67">
            <v>94400</v>
          </cell>
          <cell r="BM67">
            <v>18317.599999999999</v>
          </cell>
        </row>
        <row r="68">
          <cell r="B68" t="str">
            <v>WS</v>
          </cell>
          <cell r="D68" t="str">
            <v>M</v>
          </cell>
          <cell r="G68" t="str">
            <v>VT</v>
          </cell>
          <cell r="Y68">
            <v>1</v>
          </cell>
          <cell r="AD68">
            <v>94400</v>
          </cell>
          <cell r="BM68">
            <v>18317.599999999999</v>
          </cell>
        </row>
        <row r="69">
          <cell r="B69" t="str">
            <v>WS</v>
          </cell>
          <cell r="D69" t="str">
            <v>M</v>
          </cell>
          <cell r="G69" t="str">
            <v>VT</v>
          </cell>
          <cell r="X69">
            <v>1</v>
          </cell>
          <cell r="Y69">
            <v>1</v>
          </cell>
          <cell r="AD69">
            <v>108000</v>
          </cell>
          <cell r="BM69">
            <v>19637</v>
          </cell>
        </row>
        <row r="70">
          <cell r="B70" t="str">
            <v>WS</v>
          </cell>
          <cell r="D70" t="str">
            <v>M</v>
          </cell>
          <cell r="G70" t="str">
            <v>VT</v>
          </cell>
          <cell r="Y70">
            <v>1</v>
          </cell>
          <cell r="AD70">
            <v>162000</v>
          </cell>
          <cell r="BM70">
            <v>29455.5</v>
          </cell>
        </row>
        <row r="71">
          <cell r="B71" t="str">
            <v>WS</v>
          </cell>
          <cell r="D71" t="str">
            <v>M</v>
          </cell>
          <cell r="G71" t="str">
            <v>VT</v>
          </cell>
          <cell r="X71">
            <v>1</v>
          </cell>
          <cell r="Y71">
            <v>1</v>
          </cell>
          <cell r="AD71">
            <v>118000</v>
          </cell>
          <cell r="BM71">
            <v>22577</v>
          </cell>
        </row>
        <row r="72">
          <cell r="B72" t="str">
            <v>WS</v>
          </cell>
          <cell r="D72" t="str">
            <v>M</v>
          </cell>
          <cell r="G72" t="str">
            <v>VT</v>
          </cell>
          <cell r="Y72">
            <v>1</v>
          </cell>
          <cell r="AD72">
            <v>177000</v>
          </cell>
          <cell r="BM72">
            <v>33865.5</v>
          </cell>
        </row>
        <row r="73">
          <cell r="B73" t="str">
            <v>WS</v>
          </cell>
          <cell r="D73" t="str">
            <v>M</v>
          </cell>
          <cell r="G73" t="str">
            <v>VT</v>
          </cell>
          <cell r="X73">
            <v>1</v>
          </cell>
          <cell r="Y73">
            <v>1</v>
          </cell>
          <cell r="AD73">
            <v>47400</v>
          </cell>
          <cell r="BM73">
            <v>10001.1</v>
          </cell>
        </row>
        <row r="74">
          <cell r="B74" t="str">
            <v>WS</v>
          </cell>
          <cell r="D74" t="str">
            <v>M</v>
          </cell>
          <cell r="G74" t="str">
            <v>VT</v>
          </cell>
          <cell r="Y74">
            <v>1</v>
          </cell>
          <cell r="AD74">
            <v>47400</v>
          </cell>
          <cell r="BM74">
            <v>10001.1</v>
          </cell>
        </row>
        <row r="75">
          <cell r="B75" t="str">
            <v>WS</v>
          </cell>
          <cell r="D75" t="str">
            <v>M</v>
          </cell>
          <cell r="G75" t="str">
            <v>VT</v>
          </cell>
          <cell r="X75">
            <v>1</v>
          </cell>
          <cell r="Y75">
            <v>1</v>
          </cell>
          <cell r="AD75">
            <v>78400</v>
          </cell>
          <cell r="BM75">
            <v>12061.6</v>
          </cell>
        </row>
        <row r="76">
          <cell r="B76" t="str">
            <v>WS</v>
          </cell>
          <cell r="D76" t="str">
            <v>M</v>
          </cell>
          <cell r="G76" t="str">
            <v>VT</v>
          </cell>
          <cell r="Y76">
            <v>1</v>
          </cell>
          <cell r="AD76">
            <v>78400</v>
          </cell>
          <cell r="BM76">
            <v>12061.6</v>
          </cell>
        </row>
        <row r="77">
          <cell r="B77" t="str">
            <v>WS</v>
          </cell>
          <cell r="D77" t="str">
            <v>M</v>
          </cell>
          <cell r="G77" t="str">
            <v>JP</v>
          </cell>
          <cell r="X77">
            <v>1</v>
          </cell>
          <cell r="Y77">
            <v>1</v>
          </cell>
          <cell r="AD77">
            <v>65312</v>
          </cell>
          <cell r="BM77">
            <v>12003.278</v>
          </cell>
        </row>
        <row r="78">
          <cell r="B78" t="str">
            <v>WS</v>
          </cell>
          <cell r="D78" t="str">
            <v>M</v>
          </cell>
          <cell r="G78" t="str">
            <v>JP</v>
          </cell>
          <cell r="Y78">
            <v>1</v>
          </cell>
          <cell r="AD78">
            <v>65312</v>
          </cell>
          <cell r="BM78">
            <v>12003.278</v>
          </cell>
        </row>
        <row r="79">
          <cell r="B79" t="str">
            <v>WS</v>
          </cell>
          <cell r="D79" t="str">
            <v>M</v>
          </cell>
          <cell r="G79" t="str">
            <v>JP</v>
          </cell>
          <cell r="X79">
            <v>1</v>
          </cell>
          <cell r="Y79">
            <v>1</v>
          </cell>
          <cell r="AD79">
            <v>56400</v>
          </cell>
          <cell r="BM79">
            <v>10043.1</v>
          </cell>
        </row>
        <row r="80">
          <cell r="B80" t="str">
            <v>WS</v>
          </cell>
          <cell r="D80" t="str">
            <v>M</v>
          </cell>
          <cell r="G80" t="str">
            <v>JP</v>
          </cell>
          <cell r="Y80">
            <v>1</v>
          </cell>
          <cell r="AD80">
            <v>56400</v>
          </cell>
          <cell r="BM80">
            <v>10043.1</v>
          </cell>
        </row>
        <row r="81">
          <cell r="B81" t="str">
            <v>WS</v>
          </cell>
          <cell r="D81" t="str">
            <v>M</v>
          </cell>
          <cell r="G81" t="str">
            <v>JP</v>
          </cell>
          <cell r="X81">
            <v>1</v>
          </cell>
          <cell r="Y81">
            <v>1</v>
          </cell>
          <cell r="AD81">
            <v>118800</v>
          </cell>
          <cell r="BM81">
            <v>23716.2</v>
          </cell>
        </row>
        <row r="82">
          <cell r="B82" t="str">
            <v>WS</v>
          </cell>
          <cell r="D82" t="str">
            <v>M</v>
          </cell>
          <cell r="G82" t="str">
            <v>JP</v>
          </cell>
          <cell r="Y82">
            <v>1</v>
          </cell>
          <cell r="AD82">
            <v>79200</v>
          </cell>
          <cell r="BM82">
            <v>15810.8</v>
          </cell>
        </row>
        <row r="83">
          <cell r="B83" t="str">
            <v>WS</v>
          </cell>
          <cell r="D83" t="str">
            <v>M</v>
          </cell>
          <cell r="G83" t="str">
            <v>JP</v>
          </cell>
          <cell r="X83">
            <v>1</v>
          </cell>
          <cell r="Y83">
            <v>1</v>
          </cell>
          <cell r="AD83">
            <v>110600</v>
          </cell>
          <cell r="BM83">
            <v>21396.9</v>
          </cell>
        </row>
        <row r="84">
          <cell r="B84" t="str">
            <v>WS</v>
          </cell>
          <cell r="D84" t="str">
            <v>M</v>
          </cell>
          <cell r="G84" t="str">
            <v>JP</v>
          </cell>
          <cell r="Y84">
            <v>1</v>
          </cell>
          <cell r="AD84">
            <v>110600</v>
          </cell>
          <cell r="BM84">
            <v>21396.9</v>
          </cell>
        </row>
        <row r="85">
          <cell r="B85" t="str">
            <v>WS</v>
          </cell>
          <cell r="D85" t="str">
            <v>M</v>
          </cell>
          <cell r="G85" t="str">
            <v>JP</v>
          </cell>
          <cell r="X85">
            <v>1</v>
          </cell>
          <cell r="Y85">
            <v>1</v>
          </cell>
          <cell r="AD85">
            <v>64000</v>
          </cell>
          <cell r="BM85">
            <v>12088.5</v>
          </cell>
        </row>
        <row r="86">
          <cell r="B86" t="str">
            <v>WS</v>
          </cell>
          <cell r="D86" t="str">
            <v>M</v>
          </cell>
          <cell r="G86" t="str">
            <v>JP</v>
          </cell>
          <cell r="Y86">
            <v>1</v>
          </cell>
          <cell r="AD86">
            <v>64000</v>
          </cell>
          <cell r="BM86">
            <v>12088.5</v>
          </cell>
        </row>
        <row r="87">
          <cell r="B87" t="str">
            <v>WS</v>
          </cell>
          <cell r="D87" t="str">
            <v>M</v>
          </cell>
          <cell r="G87" t="str">
            <v>VT</v>
          </cell>
          <cell r="X87">
            <v>1</v>
          </cell>
          <cell r="Y87">
            <v>1</v>
          </cell>
          <cell r="AD87">
            <v>63200</v>
          </cell>
          <cell r="BM87">
            <v>12910.8</v>
          </cell>
        </row>
        <row r="88">
          <cell r="B88" t="str">
            <v>WS</v>
          </cell>
          <cell r="D88" t="str">
            <v>M</v>
          </cell>
          <cell r="G88" t="str">
            <v>VT</v>
          </cell>
          <cell r="Y88">
            <v>1</v>
          </cell>
          <cell r="AD88">
            <v>63200</v>
          </cell>
          <cell r="BM88">
            <v>12910.8</v>
          </cell>
        </row>
        <row r="89">
          <cell r="B89" t="str">
            <v>WS</v>
          </cell>
          <cell r="D89" t="str">
            <v>M</v>
          </cell>
          <cell r="G89" t="str">
            <v>VT</v>
          </cell>
          <cell r="X89">
            <v>1</v>
          </cell>
          <cell r="Y89">
            <v>1</v>
          </cell>
          <cell r="AD89">
            <v>165600</v>
          </cell>
          <cell r="BM89">
            <v>31040.400000000001</v>
          </cell>
        </row>
        <row r="90">
          <cell r="B90" t="str">
            <v>WS</v>
          </cell>
          <cell r="D90" t="str">
            <v>M</v>
          </cell>
          <cell r="G90" t="str">
            <v>VT</v>
          </cell>
          <cell r="Y90">
            <v>1</v>
          </cell>
          <cell r="AD90">
            <v>110400</v>
          </cell>
          <cell r="BM90">
            <v>20693.599999999999</v>
          </cell>
        </row>
        <row r="91">
          <cell r="B91" t="str">
            <v>WS</v>
          </cell>
          <cell r="D91" t="str">
            <v>M</v>
          </cell>
          <cell r="G91" t="str">
            <v>VT</v>
          </cell>
          <cell r="X91">
            <v>1</v>
          </cell>
          <cell r="Y91">
            <v>1</v>
          </cell>
          <cell r="AD91">
            <v>69000</v>
          </cell>
          <cell r="BM91">
            <v>13013.5</v>
          </cell>
        </row>
        <row r="92">
          <cell r="B92" t="str">
            <v>WS</v>
          </cell>
          <cell r="D92" t="str">
            <v>M</v>
          </cell>
          <cell r="G92" t="str">
            <v>VT</v>
          </cell>
          <cell r="Y92">
            <v>1</v>
          </cell>
          <cell r="AD92">
            <v>69000</v>
          </cell>
          <cell r="BM92">
            <v>13013.5</v>
          </cell>
        </row>
        <row r="93">
          <cell r="B93" t="str">
            <v>WS</v>
          </cell>
          <cell r="D93" t="str">
            <v>M</v>
          </cell>
          <cell r="G93" t="str">
            <v>VT</v>
          </cell>
          <cell r="X93">
            <v>1</v>
          </cell>
          <cell r="Y93">
            <v>1</v>
          </cell>
          <cell r="AD93">
            <v>129600</v>
          </cell>
          <cell r="BM93">
            <v>23276.400000000001</v>
          </cell>
        </row>
        <row r="94">
          <cell r="B94" t="str">
            <v>WS</v>
          </cell>
          <cell r="D94" t="str">
            <v>M</v>
          </cell>
          <cell r="G94" t="str">
            <v>VT</v>
          </cell>
          <cell r="Y94">
            <v>1</v>
          </cell>
          <cell r="AD94">
            <v>64800</v>
          </cell>
          <cell r="BM94">
            <v>11638.2</v>
          </cell>
        </row>
        <row r="95">
          <cell r="B95" t="str">
            <v>WS</v>
          </cell>
          <cell r="D95" t="str">
            <v>M</v>
          </cell>
          <cell r="G95" t="str">
            <v>JP</v>
          </cell>
          <cell r="X95">
            <v>1</v>
          </cell>
          <cell r="Y95">
            <v>1</v>
          </cell>
          <cell r="AD95">
            <v>94800</v>
          </cell>
          <cell r="BM95">
            <v>20584.2</v>
          </cell>
        </row>
        <row r="96">
          <cell r="B96" t="str">
            <v>WS</v>
          </cell>
          <cell r="D96" t="str">
            <v>M</v>
          </cell>
          <cell r="G96" t="str">
            <v>JP</v>
          </cell>
          <cell r="Y96">
            <v>1</v>
          </cell>
          <cell r="AD96">
            <v>94800</v>
          </cell>
          <cell r="BM96">
            <v>20584.2</v>
          </cell>
        </row>
        <row r="97">
          <cell r="B97" t="str">
            <v>WS</v>
          </cell>
          <cell r="D97" t="str">
            <v>M</v>
          </cell>
          <cell r="G97" t="str">
            <v>JP</v>
          </cell>
          <cell r="X97">
            <v>1</v>
          </cell>
          <cell r="Y97">
            <v>1</v>
          </cell>
          <cell r="AD97">
            <v>84000</v>
          </cell>
          <cell r="BM97">
            <v>18368.5</v>
          </cell>
        </row>
        <row r="98">
          <cell r="B98" t="str">
            <v>WS</v>
          </cell>
          <cell r="D98" t="str">
            <v>M</v>
          </cell>
          <cell r="G98" t="str">
            <v>JP</v>
          </cell>
          <cell r="Y98">
            <v>1</v>
          </cell>
          <cell r="AD98">
            <v>84000</v>
          </cell>
          <cell r="BM98">
            <v>18368.5</v>
          </cell>
        </row>
        <row r="99">
          <cell r="B99" t="str">
            <v>WS</v>
          </cell>
          <cell r="D99" t="str">
            <v>M</v>
          </cell>
          <cell r="G99" t="str">
            <v>VT</v>
          </cell>
          <cell r="X99">
            <v>1</v>
          </cell>
          <cell r="Y99">
            <v>1</v>
          </cell>
          <cell r="AD99">
            <v>69000</v>
          </cell>
          <cell r="BM99">
            <v>11248.5</v>
          </cell>
        </row>
        <row r="100">
          <cell r="B100" t="str">
            <v>WS</v>
          </cell>
          <cell r="D100" t="str">
            <v>M</v>
          </cell>
          <cell r="G100" t="str">
            <v>VT</v>
          </cell>
          <cell r="Y100">
            <v>1</v>
          </cell>
          <cell r="AD100">
            <v>69000</v>
          </cell>
          <cell r="BM100">
            <v>11248.5</v>
          </cell>
        </row>
        <row r="101">
          <cell r="B101" t="str">
            <v>WS</v>
          </cell>
          <cell r="D101" t="str">
            <v>M</v>
          </cell>
          <cell r="G101" t="str">
            <v>JP</v>
          </cell>
          <cell r="X101">
            <v>1</v>
          </cell>
          <cell r="Y101">
            <v>1</v>
          </cell>
          <cell r="AD101">
            <v>71200</v>
          </cell>
          <cell r="BM101">
            <v>18285.599999999999</v>
          </cell>
        </row>
        <row r="102">
          <cell r="B102" t="str">
            <v>WS</v>
          </cell>
          <cell r="D102" t="str">
            <v>M</v>
          </cell>
          <cell r="G102" t="str">
            <v>JP</v>
          </cell>
          <cell r="Y102">
            <v>1</v>
          </cell>
          <cell r="AD102">
            <v>89000</v>
          </cell>
          <cell r="BM102">
            <v>22857</v>
          </cell>
        </row>
        <row r="103">
          <cell r="B103" t="str">
            <v>WS</v>
          </cell>
          <cell r="D103" t="str">
            <v>M</v>
          </cell>
          <cell r="G103" t="str">
            <v>JP</v>
          </cell>
          <cell r="Y103">
            <v>1</v>
          </cell>
          <cell r="AD103">
            <v>89000</v>
          </cell>
          <cell r="BM103">
            <v>22857</v>
          </cell>
        </row>
        <row r="104">
          <cell r="B104" t="str">
            <v>WS</v>
          </cell>
          <cell r="D104" t="str">
            <v>M</v>
          </cell>
          <cell r="G104" t="str">
            <v>JP</v>
          </cell>
          <cell r="Y104">
            <v>1</v>
          </cell>
          <cell r="AD104">
            <v>106800</v>
          </cell>
          <cell r="BM104">
            <v>27428.400000000001</v>
          </cell>
        </row>
        <row r="105">
          <cell r="B105" t="str">
            <v>WS</v>
          </cell>
          <cell r="D105" t="str">
            <v>M</v>
          </cell>
          <cell r="G105" t="str">
            <v>JP</v>
          </cell>
          <cell r="X105">
            <v>1</v>
          </cell>
          <cell r="Y105">
            <v>1</v>
          </cell>
          <cell r="AD105">
            <v>99000</v>
          </cell>
          <cell r="BM105">
            <v>24507</v>
          </cell>
        </row>
        <row r="106">
          <cell r="B106" t="str">
            <v>WS</v>
          </cell>
          <cell r="D106" t="str">
            <v>M</v>
          </cell>
          <cell r="G106" t="str">
            <v>JP</v>
          </cell>
          <cell r="Y106">
            <v>1</v>
          </cell>
          <cell r="AD106">
            <v>148500</v>
          </cell>
          <cell r="BM106">
            <v>36760.5</v>
          </cell>
        </row>
        <row r="107">
          <cell r="B107" t="str">
            <v>WS</v>
          </cell>
          <cell r="D107" t="str">
            <v>M</v>
          </cell>
          <cell r="G107" t="str">
            <v>JP</v>
          </cell>
          <cell r="Y107">
            <v>1</v>
          </cell>
          <cell r="AD107">
            <v>89100</v>
          </cell>
          <cell r="BM107">
            <v>22056.3</v>
          </cell>
        </row>
        <row r="108">
          <cell r="B108" t="str">
            <v>WV</v>
          </cell>
          <cell r="D108" t="str">
            <v>S</v>
          </cell>
          <cell r="G108" t="str">
            <v>JK</v>
          </cell>
          <cell r="X108">
            <v>1</v>
          </cell>
          <cell r="Y108">
            <v>1</v>
          </cell>
          <cell r="AD108">
            <v>77400</v>
          </cell>
          <cell r="BM108">
            <v>16672.8</v>
          </cell>
        </row>
        <row r="109">
          <cell r="B109" t="str">
            <v>WV</v>
          </cell>
          <cell r="D109" t="str">
            <v>S</v>
          </cell>
          <cell r="G109" t="str">
            <v>JK</v>
          </cell>
          <cell r="Y109">
            <v>1</v>
          </cell>
          <cell r="AD109">
            <v>77400</v>
          </cell>
          <cell r="BM109">
            <v>16672.8</v>
          </cell>
        </row>
        <row r="110">
          <cell r="B110" t="str">
            <v>WV</v>
          </cell>
          <cell r="D110" t="str">
            <v>S</v>
          </cell>
          <cell r="G110" t="str">
            <v>JK</v>
          </cell>
          <cell r="X110">
            <v>1</v>
          </cell>
          <cell r="Y110">
            <v>1</v>
          </cell>
          <cell r="AD110">
            <v>94500</v>
          </cell>
          <cell r="BM110">
            <v>26768</v>
          </cell>
        </row>
        <row r="111">
          <cell r="B111" t="str">
            <v>WV</v>
          </cell>
          <cell r="D111" t="str">
            <v>S</v>
          </cell>
          <cell r="G111" t="str">
            <v>JK</v>
          </cell>
          <cell r="Y111">
            <v>1</v>
          </cell>
          <cell r="AD111">
            <v>94500</v>
          </cell>
          <cell r="BM111">
            <v>26768</v>
          </cell>
        </row>
        <row r="112">
          <cell r="B112" t="str">
            <v>WV</v>
          </cell>
          <cell r="D112" t="str">
            <v>M</v>
          </cell>
          <cell r="G112" t="str">
            <v>JP</v>
          </cell>
          <cell r="X112">
            <v>1</v>
          </cell>
          <cell r="Y112">
            <v>1</v>
          </cell>
          <cell r="AD112">
            <v>75200</v>
          </cell>
          <cell r="BM112">
            <v>10830.4</v>
          </cell>
        </row>
        <row r="113">
          <cell r="B113" t="str">
            <v>WV</v>
          </cell>
          <cell r="D113" t="str">
            <v>M</v>
          </cell>
          <cell r="G113" t="str">
            <v>JP</v>
          </cell>
          <cell r="Y113">
            <v>1</v>
          </cell>
          <cell r="AD113">
            <v>75200</v>
          </cell>
          <cell r="BM113">
            <v>10830.4</v>
          </cell>
        </row>
        <row r="114">
          <cell r="B114" t="str">
            <v>WV</v>
          </cell>
          <cell r="D114" t="str">
            <v>M</v>
          </cell>
          <cell r="G114" t="str">
            <v>JP</v>
          </cell>
          <cell r="X114">
            <v>1</v>
          </cell>
          <cell r="Y114">
            <v>1</v>
          </cell>
          <cell r="AD114">
            <v>56400</v>
          </cell>
          <cell r="BM114">
            <v>7164.3</v>
          </cell>
        </row>
        <row r="115">
          <cell r="B115" t="str">
            <v>WV</v>
          </cell>
          <cell r="D115" t="str">
            <v>M</v>
          </cell>
          <cell r="G115" t="str">
            <v>JP</v>
          </cell>
          <cell r="Y115">
            <v>1</v>
          </cell>
          <cell r="AD115">
            <v>65800</v>
          </cell>
          <cell r="BM115">
            <v>8358.35</v>
          </cell>
        </row>
        <row r="116">
          <cell r="B116" t="str">
            <v>WV</v>
          </cell>
          <cell r="D116" t="str">
            <v>M</v>
          </cell>
          <cell r="G116" t="str">
            <v>JP</v>
          </cell>
          <cell r="X116">
            <v>1</v>
          </cell>
          <cell r="Y116">
            <v>1</v>
          </cell>
          <cell r="AD116">
            <v>63200</v>
          </cell>
          <cell r="BM116">
            <v>13222.4</v>
          </cell>
        </row>
        <row r="117">
          <cell r="B117" t="str">
            <v>WV</v>
          </cell>
          <cell r="D117" t="str">
            <v>M</v>
          </cell>
          <cell r="G117" t="str">
            <v>JP</v>
          </cell>
          <cell r="Y117">
            <v>1</v>
          </cell>
          <cell r="AD117">
            <v>63200</v>
          </cell>
          <cell r="BM117">
            <v>13222.4</v>
          </cell>
        </row>
        <row r="118">
          <cell r="B118" t="str">
            <v>WV</v>
          </cell>
          <cell r="D118" t="str">
            <v>M</v>
          </cell>
          <cell r="G118" t="str">
            <v>JP</v>
          </cell>
          <cell r="X118">
            <v>1</v>
          </cell>
          <cell r="Y118">
            <v>1</v>
          </cell>
          <cell r="AD118">
            <v>50400</v>
          </cell>
          <cell r="BM118">
            <v>11008.8</v>
          </cell>
        </row>
        <row r="119">
          <cell r="B119" t="str">
            <v>WV</v>
          </cell>
          <cell r="D119" t="str">
            <v>M</v>
          </cell>
          <cell r="G119" t="str">
            <v>JP</v>
          </cell>
          <cell r="Y119">
            <v>1</v>
          </cell>
          <cell r="AD119">
            <v>50400</v>
          </cell>
          <cell r="BM119">
            <v>11008.8</v>
          </cell>
        </row>
        <row r="120">
          <cell r="B120" t="str">
            <v>WV</v>
          </cell>
          <cell r="D120" t="str">
            <v>M</v>
          </cell>
          <cell r="G120" t="str">
            <v>JP</v>
          </cell>
          <cell r="X120">
            <v>1</v>
          </cell>
          <cell r="Y120">
            <v>1</v>
          </cell>
          <cell r="AD120">
            <v>47400</v>
          </cell>
          <cell r="BM120">
            <v>10510.8</v>
          </cell>
        </row>
        <row r="121">
          <cell r="B121" t="str">
            <v>WV</v>
          </cell>
          <cell r="D121" t="str">
            <v>M</v>
          </cell>
          <cell r="G121" t="str">
            <v>JP</v>
          </cell>
          <cell r="Y121">
            <v>1</v>
          </cell>
          <cell r="AD121">
            <v>47400</v>
          </cell>
          <cell r="BM121">
            <v>10510.8</v>
          </cell>
        </row>
        <row r="122">
          <cell r="B122" t="str">
            <v>WV</v>
          </cell>
          <cell r="D122" t="str">
            <v>M</v>
          </cell>
          <cell r="G122" t="str">
            <v>JP</v>
          </cell>
          <cell r="X122">
            <v>1</v>
          </cell>
          <cell r="Y122">
            <v>1</v>
          </cell>
          <cell r="AD122">
            <v>59400</v>
          </cell>
          <cell r="BM122">
            <v>10981.8</v>
          </cell>
        </row>
        <row r="123">
          <cell r="B123" t="str">
            <v>WV</v>
          </cell>
          <cell r="D123" t="str">
            <v>M</v>
          </cell>
          <cell r="G123" t="str">
            <v>JP</v>
          </cell>
          <cell r="Y123">
            <v>1</v>
          </cell>
          <cell r="AD123">
            <v>59400</v>
          </cell>
          <cell r="BM123">
            <v>10981.8</v>
          </cell>
        </row>
        <row r="124">
          <cell r="B124" t="str">
            <v>WV</v>
          </cell>
          <cell r="D124" t="str">
            <v>M</v>
          </cell>
          <cell r="G124" t="str">
            <v>JP</v>
          </cell>
          <cell r="X124">
            <v>1</v>
          </cell>
          <cell r="Y124">
            <v>1</v>
          </cell>
          <cell r="AD124">
            <v>75200</v>
          </cell>
          <cell r="BM124">
            <v>15618.4</v>
          </cell>
        </row>
        <row r="125">
          <cell r="B125" t="str">
            <v>WV</v>
          </cell>
          <cell r="D125" t="str">
            <v>M</v>
          </cell>
          <cell r="G125" t="str">
            <v>JP</v>
          </cell>
          <cell r="Y125">
            <v>1</v>
          </cell>
          <cell r="AD125">
            <v>75200</v>
          </cell>
          <cell r="BM125">
            <v>15618.4</v>
          </cell>
        </row>
        <row r="126">
          <cell r="B126" t="str">
            <v>WV</v>
          </cell>
          <cell r="D126" t="str">
            <v>M</v>
          </cell>
          <cell r="G126" t="str">
            <v>VT</v>
          </cell>
          <cell r="X126">
            <v>1</v>
          </cell>
          <cell r="Y126">
            <v>1</v>
          </cell>
          <cell r="AD126">
            <v>41400</v>
          </cell>
          <cell r="BM126">
            <v>9046.7999999999993</v>
          </cell>
        </row>
        <row r="127">
          <cell r="B127" t="str">
            <v>WV</v>
          </cell>
          <cell r="D127" t="str">
            <v>M</v>
          </cell>
          <cell r="G127" t="str">
            <v>VT</v>
          </cell>
          <cell r="Y127">
            <v>1</v>
          </cell>
          <cell r="AD127">
            <v>41400</v>
          </cell>
          <cell r="BM127">
            <v>9046.7999999999993</v>
          </cell>
        </row>
        <row r="128">
          <cell r="B128" t="str">
            <v>WV</v>
          </cell>
          <cell r="D128" t="str">
            <v>M</v>
          </cell>
          <cell r="G128" t="str">
            <v>VT</v>
          </cell>
          <cell r="X128">
            <v>1</v>
          </cell>
          <cell r="Y128">
            <v>1</v>
          </cell>
          <cell r="AD128">
            <v>51200</v>
          </cell>
          <cell r="BM128">
            <v>10202.4</v>
          </cell>
        </row>
        <row r="129">
          <cell r="B129" t="str">
            <v>WV</v>
          </cell>
          <cell r="D129" t="str">
            <v>M</v>
          </cell>
          <cell r="G129" t="str">
            <v>VT</v>
          </cell>
          <cell r="Y129">
            <v>1</v>
          </cell>
          <cell r="AD129">
            <v>51200</v>
          </cell>
          <cell r="BM129">
            <v>10202.4</v>
          </cell>
        </row>
        <row r="130">
          <cell r="B130" t="str">
            <v>WV</v>
          </cell>
          <cell r="D130" t="str">
            <v>M</v>
          </cell>
          <cell r="G130" t="str">
            <v>JP</v>
          </cell>
          <cell r="X130">
            <v>1</v>
          </cell>
          <cell r="Y130">
            <v>1</v>
          </cell>
          <cell r="AD130">
            <v>50400</v>
          </cell>
          <cell r="BM130">
            <v>9910.7999999999993</v>
          </cell>
        </row>
        <row r="131">
          <cell r="B131" t="str">
            <v>WV</v>
          </cell>
          <cell r="D131" t="str">
            <v>M</v>
          </cell>
          <cell r="G131" t="str">
            <v>JP</v>
          </cell>
          <cell r="Y131">
            <v>1</v>
          </cell>
          <cell r="AD131">
            <v>50400</v>
          </cell>
          <cell r="BM131">
            <v>9910.7999999999993</v>
          </cell>
        </row>
        <row r="132">
          <cell r="B132" t="str">
            <v>WV</v>
          </cell>
          <cell r="D132" t="str">
            <v>M</v>
          </cell>
          <cell r="G132" t="str">
            <v>JP</v>
          </cell>
          <cell r="X132">
            <v>1</v>
          </cell>
          <cell r="Y132">
            <v>1</v>
          </cell>
          <cell r="AD132">
            <v>50400</v>
          </cell>
          <cell r="BM132">
            <v>10636.8</v>
          </cell>
        </row>
        <row r="133">
          <cell r="B133" t="str">
            <v>WV</v>
          </cell>
          <cell r="D133" t="str">
            <v>M</v>
          </cell>
          <cell r="G133" t="str">
            <v>JP</v>
          </cell>
          <cell r="Y133">
            <v>1</v>
          </cell>
          <cell r="AD133">
            <v>50400</v>
          </cell>
          <cell r="BM133">
            <v>10636.8</v>
          </cell>
        </row>
        <row r="134">
          <cell r="B134" t="str">
            <v>WV</v>
          </cell>
          <cell r="D134" t="str">
            <v>M</v>
          </cell>
          <cell r="G134" t="str">
            <v>VT</v>
          </cell>
          <cell r="X134">
            <v>1</v>
          </cell>
          <cell r="Y134">
            <v>1</v>
          </cell>
          <cell r="AD134">
            <v>35400</v>
          </cell>
          <cell r="BM134">
            <v>6469.8</v>
          </cell>
        </row>
        <row r="135">
          <cell r="B135" t="str">
            <v>WV</v>
          </cell>
          <cell r="D135" t="str">
            <v>M</v>
          </cell>
          <cell r="G135" t="str">
            <v>VT</v>
          </cell>
          <cell r="Y135">
            <v>1</v>
          </cell>
          <cell r="AD135">
            <v>35400</v>
          </cell>
          <cell r="BM135">
            <v>6469.8</v>
          </cell>
        </row>
        <row r="136">
          <cell r="B136" t="str">
            <v>WV</v>
          </cell>
          <cell r="D136" t="str">
            <v>M</v>
          </cell>
          <cell r="G136" t="str">
            <v>VT</v>
          </cell>
          <cell r="X136">
            <v>1</v>
          </cell>
          <cell r="Y136">
            <v>1</v>
          </cell>
          <cell r="AD136">
            <v>35400</v>
          </cell>
          <cell r="BM136">
            <v>6910.8</v>
          </cell>
        </row>
        <row r="137">
          <cell r="B137" t="str">
            <v>WV</v>
          </cell>
          <cell r="D137" t="str">
            <v>M</v>
          </cell>
          <cell r="G137" t="str">
            <v>VT</v>
          </cell>
          <cell r="Y137">
            <v>1</v>
          </cell>
          <cell r="AD137">
            <v>35400</v>
          </cell>
          <cell r="BM137">
            <v>6910.8</v>
          </cell>
        </row>
        <row r="138">
          <cell r="B138" t="str">
            <v>WV</v>
          </cell>
          <cell r="D138" t="str">
            <v>M</v>
          </cell>
          <cell r="G138" t="str">
            <v>JP</v>
          </cell>
          <cell r="X138">
            <v>1</v>
          </cell>
          <cell r="Y138">
            <v>1</v>
          </cell>
          <cell r="AD138">
            <v>53400</v>
          </cell>
          <cell r="BM138">
            <v>10519.8</v>
          </cell>
        </row>
        <row r="139">
          <cell r="B139" t="str">
            <v>WV</v>
          </cell>
          <cell r="D139" t="str">
            <v>M</v>
          </cell>
          <cell r="G139" t="str">
            <v>JP</v>
          </cell>
          <cell r="Y139">
            <v>1</v>
          </cell>
          <cell r="AD139">
            <v>53400</v>
          </cell>
          <cell r="BM139">
            <v>10519.8</v>
          </cell>
        </row>
        <row r="140">
          <cell r="B140" t="str">
            <v>WV</v>
          </cell>
          <cell r="D140" t="str">
            <v>M</v>
          </cell>
          <cell r="G140" t="str">
            <v>VT</v>
          </cell>
          <cell r="X140">
            <v>1</v>
          </cell>
          <cell r="Y140">
            <v>1</v>
          </cell>
          <cell r="AD140">
            <v>38400</v>
          </cell>
          <cell r="BM140">
            <v>8122.8</v>
          </cell>
        </row>
        <row r="141">
          <cell r="B141" t="str">
            <v>WV</v>
          </cell>
          <cell r="D141" t="str">
            <v>M</v>
          </cell>
          <cell r="G141" t="str">
            <v>VT</v>
          </cell>
          <cell r="Y141">
            <v>1</v>
          </cell>
          <cell r="AD141">
            <v>38400</v>
          </cell>
          <cell r="BM141">
            <v>8122.8</v>
          </cell>
        </row>
        <row r="142">
          <cell r="B142" t="str">
            <v>WV</v>
          </cell>
          <cell r="D142" t="str">
            <v>M</v>
          </cell>
          <cell r="G142" t="str">
            <v>JP</v>
          </cell>
          <cell r="X142">
            <v>1</v>
          </cell>
          <cell r="Y142">
            <v>1</v>
          </cell>
          <cell r="AD142">
            <v>62300</v>
          </cell>
          <cell r="BM142">
            <v>17665.2</v>
          </cell>
        </row>
        <row r="143">
          <cell r="B143" t="str">
            <v>WV</v>
          </cell>
          <cell r="D143" t="str">
            <v>M</v>
          </cell>
          <cell r="G143" t="str">
            <v>JP</v>
          </cell>
          <cell r="Y143">
            <v>1</v>
          </cell>
          <cell r="AD143">
            <v>80100</v>
          </cell>
          <cell r="BM143">
            <v>22712.400000000001</v>
          </cell>
        </row>
        <row r="144">
          <cell r="B144" t="str">
            <v>WV</v>
          </cell>
          <cell r="D144" t="str">
            <v>M</v>
          </cell>
          <cell r="G144" t="str">
            <v>JP</v>
          </cell>
          <cell r="Y144">
            <v>1</v>
          </cell>
          <cell r="AD144">
            <v>80100</v>
          </cell>
          <cell r="BM144">
            <v>22712.400000000001</v>
          </cell>
        </row>
        <row r="145">
          <cell r="B145" t="str">
            <v>WS</v>
          </cell>
          <cell r="D145" t="str">
            <v>M</v>
          </cell>
          <cell r="G145" t="str">
            <v>PT</v>
          </cell>
          <cell r="X145">
            <v>1</v>
          </cell>
          <cell r="Y145">
            <v>1</v>
          </cell>
          <cell r="AD145">
            <v>237000</v>
          </cell>
          <cell r="BM145">
            <v>65181</v>
          </cell>
        </row>
        <row r="146">
          <cell r="B146" t="str">
            <v>WS</v>
          </cell>
          <cell r="D146" t="str">
            <v>M</v>
          </cell>
          <cell r="G146" t="str">
            <v>PT</v>
          </cell>
          <cell r="Y146">
            <v>1</v>
          </cell>
          <cell r="AD146">
            <v>79000</v>
          </cell>
          <cell r="BM146">
            <v>21727</v>
          </cell>
        </row>
        <row r="147">
          <cell r="B147" t="str">
            <v>WS</v>
          </cell>
          <cell r="D147" t="str">
            <v>M</v>
          </cell>
          <cell r="G147" t="str">
            <v>PT</v>
          </cell>
          <cell r="Y147">
            <v>1</v>
          </cell>
          <cell r="AD147">
            <v>158000</v>
          </cell>
          <cell r="BM147">
            <v>43454</v>
          </cell>
        </row>
        <row r="148">
          <cell r="B148" t="str">
            <v>WS</v>
          </cell>
          <cell r="D148" t="str">
            <v>M</v>
          </cell>
          <cell r="G148" t="str">
            <v>PT</v>
          </cell>
          <cell r="Y148">
            <v>1</v>
          </cell>
          <cell r="AD148">
            <v>79000</v>
          </cell>
          <cell r="BM148">
            <v>21727</v>
          </cell>
        </row>
        <row r="149">
          <cell r="B149" t="str">
            <v>WS</v>
          </cell>
          <cell r="D149" t="str">
            <v>M</v>
          </cell>
          <cell r="G149" t="str">
            <v>PT</v>
          </cell>
          <cell r="Y149">
            <v>1</v>
          </cell>
          <cell r="AD149">
            <v>158000</v>
          </cell>
          <cell r="BM149">
            <v>43454</v>
          </cell>
        </row>
        <row r="150">
          <cell r="B150" t="str">
            <v>WS</v>
          </cell>
          <cell r="D150" t="str">
            <v>M</v>
          </cell>
          <cell r="G150" t="str">
            <v>PT</v>
          </cell>
          <cell r="X150">
            <v>1</v>
          </cell>
          <cell r="Y150">
            <v>1</v>
          </cell>
          <cell r="AD150">
            <v>106800</v>
          </cell>
          <cell r="BM150">
            <v>29432.400000000001</v>
          </cell>
        </row>
        <row r="151">
          <cell r="B151" t="str">
            <v>WS</v>
          </cell>
          <cell r="D151" t="str">
            <v>M</v>
          </cell>
          <cell r="G151" t="str">
            <v>PT</v>
          </cell>
          <cell r="Y151">
            <v>1</v>
          </cell>
          <cell r="AD151">
            <v>133500</v>
          </cell>
          <cell r="BM151">
            <v>36790.5</v>
          </cell>
        </row>
        <row r="152">
          <cell r="B152" t="str">
            <v>WS</v>
          </cell>
          <cell r="D152" t="str">
            <v>M</v>
          </cell>
          <cell r="G152" t="str">
            <v>PT</v>
          </cell>
          <cell r="Y152">
            <v>1</v>
          </cell>
          <cell r="AD152">
            <v>133500</v>
          </cell>
          <cell r="BM152">
            <v>36790.5</v>
          </cell>
        </row>
        <row r="153">
          <cell r="B153" t="str">
            <v>WS</v>
          </cell>
          <cell r="D153" t="str">
            <v>S</v>
          </cell>
          <cell r="G153" t="str">
            <v>PT</v>
          </cell>
          <cell r="X153">
            <v>1</v>
          </cell>
          <cell r="Y153">
            <v>1</v>
          </cell>
          <cell r="AD153">
            <v>134400</v>
          </cell>
          <cell r="BM153">
            <v>26741.599999999999</v>
          </cell>
        </row>
        <row r="154">
          <cell r="B154" t="str">
            <v>WS</v>
          </cell>
          <cell r="D154" t="str">
            <v>S</v>
          </cell>
          <cell r="G154" t="str">
            <v>PT</v>
          </cell>
          <cell r="Y154">
            <v>1</v>
          </cell>
          <cell r="AD154">
            <v>168000</v>
          </cell>
          <cell r="BM154">
            <v>33427</v>
          </cell>
        </row>
        <row r="155">
          <cell r="B155" t="str">
            <v>WS</v>
          </cell>
          <cell r="D155" t="str">
            <v>S</v>
          </cell>
          <cell r="G155" t="str">
            <v>PT</v>
          </cell>
          <cell r="X155">
            <v>1</v>
          </cell>
          <cell r="Y155">
            <v>1</v>
          </cell>
          <cell r="AD155">
            <v>100800</v>
          </cell>
          <cell r="BM155">
            <v>19396.2</v>
          </cell>
        </row>
        <row r="156">
          <cell r="B156" t="str">
            <v>WS</v>
          </cell>
          <cell r="D156" t="str">
            <v>S</v>
          </cell>
          <cell r="G156" t="str">
            <v>PT</v>
          </cell>
          <cell r="Y156">
            <v>1</v>
          </cell>
          <cell r="AD156">
            <v>134400</v>
          </cell>
          <cell r="BM156">
            <v>25861.599999999999</v>
          </cell>
        </row>
        <row r="157">
          <cell r="B157" t="str">
            <v>WS</v>
          </cell>
          <cell r="D157" t="str">
            <v>S</v>
          </cell>
          <cell r="G157" t="str">
            <v>PT</v>
          </cell>
          <cell r="X157">
            <v>1</v>
          </cell>
          <cell r="Y157">
            <v>1</v>
          </cell>
          <cell r="AD157">
            <v>111642</v>
          </cell>
          <cell r="BM157">
            <v>23968.242999999999</v>
          </cell>
        </row>
        <row r="158">
          <cell r="B158" t="str">
            <v>WS</v>
          </cell>
          <cell r="D158" t="str">
            <v>S</v>
          </cell>
          <cell r="G158" t="str">
            <v>PT</v>
          </cell>
          <cell r="Y158">
            <v>1</v>
          </cell>
          <cell r="AD158">
            <v>110400</v>
          </cell>
          <cell r="BM158">
            <v>23701.599999999999</v>
          </cell>
        </row>
        <row r="159">
          <cell r="B159" t="str">
            <v>WS</v>
          </cell>
          <cell r="D159" t="str">
            <v>S</v>
          </cell>
          <cell r="G159" t="str">
            <v>PT</v>
          </cell>
          <cell r="Y159">
            <v>1</v>
          </cell>
          <cell r="AD159">
            <v>110400</v>
          </cell>
          <cell r="BM159">
            <v>23701.599999999999</v>
          </cell>
        </row>
        <row r="160">
          <cell r="B160" t="str">
            <v>WS</v>
          </cell>
          <cell r="D160" t="str">
            <v>M</v>
          </cell>
          <cell r="G160" t="str">
            <v>PT</v>
          </cell>
          <cell r="X160">
            <v>1</v>
          </cell>
          <cell r="Y160">
            <v>1</v>
          </cell>
          <cell r="AD160">
            <v>148000</v>
          </cell>
          <cell r="BM160">
            <v>27727</v>
          </cell>
        </row>
        <row r="161">
          <cell r="B161" t="str">
            <v>WS</v>
          </cell>
          <cell r="D161" t="str">
            <v>M</v>
          </cell>
          <cell r="G161" t="str">
            <v>PT</v>
          </cell>
          <cell r="Y161">
            <v>1</v>
          </cell>
          <cell r="AD161">
            <v>118400</v>
          </cell>
          <cell r="BM161">
            <v>22181.599999999999</v>
          </cell>
        </row>
        <row r="162">
          <cell r="B162" t="str">
            <v>WS</v>
          </cell>
          <cell r="D162" t="str">
            <v>M</v>
          </cell>
          <cell r="G162" t="str">
            <v>PT</v>
          </cell>
          <cell r="X162">
            <v>1</v>
          </cell>
          <cell r="Y162">
            <v>1</v>
          </cell>
          <cell r="AD162">
            <v>88800</v>
          </cell>
          <cell r="BM162">
            <v>17476.2</v>
          </cell>
        </row>
        <row r="163">
          <cell r="B163" t="str">
            <v>WS</v>
          </cell>
          <cell r="D163" t="str">
            <v>M</v>
          </cell>
          <cell r="G163" t="str">
            <v>PT</v>
          </cell>
          <cell r="Y163">
            <v>1</v>
          </cell>
          <cell r="AD163">
            <v>118400</v>
          </cell>
          <cell r="BM163">
            <v>23301.599999999999</v>
          </cell>
        </row>
        <row r="164">
          <cell r="B164" t="str">
            <v>WS</v>
          </cell>
          <cell r="D164" t="str">
            <v>M</v>
          </cell>
          <cell r="G164" t="str">
            <v>PT</v>
          </cell>
          <cell r="X164">
            <v>1</v>
          </cell>
          <cell r="Y164">
            <v>1</v>
          </cell>
          <cell r="AD164">
            <v>118400</v>
          </cell>
          <cell r="BM164">
            <v>23061.599999999999</v>
          </cell>
        </row>
        <row r="165">
          <cell r="B165" t="str">
            <v>WS</v>
          </cell>
          <cell r="D165" t="str">
            <v>M</v>
          </cell>
          <cell r="G165" t="str">
            <v>PT</v>
          </cell>
          <cell r="Y165">
            <v>1</v>
          </cell>
          <cell r="AD165">
            <v>177600</v>
          </cell>
          <cell r="BM165">
            <v>34592.400000000001</v>
          </cell>
        </row>
        <row r="166">
          <cell r="B166" t="str">
            <v>WS</v>
          </cell>
          <cell r="D166" t="str">
            <v>M</v>
          </cell>
          <cell r="G166" t="str">
            <v>PT</v>
          </cell>
          <cell r="X166">
            <v>1</v>
          </cell>
          <cell r="Y166">
            <v>1</v>
          </cell>
          <cell r="AD166">
            <v>158000</v>
          </cell>
          <cell r="BM166">
            <v>30027</v>
          </cell>
        </row>
        <row r="167">
          <cell r="B167" t="str">
            <v>WS</v>
          </cell>
          <cell r="D167" t="str">
            <v>M</v>
          </cell>
          <cell r="G167" t="str">
            <v>PT</v>
          </cell>
          <cell r="Y167">
            <v>1</v>
          </cell>
          <cell r="AD167">
            <v>126400</v>
          </cell>
          <cell r="BM167">
            <v>24021.599999999999</v>
          </cell>
        </row>
        <row r="168">
          <cell r="B168" t="str">
            <v>WS</v>
          </cell>
          <cell r="D168" t="str">
            <v>M</v>
          </cell>
          <cell r="G168" t="str">
            <v>PT</v>
          </cell>
          <cell r="X168">
            <v>1</v>
          </cell>
          <cell r="Y168">
            <v>1</v>
          </cell>
          <cell r="AD168">
            <v>189600</v>
          </cell>
          <cell r="BM168">
            <v>32912.400000000001</v>
          </cell>
        </row>
        <row r="169">
          <cell r="B169" t="str">
            <v>WS</v>
          </cell>
          <cell r="D169" t="str">
            <v>M</v>
          </cell>
          <cell r="G169" t="str">
            <v>PT</v>
          </cell>
          <cell r="Y169">
            <v>1</v>
          </cell>
          <cell r="AD169">
            <v>237000</v>
          </cell>
          <cell r="BM169">
            <v>41140.5</v>
          </cell>
        </row>
        <row r="170">
          <cell r="B170" t="str">
            <v>WS</v>
          </cell>
          <cell r="D170" t="str">
            <v>M</v>
          </cell>
          <cell r="G170" t="str">
            <v>PT</v>
          </cell>
          <cell r="X170">
            <v>1</v>
          </cell>
          <cell r="Y170">
            <v>1</v>
          </cell>
          <cell r="AD170">
            <v>158000</v>
          </cell>
          <cell r="BM170">
            <v>30627</v>
          </cell>
        </row>
        <row r="171">
          <cell r="B171" t="str">
            <v>WS</v>
          </cell>
          <cell r="D171" t="str">
            <v>M</v>
          </cell>
          <cell r="G171" t="str">
            <v>PT</v>
          </cell>
          <cell r="Y171">
            <v>1</v>
          </cell>
          <cell r="AD171">
            <v>237000</v>
          </cell>
          <cell r="BM171">
            <v>45940.5</v>
          </cell>
        </row>
        <row r="172">
          <cell r="B172" t="str">
            <v>WS</v>
          </cell>
          <cell r="D172" t="str">
            <v>M</v>
          </cell>
          <cell r="G172" t="str">
            <v>PT</v>
          </cell>
          <cell r="Y172">
            <v>1</v>
          </cell>
          <cell r="AD172">
            <v>158000</v>
          </cell>
          <cell r="BM172">
            <v>30627</v>
          </cell>
        </row>
        <row r="173">
          <cell r="B173" t="str">
            <v>WS</v>
          </cell>
          <cell r="D173" t="str">
            <v>M</v>
          </cell>
          <cell r="G173" t="str">
            <v>PT</v>
          </cell>
          <cell r="X173">
            <v>1</v>
          </cell>
          <cell r="Y173">
            <v>1</v>
          </cell>
          <cell r="AD173">
            <v>256000</v>
          </cell>
          <cell r="BM173">
            <v>48054</v>
          </cell>
        </row>
        <row r="174">
          <cell r="B174" t="str">
            <v>WS</v>
          </cell>
          <cell r="D174" t="str">
            <v>M</v>
          </cell>
          <cell r="G174" t="str">
            <v>PT</v>
          </cell>
          <cell r="Y174">
            <v>1</v>
          </cell>
          <cell r="AD174">
            <v>256000</v>
          </cell>
          <cell r="BM174">
            <v>48054</v>
          </cell>
        </row>
        <row r="175">
          <cell r="B175" t="str">
            <v>WS</v>
          </cell>
          <cell r="D175" t="str">
            <v>M</v>
          </cell>
          <cell r="G175" t="str">
            <v>PT</v>
          </cell>
          <cell r="X175">
            <v>1</v>
          </cell>
          <cell r="Y175">
            <v>1</v>
          </cell>
          <cell r="AD175">
            <v>237000</v>
          </cell>
          <cell r="BM175">
            <v>42790.5</v>
          </cell>
        </row>
        <row r="176">
          <cell r="B176" t="str">
            <v>WS</v>
          </cell>
          <cell r="D176" t="str">
            <v>M</v>
          </cell>
          <cell r="G176" t="str">
            <v>PT</v>
          </cell>
          <cell r="Y176">
            <v>1</v>
          </cell>
          <cell r="AD176">
            <v>128928</v>
          </cell>
          <cell r="BM176">
            <v>23278.031999999999</v>
          </cell>
        </row>
        <row r="177">
          <cell r="B177" t="str">
            <v>WS</v>
          </cell>
          <cell r="D177" t="str">
            <v>M</v>
          </cell>
          <cell r="G177" t="str">
            <v>PT</v>
          </cell>
          <cell r="X177">
            <v>1</v>
          </cell>
          <cell r="Y177">
            <v>1</v>
          </cell>
          <cell r="AD177">
            <v>207000</v>
          </cell>
          <cell r="BM177">
            <v>39490.5</v>
          </cell>
        </row>
        <row r="178">
          <cell r="B178" t="str">
            <v>WS</v>
          </cell>
          <cell r="D178" t="str">
            <v>M</v>
          </cell>
          <cell r="G178" t="str">
            <v>PT</v>
          </cell>
          <cell r="Y178">
            <v>1</v>
          </cell>
          <cell r="AD178">
            <v>165600</v>
          </cell>
          <cell r="BM178">
            <v>31592.400000000001</v>
          </cell>
        </row>
        <row r="179">
          <cell r="B179" t="str">
            <v>WS</v>
          </cell>
          <cell r="D179" t="str">
            <v>M</v>
          </cell>
          <cell r="G179" t="str">
            <v>PT</v>
          </cell>
          <cell r="X179">
            <v>1</v>
          </cell>
          <cell r="Y179">
            <v>1</v>
          </cell>
          <cell r="AD179">
            <v>193640</v>
          </cell>
          <cell r="BM179">
            <v>35768.81</v>
          </cell>
        </row>
        <row r="180">
          <cell r="B180" t="str">
            <v>WS</v>
          </cell>
          <cell r="D180" t="str">
            <v>M</v>
          </cell>
          <cell r="G180" t="str">
            <v>PT</v>
          </cell>
          <cell r="Y180">
            <v>1</v>
          </cell>
          <cell r="AD180">
            <v>112800</v>
          </cell>
          <cell r="BM180">
            <v>20836.2</v>
          </cell>
        </row>
        <row r="181">
          <cell r="B181" t="str">
            <v>WS</v>
          </cell>
          <cell r="D181" t="str">
            <v>M</v>
          </cell>
          <cell r="G181" t="str">
            <v>PT</v>
          </cell>
          <cell r="X181">
            <v>1</v>
          </cell>
          <cell r="Y181">
            <v>1</v>
          </cell>
          <cell r="AD181">
            <v>134640</v>
          </cell>
          <cell r="BM181">
            <v>29258.36</v>
          </cell>
        </row>
        <row r="182">
          <cell r="B182" t="str">
            <v>WS</v>
          </cell>
          <cell r="D182" t="str">
            <v>M</v>
          </cell>
          <cell r="G182" t="str">
            <v>PT</v>
          </cell>
          <cell r="Y182">
            <v>1</v>
          </cell>
          <cell r="AD182">
            <v>118800</v>
          </cell>
          <cell r="BM182">
            <v>25816.2</v>
          </cell>
        </row>
        <row r="183">
          <cell r="B183" t="str">
            <v>WS</v>
          </cell>
          <cell r="D183" t="str">
            <v>M</v>
          </cell>
          <cell r="G183" t="str">
            <v>PT</v>
          </cell>
          <cell r="X183">
            <v>1</v>
          </cell>
          <cell r="Y183">
            <v>1</v>
          </cell>
          <cell r="AD183">
            <v>96600</v>
          </cell>
          <cell r="BM183">
            <v>19128.900000000001</v>
          </cell>
        </row>
        <row r="184">
          <cell r="B184" t="str">
            <v>WS</v>
          </cell>
          <cell r="D184" t="str">
            <v>M</v>
          </cell>
          <cell r="G184" t="str">
            <v>PT</v>
          </cell>
          <cell r="Y184">
            <v>1</v>
          </cell>
          <cell r="AD184">
            <v>96600</v>
          </cell>
          <cell r="BM184">
            <v>19128.900000000001</v>
          </cell>
        </row>
        <row r="185">
          <cell r="B185" t="str">
            <v>WS</v>
          </cell>
          <cell r="D185" t="str">
            <v>M</v>
          </cell>
          <cell r="G185" t="str">
            <v>PT</v>
          </cell>
          <cell r="X185">
            <v>1</v>
          </cell>
          <cell r="Y185">
            <v>1</v>
          </cell>
          <cell r="AD185">
            <v>110600</v>
          </cell>
          <cell r="BM185">
            <v>20808.900000000001</v>
          </cell>
        </row>
        <row r="186">
          <cell r="B186" t="str">
            <v>WS</v>
          </cell>
          <cell r="D186" t="str">
            <v>M</v>
          </cell>
          <cell r="G186" t="str">
            <v>PT</v>
          </cell>
          <cell r="Y186">
            <v>1</v>
          </cell>
          <cell r="AD186">
            <v>110600</v>
          </cell>
          <cell r="BM186">
            <v>20808.900000000001</v>
          </cell>
        </row>
        <row r="187">
          <cell r="B187" t="str">
            <v>WS</v>
          </cell>
          <cell r="D187" t="str">
            <v>M</v>
          </cell>
          <cell r="G187" t="str">
            <v>PT</v>
          </cell>
          <cell r="X187">
            <v>1</v>
          </cell>
          <cell r="Y187">
            <v>1</v>
          </cell>
          <cell r="AD187">
            <v>165600</v>
          </cell>
          <cell r="BM187">
            <v>36512.400000000001</v>
          </cell>
        </row>
        <row r="188">
          <cell r="B188" t="str">
            <v>WS</v>
          </cell>
          <cell r="D188" t="str">
            <v>M</v>
          </cell>
          <cell r="G188" t="str">
            <v>PT</v>
          </cell>
          <cell r="Y188">
            <v>1</v>
          </cell>
          <cell r="AD188">
            <v>96600</v>
          </cell>
          <cell r="BM188">
            <v>21298.9</v>
          </cell>
        </row>
        <row r="189">
          <cell r="B189" t="str">
            <v>WS</v>
          </cell>
          <cell r="D189" t="str">
            <v>M</v>
          </cell>
          <cell r="G189" t="str">
            <v>PT</v>
          </cell>
          <cell r="X189">
            <v>1</v>
          </cell>
          <cell r="Y189">
            <v>1</v>
          </cell>
          <cell r="AD189">
            <v>192000</v>
          </cell>
          <cell r="BM189">
            <v>33790.5</v>
          </cell>
        </row>
        <row r="190">
          <cell r="B190" t="str">
            <v>WS</v>
          </cell>
          <cell r="D190" t="str">
            <v>M</v>
          </cell>
          <cell r="G190" t="str">
            <v>PT</v>
          </cell>
          <cell r="Y190">
            <v>1</v>
          </cell>
          <cell r="AD190">
            <v>192000</v>
          </cell>
          <cell r="BM190">
            <v>33790.5</v>
          </cell>
        </row>
        <row r="191">
          <cell r="B191" t="str">
            <v>WS</v>
          </cell>
          <cell r="D191" t="str">
            <v>M</v>
          </cell>
          <cell r="G191" t="str">
            <v>PT</v>
          </cell>
          <cell r="X191">
            <v>1</v>
          </cell>
          <cell r="Y191">
            <v>1</v>
          </cell>
          <cell r="AD191">
            <v>82800</v>
          </cell>
          <cell r="BM191">
            <v>14056.2</v>
          </cell>
        </row>
        <row r="192">
          <cell r="B192" t="str">
            <v>WS</v>
          </cell>
          <cell r="D192" t="str">
            <v>M</v>
          </cell>
          <cell r="G192" t="str">
            <v>PT</v>
          </cell>
          <cell r="Y192">
            <v>1</v>
          </cell>
          <cell r="AD192">
            <v>55200</v>
          </cell>
          <cell r="BM192">
            <v>9370.7999999999993</v>
          </cell>
        </row>
        <row r="193">
          <cell r="B193" t="str">
            <v>WS</v>
          </cell>
          <cell r="D193" t="str">
            <v>M</v>
          </cell>
          <cell r="G193" t="str">
            <v>PT</v>
          </cell>
          <cell r="X193">
            <v>1</v>
          </cell>
          <cell r="Y193">
            <v>1</v>
          </cell>
          <cell r="AD193">
            <v>165600</v>
          </cell>
          <cell r="BM193">
            <v>34832.400000000001</v>
          </cell>
        </row>
        <row r="194">
          <cell r="B194" t="str">
            <v>WS</v>
          </cell>
          <cell r="D194" t="str">
            <v>M</v>
          </cell>
          <cell r="G194" t="str">
            <v>PT</v>
          </cell>
          <cell r="Y194">
            <v>1</v>
          </cell>
          <cell r="AD194">
            <v>165600</v>
          </cell>
          <cell r="BM194">
            <v>34832.400000000001</v>
          </cell>
        </row>
        <row r="195">
          <cell r="B195" t="str">
            <v>WS</v>
          </cell>
          <cell r="D195" t="str">
            <v>M</v>
          </cell>
          <cell r="G195" t="str">
            <v>PT</v>
          </cell>
          <cell r="X195">
            <v>1</v>
          </cell>
          <cell r="Y195">
            <v>1</v>
          </cell>
          <cell r="AD195">
            <v>207000</v>
          </cell>
          <cell r="BM195">
            <v>36790.5</v>
          </cell>
        </row>
        <row r="196">
          <cell r="B196" t="str">
            <v>WS</v>
          </cell>
          <cell r="D196" t="str">
            <v>M</v>
          </cell>
          <cell r="G196" t="str">
            <v>PT</v>
          </cell>
          <cell r="Y196">
            <v>1</v>
          </cell>
          <cell r="AD196">
            <v>138000</v>
          </cell>
          <cell r="BM196">
            <v>24527</v>
          </cell>
        </row>
        <row r="197">
          <cell r="B197" t="str">
            <v>WS</v>
          </cell>
          <cell r="D197" t="str">
            <v>M</v>
          </cell>
          <cell r="G197" t="str">
            <v>PT</v>
          </cell>
          <cell r="X197">
            <v>1</v>
          </cell>
          <cell r="Y197">
            <v>1</v>
          </cell>
          <cell r="AD197">
            <v>159000</v>
          </cell>
          <cell r="BM197">
            <v>40527</v>
          </cell>
        </row>
        <row r="198">
          <cell r="B198" t="str">
            <v>WS</v>
          </cell>
          <cell r="D198" t="str">
            <v>M</v>
          </cell>
          <cell r="G198" t="str">
            <v>PT</v>
          </cell>
          <cell r="Y198">
            <v>1</v>
          </cell>
          <cell r="AD198">
            <v>157410</v>
          </cell>
          <cell r="BM198">
            <v>40121.730000000003</v>
          </cell>
        </row>
        <row r="199">
          <cell r="B199" t="str">
            <v>WS</v>
          </cell>
          <cell r="D199" t="str">
            <v>M</v>
          </cell>
          <cell r="G199" t="str">
            <v>PT</v>
          </cell>
          <cell r="X199">
            <v>1</v>
          </cell>
          <cell r="Y199">
            <v>1</v>
          </cell>
          <cell r="AD199">
            <v>88800</v>
          </cell>
          <cell r="BM199">
            <v>18976.2</v>
          </cell>
        </row>
        <row r="200">
          <cell r="B200" t="str">
            <v>WS</v>
          </cell>
          <cell r="D200" t="str">
            <v>M</v>
          </cell>
          <cell r="G200" t="str">
            <v>PT</v>
          </cell>
          <cell r="Y200">
            <v>1</v>
          </cell>
          <cell r="AD200">
            <v>88800</v>
          </cell>
          <cell r="BM200">
            <v>18976.2</v>
          </cell>
        </row>
        <row r="201">
          <cell r="B201" t="str">
            <v>WS</v>
          </cell>
          <cell r="D201" t="str">
            <v>M</v>
          </cell>
          <cell r="G201" t="str">
            <v>PT</v>
          </cell>
          <cell r="X201">
            <v>1</v>
          </cell>
          <cell r="Y201">
            <v>1</v>
          </cell>
          <cell r="AD201">
            <v>82800</v>
          </cell>
          <cell r="BM201">
            <v>17116.2</v>
          </cell>
        </row>
        <row r="202">
          <cell r="B202" t="str">
            <v>WS</v>
          </cell>
          <cell r="D202" t="str">
            <v>M</v>
          </cell>
          <cell r="G202" t="str">
            <v>PT</v>
          </cell>
          <cell r="Y202">
            <v>1</v>
          </cell>
          <cell r="AD202">
            <v>82800</v>
          </cell>
          <cell r="BM202">
            <v>17116.2</v>
          </cell>
        </row>
        <row r="203">
          <cell r="B203" t="str">
            <v>WS</v>
          </cell>
          <cell r="D203" t="str">
            <v>M</v>
          </cell>
          <cell r="G203" t="str">
            <v>PT</v>
          </cell>
          <cell r="X203">
            <v>1</v>
          </cell>
          <cell r="Y203">
            <v>1</v>
          </cell>
          <cell r="AD203">
            <v>82800</v>
          </cell>
          <cell r="BM203">
            <v>15616.2</v>
          </cell>
        </row>
        <row r="204">
          <cell r="B204" t="str">
            <v>WS</v>
          </cell>
          <cell r="D204" t="str">
            <v>M</v>
          </cell>
          <cell r="G204" t="str">
            <v>PT</v>
          </cell>
          <cell r="Y204">
            <v>1</v>
          </cell>
          <cell r="AD204">
            <v>82800</v>
          </cell>
          <cell r="BM204">
            <v>15616.2</v>
          </cell>
        </row>
        <row r="205">
          <cell r="B205" t="str">
            <v>WS</v>
          </cell>
          <cell r="D205" t="str">
            <v>M</v>
          </cell>
          <cell r="G205" t="str">
            <v>PT</v>
          </cell>
          <cell r="X205">
            <v>1</v>
          </cell>
          <cell r="Y205">
            <v>1</v>
          </cell>
          <cell r="AD205">
            <v>79000</v>
          </cell>
          <cell r="BM205">
            <v>14763.5</v>
          </cell>
        </row>
        <row r="206">
          <cell r="B206" t="str">
            <v>WS</v>
          </cell>
          <cell r="D206" t="str">
            <v>M</v>
          </cell>
          <cell r="G206" t="str">
            <v>PT</v>
          </cell>
          <cell r="Y206">
            <v>1</v>
          </cell>
          <cell r="AD206">
            <v>63200</v>
          </cell>
          <cell r="BM206">
            <v>11810.8</v>
          </cell>
        </row>
        <row r="207">
          <cell r="B207" t="str">
            <v>WS</v>
          </cell>
          <cell r="D207" t="str">
            <v>M</v>
          </cell>
          <cell r="G207" t="str">
            <v>PT</v>
          </cell>
          <cell r="X207">
            <v>1</v>
          </cell>
          <cell r="Y207">
            <v>1</v>
          </cell>
          <cell r="AD207">
            <v>126400</v>
          </cell>
          <cell r="BM207">
            <v>25301.599999999999</v>
          </cell>
        </row>
        <row r="208">
          <cell r="B208" t="str">
            <v>WS</v>
          </cell>
          <cell r="D208" t="str">
            <v>M</v>
          </cell>
          <cell r="G208" t="str">
            <v>PT</v>
          </cell>
          <cell r="X208">
            <v>1</v>
          </cell>
          <cell r="Y208">
            <v>1</v>
          </cell>
          <cell r="AD208">
            <v>69000</v>
          </cell>
          <cell r="BM208">
            <v>13263.5</v>
          </cell>
        </row>
        <row r="209">
          <cell r="B209" t="str">
            <v>WS</v>
          </cell>
          <cell r="D209" t="str">
            <v>M</v>
          </cell>
          <cell r="G209" t="str">
            <v>PT</v>
          </cell>
          <cell r="Y209">
            <v>1</v>
          </cell>
          <cell r="AD209">
            <v>69000</v>
          </cell>
          <cell r="BM209">
            <v>13263.5</v>
          </cell>
        </row>
        <row r="210">
          <cell r="B210" t="str">
            <v>WS</v>
          </cell>
          <cell r="D210" t="str">
            <v>M</v>
          </cell>
          <cell r="G210" t="str">
            <v>PT</v>
          </cell>
          <cell r="X210">
            <v>1</v>
          </cell>
          <cell r="Y210">
            <v>1</v>
          </cell>
          <cell r="AD210">
            <v>59340</v>
          </cell>
          <cell r="BM210">
            <v>12273.7996</v>
          </cell>
        </row>
        <row r="211">
          <cell r="B211" t="str">
            <v>WS</v>
          </cell>
          <cell r="D211" t="str">
            <v>M</v>
          </cell>
          <cell r="G211" t="str">
            <v>PT</v>
          </cell>
          <cell r="Y211">
            <v>1</v>
          </cell>
          <cell r="AD211">
            <v>69000</v>
          </cell>
          <cell r="BM211">
            <v>14271.86</v>
          </cell>
        </row>
        <row r="212">
          <cell r="B212" t="str">
            <v>WS</v>
          </cell>
          <cell r="D212" t="str">
            <v>M</v>
          </cell>
          <cell r="G212" t="str">
            <v>PT</v>
          </cell>
          <cell r="Y212">
            <v>1</v>
          </cell>
          <cell r="AD212">
            <v>41400</v>
          </cell>
          <cell r="BM212">
            <v>8563.116</v>
          </cell>
        </row>
        <row r="213">
          <cell r="B213" t="str">
            <v>WS</v>
          </cell>
          <cell r="D213" t="str">
            <v>M</v>
          </cell>
          <cell r="G213" t="str">
            <v>PT</v>
          </cell>
          <cell r="X213">
            <v>1</v>
          </cell>
          <cell r="Y213">
            <v>1</v>
          </cell>
          <cell r="AD213">
            <v>75600</v>
          </cell>
          <cell r="BM213">
            <v>13178.9</v>
          </cell>
        </row>
        <row r="214">
          <cell r="B214" t="str">
            <v>WS</v>
          </cell>
          <cell r="D214" t="str">
            <v>M</v>
          </cell>
          <cell r="G214" t="str">
            <v>PT</v>
          </cell>
          <cell r="X214">
            <v>1</v>
          </cell>
          <cell r="Y214">
            <v>1</v>
          </cell>
          <cell r="AD214">
            <v>68600</v>
          </cell>
          <cell r="BM214">
            <v>11218.9</v>
          </cell>
        </row>
        <row r="215">
          <cell r="B215" t="str">
            <v>WS</v>
          </cell>
          <cell r="D215" t="str">
            <v>M</v>
          </cell>
          <cell r="G215" t="str">
            <v>PT</v>
          </cell>
          <cell r="X215">
            <v>1</v>
          </cell>
          <cell r="Y215">
            <v>1</v>
          </cell>
          <cell r="AD215">
            <v>66700</v>
          </cell>
          <cell r="BM215">
            <v>8196.0499999999993</v>
          </cell>
        </row>
        <row r="216">
          <cell r="B216" t="str">
            <v>WS</v>
          </cell>
          <cell r="D216" t="str">
            <v>M</v>
          </cell>
          <cell r="G216" t="str">
            <v>PS</v>
          </cell>
          <cell r="X216">
            <v>1</v>
          </cell>
          <cell r="Y216">
            <v>1</v>
          </cell>
          <cell r="AD216">
            <v>70800</v>
          </cell>
          <cell r="BM216">
            <v>16936.2</v>
          </cell>
        </row>
        <row r="217">
          <cell r="B217" t="str">
            <v>WS</v>
          </cell>
          <cell r="D217" t="str">
            <v>M</v>
          </cell>
          <cell r="G217" t="str">
            <v>PS</v>
          </cell>
          <cell r="Y217">
            <v>1</v>
          </cell>
          <cell r="AD217">
            <v>70800</v>
          </cell>
          <cell r="BM217">
            <v>16936.2</v>
          </cell>
        </row>
        <row r="218">
          <cell r="B218" t="str">
            <v>WS</v>
          </cell>
          <cell r="D218" t="str">
            <v>M</v>
          </cell>
          <cell r="G218" t="str">
            <v>PS</v>
          </cell>
          <cell r="X218">
            <v>1</v>
          </cell>
          <cell r="Y218">
            <v>1</v>
          </cell>
          <cell r="AD218">
            <v>70800</v>
          </cell>
          <cell r="BM218">
            <v>14416.2</v>
          </cell>
        </row>
        <row r="219">
          <cell r="B219" t="str">
            <v>WS</v>
          </cell>
          <cell r="D219" t="str">
            <v>M</v>
          </cell>
          <cell r="G219" t="str">
            <v>PS</v>
          </cell>
          <cell r="Y219">
            <v>1</v>
          </cell>
          <cell r="AD219">
            <v>70800</v>
          </cell>
          <cell r="BM219">
            <v>14416.2</v>
          </cell>
        </row>
        <row r="220">
          <cell r="B220" t="str">
            <v>WS</v>
          </cell>
          <cell r="D220" t="str">
            <v>M</v>
          </cell>
          <cell r="G220" t="str">
            <v>PS</v>
          </cell>
          <cell r="X220">
            <v>1</v>
          </cell>
          <cell r="Y220">
            <v>1</v>
          </cell>
          <cell r="AD220">
            <v>165600</v>
          </cell>
          <cell r="BM220">
            <v>32432.400000000001</v>
          </cell>
        </row>
        <row r="221">
          <cell r="B221" t="str">
            <v>WS</v>
          </cell>
          <cell r="D221" t="str">
            <v>M</v>
          </cell>
          <cell r="G221" t="str">
            <v>PS</v>
          </cell>
          <cell r="Y221">
            <v>1</v>
          </cell>
          <cell r="AD221">
            <v>165600</v>
          </cell>
          <cell r="BM221">
            <v>32432.400000000001</v>
          </cell>
        </row>
        <row r="222">
          <cell r="B222" t="str">
            <v>WS</v>
          </cell>
          <cell r="D222" t="str">
            <v>M</v>
          </cell>
          <cell r="G222" t="str">
            <v>PS</v>
          </cell>
          <cell r="X222">
            <v>1</v>
          </cell>
          <cell r="Y222">
            <v>1</v>
          </cell>
          <cell r="AD222">
            <v>49000</v>
          </cell>
          <cell r="BM222">
            <v>10013.5</v>
          </cell>
        </row>
        <row r="223">
          <cell r="B223" t="str">
            <v>WS</v>
          </cell>
          <cell r="D223" t="str">
            <v>M</v>
          </cell>
          <cell r="G223" t="str">
            <v>PS</v>
          </cell>
          <cell r="Y223">
            <v>1</v>
          </cell>
          <cell r="AD223">
            <v>49000</v>
          </cell>
          <cell r="BM223">
            <v>10013.5</v>
          </cell>
        </row>
        <row r="224">
          <cell r="B224" t="str">
            <v>WS</v>
          </cell>
          <cell r="D224" t="str">
            <v>M</v>
          </cell>
          <cell r="G224" t="str">
            <v>SK</v>
          </cell>
          <cell r="X224">
            <v>1</v>
          </cell>
          <cell r="Y224">
            <v>1</v>
          </cell>
          <cell r="AD224">
            <v>43200</v>
          </cell>
          <cell r="BM224">
            <v>10106.64</v>
          </cell>
        </row>
        <row r="225">
          <cell r="B225" t="str">
            <v>WS</v>
          </cell>
          <cell r="D225" t="str">
            <v>M</v>
          </cell>
          <cell r="G225" t="str">
            <v>SK</v>
          </cell>
          <cell r="Y225">
            <v>1</v>
          </cell>
          <cell r="AD225">
            <v>35640</v>
          </cell>
          <cell r="BM225">
            <v>8337.9779999999992</v>
          </cell>
        </row>
        <row r="226">
          <cell r="B226" t="str">
            <v>WS</v>
          </cell>
          <cell r="D226" t="str">
            <v>M</v>
          </cell>
          <cell r="G226" t="str">
            <v>SK</v>
          </cell>
          <cell r="Y226">
            <v>1</v>
          </cell>
          <cell r="AD226">
            <v>54000</v>
          </cell>
          <cell r="BM226">
            <v>12633.3</v>
          </cell>
        </row>
        <row r="227">
          <cell r="B227" t="str">
            <v>WS</v>
          </cell>
          <cell r="D227" t="str">
            <v>M</v>
          </cell>
          <cell r="G227" t="str">
            <v>PS</v>
          </cell>
          <cell r="X227">
            <v>1</v>
          </cell>
          <cell r="Y227">
            <v>1</v>
          </cell>
          <cell r="AD227">
            <v>39000</v>
          </cell>
          <cell r="BM227">
            <v>6563.5</v>
          </cell>
        </row>
        <row r="228">
          <cell r="B228" t="str">
            <v>WS</v>
          </cell>
          <cell r="D228" t="str">
            <v>M</v>
          </cell>
          <cell r="G228" t="str">
            <v>PS</v>
          </cell>
          <cell r="X228">
            <v>1</v>
          </cell>
          <cell r="Y228">
            <v>1</v>
          </cell>
          <cell r="AD228">
            <v>68600</v>
          </cell>
          <cell r="BM228">
            <v>12968.9</v>
          </cell>
        </row>
        <row r="229">
          <cell r="B229" t="str">
            <v>WS</v>
          </cell>
          <cell r="D229" t="str">
            <v>M</v>
          </cell>
          <cell r="G229" t="str">
            <v>PS</v>
          </cell>
          <cell r="Y229">
            <v>1</v>
          </cell>
          <cell r="AD229">
            <v>49000</v>
          </cell>
          <cell r="BM229">
            <v>9263.5</v>
          </cell>
        </row>
        <row r="230">
          <cell r="B230" t="str">
            <v>WS</v>
          </cell>
          <cell r="D230" t="str">
            <v>M</v>
          </cell>
          <cell r="G230" t="str">
            <v>SK</v>
          </cell>
          <cell r="X230">
            <v>1</v>
          </cell>
          <cell r="Y230">
            <v>1</v>
          </cell>
          <cell r="AD230">
            <v>49000</v>
          </cell>
          <cell r="BM230">
            <v>8813.5</v>
          </cell>
        </row>
        <row r="231">
          <cell r="B231" t="str">
            <v>WS</v>
          </cell>
          <cell r="D231" t="str">
            <v>M</v>
          </cell>
          <cell r="G231" t="str">
            <v>SK</v>
          </cell>
          <cell r="Y231">
            <v>1</v>
          </cell>
          <cell r="AD231">
            <v>49000</v>
          </cell>
          <cell r="BM231">
            <v>8813.5</v>
          </cell>
        </row>
        <row r="232">
          <cell r="B232" t="str">
            <v>WV</v>
          </cell>
          <cell r="D232" t="str">
            <v>M</v>
          </cell>
          <cell r="G232" t="str">
            <v>PT</v>
          </cell>
          <cell r="X232">
            <v>1</v>
          </cell>
          <cell r="Y232">
            <v>1</v>
          </cell>
          <cell r="AD232">
            <v>94800</v>
          </cell>
          <cell r="BM232">
            <v>26083.200000000001</v>
          </cell>
        </row>
        <row r="233">
          <cell r="B233" t="str">
            <v>WV</v>
          </cell>
          <cell r="D233" t="str">
            <v>M</v>
          </cell>
          <cell r="G233" t="str">
            <v>PT</v>
          </cell>
          <cell r="Y233">
            <v>1</v>
          </cell>
          <cell r="AD233">
            <v>94800</v>
          </cell>
          <cell r="BM233">
            <v>26083.200000000001</v>
          </cell>
        </row>
        <row r="234">
          <cell r="B234" t="str">
            <v>WV</v>
          </cell>
          <cell r="D234" t="str">
            <v>M</v>
          </cell>
          <cell r="G234" t="str">
            <v>PT</v>
          </cell>
          <cell r="Y234">
            <v>1</v>
          </cell>
          <cell r="AD234">
            <v>94800</v>
          </cell>
          <cell r="BM234">
            <v>26083.200000000001</v>
          </cell>
        </row>
        <row r="235">
          <cell r="B235" t="str">
            <v>WV</v>
          </cell>
          <cell r="D235" t="str">
            <v>M</v>
          </cell>
          <cell r="G235" t="str">
            <v>PT</v>
          </cell>
          <cell r="X235">
            <v>1</v>
          </cell>
          <cell r="Y235">
            <v>1</v>
          </cell>
          <cell r="AD235">
            <v>106800</v>
          </cell>
          <cell r="BM235">
            <v>29443.200000000001</v>
          </cell>
        </row>
        <row r="236">
          <cell r="B236" t="str">
            <v>WV</v>
          </cell>
          <cell r="D236" t="str">
            <v>M</v>
          </cell>
          <cell r="G236" t="str">
            <v>PT</v>
          </cell>
          <cell r="Y236">
            <v>1</v>
          </cell>
          <cell r="AD236">
            <v>89000</v>
          </cell>
          <cell r="BM236">
            <v>24536</v>
          </cell>
        </row>
        <row r="237">
          <cell r="B237" t="str">
            <v>WV</v>
          </cell>
          <cell r="D237" t="str">
            <v>S</v>
          </cell>
          <cell r="G237" t="str">
            <v>PT</v>
          </cell>
          <cell r="X237">
            <v>1</v>
          </cell>
          <cell r="Y237">
            <v>1</v>
          </cell>
          <cell r="AD237">
            <v>84000</v>
          </cell>
          <cell r="BM237">
            <v>18868</v>
          </cell>
        </row>
        <row r="238">
          <cell r="B238" t="str">
            <v>WV</v>
          </cell>
          <cell r="D238" t="str">
            <v>S</v>
          </cell>
          <cell r="G238" t="str">
            <v>PT</v>
          </cell>
          <cell r="Y238">
            <v>1</v>
          </cell>
          <cell r="AD238">
            <v>71400</v>
          </cell>
          <cell r="BM238">
            <v>16037.8</v>
          </cell>
        </row>
        <row r="239">
          <cell r="B239" t="str">
            <v>WV</v>
          </cell>
          <cell r="D239" t="str">
            <v>S</v>
          </cell>
          <cell r="G239" t="str">
            <v>PT</v>
          </cell>
          <cell r="X239">
            <v>1</v>
          </cell>
          <cell r="Y239">
            <v>1</v>
          </cell>
          <cell r="AD239">
            <v>67200</v>
          </cell>
          <cell r="BM239">
            <v>15614.4</v>
          </cell>
        </row>
        <row r="240">
          <cell r="B240" t="str">
            <v>WV</v>
          </cell>
          <cell r="D240" t="str">
            <v>S</v>
          </cell>
          <cell r="G240" t="str">
            <v>PT</v>
          </cell>
          <cell r="Y240">
            <v>1</v>
          </cell>
          <cell r="AD240">
            <v>50400</v>
          </cell>
          <cell r="BM240">
            <v>11710.8</v>
          </cell>
        </row>
        <row r="241">
          <cell r="B241" t="str">
            <v>WV</v>
          </cell>
          <cell r="D241" t="str">
            <v>M</v>
          </cell>
          <cell r="G241" t="str">
            <v>PT</v>
          </cell>
          <cell r="X241">
            <v>1</v>
          </cell>
          <cell r="Y241">
            <v>1</v>
          </cell>
          <cell r="AD241">
            <v>89000</v>
          </cell>
          <cell r="BM241">
            <v>17418</v>
          </cell>
        </row>
        <row r="242">
          <cell r="B242" t="str">
            <v>WV</v>
          </cell>
          <cell r="D242" t="str">
            <v>M</v>
          </cell>
          <cell r="G242" t="str">
            <v>PT</v>
          </cell>
          <cell r="Y242">
            <v>1</v>
          </cell>
          <cell r="AD242">
            <v>89000</v>
          </cell>
          <cell r="BM242">
            <v>17418</v>
          </cell>
        </row>
        <row r="243">
          <cell r="B243" t="str">
            <v>WV</v>
          </cell>
          <cell r="D243" t="str">
            <v>M</v>
          </cell>
          <cell r="G243" t="str">
            <v>PT</v>
          </cell>
          <cell r="X243">
            <v>1</v>
          </cell>
          <cell r="Y243">
            <v>1</v>
          </cell>
          <cell r="AD243">
            <v>89000</v>
          </cell>
          <cell r="BM243">
            <v>17768</v>
          </cell>
        </row>
        <row r="244">
          <cell r="B244" t="str">
            <v>WV</v>
          </cell>
          <cell r="D244" t="str">
            <v>M</v>
          </cell>
          <cell r="G244" t="str">
            <v>PT</v>
          </cell>
          <cell r="Y244">
            <v>1</v>
          </cell>
          <cell r="AD244">
            <v>89000</v>
          </cell>
          <cell r="BM244">
            <v>17768</v>
          </cell>
        </row>
        <row r="245">
          <cell r="B245" t="str">
            <v>WV</v>
          </cell>
          <cell r="D245" t="str">
            <v>M</v>
          </cell>
          <cell r="G245" t="str">
            <v>PT</v>
          </cell>
          <cell r="X245">
            <v>1</v>
          </cell>
          <cell r="Y245">
            <v>1</v>
          </cell>
          <cell r="AD245">
            <v>79200</v>
          </cell>
          <cell r="BM245">
            <v>19054.400000000001</v>
          </cell>
        </row>
        <row r="246">
          <cell r="B246" t="str">
            <v>WV</v>
          </cell>
          <cell r="D246" t="str">
            <v>M</v>
          </cell>
          <cell r="G246" t="str">
            <v>PT</v>
          </cell>
          <cell r="Y246">
            <v>1</v>
          </cell>
          <cell r="AD246">
            <v>79200</v>
          </cell>
          <cell r="BM246">
            <v>19054.400000000001</v>
          </cell>
        </row>
        <row r="247">
          <cell r="B247" t="str">
            <v>WV</v>
          </cell>
          <cell r="D247" t="str">
            <v>M</v>
          </cell>
          <cell r="G247" t="str">
            <v>PT</v>
          </cell>
          <cell r="X247">
            <v>1</v>
          </cell>
          <cell r="Y247">
            <v>1</v>
          </cell>
          <cell r="AD247">
            <v>71400</v>
          </cell>
          <cell r="BM247">
            <v>15740.3</v>
          </cell>
        </row>
        <row r="248">
          <cell r="B248" t="str">
            <v>WV</v>
          </cell>
          <cell r="D248" t="str">
            <v>M</v>
          </cell>
          <cell r="G248" t="str">
            <v>PT</v>
          </cell>
          <cell r="Y248">
            <v>1</v>
          </cell>
          <cell r="AD248">
            <v>84000</v>
          </cell>
          <cell r="BM248">
            <v>18518</v>
          </cell>
        </row>
        <row r="249">
          <cell r="B249" t="str">
            <v>WV</v>
          </cell>
          <cell r="D249" t="str">
            <v>M</v>
          </cell>
          <cell r="G249" t="str">
            <v>PT</v>
          </cell>
          <cell r="X249">
            <v>1</v>
          </cell>
          <cell r="Y249">
            <v>1</v>
          </cell>
          <cell r="AD249">
            <v>53400</v>
          </cell>
          <cell r="BM249">
            <v>10570.8</v>
          </cell>
        </row>
        <row r="250">
          <cell r="B250" t="str">
            <v>WV</v>
          </cell>
          <cell r="D250" t="str">
            <v>M</v>
          </cell>
          <cell r="G250" t="str">
            <v>PT</v>
          </cell>
          <cell r="Y250">
            <v>1</v>
          </cell>
          <cell r="AD250">
            <v>71200</v>
          </cell>
          <cell r="BM250">
            <v>14094.4</v>
          </cell>
        </row>
        <row r="251">
          <cell r="B251" t="str">
            <v>WV</v>
          </cell>
          <cell r="D251" t="str">
            <v>M</v>
          </cell>
          <cell r="G251" t="str">
            <v>PT</v>
          </cell>
          <cell r="X251">
            <v>1</v>
          </cell>
          <cell r="Y251">
            <v>1</v>
          </cell>
          <cell r="AD251">
            <v>41400</v>
          </cell>
          <cell r="BM251">
            <v>7810.8</v>
          </cell>
        </row>
        <row r="252">
          <cell r="B252" t="str">
            <v>WV</v>
          </cell>
          <cell r="D252" t="str">
            <v>M</v>
          </cell>
          <cell r="G252" t="str">
            <v>PT</v>
          </cell>
          <cell r="Y252">
            <v>1</v>
          </cell>
          <cell r="AD252">
            <v>55200</v>
          </cell>
          <cell r="BM252">
            <v>10414.4</v>
          </cell>
        </row>
        <row r="253">
          <cell r="B253" t="str">
            <v>WV</v>
          </cell>
          <cell r="D253" t="str">
            <v>M</v>
          </cell>
          <cell r="G253" t="str">
            <v>PT</v>
          </cell>
          <cell r="X253">
            <v>1</v>
          </cell>
          <cell r="Y253">
            <v>1</v>
          </cell>
          <cell r="AD253">
            <v>120840</v>
          </cell>
          <cell r="BM253">
            <v>34227.360000000001</v>
          </cell>
        </row>
        <row r="254">
          <cell r="B254" t="str">
            <v>WV</v>
          </cell>
          <cell r="D254" t="str">
            <v>M</v>
          </cell>
          <cell r="G254" t="str">
            <v>PT</v>
          </cell>
          <cell r="X254">
            <v>1</v>
          </cell>
          <cell r="Y254">
            <v>1</v>
          </cell>
          <cell r="AD254">
            <v>74000</v>
          </cell>
          <cell r="BM254">
            <v>15918</v>
          </cell>
        </row>
        <row r="255">
          <cell r="B255" t="str">
            <v>WV</v>
          </cell>
          <cell r="D255" t="str">
            <v>M</v>
          </cell>
          <cell r="G255" t="str">
            <v>PT</v>
          </cell>
          <cell r="Y255">
            <v>1</v>
          </cell>
          <cell r="AD255">
            <v>44400</v>
          </cell>
          <cell r="BM255">
            <v>9550.7999999999993</v>
          </cell>
        </row>
        <row r="256">
          <cell r="B256" t="str">
            <v>WV</v>
          </cell>
          <cell r="D256" t="str">
            <v>M</v>
          </cell>
          <cell r="G256" t="str">
            <v>PT</v>
          </cell>
          <cell r="X256">
            <v>1</v>
          </cell>
          <cell r="Y256">
            <v>1</v>
          </cell>
          <cell r="AD256">
            <v>44400</v>
          </cell>
          <cell r="BM256">
            <v>9640.7999999999993</v>
          </cell>
        </row>
        <row r="257">
          <cell r="B257" t="str">
            <v>WV</v>
          </cell>
          <cell r="D257" t="str">
            <v>M</v>
          </cell>
          <cell r="G257" t="str">
            <v>PT</v>
          </cell>
          <cell r="Y257">
            <v>1</v>
          </cell>
          <cell r="AD257">
            <v>59200</v>
          </cell>
          <cell r="BM257">
            <v>12854.4</v>
          </cell>
        </row>
        <row r="258">
          <cell r="B258" t="str">
            <v>WV</v>
          </cell>
          <cell r="D258" t="str">
            <v>M</v>
          </cell>
          <cell r="G258" t="str">
            <v>PT</v>
          </cell>
          <cell r="X258">
            <v>1</v>
          </cell>
          <cell r="Y258">
            <v>1</v>
          </cell>
          <cell r="AD258">
            <v>74000</v>
          </cell>
          <cell r="BM258">
            <v>15018</v>
          </cell>
        </row>
        <row r="259">
          <cell r="B259" t="str">
            <v>WV</v>
          </cell>
          <cell r="D259" t="str">
            <v>M</v>
          </cell>
          <cell r="G259" t="str">
            <v>PT</v>
          </cell>
          <cell r="Y259">
            <v>1</v>
          </cell>
          <cell r="AD259">
            <v>44400</v>
          </cell>
          <cell r="BM259">
            <v>9010.7999999999993</v>
          </cell>
        </row>
        <row r="260">
          <cell r="B260" t="str">
            <v>WV</v>
          </cell>
          <cell r="D260" t="str">
            <v>M</v>
          </cell>
          <cell r="G260" t="str">
            <v>PT</v>
          </cell>
          <cell r="X260">
            <v>1</v>
          </cell>
          <cell r="Y260">
            <v>1</v>
          </cell>
          <cell r="AD260">
            <v>47200</v>
          </cell>
          <cell r="BM260">
            <v>9414.4</v>
          </cell>
        </row>
        <row r="261">
          <cell r="B261" t="str">
            <v>WV</v>
          </cell>
          <cell r="D261" t="str">
            <v>M</v>
          </cell>
          <cell r="G261" t="str">
            <v>PS</v>
          </cell>
          <cell r="X261">
            <v>1</v>
          </cell>
          <cell r="Y261">
            <v>1</v>
          </cell>
          <cell r="AD261">
            <v>64000</v>
          </cell>
          <cell r="BM261">
            <v>14018</v>
          </cell>
        </row>
        <row r="262">
          <cell r="B262" t="str">
            <v>WV</v>
          </cell>
          <cell r="D262" t="str">
            <v>M</v>
          </cell>
          <cell r="G262" t="str">
            <v>PS</v>
          </cell>
          <cell r="Y262">
            <v>1</v>
          </cell>
          <cell r="AD262">
            <v>64000</v>
          </cell>
          <cell r="BM262">
            <v>14018</v>
          </cell>
        </row>
        <row r="263">
          <cell r="B263" t="str">
            <v>WV</v>
          </cell>
          <cell r="D263" t="str">
            <v>M</v>
          </cell>
          <cell r="G263" t="str">
            <v>PS</v>
          </cell>
          <cell r="X263">
            <v>1</v>
          </cell>
          <cell r="Y263">
            <v>1</v>
          </cell>
          <cell r="AD263">
            <v>35400</v>
          </cell>
          <cell r="BM263">
            <v>8470.7999999999993</v>
          </cell>
        </row>
        <row r="264">
          <cell r="B264" t="str">
            <v>WV</v>
          </cell>
          <cell r="D264" t="str">
            <v>M</v>
          </cell>
          <cell r="G264" t="str">
            <v>PS</v>
          </cell>
          <cell r="Y264">
            <v>1</v>
          </cell>
          <cell r="AD264">
            <v>35400</v>
          </cell>
          <cell r="BM264">
            <v>8470.7999999999993</v>
          </cell>
        </row>
        <row r="265">
          <cell r="B265" t="str">
            <v>WS</v>
          </cell>
          <cell r="D265" t="str">
            <v>M</v>
          </cell>
          <cell r="G265" t="str">
            <v>PT</v>
          </cell>
          <cell r="AD265">
            <v>26358</v>
          </cell>
          <cell r="BM265">
            <v>5658.7569999999996</v>
          </cell>
        </row>
        <row r="266">
          <cell r="B266" t="str">
            <v>WS</v>
          </cell>
          <cell r="D266" t="str">
            <v>M</v>
          </cell>
          <cell r="G266" t="str">
            <v>PT</v>
          </cell>
          <cell r="AD266">
            <v>29072</v>
          </cell>
          <cell r="BM266">
            <v>5248.9679999999998</v>
          </cell>
        </row>
        <row r="267">
          <cell r="B267" t="str">
            <v>WV</v>
          </cell>
          <cell r="D267" t="str">
            <v>M</v>
          </cell>
          <cell r="G267" t="str">
            <v>PT</v>
          </cell>
          <cell r="AD267">
            <v>12600</v>
          </cell>
          <cell r="BM267">
            <v>2830.2</v>
          </cell>
        </row>
        <row r="268">
          <cell r="B268" t="str">
            <v>WV</v>
          </cell>
          <cell r="D268" t="str">
            <v>M</v>
          </cell>
          <cell r="G268" t="str">
            <v>PT</v>
          </cell>
          <cell r="AD268">
            <v>12600</v>
          </cell>
          <cell r="BM268">
            <v>2777.7</v>
          </cell>
        </row>
        <row r="269">
          <cell r="B269" t="str">
            <v>WS</v>
          </cell>
          <cell r="D269" t="str">
            <v>M</v>
          </cell>
          <cell r="G269" t="str">
            <v>SH</v>
          </cell>
          <cell r="X269">
            <v>1</v>
          </cell>
          <cell r="Y269">
            <v>1</v>
          </cell>
          <cell r="AD269">
            <v>49000</v>
          </cell>
          <cell r="BM269">
            <v>12063.5</v>
          </cell>
        </row>
        <row r="270">
          <cell r="B270" t="str">
            <v>WS</v>
          </cell>
          <cell r="D270" t="str">
            <v>M</v>
          </cell>
          <cell r="G270" t="str">
            <v>SH</v>
          </cell>
          <cell r="Y270">
            <v>1</v>
          </cell>
          <cell r="AD270">
            <v>49000</v>
          </cell>
          <cell r="BM270">
            <v>12063.5</v>
          </cell>
        </row>
        <row r="271">
          <cell r="B271" t="str">
            <v>WS</v>
          </cell>
          <cell r="D271" t="str">
            <v>M</v>
          </cell>
          <cell r="G271" t="str">
            <v>SH</v>
          </cell>
          <cell r="X271">
            <v>1</v>
          </cell>
          <cell r="Y271">
            <v>1</v>
          </cell>
          <cell r="AD271">
            <v>54000</v>
          </cell>
          <cell r="BM271">
            <v>11813.5</v>
          </cell>
        </row>
        <row r="272">
          <cell r="B272" t="str">
            <v>WS</v>
          </cell>
          <cell r="D272" t="str">
            <v>M</v>
          </cell>
          <cell r="G272" t="str">
            <v>SH</v>
          </cell>
          <cell r="Y272">
            <v>1</v>
          </cell>
          <cell r="AD272">
            <v>54000</v>
          </cell>
          <cell r="BM272">
            <v>11813.5</v>
          </cell>
        </row>
        <row r="273">
          <cell r="B273" t="str">
            <v>WS</v>
          </cell>
          <cell r="D273" t="str">
            <v>M</v>
          </cell>
          <cell r="G273" t="str">
            <v>SH</v>
          </cell>
          <cell r="X273">
            <v>1</v>
          </cell>
          <cell r="Y273">
            <v>1</v>
          </cell>
          <cell r="AD273">
            <v>43200</v>
          </cell>
          <cell r="BM273">
            <v>10370.799999999999</v>
          </cell>
        </row>
        <row r="274">
          <cell r="B274" t="str">
            <v>WS</v>
          </cell>
          <cell r="D274" t="str">
            <v>M</v>
          </cell>
          <cell r="G274" t="str">
            <v>SH</v>
          </cell>
          <cell r="Y274">
            <v>1</v>
          </cell>
          <cell r="AD274">
            <v>43200</v>
          </cell>
          <cell r="BM274">
            <v>10370.799999999999</v>
          </cell>
        </row>
        <row r="275">
          <cell r="B275" t="str">
            <v>WS</v>
          </cell>
          <cell r="D275" t="str">
            <v>M</v>
          </cell>
          <cell r="G275" t="str">
            <v>TL</v>
          </cell>
          <cell r="X275">
            <v>1</v>
          </cell>
          <cell r="Y275">
            <v>1</v>
          </cell>
          <cell r="AD275">
            <v>88000</v>
          </cell>
          <cell r="BM275">
            <v>15427</v>
          </cell>
        </row>
        <row r="276">
          <cell r="B276" t="str">
            <v>WS</v>
          </cell>
          <cell r="D276" t="str">
            <v>M</v>
          </cell>
          <cell r="G276" t="str">
            <v>TL</v>
          </cell>
          <cell r="Y276">
            <v>1</v>
          </cell>
          <cell r="AD276">
            <v>70400</v>
          </cell>
          <cell r="BM276">
            <v>12341.6</v>
          </cell>
        </row>
        <row r="277">
          <cell r="B277" t="str">
            <v>WS</v>
          </cell>
          <cell r="D277" t="str">
            <v>M</v>
          </cell>
          <cell r="G277" t="str">
            <v>TL</v>
          </cell>
          <cell r="Y277">
            <v>1</v>
          </cell>
          <cell r="AD277">
            <v>61600</v>
          </cell>
          <cell r="BM277">
            <v>10798.9</v>
          </cell>
        </row>
        <row r="278">
          <cell r="B278" t="str">
            <v>WS</v>
          </cell>
          <cell r="D278" t="str">
            <v>M</v>
          </cell>
          <cell r="G278" t="str">
            <v>TL</v>
          </cell>
          <cell r="X278">
            <v>1</v>
          </cell>
          <cell r="Y278">
            <v>1</v>
          </cell>
          <cell r="AD278">
            <v>58800</v>
          </cell>
          <cell r="BM278">
            <v>12436.2</v>
          </cell>
        </row>
        <row r="279">
          <cell r="B279" t="str">
            <v>WS</v>
          </cell>
          <cell r="D279" t="str">
            <v>M</v>
          </cell>
          <cell r="G279" t="str">
            <v>TL</v>
          </cell>
          <cell r="Y279">
            <v>1</v>
          </cell>
          <cell r="AD279">
            <v>58800</v>
          </cell>
          <cell r="BM279">
            <v>12436.2</v>
          </cell>
        </row>
        <row r="280">
          <cell r="B280" t="str">
            <v>WS</v>
          </cell>
          <cell r="D280" t="str">
            <v>M</v>
          </cell>
          <cell r="G280" t="str">
            <v>TL</v>
          </cell>
          <cell r="X280">
            <v>1</v>
          </cell>
          <cell r="Y280">
            <v>1</v>
          </cell>
          <cell r="AD280">
            <v>75600</v>
          </cell>
          <cell r="BM280">
            <v>14718.9</v>
          </cell>
        </row>
        <row r="281">
          <cell r="B281" t="str">
            <v>WS</v>
          </cell>
          <cell r="D281" t="str">
            <v>M</v>
          </cell>
          <cell r="G281" t="str">
            <v>TL</v>
          </cell>
          <cell r="Y281">
            <v>1</v>
          </cell>
          <cell r="AD281">
            <v>54000</v>
          </cell>
          <cell r="BM281">
            <v>10513.5</v>
          </cell>
        </row>
        <row r="282">
          <cell r="B282" t="str">
            <v>WS</v>
          </cell>
          <cell r="D282" t="str">
            <v>M</v>
          </cell>
          <cell r="G282" t="str">
            <v>TL</v>
          </cell>
          <cell r="X282">
            <v>1</v>
          </cell>
          <cell r="Y282">
            <v>1</v>
          </cell>
          <cell r="AD282">
            <v>52800</v>
          </cell>
          <cell r="BM282">
            <v>10036.200000000001</v>
          </cell>
        </row>
        <row r="283">
          <cell r="B283" t="str">
            <v>WS</v>
          </cell>
          <cell r="D283" t="str">
            <v>M</v>
          </cell>
          <cell r="G283" t="str">
            <v>TL</v>
          </cell>
          <cell r="Y283">
            <v>1</v>
          </cell>
          <cell r="AD283">
            <v>52800</v>
          </cell>
          <cell r="BM283">
            <v>10036.200000000001</v>
          </cell>
        </row>
        <row r="284">
          <cell r="B284" t="str">
            <v>WS</v>
          </cell>
          <cell r="D284" t="str">
            <v>M</v>
          </cell>
          <cell r="G284" t="str">
            <v>TL</v>
          </cell>
          <cell r="X284">
            <v>1</v>
          </cell>
          <cell r="Y284">
            <v>1</v>
          </cell>
          <cell r="AD284">
            <v>58800</v>
          </cell>
          <cell r="BM284">
            <v>7756.2</v>
          </cell>
        </row>
        <row r="285">
          <cell r="B285" t="str">
            <v>WS</v>
          </cell>
          <cell r="D285" t="str">
            <v>M</v>
          </cell>
          <cell r="G285" t="str">
            <v>TL</v>
          </cell>
          <cell r="Y285">
            <v>1</v>
          </cell>
          <cell r="AD285">
            <v>58800</v>
          </cell>
          <cell r="BM285">
            <v>7756.2</v>
          </cell>
        </row>
        <row r="286">
          <cell r="B286" t="str">
            <v>WS</v>
          </cell>
          <cell r="D286" t="str">
            <v>M</v>
          </cell>
          <cell r="G286" t="str">
            <v>TL</v>
          </cell>
          <cell r="X286">
            <v>1</v>
          </cell>
          <cell r="Y286">
            <v>1</v>
          </cell>
          <cell r="AD286">
            <v>88200</v>
          </cell>
          <cell r="BM286">
            <v>15234.3</v>
          </cell>
        </row>
        <row r="287">
          <cell r="B287" t="str">
            <v>WS</v>
          </cell>
          <cell r="D287" t="str">
            <v>M</v>
          </cell>
          <cell r="G287" t="str">
            <v>TL</v>
          </cell>
          <cell r="Y287">
            <v>1</v>
          </cell>
          <cell r="AD287">
            <v>58800</v>
          </cell>
          <cell r="BM287">
            <v>10156.200000000001</v>
          </cell>
        </row>
        <row r="288">
          <cell r="B288" t="str">
            <v>WS</v>
          </cell>
          <cell r="D288" t="str">
            <v>M</v>
          </cell>
          <cell r="G288" t="str">
            <v>TL</v>
          </cell>
          <cell r="X288">
            <v>1</v>
          </cell>
          <cell r="Y288">
            <v>1</v>
          </cell>
          <cell r="AD288">
            <v>129600</v>
          </cell>
          <cell r="BM288">
            <v>25592.400000000001</v>
          </cell>
        </row>
        <row r="289">
          <cell r="B289" t="str">
            <v>WS</v>
          </cell>
          <cell r="D289" t="str">
            <v>M</v>
          </cell>
          <cell r="G289" t="str">
            <v>TL</v>
          </cell>
          <cell r="Y289">
            <v>1</v>
          </cell>
          <cell r="AD289">
            <v>86400</v>
          </cell>
          <cell r="BM289">
            <v>17061.599999999999</v>
          </cell>
        </row>
        <row r="290">
          <cell r="B290" t="str">
            <v>WS</v>
          </cell>
          <cell r="D290" t="str">
            <v>M</v>
          </cell>
          <cell r="G290" t="str">
            <v>TL</v>
          </cell>
          <cell r="X290">
            <v>1</v>
          </cell>
          <cell r="Y290">
            <v>1</v>
          </cell>
          <cell r="AD290">
            <v>49000</v>
          </cell>
          <cell r="BM290">
            <v>7513.5</v>
          </cell>
        </row>
        <row r="291">
          <cell r="B291" t="str">
            <v>WS</v>
          </cell>
          <cell r="D291" t="str">
            <v>M</v>
          </cell>
          <cell r="G291" t="str">
            <v>TL</v>
          </cell>
          <cell r="Y291">
            <v>1</v>
          </cell>
          <cell r="AD291">
            <v>39200</v>
          </cell>
          <cell r="BM291">
            <v>6010.8</v>
          </cell>
        </row>
        <row r="292">
          <cell r="B292" t="str">
            <v>WS</v>
          </cell>
          <cell r="D292" t="str">
            <v>M</v>
          </cell>
          <cell r="G292" t="str">
            <v>TL</v>
          </cell>
          <cell r="X292">
            <v>1</v>
          </cell>
          <cell r="Y292">
            <v>1</v>
          </cell>
          <cell r="AD292">
            <v>48000</v>
          </cell>
          <cell r="BM292">
            <v>11727</v>
          </cell>
        </row>
        <row r="293">
          <cell r="B293" t="str">
            <v>WS</v>
          </cell>
          <cell r="D293" t="str">
            <v>M</v>
          </cell>
          <cell r="G293" t="str">
            <v>TL</v>
          </cell>
          <cell r="Y293">
            <v>1</v>
          </cell>
          <cell r="AD293">
            <v>48000</v>
          </cell>
          <cell r="BM293">
            <v>11727</v>
          </cell>
        </row>
        <row r="294">
          <cell r="B294" t="str">
            <v>WS</v>
          </cell>
          <cell r="D294" t="str">
            <v>M</v>
          </cell>
          <cell r="G294" t="str">
            <v>TL</v>
          </cell>
          <cell r="Y294">
            <v>1</v>
          </cell>
          <cell r="AD294">
            <v>72000</v>
          </cell>
          <cell r="BM294">
            <v>17590.5</v>
          </cell>
        </row>
        <row r="295">
          <cell r="B295" t="str">
            <v>WS</v>
          </cell>
          <cell r="D295" t="str">
            <v>M</v>
          </cell>
          <cell r="G295" t="str">
            <v>TL</v>
          </cell>
          <cell r="X295">
            <v>1</v>
          </cell>
          <cell r="Y295">
            <v>1</v>
          </cell>
          <cell r="AD295">
            <v>38400</v>
          </cell>
          <cell r="BM295">
            <v>9301.6</v>
          </cell>
        </row>
        <row r="296">
          <cell r="B296" t="str">
            <v>WS</v>
          </cell>
          <cell r="D296" t="str">
            <v>M</v>
          </cell>
          <cell r="G296" t="str">
            <v>TL</v>
          </cell>
          <cell r="Y296">
            <v>1</v>
          </cell>
          <cell r="AD296">
            <v>38400</v>
          </cell>
          <cell r="BM296">
            <v>9301.6</v>
          </cell>
        </row>
        <row r="297">
          <cell r="B297" t="str">
            <v>WS</v>
          </cell>
          <cell r="D297" t="str">
            <v>M</v>
          </cell>
          <cell r="G297" t="str">
            <v>TL</v>
          </cell>
          <cell r="X297">
            <v>1</v>
          </cell>
          <cell r="Y297">
            <v>1</v>
          </cell>
          <cell r="AD297">
            <v>49000</v>
          </cell>
          <cell r="BM297">
            <v>10213.5</v>
          </cell>
        </row>
        <row r="298">
          <cell r="B298" t="str">
            <v>WS</v>
          </cell>
          <cell r="D298" t="str">
            <v>M</v>
          </cell>
          <cell r="G298" t="str">
            <v>TL</v>
          </cell>
          <cell r="Y298">
            <v>1</v>
          </cell>
          <cell r="AD298">
            <v>49000</v>
          </cell>
          <cell r="BM298">
            <v>10213.5</v>
          </cell>
        </row>
        <row r="299">
          <cell r="B299" t="str">
            <v>WS</v>
          </cell>
          <cell r="D299" t="str">
            <v>M</v>
          </cell>
          <cell r="G299" t="str">
            <v>TL</v>
          </cell>
          <cell r="X299">
            <v>1</v>
          </cell>
          <cell r="Y299">
            <v>1</v>
          </cell>
          <cell r="AD299">
            <v>39000</v>
          </cell>
          <cell r="BM299">
            <v>7613.5</v>
          </cell>
        </row>
        <row r="300">
          <cell r="B300" t="str">
            <v>WS</v>
          </cell>
          <cell r="D300" t="str">
            <v>M</v>
          </cell>
          <cell r="G300" t="str">
            <v>TL</v>
          </cell>
          <cell r="Y300">
            <v>1</v>
          </cell>
          <cell r="AD300">
            <v>39000</v>
          </cell>
          <cell r="BM300">
            <v>7613.5</v>
          </cell>
        </row>
        <row r="301">
          <cell r="B301" t="str">
            <v>WS</v>
          </cell>
          <cell r="D301" t="str">
            <v>M</v>
          </cell>
          <cell r="G301" t="str">
            <v>TL</v>
          </cell>
          <cell r="X301">
            <v>1</v>
          </cell>
          <cell r="Y301">
            <v>1</v>
          </cell>
          <cell r="AD301">
            <v>44000</v>
          </cell>
          <cell r="BM301">
            <v>8113.5</v>
          </cell>
        </row>
        <row r="302">
          <cell r="B302" t="str">
            <v>WS</v>
          </cell>
          <cell r="D302" t="str">
            <v>M</v>
          </cell>
          <cell r="G302" t="str">
            <v>TL</v>
          </cell>
          <cell r="Y302">
            <v>1</v>
          </cell>
          <cell r="AD302">
            <v>44000</v>
          </cell>
          <cell r="BM302">
            <v>8113.5</v>
          </cell>
        </row>
        <row r="303">
          <cell r="B303" t="str">
            <v>WS</v>
          </cell>
          <cell r="D303" t="str">
            <v>M</v>
          </cell>
          <cell r="G303" t="str">
            <v>TL</v>
          </cell>
          <cell r="X303">
            <v>1</v>
          </cell>
          <cell r="Y303">
            <v>1</v>
          </cell>
          <cell r="AD303">
            <v>15600</v>
          </cell>
          <cell r="BM303">
            <v>2705.4</v>
          </cell>
        </row>
        <row r="304">
          <cell r="B304" t="str">
            <v>WS</v>
          </cell>
          <cell r="D304" t="str">
            <v>M</v>
          </cell>
          <cell r="G304" t="str">
            <v>TL</v>
          </cell>
          <cell r="Y304">
            <v>1</v>
          </cell>
          <cell r="AD304">
            <v>39000</v>
          </cell>
          <cell r="BM304">
            <v>6763.5</v>
          </cell>
        </row>
        <row r="305">
          <cell r="B305" t="str">
            <v>WS</v>
          </cell>
          <cell r="D305" t="str">
            <v>M</v>
          </cell>
          <cell r="G305" t="str">
            <v>TL</v>
          </cell>
          <cell r="X305">
            <v>1</v>
          </cell>
          <cell r="Y305">
            <v>1</v>
          </cell>
          <cell r="AD305">
            <v>44000</v>
          </cell>
          <cell r="BM305">
            <v>7813.5</v>
          </cell>
        </row>
        <row r="306">
          <cell r="B306" t="str">
            <v>WS</v>
          </cell>
          <cell r="D306" t="str">
            <v>M</v>
          </cell>
          <cell r="G306" t="str">
            <v>TL</v>
          </cell>
          <cell r="Y306">
            <v>1</v>
          </cell>
          <cell r="AD306">
            <v>26400</v>
          </cell>
          <cell r="BM306">
            <v>4688.1000000000004</v>
          </cell>
        </row>
        <row r="307">
          <cell r="B307" t="str">
            <v>WS</v>
          </cell>
          <cell r="D307" t="str">
            <v>M</v>
          </cell>
          <cell r="G307" t="str">
            <v>TL</v>
          </cell>
          <cell r="X307">
            <v>1</v>
          </cell>
          <cell r="Y307">
            <v>1</v>
          </cell>
          <cell r="AD307">
            <v>98000</v>
          </cell>
          <cell r="BM307">
            <v>25254</v>
          </cell>
        </row>
        <row r="308">
          <cell r="B308" t="str">
            <v>WS</v>
          </cell>
          <cell r="D308" t="str">
            <v>M</v>
          </cell>
          <cell r="G308" t="str">
            <v>TL</v>
          </cell>
          <cell r="Y308">
            <v>1</v>
          </cell>
          <cell r="AD308">
            <v>122500</v>
          </cell>
          <cell r="BM308">
            <v>31567.5</v>
          </cell>
        </row>
        <row r="309">
          <cell r="B309" t="str">
            <v>WS</v>
          </cell>
          <cell r="D309" t="str">
            <v>M</v>
          </cell>
          <cell r="G309" t="str">
            <v>TL</v>
          </cell>
          <cell r="Y309">
            <v>1</v>
          </cell>
          <cell r="AD309">
            <v>147000</v>
          </cell>
          <cell r="BM309">
            <v>37881</v>
          </cell>
        </row>
        <row r="310">
          <cell r="B310" t="str">
            <v>WS</v>
          </cell>
          <cell r="D310" t="str">
            <v>M</v>
          </cell>
          <cell r="G310" t="str">
            <v>TL</v>
          </cell>
          <cell r="Y310">
            <v>1</v>
          </cell>
          <cell r="AD310">
            <v>73500</v>
          </cell>
          <cell r="BM310">
            <v>18940.5</v>
          </cell>
        </row>
        <row r="311">
          <cell r="B311" t="str">
            <v>WS</v>
          </cell>
          <cell r="D311" t="str">
            <v>M</v>
          </cell>
          <cell r="G311" t="str">
            <v>TS</v>
          </cell>
          <cell r="X311">
            <v>1</v>
          </cell>
          <cell r="Y311">
            <v>1</v>
          </cell>
          <cell r="AD311">
            <v>68600</v>
          </cell>
          <cell r="BM311">
            <v>15285.2</v>
          </cell>
        </row>
        <row r="312">
          <cell r="B312" t="str">
            <v>WS</v>
          </cell>
          <cell r="D312" t="str">
            <v>M</v>
          </cell>
          <cell r="G312" t="str">
            <v>TS</v>
          </cell>
          <cell r="Y312">
            <v>1</v>
          </cell>
          <cell r="AD312">
            <v>49000</v>
          </cell>
          <cell r="BM312">
            <v>10918</v>
          </cell>
        </row>
        <row r="313">
          <cell r="B313" t="str">
            <v>WS</v>
          </cell>
          <cell r="D313" t="str">
            <v>M</v>
          </cell>
          <cell r="G313" t="str">
            <v>TS</v>
          </cell>
          <cell r="X313">
            <v>1</v>
          </cell>
          <cell r="Y313">
            <v>1</v>
          </cell>
          <cell r="AD313">
            <v>39000</v>
          </cell>
          <cell r="BM313">
            <v>6813.5</v>
          </cell>
        </row>
        <row r="314">
          <cell r="B314" t="str">
            <v>WS</v>
          </cell>
          <cell r="D314" t="str">
            <v>M</v>
          </cell>
          <cell r="G314" t="str">
            <v>TS</v>
          </cell>
          <cell r="Y314">
            <v>1</v>
          </cell>
          <cell r="AD314">
            <v>39000</v>
          </cell>
          <cell r="BM314">
            <v>6813.5</v>
          </cell>
        </row>
        <row r="315">
          <cell r="B315" t="str">
            <v>WS</v>
          </cell>
          <cell r="D315" t="str">
            <v>M</v>
          </cell>
          <cell r="G315" t="str">
            <v>TS</v>
          </cell>
          <cell r="X315">
            <v>1</v>
          </cell>
          <cell r="Y315">
            <v>1</v>
          </cell>
          <cell r="AD315">
            <v>40964</v>
          </cell>
          <cell r="BM315">
            <v>6114.0860000000002</v>
          </cell>
        </row>
        <row r="316">
          <cell r="B316" t="str">
            <v>WS</v>
          </cell>
          <cell r="D316" t="str">
            <v>M</v>
          </cell>
          <cell r="G316" t="str">
            <v>TS</v>
          </cell>
          <cell r="Y316">
            <v>1</v>
          </cell>
          <cell r="AD316">
            <v>39200</v>
          </cell>
          <cell r="BM316">
            <v>5850.8</v>
          </cell>
        </row>
        <row r="317">
          <cell r="B317" t="str">
            <v>WS</v>
          </cell>
          <cell r="D317" t="str">
            <v>M</v>
          </cell>
          <cell r="G317" t="str">
            <v>TS</v>
          </cell>
          <cell r="AD317">
            <v>17836</v>
          </cell>
          <cell r="BM317">
            <v>2662.114</v>
          </cell>
        </row>
        <row r="318">
          <cell r="B318" t="str">
            <v>WS</v>
          </cell>
          <cell r="D318" t="str">
            <v>M</v>
          </cell>
          <cell r="G318" t="str">
            <v>TS</v>
          </cell>
          <cell r="X318">
            <v>1</v>
          </cell>
          <cell r="Y318">
            <v>1</v>
          </cell>
          <cell r="AD318">
            <v>46800</v>
          </cell>
          <cell r="BM318">
            <v>9316.2000000000007</v>
          </cell>
        </row>
        <row r="319">
          <cell r="B319" t="str">
            <v>WS</v>
          </cell>
          <cell r="D319" t="str">
            <v>M</v>
          </cell>
          <cell r="G319" t="str">
            <v>TS</v>
          </cell>
          <cell r="Y319">
            <v>1</v>
          </cell>
          <cell r="AD319">
            <v>78000</v>
          </cell>
          <cell r="BM319">
            <v>15527</v>
          </cell>
        </row>
        <row r="320">
          <cell r="B320" t="str">
            <v>WS</v>
          </cell>
          <cell r="D320" t="str">
            <v>M</v>
          </cell>
          <cell r="G320" t="str">
            <v>TS</v>
          </cell>
          <cell r="Y320">
            <v>1</v>
          </cell>
          <cell r="AD320">
            <v>62400</v>
          </cell>
          <cell r="BM320">
            <v>12421.6</v>
          </cell>
        </row>
        <row r="321">
          <cell r="B321" t="str">
            <v>WS</v>
          </cell>
          <cell r="D321" t="str">
            <v>M</v>
          </cell>
          <cell r="G321" t="str">
            <v>TS</v>
          </cell>
          <cell r="X321">
            <v>1</v>
          </cell>
          <cell r="Y321">
            <v>1</v>
          </cell>
          <cell r="AD321">
            <v>46800</v>
          </cell>
          <cell r="BM321">
            <v>9196.2000000000007</v>
          </cell>
        </row>
        <row r="322">
          <cell r="B322" t="str">
            <v>WS</v>
          </cell>
          <cell r="D322" t="str">
            <v>M</v>
          </cell>
          <cell r="G322" t="str">
            <v>TS</v>
          </cell>
          <cell r="Y322">
            <v>1</v>
          </cell>
          <cell r="AD322">
            <v>46800</v>
          </cell>
          <cell r="BM322">
            <v>9196.2000000000007</v>
          </cell>
        </row>
        <row r="323">
          <cell r="B323" t="str">
            <v>WS</v>
          </cell>
          <cell r="D323" t="str">
            <v>M</v>
          </cell>
          <cell r="G323" t="str">
            <v>TS</v>
          </cell>
          <cell r="X323">
            <v>1</v>
          </cell>
          <cell r="Y323">
            <v>1</v>
          </cell>
          <cell r="AD323">
            <v>49000</v>
          </cell>
          <cell r="BM323">
            <v>6613.5</v>
          </cell>
        </row>
        <row r="324">
          <cell r="B324" t="str">
            <v>WS</v>
          </cell>
          <cell r="D324" t="str">
            <v>M</v>
          </cell>
          <cell r="G324" t="str">
            <v>TS</v>
          </cell>
          <cell r="Y324">
            <v>1</v>
          </cell>
          <cell r="AD324">
            <v>49000</v>
          </cell>
          <cell r="BM324">
            <v>6613.5</v>
          </cell>
        </row>
        <row r="325">
          <cell r="B325" t="str">
            <v>WS</v>
          </cell>
          <cell r="D325" t="str">
            <v>M</v>
          </cell>
          <cell r="G325" t="str">
            <v>TS</v>
          </cell>
          <cell r="X325">
            <v>1</v>
          </cell>
          <cell r="Y325">
            <v>1</v>
          </cell>
          <cell r="AD325">
            <v>46800</v>
          </cell>
          <cell r="BM325">
            <v>8836.2000000000007</v>
          </cell>
        </row>
        <row r="326">
          <cell r="B326" t="str">
            <v>WS</v>
          </cell>
          <cell r="D326" t="str">
            <v>M</v>
          </cell>
          <cell r="G326" t="str">
            <v>TS</v>
          </cell>
          <cell r="Y326">
            <v>1</v>
          </cell>
          <cell r="AD326">
            <v>46800</v>
          </cell>
          <cell r="BM326">
            <v>8836.2000000000007</v>
          </cell>
        </row>
        <row r="327">
          <cell r="B327" t="str">
            <v>WS</v>
          </cell>
          <cell r="D327" t="str">
            <v>M</v>
          </cell>
          <cell r="G327" t="str">
            <v>TS</v>
          </cell>
          <cell r="X327">
            <v>1</v>
          </cell>
          <cell r="Y327">
            <v>1</v>
          </cell>
          <cell r="AD327">
            <v>50700</v>
          </cell>
          <cell r="BM327">
            <v>9507.5499999999993</v>
          </cell>
        </row>
        <row r="328">
          <cell r="B328" t="str">
            <v>WS</v>
          </cell>
          <cell r="D328" t="str">
            <v>M</v>
          </cell>
          <cell r="G328" t="str">
            <v>TS</v>
          </cell>
          <cell r="Y328">
            <v>1</v>
          </cell>
          <cell r="AD328">
            <v>50700</v>
          </cell>
          <cell r="BM328">
            <v>9507.5499999999993</v>
          </cell>
        </row>
        <row r="329">
          <cell r="B329" t="str">
            <v>WS</v>
          </cell>
          <cell r="D329" t="str">
            <v>M</v>
          </cell>
          <cell r="G329" t="str">
            <v>TS</v>
          </cell>
          <cell r="X329">
            <v>1</v>
          </cell>
          <cell r="Y329">
            <v>1</v>
          </cell>
          <cell r="AD329">
            <v>61600</v>
          </cell>
          <cell r="BM329">
            <v>12268.9</v>
          </cell>
        </row>
        <row r="330">
          <cell r="B330" t="str">
            <v>WS</v>
          </cell>
          <cell r="D330" t="str">
            <v>M</v>
          </cell>
          <cell r="G330" t="str">
            <v>TS</v>
          </cell>
          <cell r="Y330">
            <v>1</v>
          </cell>
          <cell r="AD330">
            <v>44000</v>
          </cell>
          <cell r="BM330">
            <v>8763.5</v>
          </cell>
        </row>
        <row r="331">
          <cell r="B331" t="str">
            <v>WS</v>
          </cell>
          <cell r="D331" t="str">
            <v>M</v>
          </cell>
          <cell r="G331" t="str">
            <v>TS</v>
          </cell>
          <cell r="X331">
            <v>1</v>
          </cell>
          <cell r="Y331">
            <v>1</v>
          </cell>
          <cell r="AD331">
            <v>49000</v>
          </cell>
          <cell r="BM331">
            <v>9563.5</v>
          </cell>
        </row>
        <row r="332">
          <cell r="B332" t="str">
            <v>WS</v>
          </cell>
          <cell r="D332" t="str">
            <v>M</v>
          </cell>
          <cell r="G332" t="str">
            <v>TS</v>
          </cell>
          <cell r="Y332">
            <v>1</v>
          </cell>
          <cell r="AD332">
            <v>49000</v>
          </cell>
          <cell r="BM332">
            <v>9563.5</v>
          </cell>
        </row>
        <row r="333">
          <cell r="B333" t="str">
            <v>WS</v>
          </cell>
          <cell r="D333" t="str">
            <v>M</v>
          </cell>
          <cell r="G333" t="str">
            <v>TS</v>
          </cell>
          <cell r="X333">
            <v>1</v>
          </cell>
          <cell r="Y333">
            <v>1</v>
          </cell>
          <cell r="AD333">
            <v>70400</v>
          </cell>
          <cell r="BM333">
            <v>11061.6</v>
          </cell>
        </row>
        <row r="334">
          <cell r="B334" t="str">
            <v>WS</v>
          </cell>
          <cell r="D334" t="str">
            <v>M</v>
          </cell>
          <cell r="G334" t="str">
            <v>TS</v>
          </cell>
          <cell r="Y334">
            <v>1</v>
          </cell>
          <cell r="AD334">
            <v>70400</v>
          </cell>
          <cell r="BM334">
            <v>11061.6</v>
          </cell>
        </row>
        <row r="335">
          <cell r="B335" t="str">
            <v>WS</v>
          </cell>
          <cell r="D335" t="str">
            <v>M</v>
          </cell>
          <cell r="G335" t="str">
            <v>TS</v>
          </cell>
          <cell r="X335">
            <v>1</v>
          </cell>
          <cell r="Y335">
            <v>1</v>
          </cell>
          <cell r="AD335">
            <v>44000</v>
          </cell>
          <cell r="BM335">
            <v>7613.5</v>
          </cell>
        </row>
        <row r="336">
          <cell r="B336" t="str">
            <v>WS</v>
          </cell>
          <cell r="D336" t="str">
            <v>M</v>
          </cell>
          <cell r="G336" t="str">
            <v>TS</v>
          </cell>
          <cell r="Y336">
            <v>1</v>
          </cell>
          <cell r="AD336">
            <v>44000</v>
          </cell>
          <cell r="BM336">
            <v>7613.5</v>
          </cell>
        </row>
        <row r="337">
          <cell r="B337" t="str">
            <v>WS</v>
          </cell>
          <cell r="D337" t="str">
            <v>M</v>
          </cell>
          <cell r="G337" t="str">
            <v>TS</v>
          </cell>
          <cell r="X337">
            <v>1</v>
          </cell>
          <cell r="Y337">
            <v>1</v>
          </cell>
          <cell r="AD337">
            <v>62400</v>
          </cell>
          <cell r="BM337">
            <v>12261.6</v>
          </cell>
        </row>
        <row r="338">
          <cell r="B338" t="str">
            <v>WS</v>
          </cell>
          <cell r="D338" t="str">
            <v>M</v>
          </cell>
          <cell r="G338" t="str">
            <v>TS</v>
          </cell>
          <cell r="Y338">
            <v>1</v>
          </cell>
          <cell r="AD338">
            <v>46800</v>
          </cell>
          <cell r="BM338">
            <v>9196.2000000000007</v>
          </cell>
        </row>
        <row r="339">
          <cell r="B339" t="str">
            <v>WS</v>
          </cell>
          <cell r="D339" t="str">
            <v>M</v>
          </cell>
          <cell r="G339" t="str">
            <v>TS</v>
          </cell>
          <cell r="X339">
            <v>1</v>
          </cell>
          <cell r="Y339">
            <v>1</v>
          </cell>
          <cell r="AD339">
            <v>52800</v>
          </cell>
          <cell r="BM339">
            <v>9616.2000000000007</v>
          </cell>
        </row>
        <row r="340">
          <cell r="B340" t="str">
            <v>WS</v>
          </cell>
          <cell r="D340" t="str">
            <v>M</v>
          </cell>
          <cell r="G340" t="str">
            <v>TS</v>
          </cell>
          <cell r="Y340">
            <v>1</v>
          </cell>
          <cell r="AD340">
            <v>44000</v>
          </cell>
          <cell r="BM340">
            <v>8013.5</v>
          </cell>
        </row>
        <row r="341">
          <cell r="B341" t="str">
            <v>WS</v>
          </cell>
          <cell r="D341" t="str">
            <v>M</v>
          </cell>
          <cell r="G341" t="str">
            <v>TS</v>
          </cell>
          <cell r="X341">
            <v>1</v>
          </cell>
          <cell r="Y341">
            <v>1</v>
          </cell>
          <cell r="AD341">
            <v>58800</v>
          </cell>
          <cell r="BM341">
            <v>10336.200000000001</v>
          </cell>
        </row>
        <row r="342">
          <cell r="B342" t="str">
            <v>WS</v>
          </cell>
          <cell r="D342" t="str">
            <v>M</v>
          </cell>
          <cell r="G342" t="str">
            <v>TS</v>
          </cell>
          <cell r="Y342">
            <v>1</v>
          </cell>
          <cell r="AD342">
            <v>49000</v>
          </cell>
          <cell r="BM342">
            <v>8613.5</v>
          </cell>
        </row>
        <row r="343">
          <cell r="B343" t="str">
            <v>WS</v>
          </cell>
          <cell r="D343" t="str">
            <v>M</v>
          </cell>
          <cell r="G343" t="str">
            <v>TS</v>
          </cell>
          <cell r="X343">
            <v>1</v>
          </cell>
          <cell r="Y343">
            <v>1</v>
          </cell>
          <cell r="AD343">
            <v>88000</v>
          </cell>
          <cell r="BM343">
            <v>16027</v>
          </cell>
        </row>
        <row r="344">
          <cell r="B344" t="str">
            <v>WS</v>
          </cell>
          <cell r="D344" t="str">
            <v>M</v>
          </cell>
          <cell r="G344" t="str">
            <v>TS</v>
          </cell>
          <cell r="Y344">
            <v>1</v>
          </cell>
          <cell r="AD344">
            <v>70400</v>
          </cell>
          <cell r="BM344">
            <v>12821.6</v>
          </cell>
        </row>
        <row r="345">
          <cell r="B345" t="str">
            <v>WS</v>
          </cell>
          <cell r="D345" t="str">
            <v>M</v>
          </cell>
          <cell r="G345" t="str">
            <v>TS</v>
          </cell>
          <cell r="X345">
            <v>1</v>
          </cell>
          <cell r="Y345">
            <v>1</v>
          </cell>
          <cell r="AD345">
            <v>39000</v>
          </cell>
          <cell r="BM345">
            <v>7663.5</v>
          </cell>
        </row>
        <row r="346">
          <cell r="B346" t="str">
            <v>WS</v>
          </cell>
          <cell r="D346" t="str">
            <v>M</v>
          </cell>
          <cell r="G346" t="str">
            <v>TS</v>
          </cell>
          <cell r="Y346">
            <v>1</v>
          </cell>
          <cell r="AD346">
            <v>46800</v>
          </cell>
          <cell r="BM346">
            <v>9196.2000000000007</v>
          </cell>
        </row>
        <row r="347">
          <cell r="B347" t="str">
            <v>WS</v>
          </cell>
          <cell r="D347" t="str">
            <v>M</v>
          </cell>
          <cell r="G347" t="str">
            <v>TS</v>
          </cell>
          <cell r="X347">
            <v>1</v>
          </cell>
          <cell r="Y347">
            <v>1</v>
          </cell>
          <cell r="AD347">
            <v>54600</v>
          </cell>
          <cell r="BM347">
            <v>8278.9</v>
          </cell>
        </row>
        <row r="348">
          <cell r="B348" t="str">
            <v>WS</v>
          </cell>
          <cell r="D348" t="str">
            <v>M</v>
          </cell>
          <cell r="G348" t="str">
            <v>TS</v>
          </cell>
          <cell r="Y348">
            <v>1</v>
          </cell>
          <cell r="AD348">
            <v>54600</v>
          </cell>
          <cell r="BM348">
            <v>8278.9</v>
          </cell>
        </row>
        <row r="349">
          <cell r="B349" t="str">
            <v>WS</v>
          </cell>
          <cell r="D349" t="str">
            <v>M</v>
          </cell>
          <cell r="G349" t="str">
            <v>TS</v>
          </cell>
          <cell r="X349">
            <v>1</v>
          </cell>
          <cell r="Y349">
            <v>1</v>
          </cell>
          <cell r="AD349">
            <v>87000</v>
          </cell>
          <cell r="BM349">
            <v>16540.5</v>
          </cell>
        </row>
        <row r="350">
          <cell r="B350" t="str">
            <v>WS</v>
          </cell>
          <cell r="D350" t="str">
            <v>M</v>
          </cell>
          <cell r="G350" t="str">
            <v>TS</v>
          </cell>
          <cell r="Y350">
            <v>1</v>
          </cell>
          <cell r="AD350">
            <v>58000</v>
          </cell>
          <cell r="BM350">
            <v>11027</v>
          </cell>
        </row>
        <row r="351">
          <cell r="B351" t="str">
            <v>WS</v>
          </cell>
          <cell r="D351" t="str">
            <v>M</v>
          </cell>
          <cell r="G351" t="str">
            <v>TS</v>
          </cell>
          <cell r="Y351">
            <v>1</v>
          </cell>
          <cell r="AD351">
            <v>58000</v>
          </cell>
          <cell r="BM351">
            <v>11027</v>
          </cell>
        </row>
        <row r="352">
          <cell r="B352" t="str">
            <v>WS</v>
          </cell>
          <cell r="D352" t="str">
            <v>M</v>
          </cell>
          <cell r="G352" t="str">
            <v>TS</v>
          </cell>
          <cell r="X352">
            <v>1</v>
          </cell>
          <cell r="Y352">
            <v>1</v>
          </cell>
          <cell r="AD352">
            <v>48000</v>
          </cell>
          <cell r="BM352">
            <v>8827</v>
          </cell>
        </row>
        <row r="353">
          <cell r="B353" t="str">
            <v>WS</v>
          </cell>
          <cell r="D353" t="str">
            <v>M</v>
          </cell>
          <cell r="G353" t="str">
            <v>TS</v>
          </cell>
          <cell r="Y353">
            <v>1</v>
          </cell>
          <cell r="AD353">
            <v>57600</v>
          </cell>
          <cell r="BM353">
            <v>10592.4</v>
          </cell>
        </row>
        <row r="354">
          <cell r="B354" t="str">
            <v>WS</v>
          </cell>
          <cell r="D354" t="str">
            <v>M</v>
          </cell>
          <cell r="G354" t="str">
            <v>TS</v>
          </cell>
          <cell r="Y354">
            <v>1</v>
          </cell>
          <cell r="AD354">
            <v>48000</v>
          </cell>
          <cell r="BM354">
            <v>8827</v>
          </cell>
        </row>
        <row r="355">
          <cell r="B355" t="str">
            <v>WS</v>
          </cell>
          <cell r="D355" t="str">
            <v>M</v>
          </cell>
          <cell r="G355" t="str">
            <v>TS</v>
          </cell>
          <cell r="Y355">
            <v>1</v>
          </cell>
          <cell r="AD355">
            <v>48000</v>
          </cell>
          <cell r="BM355">
            <v>8827</v>
          </cell>
        </row>
        <row r="356">
          <cell r="B356" t="str">
            <v>WS</v>
          </cell>
          <cell r="D356" t="str">
            <v>M</v>
          </cell>
          <cell r="G356" t="str">
            <v>TS</v>
          </cell>
          <cell r="Y356">
            <v>1</v>
          </cell>
          <cell r="AD356">
            <v>48000</v>
          </cell>
          <cell r="BM356">
            <v>8827</v>
          </cell>
        </row>
        <row r="357">
          <cell r="B357" t="str">
            <v>WS</v>
          </cell>
          <cell r="D357" t="str">
            <v>M</v>
          </cell>
          <cell r="G357" t="str">
            <v>TS</v>
          </cell>
          <cell r="X357">
            <v>1</v>
          </cell>
          <cell r="Y357">
            <v>1</v>
          </cell>
          <cell r="AD357">
            <v>30400</v>
          </cell>
          <cell r="BM357">
            <v>6581.6</v>
          </cell>
        </row>
        <row r="358">
          <cell r="B358" t="str">
            <v>WS</v>
          </cell>
          <cell r="D358" t="str">
            <v>M</v>
          </cell>
          <cell r="G358" t="str">
            <v>TS</v>
          </cell>
          <cell r="Y358">
            <v>1</v>
          </cell>
          <cell r="AD358">
            <v>30400</v>
          </cell>
          <cell r="BM358">
            <v>6581.6</v>
          </cell>
        </row>
        <row r="359">
          <cell r="B359" t="str">
            <v>WS</v>
          </cell>
          <cell r="D359" t="str">
            <v>M</v>
          </cell>
          <cell r="G359" t="str">
            <v>TS</v>
          </cell>
          <cell r="Y359">
            <v>1</v>
          </cell>
          <cell r="AD359">
            <v>38000</v>
          </cell>
          <cell r="BM359">
            <v>8227</v>
          </cell>
        </row>
        <row r="360">
          <cell r="B360" t="str">
            <v>WS</v>
          </cell>
          <cell r="D360" t="str">
            <v>M</v>
          </cell>
          <cell r="G360" t="str">
            <v>TS</v>
          </cell>
          <cell r="Y360">
            <v>1</v>
          </cell>
          <cell r="AD360">
            <v>30400</v>
          </cell>
          <cell r="BM360">
            <v>6581.6</v>
          </cell>
        </row>
        <row r="361">
          <cell r="B361" t="str">
            <v>WS</v>
          </cell>
          <cell r="D361" t="str">
            <v>M</v>
          </cell>
          <cell r="G361" t="str">
            <v>TS</v>
          </cell>
          <cell r="Y361">
            <v>1</v>
          </cell>
          <cell r="AD361">
            <v>57000</v>
          </cell>
          <cell r="BM361">
            <v>12340.5</v>
          </cell>
        </row>
        <row r="362">
          <cell r="B362" t="str">
            <v>WS</v>
          </cell>
          <cell r="D362" t="str">
            <v>M</v>
          </cell>
          <cell r="G362" t="str">
            <v>TS</v>
          </cell>
          <cell r="Y362">
            <v>1</v>
          </cell>
          <cell r="AD362">
            <v>38000</v>
          </cell>
          <cell r="BM362">
            <v>8227</v>
          </cell>
        </row>
        <row r="363">
          <cell r="B363" t="str">
            <v>WS</v>
          </cell>
          <cell r="D363" t="str">
            <v>M</v>
          </cell>
          <cell r="G363" t="str">
            <v>TS</v>
          </cell>
          <cell r="Y363">
            <v>1</v>
          </cell>
          <cell r="AD363">
            <v>76000</v>
          </cell>
          <cell r="BM363">
            <v>16454</v>
          </cell>
        </row>
        <row r="364">
          <cell r="B364" t="str">
            <v>WS</v>
          </cell>
          <cell r="D364" t="str">
            <v>M</v>
          </cell>
          <cell r="G364" t="str">
            <v>TS</v>
          </cell>
          <cell r="X364">
            <v>1</v>
          </cell>
          <cell r="Y364">
            <v>1</v>
          </cell>
          <cell r="AD364">
            <v>46400</v>
          </cell>
          <cell r="BM364">
            <v>9461.6</v>
          </cell>
        </row>
        <row r="365">
          <cell r="B365" t="str">
            <v>WS</v>
          </cell>
          <cell r="D365" t="str">
            <v>M</v>
          </cell>
          <cell r="G365" t="str">
            <v>TS</v>
          </cell>
          <cell r="Y365">
            <v>1</v>
          </cell>
          <cell r="AD365">
            <v>40600</v>
          </cell>
          <cell r="BM365">
            <v>8278.9</v>
          </cell>
        </row>
        <row r="366">
          <cell r="B366" t="str">
            <v>WS</v>
          </cell>
          <cell r="D366" t="str">
            <v>M</v>
          </cell>
          <cell r="G366" t="str">
            <v>TS</v>
          </cell>
          <cell r="Y366">
            <v>1</v>
          </cell>
          <cell r="AD366">
            <v>46400</v>
          </cell>
          <cell r="BM366">
            <v>9461.6</v>
          </cell>
        </row>
        <row r="367">
          <cell r="B367" t="str">
            <v>WS</v>
          </cell>
          <cell r="D367" t="str">
            <v>M</v>
          </cell>
          <cell r="G367" t="str">
            <v>TS</v>
          </cell>
          <cell r="AD367">
            <v>0</v>
          </cell>
          <cell r="BM367">
            <v>0</v>
          </cell>
        </row>
        <row r="368">
          <cell r="B368" t="str">
            <v>WS</v>
          </cell>
          <cell r="D368" t="str">
            <v>M</v>
          </cell>
          <cell r="G368" t="str">
            <v>TS</v>
          </cell>
          <cell r="AD368">
            <v>0</v>
          </cell>
          <cell r="BM368">
            <v>0</v>
          </cell>
        </row>
        <row r="369">
          <cell r="B369" t="str">
            <v>WS</v>
          </cell>
          <cell r="D369" t="str">
            <v>M</v>
          </cell>
          <cell r="G369" t="str">
            <v>TS</v>
          </cell>
          <cell r="X369">
            <v>1</v>
          </cell>
          <cell r="Y369">
            <v>1</v>
          </cell>
          <cell r="AD369">
            <v>33600</v>
          </cell>
          <cell r="BM369">
            <v>5688.9</v>
          </cell>
        </row>
        <row r="370">
          <cell r="B370" t="str">
            <v>WS</v>
          </cell>
          <cell r="D370" t="str">
            <v>M</v>
          </cell>
          <cell r="G370" t="str">
            <v>TS</v>
          </cell>
          <cell r="Y370">
            <v>1</v>
          </cell>
          <cell r="AD370">
            <v>72000</v>
          </cell>
          <cell r="BM370">
            <v>12190.5</v>
          </cell>
        </row>
        <row r="371">
          <cell r="B371" t="str">
            <v>WS</v>
          </cell>
          <cell r="D371" t="str">
            <v>M</v>
          </cell>
          <cell r="G371" t="str">
            <v>TS</v>
          </cell>
          <cell r="Y371">
            <v>1</v>
          </cell>
          <cell r="AD371">
            <v>38400</v>
          </cell>
          <cell r="BM371">
            <v>6501.6</v>
          </cell>
        </row>
        <row r="372">
          <cell r="B372" t="str">
            <v>WS</v>
          </cell>
          <cell r="D372" t="str">
            <v>M</v>
          </cell>
          <cell r="G372" t="str">
            <v>TS</v>
          </cell>
          <cell r="Y372">
            <v>1</v>
          </cell>
          <cell r="AD372">
            <v>72000</v>
          </cell>
          <cell r="BM372">
            <v>12190.5</v>
          </cell>
        </row>
        <row r="373">
          <cell r="B373" t="str">
            <v>WS</v>
          </cell>
          <cell r="D373" t="str">
            <v>M</v>
          </cell>
          <cell r="G373" t="str">
            <v>TS</v>
          </cell>
          <cell r="X373">
            <v>1</v>
          </cell>
          <cell r="Y373">
            <v>1</v>
          </cell>
          <cell r="AD373">
            <v>48000</v>
          </cell>
          <cell r="BM373">
            <v>9827</v>
          </cell>
        </row>
        <row r="374">
          <cell r="B374" t="str">
            <v>WS</v>
          </cell>
          <cell r="D374" t="str">
            <v>M</v>
          </cell>
          <cell r="G374" t="str">
            <v>TS</v>
          </cell>
          <cell r="Y374">
            <v>1</v>
          </cell>
          <cell r="AD374">
            <v>48000</v>
          </cell>
          <cell r="BM374">
            <v>9827</v>
          </cell>
        </row>
        <row r="375">
          <cell r="B375" t="str">
            <v>WS</v>
          </cell>
          <cell r="D375" t="str">
            <v>M</v>
          </cell>
          <cell r="G375" t="str">
            <v>TS</v>
          </cell>
          <cell r="X375">
            <v>1</v>
          </cell>
          <cell r="Y375">
            <v>1</v>
          </cell>
          <cell r="AD375">
            <v>58000</v>
          </cell>
          <cell r="BM375">
            <v>10027</v>
          </cell>
        </row>
        <row r="376">
          <cell r="B376" t="str">
            <v>WS</v>
          </cell>
          <cell r="D376" t="str">
            <v>M</v>
          </cell>
          <cell r="G376" t="str">
            <v>TS</v>
          </cell>
          <cell r="Y376">
            <v>1</v>
          </cell>
          <cell r="AD376">
            <v>34800</v>
          </cell>
          <cell r="BM376">
            <v>6016.2</v>
          </cell>
        </row>
        <row r="377">
          <cell r="B377" t="str">
            <v>WS</v>
          </cell>
          <cell r="D377" t="str">
            <v>M</v>
          </cell>
          <cell r="G377" t="str">
            <v>TS</v>
          </cell>
          <cell r="Y377">
            <v>1</v>
          </cell>
          <cell r="AD377">
            <v>58000</v>
          </cell>
          <cell r="BM377">
            <v>9704.6</v>
          </cell>
        </row>
        <row r="378">
          <cell r="B378" t="str">
            <v>WS</v>
          </cell>
          <cell r="D378" t="str">
            <v>M</v>
          </cell>
          <cell r="G378" t="str">
            <v>TS</v>
          </cell>
          <cell r="X378">
            <v>1</v>
          </cell>
          <cell r="Y378">
            <v>1</v>
          </cell>
          <cell r="AD378">
            <v>34800</v>
          </cell>
          <cell r="BM378">
            <v>7036.2</v>
          </cell>
        </row>
        <row r="379">
          <cell r="B379" t="str">
            <v>WS</v>
          </cell>
          <cell r="D379" t="str">
            <v>M</v>
          </cell>
          <cell r="G379" t="str">
            <v>TS</v>
          </cell>
          <cell r="Y379">
            <v>1</v>
          </cell>
          <cell r="AD379">
            <v>34800</v>
          </cell>
          <cell r="BM379">
            <v>7036.2</v>
          </cell>
        </row>
        <row r="380">
          <cell r="B380" t="str">
            <v>WS</v>
          </cell>
          <cell r="D380" t="str">
            <v>M</v>
          </cell>
          <cell r="G380" t="str">
            <v>TS</v>
          </cell>
          <cell r="X380">
            <v>1</v>
          </cell>
          <cell r="Y380">
            <v>1</v>
          </cell>
          <cell r="AD380">
            <v>29000</v>
          </cell>
          <cell r="BM380">
            <v>6013.5</v>
          </cell>
        </row>
        <row r="381">
          <cell r="B381" t="str">
            <v>WS</v>
          </cell>
          <cell r="D381" t="str">
            <v>M</v>
          </cell>
          <cell r="G381" t="str">
            <v>TS</v>
          </cell>
          <cell r="X381">
            <v>1</v>
          </cell>
          <cell r="Y381">
            <v>1</v>
          </cell>
          <cell r="AD381">
            <v>34000</v>
          </cell>
          <cell r="BM381">
            <v>6163.5</v>
          </cell>
        </row>
        <row r="382">
          <cell r="B382" t="str">
            <v>WS</v>
          </cell>
          <cell r="D382" t="str">
            <v>M</v>
          </cell>
          <cell r="G382" t="str">
            <v>TS</v>
          </cell>
          <cell r="Y382">
            <v>1</v>
          </cell>
          <cell r="AD382">
            <v>34000</v>
          </cell>
          <cell r="BM382">
            <v>6163.5</v>
          </cell>
        </row>
        <row r="383">
          <cell r="B383" t="str">
            <v>WS</v>
          </cell>
          <cell r="D383" t="str">
            <v>M</v>
          </cell>
          <cell r="G383" t="str">
            <v>TS</v>
          </cell>
          <cell r="X383">
            <v>1</v>
          </cell>
          <cell r="Y383">
            <v>1</v>
          </cell>
          <cell r="AD383">
            <v>39000</v>
          </cell>
          <cell r="BM383">
            <v>7963.5</v>
          </cell>
        </row>
        <row r="384">
          <cell r="B384" t="str">
            <v>WS</v>
          </cell>
          <cell r="D384" t="str">
            <v>M</v>
          </cell>
          <cell r="G384" t="str">
            <v>TS</v>
          </cell>
          <cell r="Y384">
            <v>1</v>
          </cell>
          <cell r="AD384">
            <v>39000</v>
          </cell>
          <cell r="BM384">
            <v>7963.5</v>
          </cell>
        </row>
        <row r="385">
          <cell r="B385" t="str">
            <v>WS</v>
          </cell>
          <cell r="D385" t="str">
            <v>M</v>
          </cell>
          <cell r="G385" t="str">
            <v>TS</v>
          </cell>
          <cell r="X385">
            <v>1</v>
          </cell>
          <cell r="Y385">
            <v>1</v>
          </cell>
          <cell r="AD385">
            <v>44000</v>
          </cell>
          <cell r="BM385">
            <v>8413.5</v>
          </cell>
        </row>
        <row r="386">
          <cell r="B386" t="str">
            <v>WS</v>
          </cell>
          <cell r="D386" t="str">
            <v>M</v>
          </cell>
          <cell r="G386" t="str">
            <v>TS</v>
          </cell>
          <cell r="Y386">
            <v>1</v>
          </cell>
          <cell r="AD386">
            <v>61600</v>
          </cell>
          <cell r="BM386">
            <v>11778.9</v>
          </cell>
        </row>
        <row r="387">
          <cell r="B387" t="str">
            <v>WS</v>
          </cell>
          <cell r="D387" t="str">
            <v>M</v>
          </cell>
          <cell r="G387" t="str">
            <v>TS</v>
          </cell>
          <cell r="X387">
            <v>1</v>
          </cell>
          <cell r="Y387">
            <v>1</v>
          </cell>
          <cell r="AD387">
            <v>35200</v>
          </cell>
          <cell r="BM387">
            <v>6690.8</v>
          </cell>
        </row>
        <row r="388">
          <cell r="B388" t="str">
            <v>WS</v>
          </cell>
          <cell r="D388" t="str">
            <v>M</v>
          </cell>
          <cell r="G388" t="str">
            <v>TS</v>
          </cell>
          <cell r="Y388">
            <v>1</v>
          </cell>
          <cell r="AD388">
            <v>35200</v>
          </cell>
          <cell r="BM388">
            <v>6690.8</v>
          </cell>
        </row>
        <row r="389">
          <cell r="B389" t="str">
            <v>WS</v>
          </cell>
          <cell r="D389" t="str">
            <v>M</v>
          </cell>
          <cell r="G389" t="str">
            <v>TS</v>
          </cell>
          <cell r="X389">
            <v>1</v>
          </cell>
          <cell r="Y389">
            <v>1</v>
          </cell>
          <cell r="AD389">
            <v>26400</v>
          </cell>
          <cell r="BM389">
            <v>5708.1</v>
          </cell>
        </row>
        <row r="390">
          <cell r="B390" t="str">
            <v>WS</v>
          </cell>
          <cell r="D390" t="str">
            <v>M</v>
          </cell>
          <cell r="G390" t="str">
            <v>TS</v>
          </cell>
          <cell r="Y390">
            <v>1</v>
          </cell>
          <cell r="AD390">
            <v>26400</v>
          </cell>
          <cell r="BM390">
            <v>5708.1</v>
          </cell>
        </row>
        <row r="391">
          <cell r="B391" t="str">
            <v>WS</v>
          </cell>
          <cell r="D391" t="str">
            <v>M</v>
          </cell>
          <cell r="G391" t="str">
            <v>TS</v>
          </cell>
          <cell r="X391">
            <v>1</v>
          </cell>
          <cell r="Y391">
            <v>1</v>
          </cell>
          <cell r="AD391">
            <v>29000</v>
          </cell>
          <cell r="BM391">
            <v>5613.5</v>
          </cell>
        </row>
        <row r="392">
          <cell r="B392" t="str">
            <v>WS</v>
          </cell>
          <cell r="D392" t="str">
            <v>M</v>
          </cell>
          <cell r="G392" t="str">
            <v>TS</v>
          </cell>
          <cell r="Y392">
            <v>1</v>
          </cell>
          <cell r="AD392">
            <v>29000</v>
          </cell>
          <cell r="BM392">
            <v>5613.5</v>
          </cell>
        </row>
        <row r="393">
          <cell r="B393" t="str">
            <v>WS</v>
          </cell>
          <cell r="D393" t="str">
            <v>M</v>
          </cell>
          <cell r="G393" t="str">
            <v>TS</v>
          </cell>
          <cell r="X393">
            <v>1</v>
          </cell>
          <cell r="Y393">
            <v>1</v>
          </cell>
          <cell r="AD393">
            <v>26400</v>
          </cell>
          <cell r="BM393">
            <v>6180</v>
          </cell>
        </row>
        <row r="394">
          <cell r="B394" t="str">
            <v>WS</v>
          </cell>
          <cell r="D394" t="str">
            <v>M</v>
          </cell>
          <cell r="G394" t="str">
            <v>TS</v>
          </cell>
          <cell r="Y394">
            <v>1</v>
          </cell>
          <cell r="AD394">
            <v>26400</v>
          </cell>
          <cell r="BM394">
            <v>6180</v>
          </cell>
        </row>
        <row r="395">
          <cell r="B395" t="str">
            <v>WS</v>
          </cell>
          <cell r="D395" t="str">
            <v>M</v>
          </cell>
          <cell r="G395" t="str">
            <v>TS</v>
          </cell>
          <cell r="Y395">
            <v>1</v>
          </cell>
          <cell r="AD395">
            <v>19360</v>
          </cell>
          <cell r="BM395">
            <v>4532</v>
          </cell>
        </row>
        <row r="396">
          <cell r="B396" t="str">
            <v>WS</v>
          </cell>
          <cell r="D396" t="str">
            <v>M</v>
          </cell>
          <cell r="G396" t="str">
            <v>TS</v>
          </cell>
          <cell r="X396">
            <v>1</v>
          </cell>
          <cell r="Y396">
            <v>1</v>
          </cell>
          <cell r="AD396">
            <v>17600</v>
          </cell>
          <cell r="BM396">
            <v>4679.3999999999996</v>
          </cell>
        </row>
        <row r="397">
          <cell r="B397" t="str">
            <v>WS</v>
          </cell>
          <cell r="D397" t="str">
            <v>M</v>
          </cell>
          <cell r="G397" t="str">
            <v>TS</v>
          </cell>
          <cell r="Y397">
            <v>1</v>
          </cell>
          <cell r="AD397">
            <v>26400</v>
          </cell>
          <cell r="BM397">
            <v>7019.1</v>
          </cell>
        </row>
        <row r="398">
          <cell r="B398" t="str">
            <v>WS</v>
          </cell>
          <cell r="D398" t="str">
            <v>M</v>
          </cell>
          <cell r="G398" t="str">
            <v>TS</v>
          </cell>
          <cell r="Y398">
            <v>1</v>
          </cell>
          <cell r="AD398">
            <v>35200</v>
          </cell>
          <cell r="BM398">
            <v>9634</v>
          </cell>
        </row>
        <row r="399">
          <cell r="B399" t="str">
            <v>WS</v>
          </cell>
          <cell r="D399" t="str">
            <v>M</v>
          </cell>
          <cell r="G399" t="str">
            <v>TS</v>
          </cell>
          <cell r="X399">
            <v>1</v>
          </cell>
          <cell r="Y399">
            <v>1</v>
          </cell>
          <cell r="AD399">
            <v>30800</v>
          </cell>
          <cell r="BM399">
            <v>8016.75</v>
          </cell>
        </row>
        <row r="400">
          <cell r="B400" t="str">
            <v>WS</v>
          </cell>
          <cell r="D400" t="str">
            <v>M</v>
          </cell>
          <cell r="G400" t="str">
            <v>TS</v>
          </cell>
          <cell r="Y400">
            <v>1</v>
          </cell>
          <cell r="AD400">
            <v>30800</v>
          </cell>
          <cell r="BM400">
            <v>8016.75</v>
          </cell>
        </row>
        <row r="401">
          <cell r="B401" t="str">
            <v>WS</v>
          </cell>
          <cell r="D401" t="str">
            <v>M</v>
          </cell>
          <cell r="G401" t="str">
            <v>TS</v>
          </cell>
          <cell r="X401">
            <v>1</v>
          </cell>
          <cell r="Y401">
            <v>1</v>
          </cell>
          <cell r="AD401">
            <v>26400</v>
          </cell>
          <cell r="BM401">
            <v>7039.5</v>
          </cell>
        </row>
        <row r="402">
          <cell r="B402" t="str">
            <v>WS</v>
          </cell>
          <cell r="D402" t="str">
            <v>M</v>
          </cell>
          <cell r="G402" t="str">
            <v>TS</v>
          </cell>
          <cell r="Y402">
            <v>1</v>
          </cell>
          <cell r="AD402">
            <v>35200</v>
          </cell>
          <cell r="BM402">
            <v>9386</v>
          </cell>
        </row>
        <row r="403">
          <cell r="B403" t="str">
            <v>WS</v>
          </cell>
          <cell r="D403" t="str">
            <v>M</v>
          </cell>
          <cell r="G403" t="str">
            <v>TS</v>
          </cell>
          <cell r="X403">
            <v>1</v>
          </cell>
          <cell r="Y403">
            <v>1</v>
          </cell>
          <cell r="AD403">
            <v>26400</v>
          </cell>
          <cell r="BM403">
            <v>6871.5</v>
          </cell>
        </row>
        <row r="404">
          <cell r="B404" t="str">
            <v>WS</v>
          </cell>
          <cell r="D404" t="str">
            <v>M</v>
          </cell>
          <cell r="G404" t="str">
            <v>TS</v>
          </cell>
          <cell r="Y404">
            <v>1</v>
          </cell>
          <cell r="AD404">
            <v>26400</v>
          </cell>
          <cell r="BM404">
            <v>6871.5</v>
          </cell>
        </row>
        <row r="405">
          <cell r="B405" t="str">
            <v>WS</v>
          </cell>
          <cell r="D405" t="str">
            <v>M</v>
          </cell>
          <cell r="G405" t="str">
            <v>TS</v>
          </cell>
          <cell r="X405">
            <v>1</v>
          </cell>
          <cell r="Y405">
            <v>1</v>
          </cell>
          <cell r="AD405">
            <v>26400</v>
          </cell>
          <cell r="BM405">
            <v>7039.5</v>
          </cell>
        </row>
        <row r="406">
          <cell r="B406" t="str">
            <v>WS</v>
          </cell>
          <cell r="D406" t="str">
            <v>M</v>
          </cell>
          <cell r="G406" t="str">
            <v>TS</v>
          </cell>
          <cell r="Y406">
            <v>1</v>
          </cell>
          <cell r="AD406">
            <v>17600</v>
          </cell>
          <cell r="BM406">
            <v>4693</v>
          </cell>
        </row>
        <row r="407">
          <cell r="B407" t="str">
            <v>WS</v>
          </cell>
          <cell r="D407" t="str">
            <v>M</v>
          </cell>
          <cell r="G407" t="str">
            <v>TS</v>
          </cell>
          <cell r="X407">
            <v>1</v>
          </cell>
          <cell r="Y407">
            <v>1</v>
          </cell>
          <cell r="AD407">
            <v>39000</v>
          </cell>
          <cell r="BM407">
            <v>5963.5</v>
          </cell>
        </row>
        <row r="408">
          <cell r="B408" t="str">
            <v>WS</v>
          </cell>
          <cell r="D408" t="str">
            <v>M</v>
          </cell>
          <cell r="G408" t="str">
            <v>TS</v>
          </cell>
          <cell r="Y408">
            <v>1</v>
          </cell>
          <cell r="AD408">
            <v>23400</v>
          </cell>
          <cell r="BM408">
            <v>3578.1</v>
          </cell>
        </row>
        <row r="409">
          <cell r="B409" t="str">
            <v>WS</v>
          </cell>
          <cell r="D409" t="str">
            <v>M</v>
          </cell>
          <cell r="G409" t="str">
            <v>TS</v>
          </cell>
          <cell r="X409">
            <v>1</v>
          </cell>
          <cell r="Y409">
            <v>1</v>
          </cell>
          <cell r="AD409">
            <v>34000</v>
          </cell>
          <cell r="BM409">
            <v>6613.5</v>
          </cell>
        </row>
        <row r="410">
          <cell r="B410" t="str">
            <v>WS</v>
          </cell>
          <cell r="D410" t="str">
            <v>M</v>
          </cell>
          <cell r="G410" t="str">
            <v>TS</v>
          </cell>
          <cell r="Y410">
            <v>1</v>
          </cell>
          <cell r="AD410">
            <v>34000</v>
          </cell>
          <cell r="BM410">
            <v>6613.5</v>
          </cell>
        </row>
        <row r="411">
          <cell r="B411" t="str">
            <v>WS</v>
          </cell>
          <cell r="D411" t="str">
            <v>M</v>
          </cell>
          <cell r="G411" t="str">
            <v>TS</v>
          </cell>
          <cell r="X411">
            <v>1</v>
          </cell>
          <cell r="Y411">
            <v>1</v>
          </cell>
          <cell r="AD411">
            <v>34000</v>
          </cell>
          <cell r="BM411">
            <v>6163.5</v>
          </cell>
        </row>
        <row r="412">
          <cell r="B412" t="str">
            <v>WS</v>
          </cell>
          <cell r="D412" t="str">
            <v>M</v>
          </cell>
          <cell r="G412" t="str">
            <v>TS</v>
          </cell>
          <cell r="Y412">
            <v>1</v>
          </cell>
          <cell r="AD412">
            <v>34000</v>
          </cell>
          <cell r="BM412">
            <v>6163.5</v>
          </cell>
        </row>
        <row r="413">
          <cell r="B413" t="str">
            <v>WS</v>
          </cell>
          <cell r="D413" t="str">
            <v>M</v>
          </cell>
          <cell r="G413" t="str">
            <v>TS</v>
          </cell>
          <cell r="X413">
            <v>1</v>
          </cell>
          <cell r="Y413">
            <v>1</v>
          </cell>
          <cell r="AD413">
            <v>46800</v>
          </cell>
          <cell r="BM413">
            <v>8056.2</v>
          </cell>
        </row>
        <row r="414">
          <cell r="B414" t="str">
            <v>WS</v>
          </cell>
          <cell r="D414" t="str">
            <v>M</v>
          </cell>
          <cell r="G414" t="str">
            <v>TS</v>
          </cell>
          <cell r="Y414">
            <v>1</v>
          </cell>
          <cell r="AD414">
            <v>46800</v>
          </cell>
          <cell r="BM414">
            <v>8056.2</v>
          </cell>
        </row>
        <row r="415">
          <cell r="B415" t="str">
            <v>WS</v>
          </cell>
          <cell r="D415" t="str">
            <v>M</v>
          </cell>
          <cell r="G415" t="str">
            <v>TS</v>
          </cell>
          <cell r="X415">
            <v>1</v>
          </cell>
          <cell r="Y415">
            <v>1</v>
          </cell>
          <cell r="AD415">
            <v>27200</v>
          </cell>
          <cell r="BM415">
            <v>4170.8</v>
          </cell>
        </row>
        <row r="416">
          <cell r="B416" t="str">
            <v>WS</v>
          </cell>
          <cell r="D416" t="str">
            <v>M</v>
          </cell>
          <cell r="G416" t="str">
            <v>TS</v>
          </cell>
          <cell r="Y416">
            <v>1</v>
          </cell>
          <cell r="AD416">
            <v>27200</v>
          </cell>
          <cell r="BM416">
            <v>4170.8</v>
          </cell>
        </row>
        <row r="417">
          <cell r="B417" t="str">
            <v>WS</v>
          </cell>
          <cell r="D417" t="str">
            <v>M</v>
          </cell>
          <cell r="G417" t="str">
            <v>TS</v>
          </cell>
          <cell r="X417">
            <v>1</v>
          </cell>
          <cell r="Y417">
            <v>1</v>
          </cell>
          <cell r="AD417">
            <v>67500</v>
          </cell>
          <cell r="BM417">
            <v>17290.5</v>
          </cell>
        </row>
        <row r="418">
          <cell r="B418" t="str">
            <v>WS</v>
          </cell>
          <cell r="D418" t="str">
            <v>M</v>
          </cell>
          <cell r="G418" t="str">
            <v>TS</v>
          </cell>
          <cell r="Y418">
            <v>1</v>
          </cell>
          <cell r="AD418">
            <v>67500</v>
          </cell>
          <cell r="BM418">
            <v>17290.5</v>
          </cell>
        </row>
        <row r="419">
          <cell r="B419" t="str">
            <v>WS</v>
          </cell>
          <cell r="D419" t="str">
            <v>M</v>
          </cell>
          <cell r="G419" t="str">
            <v>TS</v>
          </cell>
          <cell r="Y419">
            <v>1</v>
          </cell>
          <cell r="AD419">
            <v>54000</v>
          </cell>
          <cell r="BM419">
            <v>13832.4</v>
          </cell>
        </row>
        <row r="420">
          <cell r="B420" t="str">
            <v>WS</v>
          </cell>
          <cell r="D420" t="str">
            <v>M</v>
          </cell>
          <cell r="G420" t="str">
            <v>TS</v>
          </cell>
          <cell r="Y420">
            <v>1</v>
          </cell>
          <cell r="AD420">
            <v>58500</v>
          </cell>
          <cell r="BM420">
            <v>14985.1</v>
          </cell>
        </row>
        <row r="421">
          <cell r="B421" t="str">
            <v>WS</v>
          </cell>
          <cell r="D421" t="str">
            <v>S</v>
          </cell>
          <cell r="G421" t="str">
            <v>TL</v>
          </cell>
          <cell r="X421">
            <v>1</v>
          </cell>
          <cell r="Y421">
            <v>1</v>
          </cell>
          <cell r="AD421">
            <v>54000</v>
          </cell>
          <cell r="BM421">
            <v>9463.5</v>
          </cell>
        </row>
        <row r="422">
          <cell r="B422" t="str">
            <v>WS</v>
          </cell>
          <cell r="D422" t="str">
            <v>S</v>
          </cell>
          <cell r="G422" t="str">
            <v>TL</v>
          </cell>
          <cell r="Y422">
            <v>1</v>
          </cell>
          <cell r="AD422">
            <v>43200</v>
          </cell>
          <cell r="BM422">
            <v>7570.8</v>
          </cell>
        </row>
        <row r="423">
          <cell r="B423" t="str">
            <v>WS</v>
          </cell>
          <cell r="D423" t="str">
            <v>S</v>
          </cell>
          <cell r="G423" t="str">
            <v>TL</v>
          </cell>
          <cell r="X423">
            <v>1</v>
          </cell>
          <cell r="Y423">
            <v>1</v>
          </cell>
          <cell r="AD423">
            <v>54000</v>
          </cell>
          <cell r="BM423">
            <v>10313.5</v>
          </cell>
        </row>
        <row r="424">
          <cell r="B424" t="str">
            <v>WS</v>
          </cell>
          <cell r="D424" t="str">
            <v>S</v>
          </cell>
          <cell r="G424" t="str">
            <v>TL</v>
          </cell>
          <cell r="Y424">
            <v>1</v>
          </cell>
          <cell r="AD424">
            <v>75600</v>
          </cell>
          <cell r="BM424">
            <v>14438.9</v>
          </cell>
        </row>
        <row r="425">
          <cell r="B425" t="str">
            <v>WS</v>
          </cell>
          <cell r="D425" t="str">
            <v>S</v>
          </cell>
          <cell r="G425" t="str">
            <v>TL</v>
          </cell>
          <cell r="X425">
            <v>1</v>
          </cell>
          <cell r="Y425">
            <v>1</v>
          </cell>
          <cell r="AD425">
            <v>64000</v>
          </cell>
          <cell r="BM425">
            <v>13613.5</v>
          </cell>
        </row>
        <row r="426">
          <cell r="B426" t="str">
            <v>WS</v>
          </cell>
          <cell r="D426" t="str">
            <v>S</v>
          </cell>
          <cell r="G426" t="str">
            <v>TL</v>
          </cell>
          <cell r="Y426">
            <v>1</v>
          </cell>
          <cell r="AD426">
            <v>51200</v>
          </cell>
          <cell r="BM426">
            <v>10890.8</v>
          </cell>
        </row>
        <row r="427">
          <cell r="B427" t="str">
            <v>WS</v>
          </cell>
          <cell r="D427" t="str">
            <v>S</v>
          </cell>
          <cell r="G427" t="str">
            <v>TL</v>
          </cell>
          <cell r="X427">
            <v>1</v>
          </cell>
          <cell r="Y427">
            <v>1</v>
          </cell>
          <cell r="AD427">
            <v>31200</v>
          </cell>
          <cell r="BM427">
            <v>6450.8</v>
          </cell>
        </row>
        <row r="428">
          <cell r="B428" t="str">
            <v>WS</v>
          </cell>
          <cell r="D428" t="str">
            <v>S</v>
          </cell>
          <cell r="G428" t="str">
            <v>TL</v>
          </cell>
          <cell r="Y428">
            <v>1</v>
          </cell>
          <cell r="AD428">
            <v>31200</v>
          </cell>
          <cell r="BM428">
            <v>6450.8</v>
          </cell>
        </row>
        <row r="429">
          <cell r="B429" t="str">
            <v>WS</v>
          </cell>
          <cell r="D429" t="str">
            <v>S</v>
          </cell>
          <cell r="G429" t="str">
            <v>TL</v>
          </cell>
          <cell r="X429">
            <v>1</v>
          </cell>
          <cell r="Y429">
            <v>1</v>
          </cell>
          <cell r="AD429">
            <v>35200</v>
          </cell>
          <cell r="BM429">
            <v>7930.8</v>
          </cell>
        </row>
        <row r="430">
          <cell r="B430" t="str">
            <v>WS</v>
          </cell>
          <cell r="D430" t="str">
            <v>S</v>
          </cell>
          <cell r="G430" t="str">
            <v>TL</v>
          </cell>
          <cell r="Y430">
            <v>1</v>
          </cell>
          <cell r="AD430">
            <v>35200</v>
          </cell>
          <cell r="BM430">
            <v>7930.8</v>
          </cell>
        </row>
        <row r="431">
          <cell r="B431" t="str">
            <v>WS</v>
          </cell>
          <cell r="D431" t="str">
            <v>S</v>
          </cell>
          <cell r="G431" t="str">
            <v>TL</v>
          </cell>
          <cell r="X431">
            <v>1</v>
          </cell>
          <cell r="Y431">
            <v>1</v>
          </cell>
          <cell r="AD431">
            <v>61200</v>
          </cell>
          <cell r="BM431">
            <v>15752.4</v>
          </cell>
        </row>
        <row r="432">
          <cell r="B432" t="str">
            <v>WS</v>
          </cell>
          <cell r="D432" t="str">
            <v>S</v>
          </cell>
          <cell r="G432" t="str">
            <v>TL</v>
          </cell>
          <cell r="Y432">
            <v>1</v>
          </cell>
          <cell r="AD432">
            <v>45900</v>
          </cell>
          <cell r="BM432">
            <v>11814.3</v>
          </cell>
        </row>
        <row r="433">
          <cell r="B433" t="str">
            <v>WS</v>
          </cell>
          <cell r="D433" t="str">
            <v>S</v>
          </cell>
          <cell r="G433" t="str">
            <v>TL</v>
          </cell>
          <cell r="Y433">
            <v>1</v>
          </cell>
          <cell r="AD433">
            <v>76500</v>
          </cell>
          <cell r="BM433">
            <v>19690.5</v>
          </cell>
        </row>
        <row r="434">
          <cell r="B434" t="str">
            <v>WS</v>
          </cell>
          <cell r="D434" t="str">
            <v>S</v>
          </cell>
          <cell r="G434" t="str">
            <v>TL</v>
          </cell>
          <cell r="Y434">
            <v>1</v>
          </cell>
          <cell r="AD434">
            <v>45900</v>
          </cell>
          <cell r="BM434">
            <v>11814.3</v>
          </cell>
        </row>
        <row r="435">
          <cell r="B435" t="str">
            <v>WV</v>
          </cell>
          <cell r="D435" t="str">
            <v>M</v>
          </cell>
          <cell r="G435" t="str">
            <v>SH</v>
          </cell>
          <cell r="X435">
            <v>1</v>
          </cell>
          <cell r="Y435">
            <v>1</v>
          </cell>
          <cell r="AD435">
            <v>43200</v>
          </cell>
          <cell r="BM435">
            <v>10174.4</v>
          </cell>
        </row>
        <row r="436">
          <cell r="B436" t="str">
            <v>WV</v>
          </cell>
          <cell r="D436" t="str">
            <v>M</v>
          </cell>
          <cell r="G436" t="str">
            <v>SH</v>
          </cell>
          <cell r="Y436">
            <v>1</v>
          </cell>
          <cell r="AD436">
            <v>43200</v>
          </cell>
          <cell r="BM436">
            <v>10174.4</v>
          </cell>
        </row>
        <row r="437">
          <cell r="B437" t="str">
            <v>WV</v>
          </cell>
          <cell r="D437" t="str">
            <v>M</v>
          </cell>
          <cell r="G437" t="str">
            <v>SH</v>
          </cell>
          <cell r="X437">
            <v>1</v>
          </cell>
          <cell r="Y437">
            <v>1</v>
          </cell>
          <cell r="AD437">
            <v>32400</v>
          </cell>
          <cell r="BM437">
            <v>6580.8</v>
          </cell>
        </row>
        <row r="438">
          <cell r="B438" t="str">
            <v>WV</v>
          </cell>
          <cell r="D438" t="str">
            <v>M</v>
          </cell>
          <cell r="G438" t="str">
            <v>SH</v>
          </cell>
          <cell r="Y438">
            <v>1</v>
          </cell>
          <cell r="AD438">
            <v>32400</v>
          </cell>
          <cell r="BM438">
            <v>6580.8</v>
          </cell>
        </row>
        <row r="439">
          <cell r="B439" t="str">
            <v>WV</v>
          </cell>
          <cell r="D439" t="str">
            <v>M</v>
          </cell>
          <cell r="G439" t="str">
            <v>TL</v>
          </cell>
          <cell r="X439">
            <v>1</v>
          </cell>
          <cell r="Y439">
            <v>1</v>
          </cell>
          <cell r="AD439">
            <v>29400</v>
          </cell>
          <cell r="BM439">
            <v>6940.8</v>
          </cell>
        </row>
        <row r="440">
          <cell r="B440" t="str">
            <v>WV</v>
          </cell>
          <cell r="D440" t="str">
            <v>M</v>
          </cell>
          <cell r="G440" t="str">
            <v>TL</v>
          </cell>
          <cell r="Y440">
            <v>1</v>
          </cell>
          <cell r="AD440">
            <v>29400</v>
          </cell>
          <cell r="BM440">
            <v>6940.8</v>
          </cell>
        </row>
        <row r="441">
          <cell r="B441" t="str">
            <v>WV</v>
          </cell>
          <cell r="D441" t="str">
            <v>M</v>
          </cell>
          <cell r="G441" t="str">
            <v>TL</v>
          </cell>
          <cell r="X441">
            <v>1</v>
          </cell>
          <cell r="Y441">
            <v>1</v>
          </cell>
          <cell r="AD441">
            <v>29400</v>
          </cell>
          <cell r="BM441">
            <v>5950.8</v>
          </cell>
        </row>
        <row r="442">
          <cell r="B442" t="str">
            <v>WV</v>
          </cell>
          <cell r="D442" t="str">
            <v>M</v>
          </cell>
          <cell r="G442" t="str">
            <v>TL</v>
          </cell>
          <cell r="Y442">
            <v>1</v>
          </cell>
          <cell r="AD442">
            <v>29400</v>
          </cell>
          <cell r="BM442">
            <v>5950.8</v>
          </cell>
        </row>
        <row r="443">
          <cell r="B443" t="str">
            <v>WV</v>
          </cell>
          <cell r="D443" t="str">
            <v>M</v>
          </cell>
          <cell r="G443" t="str">
            <v>TL</v>
          </cell>
          <cell r="X443">
            <v>1</v>
          </cell>
          <cell r="Y443">
            <v>1</v>
          </cell>
          <cell r="AD443">
            <v>26400</v>
          </cell>
          <cell r="BM443">
            <v>4510.8</v>
          </cell>
        </row>
        <row r="444">
          <cell r="B444" t="str">
            <v>WV</v>
          </cell>
          <cell r="D444" t="str">
            <v>M</v>
          </cell>
          <cell r="G444" t="str">
            <v>TL</v>
          </cell>
          <cell r="Y444">
            <v>1</v>
          </cell>
          <cell r="AD444">
            <v>26400</v>
          </cell>
          <cell r="BM444">
            <v>4510.8</v>
          </cell>
        </row>
        <row r="445">
          <cell r="B445" t="str">
            <v>WV</v>
          </cell>
          <cell r="D445" t="str">
            <v>M</v>
          </cell>
          <cell r="G445" t="str">
            <v>TL</v>
          </cell>
          <cell r="X445">
            <v>1</v>
          </cell>
          <cell r="Y445">
            <v>1</v>
          </cell>
          <cell r="AD445">
            <v>15600</v>
          </cell>
          <cell r="BM445">
            <v>3047.2</v>
          </cell>
        </row>
        <row r="446">
          <cell r="B446" t="str">
            <v>WV</v>
          </cell>
          <cell r="D446" t="str">
            <v>M</v>
          </cell>
          <cell r="G446" t="str">
            <v>TL</v>
          </cell>
          <cell r="Y446">
            <v>1</v>
          </cell>
          <cell r="AD446">
            <v>23400</v>
          </cell>
          <cell r="BM446">
            <v>4570.8</v>
          </cell>
        </row>
        <row r="447">
          <cell r="B447" t="str">
            <v>WV</v>
          </cell>
          <cell r="D447" t="str">
            <v>M</v>
          </cell>
          <cell r="G447" t="str">
            <v>TL</v>
          </cell>
          <cell r="X447">
            <v>1</v>
          </cell>
          <cell r="Y447">
            <v>1</v>
          </cell>
          <cell r="AD447">
            <v>39200</v>
          </cell>
          <cell r="BM447">
            <v>10108.799999999999</v>
          </cell>
        </row>
        <row r="448">
          <cell r="B448" t="str">
            <v>WV</v>
          </cell>
          <cell r="D448" t="str">
            <v>M</v>
          </cell>
          <cell r="G448" t="str">
            <v>TL</v>
          </cell>
          <cell r="Y448">
            <v>1</v>
          </cell>
          <cell r="AD448">
            <v>29400</v>
          </cell>
          <cell r="BM448">
            <v>7581.6</v>
          </cell>
        </row>
        <row r="449">
          <cell r="B449" t="str">
            <v>WV</v>
          </cell>
          <cell r="D449" t="str">
            <v>M</v>
          </cell>
          <cell r="G449" t="str">
            <v>TL</v>
          </cell>
          <cell r="Y449">
            <v>1</v>
          </cell>
          <cell r="AD449">
            <v>29400</v>
          </cell>
          <cell r="BM449">
            <v>7581.6</v>
          </cell>
        </row>
        <row r="450">
          <cell r="B450" t="str">
            <v>WV</v>
          </cell>
          <cell r="D450" t="str">
            <v>M</v>
          </cell>
          <cell r="G450" t="str">
            <v>TS</v>
          </cell>
          <cell r="X450">
            <v>1</v>
          </cell>
          <cell r="Y450">
            <v>1</v>
          </cell>
          <cell r="AD450">
            <v>49000</v>
          </cell>
          <cell r="BM450">
            <v>9868</v>
          </cell>
        </row>
        <row r="451">
          <cell r="B451" t="str">
            <v>WV</v>
          </cell>
          <cell r="D451" t="str">
            <v>M</v>
          </cell>
          <cell r="G451" t="str">
            <v>TS</v>
          </cell>
          <cell r="Y451">
            <v>1</v>
          </cell>
          <cell r="AD451">
            <v>49000</v>
          </cell>
          <cell r="BM451">
            <v>9868</v>
          </cell>
        </row>
        <row r="452">
          <cell r="B452" t="str">
            <v>WV</v>
          </cell>
          <cell r="D452" t="str">
            <v>M</v>
          </cell>
          <cell r="G452" t="str">
            <v>TS</v>
          </cell>
          <cell r="X452">
            <v>1</v>
          </cell>
          <cell r="Y452">
            <v>1</v>
          </cell>
          <cell r="AD452">
            <v>43200</v>
          </cell>
          <cell r="BM452">
            <v>9574.4</v>
          </cell>
        </row>
        <row r="453">
          <cell r="B453" t="str">
            <v>WV</v>
          </cell>
          <cell r="D453" t="str">
            <v>M</v>
          </cell>
          <cell r="G453" t="str">
            <v>TS</v>
          </cell>
          <cell r="Y453">
            <v>1</v>
          </cell>
          <cell r="AD453">
            <v>64800</v>
          </cell>
          <cell r="BM453">
            <v>14361.6</v>
          </cell>
        </row>
        <row r="454">
          <cell r="B454" t="str">
            <v>WV</v>
          </cell>
          <cell r="D454" t="str">
            <v>M</v>
          </cell>
          <cell r="G454" t="str">
            <v>TS</v>
          </cell>
          <cell r="X454">
            <v>1</v>
          </cell>
          <cell r="Y454">
            <v>1</v>
          </cell>
          <cell r="AD454">
            <v>23400</v>
          </cell>
          <cell r="BM454">
            <v>4840.8</v>
          </cell>
        </row>
        <row r="455">
          <cell r="B455" t="str">
            <v>WV</v>
          </cell>
          <cell r="D455" t="str">
            <v>M</v>
          </cell>
          <cell r="G455" t="str">
            <v>TS</v>
          </cell>
          <cell r="Y455">
            <v>1</v>
          </cell>
          <cell r="AD455">
            <v>23400</v>
          </cell>
          <cell r="BM455">
            <v>4840.8</v>
          </cell>
        </row>
        <row r="456">
          <cell r="B456" t="str">
            <v>WV</v>
          </cell>
          <cell r="D456" t="str">
            <v>M</v>
          </cell>
          <cell r="G456" t="str">
            <v>TS</v>
          </cell>
          <cell r="X456">
            <v>1</v>
          </cell>
          <cell r="Y456">
            <v>1</v>
          </cell>
          <cell r="AD456">
            <v>29400</v>
          </cell>
          <cell r="BM456">
            <v>6100.8</v>
          </cell>
        </row>
        <row r="457">
          <cell r="B457" t="str">
            <v>WV</v>
          </cell>
          <cell r="D457" t="str">
            <v>M</v>
          </cell>
          <cell r="G457" t="str">
            <v>TS</v>
          </cell>
          <cell r="Y457">
            <v>1</v>
          </cell>
          <cell r="AD457">
            <v>29400</v>
          </cell>
          <cell r="BM457">
            <v>6100.8</v>
          </cell>
        </row>
        <row r="458">
          <cell r="B458" t="str">
            <v>WV</v>
          </cell>
          <cell r="D458" t="str">
            <v>M</v>
          </cell>
          <cell r="G458" t="str">
            <v>TS</v>
          </cell>
          <cell r="X458">
            <v>1</v>
          </cell>
          <cell r="Y458">
            <v>1</v>
          </cell>
          <cell r="AD458">
            <v>39000</v>
          </cell>
          <cell r="BM458">
            <v>8568</v>
          </cell>
        </row>
        <row r="459">
          <cell r="B459" t="str">
            <v>WV</v>
          </cell>
          <cell r="D459" t="str">
            <v>M</v>
          </cell>
          <cell r="G459" t="str">
            <v>TS</v>
          </cell>
          <cell r="Y459">
            <v>1</v>
          </cell>
          <cell r="AD459">
            <v>39000</v>
          </cell>
          <cell r="BM459">
            <v>8568</v>
          </cell>
        </row>
        <row r="460">
          <cell r="B460" t="str">
            <v>WV</v>
          </cell>
          <cell r="D460" t="str">
            <v>M</v>
          </cell>
          <cell r="G460" t="str">
            <v>TS</v>
          </cell>
          <cell r="X460">
            <v>1</v>
          </cell>
          <cell r="Y460">
            <v>1</v>
          </cell>
          <cell r="AD460">
            <v>26400</v>
          </cell>
          <cell r="BM460">
            <v>5170.8</v>
          </cell>
        </row>
        <row r="461">
          <cell r="B461" t="str">
            <v>WV</v>
          </cell>
          <cell r="D461" t="str">
            <v>M</v>
          </cell>
          <cell r="G461" t="str">
            <v>TS</v>
          </cell>
          <cell r="Y461">
            <v>1</v>
          </cell>
          <cell r="AD461">
            <v>26400</v>
          </cell>
          <cell r="BM461">
            <v>5170.8</v>
          </cell>
        </row>
        <row r="462">
          <cell r="B462" t="str">
            <v>WV</v>
          </cell>
          <cell r="D462" t="str">
            <v>M</v>
          </cell>
          <cell r="G462" t="str">
            <v>TS</v>
          </cell>
          <cell r="X462">
            <v>1</v>
          </cell>
          <cell r="Y462">
            <v>1</v>
          </cell>
          <cell r="AD462">
            <v>29400</v>
          </cell>
          <cell r="BM462">
            <v>5470.8</v>
          </cell>
        </row>
        <row r="463">
          <cell r="B463" t="str">
            <v>WV</v>
          </cell>
          <cell r="D463" t="str">
            <v>M</v>
          </cell>
          <cell r="G463" t="str">
            <v>TS</v>
          </cell>
          <cell r="Y463">
            <v>1</v>
          </cell>
          <cell r="AD463">
            <v>29400</v>
          </cell>
          <cell r="BM463">
            <v>5470.8</v>
          </cell>
        </row>
        <row r="464">
          <cell r="B464" t="str">
            <v>WV</v>
          </cell>
          <cell r="D464" t="str">
            <v>M</v>
          </cell>
          <cell r="G464" t="str">
            <v>TS</v>
          </cell>
          <cell r="X464">
            <v>1</v>
          </cell>
          <cell r="Y464">
            <v>1</v>
          </cell>
          <cell r="AD464">
            <v>54000</v>
          </cell>
          <cell r="BM464">
            <v>12518</v>
          </cell>
        </row>
        <row r="465">
          <cell r="B465" t="str">
            <v>WV</v>
          </cell>
          <cell r="D465" t="str">
            <v>M</v>
          </cell>
          <cell r="G465" t="str">
            <v>TS</v>
          </cell>
          <cell r="Y465">
            <v>1</v>
          </cell>
          <cell r="AD465">
            <v>75600</v>
          </cell>
          <cell r="BM465">
            <v>17525.2</v>
          </cell>
        </row>
        <row r="466">
          <cell r="B466" t="str">
            <v>WV</v>
          </cell>
          <cell r="D466" t="str">
            <v>M</v>
          </cell>
          <cell r="G466" t="str">
            <v>TS</v>
          </cell>
          <cell r="X466">
            <v>1</v>
          </cell>
          <cell r="Y466">
            <v>1</v>
          </cell>
          <cell r="AD466">
            <v>29000</v>
          </cell>
          <cell r="BM466">
            <v>5518</v>
          </cell>
        </row>
        <row r="467">
          <cell r="B467" t="str">
            <v>WV</v>
          </cell>
          <cell r="D467" t="str">
            <v>M</v>
          </cell>
          <cell r="G467" t="str">
            <v>TS</v>
          </cell>
          <cell r="Y467">
            <v>1</v>
          </cell>
          <cell r="AD467">
            <v>29000</v>
          </cell>
          <cell r="BM467">
            <v>5518</v>
          </cell>
        </row>
        <row r="468">
          <cell r="B468" t="str">
            <v>WV</v>
          </cell>
          <cell r="D468" t="str">
            <v>M</v>
          </cell>
          <cell r="G468" t="str">
            <v>TS</v>
          </cell>
          <cell r="X468">
            <v>1</v>
          </cell>
          <cell r="Y468">
            <v>1</v>
          </cell>
          <cell r="AD468">
            <v>26400</v>
          </cell>
          <cell r="BM468">
            <v>5830.8</v>
          </cell>
        </row>
        <row r="469">
          <cell r="B469" t="str">
            <v>WV</v>
          </cell>
          <cell r="D469" t="str">
            <v>M</v>
          </cell>
          <cell r="G469" t="str">
            <v>TS</v>
          </cell>
          <cell r="Y469">
            <v>1</v>
          </cell>
          <cell r="AD469">
            <v>26400</v>
          </cell>
          <cell r="BM469">
            <v>5830.8</v>
          </cell>
        </row>
        <row r="470">
          <cell r="B470" t="str">
            <v>WV</v>
          </cell>
          <cell r="D470" t="str">
            <v>M</v>
          </cell>
          <cell r="G470" t="str">
            <v>TS</v>
          </cell>
          <cell r="X470">
            <v>1</v>
          </cell>
          <cell r="Y470">
            <v>1</v>
          </cell>
          <cell r="AD470">
            <v>48000</v>
          </cell>
          <cell r="BM470">
            <v>9836</v>
          </cell>
        </row>
        <row r="471">
          <cell r="B471" t="str">
            <v>WV</v>
          </cell>
          <cell r="D471" t="str">
            <v>M</v>
          </cell>
          <cell r="G471" t="str">
            <v>TS</v>
          </cell>
          <cell r="Y471">
            <v>1</v>
          </cell>
          <cell r="AD471">
            <v>72000</v>
          </cell>
          <cell r="BM471">
            <v>14754</v>
          </cell>
        </row>
        <row r="472">
          <cell r="B472" t="str">
            <v>WV</v>
          </cell>
          <cell r="D472" t="str">
            <v>M</v>
          </cell>
          <cell r="G472" t="str">
            <v>TS</v>
          </cell>
          <cell r="Y472">
            <v>1</v>
          </cell>
          <cell r="AD472">
            <v>24000</v>
          </cell>
          <cell r="BM472">
            <v>4918</v>
          </cell>
        </row>
        <row r="473">
          <cell r="B473" t="str">
            <v>WV</v>
          </cell>
          <cell r="D473" t="str">
            <v>M</v>
          </cell>
          <cell r="G473" t="str">
            <v>TS</v>
          </cell>
          <cell r="X473">
            <v>1</v>
          </cell>
          <cell r="Y473">
            <v>1</v>
          </cell>
          <cell r="AD473">
            <v>11400</v>
          </cell>
          <cell r="BM473">
            <v>2710.8</v>
          </cell>
        </row>
        <row r="474">
          <cell r="B474" t="str">
            <v>WV</v>
          </cell>
          <cell r="D474" t="str">
            <v>M</v>
          </cell>
          <cell r="G474" t="str">
            <v>TS</v>
          </cell>
          <cell r="Y474">
            <v>1</v>
          </cell>
          <cell r="AD474">
            <v>19000</v>
          </cell>
          <cell r="BM474">
            <v>4518</v>
          </cell>
        </row>
        <row r="475">
          <cell r="B475" t="str">
            <v>WV</v>
          </cell>
          <cell r="D475" t="str">
            <v>M</v>
          </cell>
          <cell r="G475" t="str">
            <v>TS</v>
          </cell>
          <cell r="Y475">
            <v>1</v>
          </cell>
          <cell r="AD475">
            <v>19000</v>
          </cell>
          <cell r="BM475">
            <v>4518</v>
          </cell>
        </row>
        <row r="476">
          <cell r="B476" t="str">
            <v>WV</v>
          </cell>
          <cell r="D476" t="str">
            <v>M</v>
          </cell>
          <cell r="G476" t="str">
            <v>TS</v>
          </cell>
          <cell r="X476">
            <v>1</v>
          </cell>
          <cell r="Y476">
            <v>1</v>
          </cell>
          <cell r="AD476">
            <v>31200</v>
          </cell>
          <cell r="BM476">
            <v>5814.4</v>
          </cell>
        </row>
        <row r="477">
          <cell r="B477" t="str">
            <v>WV</v>
          </cell>
          <cell r="D477" t="str">
            <v>M</v>
          </cell>
          <cell r="G477" t="str">
            <v>TS</v>
          </cell>
          <cell r="Y477">
            <v>1</v>
          </cell>
          <cell r="AD477">
            <v>23400</v>
          </cell>
          <cell r="BM477">
            <v>4360.8</v>
          </cell>
        </row>
        <row r="478">
          <cell r="B478" t="str">
            <v>WV</v>
          </cell>
          <cell r="D478" t="str">
            <v>M</v>
          </cell>
          <cell r="G478" t="str">
            <v>TS</v>
          </cell>
          <cell r="X478">
            <v>1</v>
          </cell>
          <cell r="Y478">
            <v>1</v>
          </cell>
          <cell r="AD478">
            <v>14400</v>
          </cell>
          <cell r="BM478">
            <v>3400.8</v>
          </cell>
        </row>
        <row r="479">
          <cell r="B479" t="str">
            <v>WV</v>
          </cell>
          <cell r="D479" t="str">
            <v>M</v>
          </cell>
          <cell r="G479" t="str">
            <v>TS</v>
          </cell>
          <cell r="Y479">
            <v>1</v>
          </cell>
          <cell r="AD479">
            <v>14400</v>
          </cell>
          <cell r="BM479">
            <v>3400.8</v>
          </cell>
        </row>
        <row r="480">
          <cell r="B480" t="str">
            <v>WV</v>
          </cell>
          <cell r="D480" t="str">
            <v>M</v>
          </cell>
          <cell r="G480" t="str">
            <v>TS</v>
          </cell>
          <cell r="X480">
            <v>1</v>
          </cell>
          <cell r="Y480">
            <v>1</v>
          </cell>
          <cell r="AD480">
            <v>17400</v>
          </cell>
          <cell r="BM480">
            <v>3400.8</v>
          </cell>
        </row>
        <row r="481">
          <cell r="B481" t="str">
            <v>WV</v>
          </cell>
          <cell r="D481" t="str">
            <v>M</v>
          </cell>
          <cell r="G481" t="str">
            <v>TS</v>
          </cell>
          <cell r="Y481">
            <v>1</v>
          </cell>
          <cell r="AD481">
            <v>17400</v>
          </cell>
          <cell r="BM481">
            <v>3400.8</v>
          </cell>
        </row>
        <row r="482">
          <cell r="B482" t="str">
            <v>WV</v>
          </cell>
          <cell r="D482" t="str">
            <v>M</v>
          </cell>
          <cell r="G482" t="str">
            <v>TS</v>
          </cell>
          <cell r="X482">
            <v>1</v>
          </cell>
          <cell r="Y482">
            <v>1</v>
          </cell>
          <cell r="AD482">
            <v>26400</v>
          </cell>
          <cell r="BM482">
            <v>5260.8</v>
          </cell>
        </row>
        <row r="483">
          <cell r="B483" t="str">
            <v>WV</v>
          </cell>
          <cell r="D483" t="str">
            <v>M</v>
          </cell>
          <cell r="G483" t="str">
            <v>TS</v>
          </cell>
          <cell r="Y483">
            <v>1</v>
          </cell>
          <cell r="AD483">
            <v>26400</v>
          </cell>
          <cell r="BM483">
            <v>5260.8</v>
          </cell>
        </row>
        <row r="484">
          <cell r="B484" t="str">
            <v>WV</v>
          </cell>
          <cell r="D484" t="str">
            <v>M</v>
          </cell>
          <cell r="G484" t="str">
            <v>TS</v>
          </cell>
          <cell r="X484">
            <v>1</v>
          </cell>
          <cell r="Y484">
            <v>1</v>
          </cell>
          <cell r="AD484">
            <v>26400</v>
          </cell>
          <cell r="BM484">
            <v>5380.8</v>
          </cell>
        </row>
        <row r="485">
          <cell r="B485" t="str">
            <v>WV</v>
          </cell>
          <cell r="D485" t="str">
            <v>M</v>
          </cell>
          <cell r="G485" t="str">
            <v>TS</v>
          </cell>
          <cell r="Y485">
            <v>1</v>
          </cell>
          <cell r="AD485">
            <v>26400</v>
          </cell>
          <cell r="BM485">
            <v>5380.8</v>
          </cell>
        </row>
        <row r="486">
          <cell r="B486" t="str">
            <v>WV</v>
          </cell>
          <cell r="D486" t="str">
            <v>M</v>
          </cell>
          <cell r="G486" t="str">
            <v>TS</v>
          </cell>
          <cell r="X486">
            <v>1</v>
          </cell>
          <cell r="Y486">
            <v>1</v>
          </cell>
          <cell r="AD486">
            <v>20400</v>
          </cell>
          <cell r="BM486">
            <v>3730.8</v>
          </cell>
        </row>
        <row r="487">
          <cell r="B487" t="str">
            <v>WV</v>
          </cell>
          <cell r="D487" t="str">
            <v>M</v>
          </cell>
          <cell r="G487" t="str">
            <v>TS</v>
          </cell>
          <cell r="Y487">
            <v>1</v>
          </cell>
          <cell r="AD487">
            <v>20400</v>
          </cell>
          <cell r="BM487">
            <v>3730.8</v>
          </cell>
        </row>
        <row r="488">
          <cell r="B488" t="str">
            <v>WV</v>
          </cell>
          <cell r="D488" t="str">
            <v>M</v>
          </cell>
          <cell r="G488" t="str">
            <v>TS</v>
          </cell>
          <cell r="X488">
            <v>1</v>
          </cell>
          <cell r="Y488">
            <v>1</v>
          </cell>
          <cell r="AD488">
            <v>20400</v>
          </cell>
          <cell r="BM488">
            <v>3250.8</v>
          </cell>
        </row>
        <row r="489">
          <cell r="B489" t="str">
            <v>WV</v>
          </cell>
          <cell r="D489" t="str">
            <v>M</v>
          </cell>
          <cell r="G489" t="str">
            <v>TS</v>
          </cell>
          <cell r="Y489">
            <v>1</v>
          </cell>
          <cell r="AD489">
            <v>20400</v>
          </cell>
          <cell r="BM489">
            <v>3250.8</v>
          </cell>
        </row>
        <row r="490">
          <cell r="B490" t="str">
            <v>WV</v>
          </cell>
          <cell r="D490" t="str">
            <v>M</v>
          </cell>
          <cell r="G490" t="str">
            <v>TS</v>
          </cell>
          <cell r="X490">
            <v>1</v>
          </cell>
          <cell r="Y490">
            <v>1</v>
          </cell>
          <cell r="AD490">
            <v>45000</v>
          </cell>
          <cell r="BM490">
            <v>11336</v>
          </cell>
        </row>
        <row r="491">
          <cell r="B491" t="str">
            <v>WV</v>
          </cell>
          <cell r="D491" t="str">
            <v>M</v>
          </cell>
          <cell r="G491" t="str">
            <v>TS</v>
          </cell>
          <cell r="Y491">
            <v>1</v>
          </cell>
          <cell r="AD491">
            <v>67500</v>
          </cell>
          <cell r="BM491">
            <v>17004</v>
          </cell>
        </row>
        <row r="492">
          <cell r="B492" t="str">
            <v>WV</v>
          </cell>
          <cell r="D492" t="str">
            <v>M</v>
          </cell>
          <cell r="G492" t="str">
            <v>TS</v>
          </cell>
          <cell r="Y492">
            <v>1</v>
          </cell>
          <cell r="AD492">
            <v>45000</v>
          </cell>
          <cell r="BM492">
            <v>11336</v>
          </cell>
        </row>
        <row r="493">
          <cell r="B493" t="str">
            <v>WV</v>
          </cell>
          <cell r="D493" t="str">
            <v>S</v>
          </cell>
          <cell r="G493" t="str">
            <v>TL</v>
          </cell>
          <cell r="X493">
            <v>1</v>
          </cell>
          <cell r="Y493">
            <v>1</v>
          </cell>
          <cell r="AD493">
            <v>32400</v>
          </cell>
          <cell r="BM493">
            <v>6250.8</v>
          </cell>
        </row>
        <row r="494">
          <cell r="B494" t="str">
            <v>WV</v>
          </cell>
          <cell r="D494" t="str">
            <v>S</v>
          </cell>
          <cell r="G494" t="str">
            <v>TL</v>
          </cell>
          <cell r="Y494">
            <v>1</v>
          </cell>
          <cell r="AD494">
            <v>32400</v>
          </cell>
          <cell r="BM494">
            <v>6250.8</v>
          </cell>
        </row>
        <row r="495">
          <cell r="B495" t="str">
            <v>WV</v>
          </cell>
          <cell r="D495" t="str">
            <v>S</v>
          </cell>
          <cell r="G495" t="str">
            <v>TL</v>
          </cell>
          <cell r="X495">
            <v>1</v>
          </cell>
          <cell r="Y495">
            <v>1</v>
          </cell>
          <cell r="AD495">
            <v>23400</v>
          </cell>
          <cell r="BM495">
            <v>4660.8</v>
          </cell>
        </row>
        <row r="496">
          <cell r="B496" t="str">
            <v>WV</v>
          </cell>
          <cell r="D496" t="str">
            <v>S</v>
          </cell>
          <cell r="G496" t="str">
            <v>TL</v>
          </cell>
          <cell r="Y496">
            <v>1</v>
          </cell>
          <cell r="AD496">
            <v>23400</v>
          </cell>
          <cell r="BM496">
            <v>4660.8</v>
          </cell>
        </row>
        <row r="497">
          <cell r="B497" t="str">
            <v>WV</v>
          </cell>
          <cell r="D497" t="str">
            <v>S</v>
          </cell>
          <cell r="G497" t="str">
            <v>TL</v>
          </cell>
          <cell r="X497">
            <v>1</v>
          </cell>
          <cell r="Y497">
            <v>1</v>
          </cell>
          <cell r="AD497">
            <v>40800</v>
          </cell>
          <cell r="BM497">
            <v>10588.8</v>
          </cell>
        </row>
        <row r="498">
          <cell r="B498" t="str">
            <v>WV</v>
          </cell>
          <cell r="D498" t="str">
            <v>S</v>
          </cell>
          <cell r="G498" t="str">
            <v>TL</v>
          </cell>
          <cell r="Y498">
            <v>1</v>
          </cell>
          <cell r="AD498">
            <v>51000</v>
          </cell>
          <cell r="BM498">
            <v>13236</v>
          </cell>
        </row>
        <row r="499">
          <cell r="B499" t="str">
            <v>WS</v>
          </cell>
          <cell r="D499" t="str">
            <v>M</v>
          </cell>
          <cell r="G499" t="str">
            <v>TS</v>
          </cell>
          <cell r="AD499">
            <v>18522</v>
          </cell>
          <cell r="BM499">
            <v>3199.203</v>
          </cell>
        </row>
        <row r="500">
          <cell r="B500" t="str">
            <v>WS</v>
          </cell>
          <cell r="D500" t="str">
            <v>M</v>
          </cell>
          <cell r="G500" t="str">
            <v>TS</v>
          </cell>
          <cell r="X500">
            <v>1</v>
          </cell>
          <cell r="Y500">
            <v>1</v>
          </cell>
          <cell r="AD500">
            <v>117000</v>
          </cell>
          <cell r="BM500">
            <v>33162</v>
          </cell>
        </row>
        <row r="501">
          <cell r="B501" t="str">
            <v>WS</v>
          </cell>
          <cell r="D501" t="str">
            <v>M</v>
          </cell>
          <cell r="G501" t="str">
            <v>TS</v>
          </cell>
          <cell r="Y501">
            <v>1</v>
          </cell>
          <cell r="AD501">
            <v>117000</v>
          </cell>
          <cell r="BM501">
            <v>33162</v>
          </cell>
        </row>
        <row r="502">
          <cell r="B502" t="str">
            <v>WV</v>
          </cell>
          <cell r="D502" t="str">
            <v>M</v>
          </cell>
          <cell r="G502" t="str">
            <v>TS</v>
          </cell>
          <cell r="X502">
            <v>1</v>
          </cell>
          <cell r="Y502">
            <v>1</v>
          </cell>
          <cell r="AD502">
            <v>29250</v>
          </cell>
          <cell r="BM502">
            <v>8304</v>
          </cell>
        </row>
        <row r="503">
          <cell r="B503" t="str">
            <v>WV</v>
          </cell>
          <cell r="D503" t="str">
            <v>M</v>
          </cell>
          <cell r="G503" t="str">
            <v>TS</v>
          </cell>
          <cell r="Y503">
            <v>1</v>
          </cell>
          <cell r="AD503">
            <v>29250</v>
          </cell>
          <cell r="BM503">
            <v>8304</v>
          </cell>
        </row>
        <row r="504">
          <cell r="B504" t="str">
            <v>WS</v>
          </cell>
          <cell r="D504" t="str">
            <v>M</v>
          </cell>
          <cell r="G504" t="str">
            <v>B1</v>
          </cell>
          <cell r="X504">
            <v>1</v>
          </cell>
          <cell r="Y504">
            <v>1</v>
          </cell>
          <cell r="AD504">
            <v>58800</v>
          </cell>
          <cell r="BM504">
            <v>14428.500000000002</v>
          </cell>
        </row>
        <row r="505">
          <cell r="B505" t="str">
            <v>WS</v>
          </cell>
          <cell r="D505" t="str">
            <v>M</v>
          </cell>
          <cell r="G505" t="str">
            <v>B1</v>
          </cell>
          <cell r="Y505">
            <v>1</v>
          </cell>
          <cell r="AD505">
            <v>58800</v>
          </cell>
          <cell r="BM505">
            <v>14428.500000000002</v>
          </cell>
        </row>
        <row r="506">
          <cell r="B506" t="str">
            <v>WS</v>
          </cell>
          <cell r="D506" t="str">
            <v>M</v>
          </cell>
          <cell r="G506" t="str">
            <v>B1</v>
          </cell>
          <cell r="X506">
            <v>1</v>
          </cell>
          <cell r="Y506">
            <v>1</v>
          </cell>
          <cell r="AD506">
            <v>35000</v>
          </cell>
          <cell r="BM506">
            <v>8083.4250000000002</v>
          </cell>
        </row>
        <row r="507">
          <cell r="B507" t="str">
            <v>WS</v>
          </cell>
          <cell r="D507" t="str">
            <v>M</v>
          </cell>
          <cell r="G507" t="str">
            <v>B1</v>
          </cell>
          <cell r="Y507">
            <v>1</v>
          </cell>
          <cell r="AD507">
            <v>35000</v>
          </cell>
          <cell r="BM507">
            <v>8083.4250000000002</v>
          </cell>
        </row>
        <row r="508">
          <cell r="B508" t="str">
            <v>WS</v>
          </cell>
          <cell r="D508" t="str">
            <v>M</v>
          </cell>
          <cell r="G508" t="str">
            <v>B1</v>
          </cell>
          <cell r="X508">
            <v>1</v>
          </cell>
          <cell r="Y508">
            <v>1</v>
          </cell>
          <cell r="AD508">
            <v>24000</v>
          </cell>
          <cell r="BM508">
            <v>5523.75</v>
          </cell>
        </row>
        <row r="509">
          <cell r="B509" t="str">
            <v>WS</v>
          </cell>
          <cell r="D509" t="str">
            <v>M</v>
          </cell>
          <cell r="G509" t="str">
            <v>B1</v>
          </cell>
          <cell r="Y509">
            <v>1</v>
          </cell>
          <cell r="AD509">
            <v>24000</v>
          </cell>
          <cell r="BM509">
            <v>5523.75</v>
          </cell>
        </row>
        <row r="510">
          <cell r="B510" t="str">
            <v>WS</v>
          </cell>
          <cell r="D510" t="str">
            <v>M</v>
          </cell>
          <cell r="G510" t="str">
            <v>B1</v>
          </cell>
          <cell r="X510">
            <v>1</v>
          </cell>
          <cell r="Y510">
            <v>1</v>
          </cell>
          <cell r="AD510">
            <v>55000</v>
          </cell>
          <cell r="BM510">
            <v>12748</v>
          </cell>
        </row>
        <row r="511">
          <cell r="B511" t="str">
            <v>WS</v>
          </cell>
          <cell r="D511" t="str">
            <v>M</v>
          </cell>
          <cell r="G511" t="str">
            <v>B1</v>
          </cell>
          <cell r="Y511">
            <v>1</v>
          </cell>
          <cell r="AD511">
            <v>55000</v>
          </cell>
          <cell r="BM511">
            <v>12748</v>
          </cell>
        </row>
        <row r="512">
          <cell r="B512" t="str">
            <v>WS</v>
          </cell>
          <cell r="D512" t="str">
            <v>M</v>
          </cell>
          <cell r="G512" t="str">
            <v>B1</v>
          </cell>
          <cell r="X512">
            <v>1</v>
          </cell>
          <cell r="Y512">
            <v>1</v>
          </cell>
          <cell r="AD512">
            <v>29000</v>
          </cell>
          <cell r="BM512">
            <v>5624.125</v>
          </cell>
        </row>
        <row r="513">
          <cell r="B513" t="str">
            <v>WS</v>
          </cell>
          <cell r="D513" t="str">
            <v>M</v>
          </cell>
          <cell r="G513" t="str">
            <v>B1</v>
          </cell>
          <cell r="Y513">
            <v>1</v>
          </cell>
          <cell r="AD513">
            <v>29000</v>
          </cell>
          <cell r="BM513">
            <v>5624.125</v>
          </cell>
        </row>
        <row r="514">
          <cell r="B514" t="str">
            <v>WS</v>
          </cell>
          <cell r="D514" t="str">
            <v>M</v>
          </cell>
          <cell r="G514" t="str">
            <v>B1</v>
          </cell>
          <cell r="X514">
            <v>1</v>
          </cell>
          <cell r="Y514">
            <v>1</v>
          </cell>
          <cell r="AD514">
            <v>109000</v>
          </cell>
          <cell r="BM514">
            <v>21547.5</v>
          </cell>
        </row>
        <row r="515">
          <cell r="B515" t="str">
            <v>WS</v>
          </cell>
          <cell r="D515" t="str">
            <v>M</v>
          </cell>
          <cell r="G515" t="str">
            <v>B1</v>
          </cell>
          <cell r="Y515">
            <v>1</v>
          </cell>
          <cell r="AD515">
            <v>65400</v>
          </cell>
          <cell r="BM515">
            <v>12928.5</v>
          </cell>
        </row>
        <row r="516">
          <cell r="B516" t="str">
            <v>WS</v>
          </cell>
          <cell r="D516" t="str">
            <v>M</v>
          </cell>
          <cell r="G516" t="str">
            <v>B1</v>
          </cell>
          <cell r="X516">
            <v>1</v>
          </cell>
          <cell r="Y516">
            <v>1</v>
          </cell>
          <cell r="AD516">
            <v>29500</v>
          </cell>
          <cell r="BM516">
            <v>6023.875</v>
          </cell>
        </row>
        <row r="517">
          <cell r="B517" t="str">
            <v>WS</v>
          </cell>
          <cell r="D517" t="str">
            <v>M</v>
          </cell>
          <cell r="G517" t="str">
            <v>B1</v>
          </cell>
          <cell r="Y517">
            <v>1</v>
          </cell>
          <cell r="AD517">
            <v>29500</v>
          </cell>
          <cell r="BM517">
            <v>6023.875</v>
          </cell>
        </row>
        <row r="518">
          <cell r="B518" t="str">
            <v>WS</v>
          </cell>
          <cell r="D518" t="str">
            <v>M</v>
          </cell>
          <cell r="G518" t="str">
            <v>B1</v>
          </cell>
          <cell r="X518">
            <v>1</v>
          </cell>
          <cell r="Y518">
            <v>1</v>
          </cell>
          <cell r="AD518">
            <v>38000</v>
          </cell>
          <cell r="BM518">
            <v>8579.2999999999993</v>
          </cell>
        </row>
        <row r="519">
          <cell r="B519" t="str">
            <v>WS</v>
          </cell>
          <cell r="D519" t="str">
            <v>M</v>
          </cell>
          <cell r="G519" t="str">
            <v>B1</v>
          </cell>
          <cell r="Y519">
            <v>1</v>
          </cell>
          <cell r="AD519">
            <v>38000</v>
          </cell>
          <cell r="BM519">
            <v>8579.2999999999993</v>
          </cell>
        </row>
        <row r="520">
          <cell r="B520" t="str">
            <v>WS</v>
          </cell>
          <cell r="D520" t="str">
            <v>M</v>
          </cell>
          <cell r="G520" t="str">
            <v>B1</v>
          </cell>
          <cell r="X520">
            <v>1</v>
          </cell>
          <cell r="Y520">
            <v>1</v>
          </cell>
          <cell r="AD520">
            <v>34000</v>
          </cell>
          <cell r="BM520">
            <v>7619.3</v>
          </cell>
        </row>
        <row r="521">
          <cell r="B521" t="str">
            <v>WS</v>
          </cell>
          <cell r="D521" t="str">
            <v>M</v>
          </cell>
          <cell r="G521" t="str">
            <v>B1</v>
          </cell>
          <cell r="Y521">
            <v>1</v>
          </cell>
          <cell r="AD521">
            <v>34000</v>
          </cell>
          <cell r="BM521">
            <v>7619.3</v>
          </cell>
        </row>
        <row r="522">
          <cell r="B522" t="str">
            <v>WS</v>
          </cell>
          <cell r="D522" t="str">
            <v>M</v>
          </cell>
          <cell r="G522" t="str">
            <v>B2</v>
          </cell>
          <cell r="X522">
            <v>1</v>
          </cell>
          <cell r="Y522">
            <v>1</v>
          </cell>
          <cell r="AD522">
            <v>66500</v>
          </cell>
          <cell r="BM522">
            <v>16133.663</v>
          </cell>
        </row>
        <row r="523">
          <cell r="B523" t="str">
            <v>WS</v>
          </cell>
          <cell r="D523" t="str">
            <v>M</v>
          </cell>
          <cell r="G523" t="str">
            <v>B2</v>
          </cell>
          <cell r="Y523">
            <v>1</v>
          </cell>
          <cell r="AD523">
            <v>47500</v>
          </cell>
          <cell r="BM523">
            <v>11524.045</v>
          </cell>
        </row>
        <row r="524">
          <cell r="B524" t="str">
            <v>WS</v>
          </cell>
          <cell r="D524" t="str">
            <v>M</v>
          </cell>
          <cell r="G524" t="str">
            <v>B2</v>
          </cell>
          <cell r="X524">
            <v>1</v>
          </cell>
          <cell r="Y524">
            <v>1</v>
          </cell>
          <cell r="AD524">
            <v>50000</v>
          </cell>
          <cell r="BM524">
            <v>12374</v>
          </cell>
        </row>
        <row r="525">
          <cell r="B525" t="str">
            <v>WS</v>
          </cell>
          <cell r="D525" t="str">
            <v>M</v>
          </cell>
          <cell r="G525" t="str">
            <v>B2</v>
          </cell>
          <cell r="Y525">
            <v>1</v>
          </cell>
          <cell r="AD525">
            <v>80000</v>
          </cell>
          <cell r="BM525">
            <v>19798.400000000001</v>
          </cell>
        </row>
        <row r="526">
          <cell r="B526" t="str">
            <v>WS</v>
          </cell>
          <cell r="D526" t="str">
            <v>M</v>
          </cell>
          <cell r="G526" t="str">
            <v>B2</v>
          </cell>
          <cell r="X526">
            <v>1</v>
          </cell>
          <cell r="Y526">
            <v>1</v>
          </cell>
          <cell r="AD526">
            <v>73500</v>
          </cell>
          <cell r="BM526">
            <v>17183.579000000002</v>
          </cell>
        </row>
        <row r="527">
          <cell r="B527" t="str">
            <v>WS</v>
          </cell>
          <cell r="D527" t="str">
            <v>M</v>
          </cell>
          <cell r="G527" t="str">
            <v>B2</v>
          </cell>
          <cell r="Y527">
            <v>1</v>
          </cell>
          <cell r="AD527">
            <v>73500</v>
          </cell>
          <cell r="BM527">
            <v>17183.579000000002</v>
          </cell>
        </row>
        <row r="528">
          <cell r="B528" t="str">
            <v>WS</v>
          </cell>
          <cell r="D528" t="str">
            <v>M</v>
          </cell>
          <cell r="G528" t="str">
            <v>B2</v>
          </cell>
          <cell r="Y528">
            <v>1</v>
          </cell>
          <cell r="AD528">
            <v>75000</v>
          </cell>
          <cell r="BM528">
            <v>18328.644</v>
          </cell>
        </row>
        <row r="529">
          <cell r="B529" t="str">
            <v>WS</v>
          </cell>
          <cell r="D529" t="str">
            <v>M</v>
          </cell>
          <cell r="G529" t="str">
            <v>B2</v>
          </cell>
          <cell r="X529">
            <v>1</v>
          </cell>
          <cell r="Y529">
            <v>1</v>
          </cell>
          <cell r="AD529">
            <v>62500</v>
          </cell>
          <cell r="BM529">
            <v>15273.869999999999</v>
          </cell>
        </row>
        <row r="530">
          <cell r="B530" t="str">
            <v>WS</v>
          </cell>
          <cell r="D530" t="str">
            <v>M</v>
          </cell>
          <cell r="G530" t="str">
            <v>B2</v>
          </cell>
          <cell r="Y530">
            <v>1</v>
          </cell>
          <cell r="AD530">
            <v>75000</v>
          </cell>
          <cell r="BM530">
            <v>18328.644</v>
          </cell>
        </row>
        <row r="531">
          <cell r="B531" t="str">
            <v>WS</v>
          </cell>
          <cell r="D531" t="str">
            <v>M</v>
          </cell>
          <cell r="G531" t="str">
            <v>B2</v>
          </cell>
          <cell r="X531">
            <v>1</v>
          </cell>
          <cell r="Y531">
            <v>1</v>
          </cell>
          <cell r="AD531">
            <v>64000</v>
          </cell>
          <cell r="BM531">
            <v>15524.125</v>
          </cell>
        </row>
        <row r="532">
          <cell r="B532" t="str">
            <v>WS</v>
          </cell>
          <cell r="D532" t="str">
            <v>M</v>
          </cell>
          <cell r="G532" t="str">
            <v>B2</v>
          </cell>
          <cell r="Y532">
            <v>1</v>
          </cell>
          <cell r="AD532">
            <v>64000</v>
          </cell>
          <cell r="BM532">
            <v>15524.125</v>
          </cell>
        </row>
        <row r="533">
          <cell r="B533" t="str">
            <v>WS</v>
          </cell>
          <cell r="D533" t="str">
            <v>M</v>
          </cell>
          <cell r="G533" t="str">
            <v>B2</v>
          </cell>
          <cell r="X533">
            <v>1</v>
          </cell>
          <cell r="Y533">
            <v>1</v>
          </cell>
          <cell r="AD533">
            <v>79000</v>
          </cell>
          <cell r="BM533">
            <v>20524.09</v>
          </cell>
        </row>
        <row r="534">
          <cell r="B534" t="str">
            <v>WS</v>
          </cell>
          <cell r="D534" t="str">
            <v>M</v>
          </cell>
          <cell r="G534" t="str">
            <v>B2</v>
          </cell>
          <cell r="Y534">
            <v>1</v>
          </cell>
          <cell r="AD534">
            <v>79000</v>
          </cell>
          <cell r="BM534">
            <v>20524.09</v>
          </cell>
        </row>
        <row r="535">
          <cell r="B535" t="str">
            <v>WS</v>
          </cell>
          <cell r="D535" t="str">
            <v>M</v>
          </cell>
          <cell r="G535" t="str">
            <v>C1</v>
          </cell>
          <cell r="X535">
            <v>1</v>
          </cell>
          <cell r="Y535">
            <v>1</v>
          </cell>
          <cell r="AD535">
            <v>77500</v>
          </cell>
          <cell r="BM535">
            <v>18424.12</v>
          </cell>
        </row>
        <row r="536">
          <cell r="B536" t="str">
            <v>WS</v>
          </cell>
          <cell r="D536" t="str">
            <v>M</v>
          </cell>
          <cell r="G536" t="str">
            <v>C1</v>
          </cell>
          <cell r="X536">
            <v>1</v>
          </cell>
          <cell r="Y536">
            <v>1</v>
          </cell>
          <cell r="AD536">
            <v>42500</v>
          </cell>
          <cell r="BM536">
            <v>8923.86</v>
          </cell>
        </row>
        <row r="537">
          <cell r="B537" t="str">
            <v>WS</v>
          </cell>
          <cell r="D537" t="str">
            <v>M</v>
          </cell>
          <cell r="G537" t="str">
            <v>F2</v>
          </cell>
          <cell r="X537">
            <v>1</v>
          </cell>
          <cell r="Y537">
            <v>1</v>
          </cell>
          <cell r="AD537">
            <v>9500</v>
          </cell>
          <cell r="BM537">
            <v>2074.1999999999998</v>
          </cell>
        </row>
        <row r="538">
          <cell r="B538" t="str">
            <v>WS</v>
          </cell>
          <cell r="D538" t="str">
            <v>M</v>
          </cell>
          <cell r="G538" t="str">
            <v>F2</v>
          </cell>
          <cell r="X538">
            <v>1</v>
          </cell>
          <cell r="Y538">
            <v>1</v>
          </cell>
          <cell r="AD538">
            <v>9500</v>
          </cell>
          <cell r="BM538">
            <v>1824.2</v>
          </cell>
        </row>
        <row r="539">
          <cell r="B539" t="str">
            <v>WS</v>
          </cell>
          <cell r="D539" t="str">
            <v>M</v>
          </cell>
          <cell r="G539" t="str">
            <v>F2</v>
          </cell>
          <cell r="Y539">
            <v>1</v>
          </cell>
          <cell r="AD539">
            <v>9500</v>
          </cell>
          <cell r="BM539">
            <v>1824.2</v>
          </cell>
        </row>
        <row r="540">
          <cell r="B540" t="str">
            <v>WS</v>
          </cell>
          <cell r="D540" t="str">
            <v>M</v>
          </cell>
          <cell r="G540" t="str">
            <v>F2</v>
          </cell>
          <cell r="X540">
            <v>1</v>
          </cell>
          <cell r="Y540">
            <v>1</v>
          </cell>
          <cell r="AD540">
            <v>7600</v>
          </cell>
          <cell r="BM540">
            <v>1459.36</v>
          </cell>
        </row>
        <row r="541">
          <cell r="B541" t="str">
            <v>WS</v>
          </cell>
          <cell r="D541" t="str">
            <v>M</v>
          </cell>
          <cell r="G541" t="str">
            <v>F2</v>
          </cell>
          <cell r="Y541">
            <v>1</v>
          </cell>
          <cell r="AD541">
            <v>7600</v>
          </cell>
          <cell r="BM541">
            <v>1459.36</v>
          </cell>
        </row>
        <row r="542">
          <cell r="B542" t="str">
            <v>WS</v>
          </cell>
          <cell r="D542" t="str">
            <v>M</v>
          </cell>
          <cell r="G542" t="str">
            <v>F2</v>
          </cell>
          <cell r="X542">
            <v>1</v>
          </cell>
          <cell r="Y542">
            <v>1</v>
          </cell>
          <cell r="AD542">
            <v>8500</v>
          </cell>
          <cell r="BM542">
            <v>1948.04</v>
          </cell>
        </row>
        <row r="543">
          <cell r="B543" t="str">
            <v>WS</v>
          </cell>
          <cell r="D543" t="str">
            <v>M</v>
          </cell>
          <cell r="G543" t="str">
            <v>F2</v>
          </cell>
          <cell r="Y543">
            <v>1</v>
          </cell>
          <cell r="AD543">
            <v>8500</v>
          </cell>
          <cell r="BM543">
            <v>1948.04</v>
          </cell>
        </row>
        <row r="544">
          <cell r="B544" t="str">
            <v>WS</v>
          </cell>
          <cell r="D544" t="str">
            <v>M</v>
          </cell>
          <cell r="G544" t="str">
            <v>F2</v>
          </cell>
          <cell r="X544">
            <v>1</v>
          </cell>
          <cell r="Y544">
            <v>1</v>
          </cell>
          <cell r="AD544">
            <v>8500</v>
          </cell>
          <cell r="BM544">
            <v>1948.04</v>
          </cell>
        </row>
        <row r="545">
          <cell r="B545" t="str">
            <v>WS</v>
          </cell>
          <cell r="D545" t="str">
            <v>M</v>
          </cell>
          <cell r="G545" t="str">
            <v>F4</v>
          </cell>
          <cell r="X545">
            <v>1</v>
          </cell>
          <cell r="Y545">
            <v>1</v>
          </cell>
          <cell r="AD545">
            <v>29400</v>
          </cell>
          <cell r="BM545">
            <v>6448.6499999999987</v>
          </cell>
        </row>
        <row r="546">
          <cell r="B546" t="str">
            <v>WS</v>
          </cell>
          <cell r="D546" t="str">
            <v>M</v>
          </cell>
          <cell r="G546" t="str">
            <v>F4</v>
          </cell>
          <cell r="Y546">
            <v>1</v>
          </cell>
          <cell r="AD546">
            <v>29400</v>
          </cell>
          <cell r="BM546">
            <v>6448.6499999999987</v>
          </cell>
        </row>
        <row r="547">
          <cell r="B547" t="str">
            <v>WS</v>
          </cell>
          <cell r="D547" t="str">
            <v>M</v>
          </cell>
          <cell r="G547" t="str">
            <v>F4</v>
          </cell>
          <cell r="X547">
            <v>1</v>
          </cell>
          <cell r="Y547">
            <v>1</v>
          </cell>
          <cell r="AD547">
            <v>19600</v>
          </cell>
          <cell r="BM547">
            <v>4019.2</v>
          </cell>
        </row>
        <row r="548">
          <cell r="B548" t="str">
            <v>WS</v>
          </cell>
          <cell r="D548" t="str">
            <v>M</v>
          </cell>
          <cell r="G548" t="str">
            <v>F4</v>
          </cell>
          <cell r="Y548">
            <v>1</v>
          </cell>
          <cell r="AD548">
            <v>29400</v>
          </cell>
          <cell r="BM548">
            <v>6028.8</v>
          </cell>
        </row>
        <row r="549">
          <cell r="B549" t="str">
            <v>WS</v>
          </cell>
          <cell r="D549" t="str">
            <v>M</v>
          </cell>
          <cell r="G549" t="str">
            <v>F4</v>
          </cell>
          <cell r="X549">
            <v>1</v>
          </cell>
          <cell r="Y549">
            <v>1</v>
          </cell>
          <cell r="AD549">
            <v>19600</v>
          </cell>
          <cell r="BM549">
            <v>4219.2</v>
          </cell>
        </row>
        <row r="550">
          <cell r="B550" t="str">
            <v>WS</v>
          </cell>
          <cell r="D550" t="str">
            <v>M</v>
          </cell>
          <cell r="G550" t="str">
            <v>F4</v>
          </cell>
          <cell r="Y550">
            <v>1</v>
          </cell>
          <cell r="AD550">
            <v>19600</v>
          </cell>
          <cell r="BM550">
            <v>4219.2</v>
          </cell>
        </row>
        <row r="551">
          <cell r="B551" t="str">
            <v>WS</v>
          </cell>
          <cell r="D551" t="str">
            <v>M</v>
          </cell>
          <cell r="G551" t="str">
            <v>F4</v>
          </cell>
          <cell r="X551">
            <v>1</v>
          </cell>
          <cell r="Y551">
            <v>1</v>
          </cell>
          <cell r="AD551">
            <v>19600</v>
          </cell>
          <cell r="BM551">
            <v>4419.2</v>
          </cell>
        </row>
        <row r="552">
          <cell r="B552" t="str">
            <v>WS</v>
          </cell>
          <cell r="D552" t="str">
            <v>M</v>
          </cell>
          <cell r="G552" t="str">
            <v>F4</v>
          </cell>
          <cell r="Y552">
            <v>1</v>
          </cell>
          <cell r="AD552">
            <v>19600</v>
          </cell>
          <cell r="BM552">
            <v>4419.2</v>
          </cell>
        </row>
        <row r="553">
          <cell r="B553" t="str">
            <v>WS</v>
          </cell>
          <cell r="D553" t="str">
            <v>M</v>
          </cell>
          <cell r="G553" t="str">
            <v>F4</v>
          </cell>
          <cell r="X553">
            <v>1</v>
          </cell>
          <cell r="Y553">
            <v>1</v>
          </cell>
          <cell r="AD553">
            <v>19600</v>
          </cell>
          <cell r="BM553">
            <v>4059.099999999999</v>
          </cell>
        </row>
        <row r="554">
          <cell r="B554" t="str">
            <v>WS</v>
          </cell>
          <cell r="D554" t="str">
            <v>M</v>
          </cell>
          <cell r="G554" t="str">
            <v>F4</v>
          </cell>
          <cell r="Y554">
            <v>1</v>
          </cell>
          <cell r="AD554">
            <v>29400</v>
          </cell>
          <cell r="BM554">
            <v>6088.6499999999987</v>
          </cell>
        </row>
        <row r="555">
          <cell r="B555" t="str">
            <v>WS</v>
          </cell>
          <cell r="D555" t="str">
            <v>M</v>
          </cell>
          <cell r="G555" t="str">
            <v>F4</v>
          </cell>
          <cell r="X555">
            <v>1</v>
          </cell>
          <cell r="Y555">
            <v>1</v>
          </cell>
          <cell r="AD555">
            <v>18000</v>
          </cell>
          <cell r="BM555">
            <v>3859.1</v>
          </cell>
        </row>
        <row r="556">
          <cell r="B556" t="str">
            <v>WS</v>
          </cell>
          <cell r="D556" t="str">
            <v>M</v>
          </cell>
          <cell r="G556" t="str">
            <v>F4</v>
          </cell>
          <cell r="Y556">
            <v>1</v>
          </cell>
          <cell r="AD556">
            <v>18000</v>
          </cell>
          <cell r="BM556">
            <v>3859.1</v>
          </cell>
        </row>
        <row r="557">
          <cell r="B557" t="str">
            <v>WS</v>
          </cell>
          <cell r="D557" t="str">
            <v>M</v>
          </cell>
          <cell r="G557" t="str">
            <v>F4</v>
          </cell>
          <cell r="X557">
            <v>1</v>
          </cell>
          <cell r="Y557">
            <v>1</v>
          </cell>
          <cell r="AD557">
            <v>27000</v>
          </cell>
          <cell r="BM557">
            <v>5608.8000000000011</v>
          </cell>
        </row>
        <row r="558">
          <cell r="B558" t="str">
            <v>WS</v>
          </cell>
          <cell r="D558" t="str">
            <v>M</v>
          </cell>
          <cell r="G558" t="str">
            <v>F4</v>
          </cell>
          <cell r="Y558">
            <v>1</v>
          </cell>
          <cell r="AD558">
            <v>27000</v>
          </cell>
          <cell r="BM558">
            <v>5608.8000000000011</v>
          </cell>
        </row>
        <row r="559">
          <cell r="B559" t="str">
            <v>WS</v>
          </cell>
          <cell r="D559" t="str">
            <v>M</v>
          </cell>
          <cell r="G559" t="str">
            <v>F5</v>
          </cell>
          <cell r="X559">
            <v>1</v>
          </cell>
          <cell r="Y559">
            <v>1</v>
          </cell>
          <cell r="AD559">
            <v>4750</v>
          </cell>
          <cell r="BM559">
            <v>959.96</v>
          </cell>
        </row>
        <row r="560">
          <cell r="B560" t="str">
            <v>WS</v>
          </cell>
          <cell r="D560" t="str">
            <v>M</v>
          </cell>
          <cell r="G560" t="str">
            <v>F5</v>
          </cell>
          <cell r="Y560">
            <v>1</v>
          </cell>
          <cell r="AD560">
            <v>4750</v>
          </cell>
          <cell r="BM560">
            <v>959.96</v>
          </cell>
        </row>
        <row r="561">
          <cell r="B561" t="str">
            <v>WS</v>
          </cell>
          <cell r="D561" t="str">
            <v>M</v>
          </cell>
          <cell r="G561" t="str">
            <v>F5</v>
          </cell>
          <cell r="X561">
            <v>1</v>
          </cell>
          <cell r="Y561">
            <v>1</v>
          </cell>
          <cell r="AD561">
            <v>4250</v>
          </cell>
          <cell r="BM561">
            <v>909.78</v>
          </cell>
        </row>
        <row r="562">
          <cell r="B562" t="str">
            <v>WS</v>
          </cell>
          <cell r="D562" t="str">
            <v>M</v>
          </cell>
          <cell r="G562" t="str">
            <v>F5</v>
          </cell>
          <cell r="Y562">
            <v>1</v>
          </cell>
          <cell r="AD562">
            <v>4250</v>
          </cell>
          <cell r="BM562">
            <v>909.78</v>
          </cell>
        </row>
        <row r="563">
          <cell r="B563" t="str">
            <v>WS</v>
          </cell>
          <cell r="D563" t="str">
            <v>M</v>
          </cell>
          <cell r="G563" t="str">
            <v>F5</v>
          </cell>
          <cell r="X563">
            <v>1</v>
          </cell>
          <cell r="Y563">
            <v>1</v>
          </cell>
          <cell r="AD563">
            <v>4250</v>
          </cell>
          <cell r="BM563">
            <v>909.96</v>
          </cell>
        </row>
        <row r="564">
          <cell r="B564" t="str">
            <v>WS</v>
          </cell>
          <cell r="D564" t="str">
            <v>M</v>
          </cell>
          <cell r="G564" t="str">
            <v>F5</v>
          </cell>
          <cell r="Y564">
            <v>1</v>
          </cell>
          <cell r="AD564">
            <v>4250</v>
          </cell>
          <cell r="BM564">
            <v>909.96</v>
          </cell>
        </row>
        <row r="565">
          <cell r="B565" t="str">
            <v>WS</v>
          </cell>
          <cell r="D565" t="str">
            <v>M</v>
          </cell>
          <cell r="G565" t="str">
            <v>F5</v>
          </cell>
          <cell r="X565">
            <v>1</v>
          </cell>
          <cell r="Y565">
            <v>1</v>
          </cell>
          <cell r="AD565">
            <v>4250</v>
          </cell>
          <cell r="BM565">
            <v>910</v>
          </cell>
        </row>
        <row r="566">
          <cell r="B566" t="str">
            <v>WS</v>
          </cell>
          <cell r="D566" t="str">
            <v>M</v>
          </cell>
          <cell r="G566" t="str">
            <v>F5</v>
          </cell>
          <cell r="Y566">
            <v>1</v>
          </cell>
          <cell r="AD566">
            <v>4250</v>
          </cell>
          <cell r="BM566">
            <v>910</v>
          </cell>
        </row>
        <row r="567">
          <cell r="B567" t="str">
            <v>WS</v>
          </cell>
          <cell r="D567" t="str">
            <v>M</v>
          </cell>
          <cell r="G567" t="str">
            <v>F5</v>
          </cell>
          <cell r="X567">
            <v>1</v>
          </cell>
          <cell r="Y567">
            <v>1</v>
          </cell>
          <cell r="AD567">
            <v>5100</v>
          </cell>
          <cell r="BM567">
            <v>1031.9280000000001</v>
          </cell>
        </row>
        <row r="568">
          <cell r="B568" t="str">
            <v>WS</v>
          </cell>
          <cell r="D568" t="str">
            <v>M</v>
          </cell>
          <cell r="G568" t="str">
            <v>F5</v>
          </cell>
          <cell r="Y568">
            <v>1</v>
          </cell>
          <cell r="AD568">
            <v>4250</v>
          </cell>
          <cell r="BM568">
            <v>859.94</v>
          </cell>
        </row>
        <row r="569">
          <cell r="B569" t="str">
            <v>WS</v>
          </cell>
          <cell r="D569" t="str">
            <v>M</v>
          </cell>
          <cell r="G569" t="str">
            <v>F7</v>
          </cell>
          <cell r="X569">
            <v>1</v>
          </cell>
          <cell r="Y569">
            <v>1</v>
          </cell>
          <cell r="AD569">
            <v>8500</v>
          </cell>
          <cell r="BM569">
            <v>2023.92</v>
          </cell>
        </row>
        <row r="570">
          <cell r="B570" t="str">
            <v>WS</v>
          </cell>
          <cell r="D570" t="str">
            <v>M</v>
          </cell>
          <cell r="G570" t="str">
            <v>F7</v>
          </cell>
          <cell r="Y570">
            <v>1</v>
          </cell>
          <cell r="AD570">
            <v>8500</v>
          </cell>
          <cell r="BM570">
            <v>2023.92</v>
          </cell>
        </row>
        <row r="571">
          <cell r="B571" t="str">
            <v>WS</v>
          </cell>
          <cell r="D571" t="str">
            <v>M</v>
          </cell>
          <cell r="G571" t="str">
            <v>F7</v>
          </cell>
          <cell r="Y571">
            <v>1</v>
          </cell>
          <cell r="AD571">
            <v>8500</v>
          </cell>
          <cell r="BM571">
            <v>2023.92</v>
          </cell>
        </row>
        <row r="572">
          <cell r="B572" t="str">
            <v>WS</v>
          </cell>
          <cell r="D572" t="str">
            <v>M</v>
          </cell>
          <cell r="G572" t="str">
            <v>F6</v>
          </cell>
          <cell r="X572">
            <v>1</v>
          </cell>
          <cell r="Y572">
            <v>1</v>
          </cell>
          <cell r="AD572">
            <v>20000</v>
          </cell>
          <cell r="BM572">
            <v>4147.68</v>
          </cell>
        </row>
        <row r="573">
          <cell r="B573" t="str">
            <v>WS</v>
          </cell>
          <cell r="D573" t="str">
            <v>M</v>
          </cell>
          <cell r="G573" t="str">
            <v>F6</v>
          </cell>
          <cell r="X573">
            <v>1</v>
          </cell>
          <cell r="Y573">
            <v>1</v>
          </cell>
          <cell r="AD573">
            <v>20000</v>
          </cell>
          <cell r="BM573">
            <v>4547.6400000000003</v>
          </cell>
        </row>
        <row r="574">
          <cell r="B574" t="str">
            <v>WS</v>
          </cell>
          <cell r="D574" t="str">
            <v>M</v>
          </cell>
          <cell r="G574" t="str">
            <v>F6</v>
          </cell>
          <cell r="X574">
            <v>1</v>
          </cell>
          <cell r="Y574">
            <v>1</v>
          </cell>
          <cell r="AD574">
            <v>15000</v>
          </cell>
          <cell r="BM574">
            <v>3328.5839999999998</v>
          </cell>
        </row>
        <row r="575">
          <cell r="B575" t="str">
            <v>WS</v>
          </cell>
          <cell r="D575" t="str">
            <v>M</v>
          </cell>
          <cell r="G575" t="str">
            <v>H1</v>
          </cell>
          <cell r="X575">
            <v>1</v>
          </cell>
          <cell r="Y575">
            <v>1</v>
          </cell>
          <cell r="AD575">
            <v>47200</v>
          </cell>
          <cell r="BM575">
            <v>10438.4</v>
          </cell>
        </row>
        <row r="576">
          <cell r="B576" t="str">
            <v>WS</v>
          </cell>
          <cell r="D576" t="str">
            <v>M</v>
          </cell>
          <cell r="G576" t="str">
            <v>H1</v>
          </cell>
          <cell r="Y576">
            <v>1</v>
          </cell>
          <cell r="AD576">
            <v>47200</v>
          </cell>
          <cell r="BM576">
            <v>10438.4</v>
          </cell>
        </row>
        <row r="577">
          <cell r="B577" t="str">
            <v>WS</v>
          </cell>
          <cell r="D577" t="str">
            <v>M</v>
          </cell>
          <cell r="G577" t="str">
            <v>H1</v>
          </cell>
          <cell r="X577">
            <v>1</v>
          </cell>
          <cell r="Y577">
            <v>1</v>
          </cell>
          <cell r="AD577">
            <v>44100</v>
          </cell>
          <cell r="BM577">
            <v>9763.7119999999995</v>
          </cell>
        </row>
        <row r="578">
          <cell r="B578" t="str">
            <v>WS</v>
          </cell>
          <cell r="D578" t="str">
            <v>M</v>
          </cell>
          <cell r="G578" t="str">
            <v>H1</v>
          </cell>
          <cell r="Y578">
            <v>1</v>
          </cell>
          <cell r="AD578">
            <v>37800</v>
          </cell>
          <cell r="BM578">
            <v>8368.8960000000006</v>
          </cell>
        </row>
        <row r="579">
          <cell r="B579" t="str">
            <v>WS</v>
          </cell>
          <cell r="D579" t="str">
            <v>M</v>
          </cell>
          <cell r="G579" t="str">
            <v>H1</v>
          </cell>
          <cell r="Y579">
            <v>1</v>
          </cell>
          <cell r="AD579">
            <v>31500</v>
          </cell>
          <cell r="BM579">
            <v>6974.08</v>
          </cell>
        </row>
        <row r="580">
          <cell r="B580" t="str">
            <v>WS</v>
          </cell>
          <cell r="D580" t="str">
            <v>M</v>
          </cell>
          <cell r="G580" t="str">
            <v>H1</v>
          </cell>
          <cell r="X580">
            <v>1</v>
          </cell>
          <cell r="Y580">
            <v>1</v>
          </cell>
          <cell r="AD580">
            <v>21500</v>
          </cell>
          <cell r="BM580">
            <v>4774.12</v>
          </cell>
        </row>
        <row r="581">
          <cell r="B581" t="str">
            <v>WS</v>
          </cell>
          <cell r="D581" t="str">
            <v>M</v>
          </cell>
          <cell r="G581" t="str">
            <v>H1</v>
          </cell>
          <cell r="Y581">
            <v>1</v>
          </cell>
          <cell r="AD581">
            <v>21500</v>
          </cell>
          <cell r="BM581">
            <v>4774.12</v>
          </cell>
        </row>
        <row r="582">
          <cell r="B582" t="str">
            <v>WS</v>
          </cell>
          <cell r="D582" t="str">
            <v>M</v>
          </cell>
          <cell r="G582" t="str">
            <v>H1</v>
          </cell>
          <cell r="X582">
            <v>1</v>
          </cell>
          <cell r="Y582">
            <v>1</v>
          </cell>
          <cell r="AD582">
            <v>37100</v>
          </cell>
          <cell r="BM582">
            <v>8013.6559999999999</v>
          </cell>
        </row>
        <row r="583">
          <cell r="B583" t="str">
            <v>WS</v>
          </cell>
          <cell r="D583" t="str">
            <v>M</v>
          </cell>
          <cell r="G583" t="str">
            <v>H1</v>
          </cell>
          <cell r="Y583">
            <v>1</v>
          </cell>
          <cell r="AD583">
            <v>37100</v>
          </cell>
          <cell r="BM583">
            <v>8013.6559999999999</v>
          </cell>
        </row>
        <row r="584">
          <cell r="B584" t="str">
            <v>WS</v>
          </cell>
          <cell r="D584" t="str">
            <v>M</v>
          </cell>
          <cell r="G584" t="str">
            <v>H1</v>
          </cell>
          <cell r="X584">
            <v>1</v>
          </cell>
          <cell r="Y584">
            <v>1</v>
          </cell>
          <cell r="AD584">
            <v>26500</v>
          </cell>
          <cell r="BM584">
            <v>6024.1</v>
          </cell>
        </row>
        <row r="585">
          <cell r="B585" t="str">
            <v>WS</v>
          </cell>
          <cell r="D585" t="str">
            <v>M</v>
          </cell>
          <cell r="G585" t="str">
            <v>H1</v>
          </cell>
          <cell r="Y585">
            <v>1</v>
          </cell>
          <cell r="AD585">
            <v>26500</v>
          </cell>
          <cell r="BM585">
            <v>6024.1</v>
          </cell>
        </row>
        <row r="586">
          <cell r="B586" t="str">
            <v>WS</v>
          </cell>
          <cell r="D586" t="str">
            <v>M</v>
          </cell>
          <cell r="G586" t="str">
            <v>H1</v>
          </cell>
          <cell r="X586">
            <v>1</v>
          </cell>
          <cell r="Y586">
            <v>1</v>
          </cell>
          <cell r="AD586">
            <v>21200</v>
          </cell>
          <cell r="BM586">
            <v>4419.0240000000003</v>
          </cell>
        </row>
        <row r="587">
          <cell r="B587" t="str">
            <v>WS</v>
          </cell>
          <cell r="D587" t="str">
            <v>M</v>
          </cell>
          <cell r="G587" t="str">
            <v>H1</v>
          </cell>
          <cell r="Y587">
            <v>1</v>
          </cell>
          <cell r="AD587">
            <v>21200</v>
          </cell>
          <cell r="BM587">
            <v>4419.0240000000003</v>
          </cell>
        </row>
        <row r="588">
          <cell r="B588" t="str">
            <v>WS</v>
          </cell>
          <cell r="D588" t="str">
            <v>M</v>
          </cell>
          <cell r="G588" t="str">
            <v>H1</v>
          </cell>
          <cell r="X588">
            <v>1</v>
          </cell>
          <cell r="Y588">
            <v>1</v>
          </cell>
          <cell r="AD588">
            <v>34300</v>
          </cell>
          <cell r="BM588">
            <v>7453.8519999999999</v>
          </cell>
        </row>
        <row r="589">
          <cell r="B589" t="str">
            <v>WS</v>
          </cell>
          <cell r="D589" t="str">
            <v>M</v>
          </cell>
          <cell r="G589" t="str">
            <v>H1</v>
          </cell>
          <cell r="Y589">
            <v>1</v>
          </cell>
          <cell r="AD589">
            <v>24500</v>
          </cell>
          <cell r="BM589">
            <v>5324.18</v>
          </cell>
        </row>
        <row r="590">
          <cell r="B590" t="str">
            <v>WS</v>
          </cell>
          <cell r="D590" t="str">
            <v>M</v>
          </cell>
          <cell r="G590" t="str">
            <v>H1</v>
          </cell>
          <cell r="X590">
            <v>1</v>
          </cell>
          <cell r="Y590">
            <v>1</v>
          </cell>
          <cell r="AD590">
            <v>25800</v>
          </cell>
          <cell r="BM590">
            <v>5728.92</v>
          </cell>
        </row>
        <row r="591">
          <cell r="B591" t="str">
            <v>WS</v>
          </cell>
          <cell r="D591" t="str">
            <v>M</v>
          </cell>
          <cell r="G591" t="str">
            <v>H1</v>
          </cell>
          <cell r="Y591">
            <v>1</v>
          </cell>
          <cell r="AD591">
            <v>25800</v>
          </cell>
          <cell r="BM591">
            <v>5728.92</v>
          </cell>
        </row>
        <row r="592">
          <cell r="B592" t="str">
            <v>WS</v>
          </cell>
          <cell r="D592" t="str">
            <v>M</v>
          </cell>
          <cell r="G592" t="str">
            <v>H1</v>
          </cell>
          <cell r="X592">
            <v>1</v>
          </cell>
          <cell r="Y592">
            <v>1</v>
          </cell>
          <cell r="AD592">
            <v>26500</v>
          </cell>
          <cell r="BM592">
            <v>6024.04</v>
          </cell>
        </row>
        <row r="593">
          <cell r="B593" t="str">
            <v>WS</v>
          </cell>
          <cell r="D593" t="str">
            <v>M</v>
          </cell>
          <cell r="G593" t="str">
            <v>H1</v>
          </cell>
          <cell r="Y593">
            <v>1</v>
          </cell>
          <cell r="AD593">
            <v>37100</v>
          </cell>
          <cell r="BM593">
            <v>8433.6560000000009</v>
          </cell>
        </row>
        <row r="594">
          <cell r="B594" t="str">
            <v>WS</v>
          </cell>
          <cell r="D594" t="str">
            <v>M</v>
          </cell>
          <cell r="G594" t="str">
            <v>H1</v>
          </cell>
          <cell r="X594">
            <v>1</v>
          </cell>
          <cell r="Y594">
            <v>1</v>
          </cell>
          <cell r="AD594">
            <v>21500</v>
          </cell>
          <cell r="BM594">
            <v>4723.88</v>
          </cell>
        </row>
        <row r="595">
          <cell r="B595" t="str">
            <v>WS</v>
          </cell>
          <cell r="D595" t="str">
            <v>M</v>
          </cell>
          <cell r="G595" t="str">
            <v>H1</v>
          </cell>
          <cell r="Y595">
            <v>1</v>
          </cell>
          <cell r="AD595">
            <v>21500</v>
          </cell>
          <cell r="BM595">
            <v>4723.88</v>
          </cell>
        </row>
        <row r="596">
          <cell r="B596" t="str">
            <v>WS</v>
          </cell>
          <cell r="D596" t="str">
            <v>M</v>
          </cell>
          <cell r="G596" t="str">
            <v>H1</v>
          </cell>
          <cell r="X596">
            <v>1</v>
          </cell>
          <cell r="Y596">
            <v>1</v>
          </cell>
          <cell r="AD596">
            <v>16000</v>
          </cell>
          <cell r="BM596">
            <v>3619.3440000000001</v>
          </cell>
        </row>
        <row r="597">
          <cell r="B597" t="str">
            <v>WS</v>
          </cell>
          <cell r="D597" t="str">
            <v>M</v>
          </cell>
          <cell r="G597" t="str">
            <v>H1</v>
          </cell>
          <cell r="Y597">
            <v>1</v>
          </cell>
          <cell r="AD597">
            <v>16000</v>
          </cell>
          <cell r="BM597">
            <v>3619.3440000000001</v>
          </cell>
        </row>
        <row r="598">
          <cell r="B598" t="str">
            <v>WS</v>
          </cell>
          <cell r="D598" t="str">
            <v>M</v>
          </cell>
          <cell r="G598" t="str">
            <v>H1</v>
          </cell>
          <cell r="X598">
            <v>1</v>
          </cell>
          <cell r="Y598">
            <v>1</v>
          </cell>
          <cell r="AD598">
            <v>19000</v>
          </cell>
          <cell r="BM598">
            <v>4024.2</v>
          </cell>
        </row>
        <row r="599">
          <cell r="B599" t="str">
            <v>WS</v>
          </cell>
          <cell r="D599" t="str">
            <v>M</v>
          </cell>
          <cell r="G599" t="str">
            <v>H1</v>
          </cell>
          <cell r="Y599">
            <v>1</v>
          </cell>
          <cell r="AD599">
            <v>19000</v>
          </cell>
          <cell r="BM599">
            <v>4024.2</v>
          </cell>
        </row>
        <row r="600">
          <cell r="B600" t="str">
            <v>WS</v>
          </cell>
          <cell r="D600" t="str">
            <v>M</v>
          </cell>
          <cell r="G600" t="str">
            <v>H1</v>
          </cell>
          <cell r="X600">
            <v>1</v>
          </cell>
          <cell r="Y600">
            <v>1</v>
          </cell>
          <cell r="AD600">
            <v>14400</v>
          </cell>
          <cell r="BM600">
            <v>3254.4</v>
          </cell>
        </row>
        <row r="601">
          <cell r="B601" t="str">
            <v>WS</v>
          </cell>
          <cell r="D601" t="str">
            <v>M</v>
          </cell>
          <cell r="G601" t="str">
            <v>H1</v>
          </cell>
          <cell r="Y601">
            <v>1</v>
          </cell>
          <cell r="AD601">
            <v>19200</v>
          </cell>
          <cell r="BM601">
            <v>4339.2</v>
          </cell>
        </row>
        <row r="602">
          <cell r="B602" t="str">
            <v>WS</v>
          </cell>
          <cell r="D602" t="str">
            <v>M</v>
          </cell>
          <cell r="G602" t="str">
            <v>H1</v>
          </cell>
          <cell r="Y602">
            <v>1</v>
          </cell>
          <cell r="AD602">
            <v>14400</v>
          </cell>
          <cell r="BM602">
            <v>3254.4</v>
          </cell>
        </row>
        <row r="603">
          <cell r="B603" t="str">
            <v>WS</v>
          </cell>
          <cell r="D603" t="str">
            <v>M</v>
          </cell>
          <cell r="G603" t="str">
            <v>H1</v>
          </cell>
          <cell r="X603">
            <v>1</v>
          </cell>
          <cell r="Y603">
            <v>1</v>
          </cell>
          <cell r="AD603">
            <v>22000</v>
          </cell>
          <cell r="BM603">
            <v>4979.3440000000001</v>
          </cell>
        </row>
        <row r="604">
          <cell r="B604" t="str">
            <v>WS</v>
          </cell>
          <cell r="D604" t="str">
            <v>M</v>
          </cell>
          <cell r="G604" t="str">
            <v>H1</v>
          </cell>
          <cell r="Y604">
            <v>1</v>
          </cell>
          <cell r="AD604">
            <v>24750</v>
          </cell>
          <cell r="BM604">
            <v>5601.7619999999997</v>
          </cell>
        </row>
        <row r="605">
          <cell r="B605" t="str">
            <v>WS</v>
          </cell>
          <cell r="D605" t="str">
            <v>M</v>
          </cell>
          <cell r="G605" t="str">
            <v>H1</v>
          </cell>
          <cell r="X605">
            <v>1</v>
          </cell>
          <cell r="Y605">
            <v>1</v>
          </cell>
          <cell r="AD605">
            <v>21500</v>
          </cell>
          <cell r="BM605">
            <v>4374.2</v>
          </cell>
        </row>
        <row r="606">
          <cell r="B606" t="str">
            <v>WS</v>
          </cell>
          <cell r="D606" t="str">
            <v>M</v>
          </cell>
          <cell r="G606" t="str">
            <v>H1</v>
          </cell>
          <cell r="Y606">
            <v>1</v>
          </cell>
          <cell r="AD606">
            <v>21500</v>
          </cell>
          <cell r="BM606">
            <v>4374.2</v>
          </cell>
        </row>
        <row r="607">
          <cell r="B607" t="str">
            <v>WS</v>
          </cell>
          <cell r="D607" t="str">
            <v>M</v>
          </cell>
          <cell r="G607" t="str">
            <v>H1</v>
          </cell>
          <cell r="Y607">
            <v>1</v>
          </cell>
          <cell r="AD607">
            <v>21500</v>
          </cell>
          <cell r="BM607">
            <v>4374.2</v>
          </cell>
        </row>
        <row r="608">
          <cell r="B608" t="str">
            <v>WS</v>
          </cell>
          <cell r="D608" t="str">
            <v>M</v>
          </cell>
          <cell r="G608" t="str">
            <v>H1</v>
          </cell>
          <cell r="X608">
            <v>1</v>
          </cell>
          <cell r="Y608">
            <v>1</v>
          </cell>
          <cell r="AD608">
            <v>25800</v>
          </cell>
          <cell r="BM608">
            <v>5788.7039999999997</v>
          </cell>
        </row>
        <row r="609">
          <cell r="B609" t="str">
            <v>WS</v>
          </cell>
          <cell r="D609" t="str">
            <v>M</v>
          </cell>
          <cell r="G609" t="str">
            <v>H1</v>
          </cell>
          <cell r="Y609">
            <v>1</v>
          </cell>
          <cell r="AD609">
            <v>21500</v>
          </cell>
          <cell r="BM609">
            <v>4823.92</v>
          </cell>
        </row>
        <row r="610">
          <cell r="B610" t="str">
            <v>WS</v>
          </cell>
          <cell r="D610" t="str">
            <v>M</v>
          </cell>
          <cell r="G610" t="str">
            <v>H1</v>
          </cell>
          <cell r="X610">
            <v>1</v>
          </cell>
          <cell r="Y610">
            <v>1</v>
          </cell>
          <cell r="AD610">
            <v>21500</v>
          </cell>
          <cell r="BM610">
            <v>4824.04</v>
          </cell>
        </row>
        <row r="611">
          <cell r="B611" t="str">
            <v>WS</v>
          </cell>
          <cell r="D611" t="str">
            <v>M</v>
          </cell>
          <cell r="G611" t="str">
            <v>H1</v>
          </cell>
          <cell r="Y611">
            <v>1</v>
          </cell>
          <cell r="AD611">
            <v>21500</v>
          </cell>
          <cell r="BM611">
            <v>4824.04</v>
          </cell>
        </row>
        <row r="612">
          <cell r="B612" t="str">
            <v>WS</v>
          </cell>
          <cell r="D612" t="str">
            <v>M</v>
          </cell>
          <cell r="G612" t="str">
            <v>H1</v>
          </cell>
          <cell r="X612">
            <v>1</v>
          </cell>
          <cell r="Y612">
            <v>1</v>
          </cell>
          <cell r="AD612">
            <v>17200</v>
          </cell>
          <cell r="BM612">
            <v>3819.2160000000003</v>
          </cell>
        </row>
        <row r="613">
          <cell r="B613" t="str">
            <v>WS</v>
          </cell>
          <cell r="D613" t="str">
            <v>M</v>
          </cell>
          <cell r="G613" t="str">
            <v>H1</v>
          </cell>
          <cell r="X613">
            <v>1</v>
          </cell>
          <cell r="Y613">
            <v>1</v>
          </cell>
          <cell r="AD613">
            <v>21500</v>
          </cell>
          <cell r="BM613">
            <v>4774.18</v>
          </cell>
        </row>
        <row r="614">
          <cell r="B614" t="str">
            <v>WS</v>
          </cell>
          <cell r="D614" t="str">
            <v>M</v>
          </cell>
          <cell r="G614" t="str">
            <v>H1</v>
          </cell>
          <cell r="Y614">
            <v>1</v>
          </cell>
          <cell r="AD614">
            <v>21500</v>
          </cell>
          <cell r="BM614">
            <v>4774.18</v>
          </cell>
        </row>
        <row r="615">
          <cell r="B615" t="str">
            <v>WS</v>
          </cell>
          <cell r="D615" t="str">
            <v>M</v>
          </cell>
          <cell r="G615" t="str">
            <v>H1</v>
          </cell>
          <cell r="X615">
            <v>1</v>
          </cell>
          <cell r="Y615">
            <v>1</v>
          </cell>
          <cell r="AD615">
            <v>24500</v>
          </cell>
          <cell r="BM615">
            <v>5524.08</v>
          </cell>
        </row>
        <row r="616">
          <cell r="B616" t="str">
            <v>WS</v>
          </cell>
          <cell r="D616" t="str">
            <v>M</v>
          </cell>
          <cell r="G616" t="str">
            <v>H1</v>
          </cell>
          <cell r="X616">
            <v>1</v>
          </cell>
          <cell r="Y616">
            <v>1</v>
          </cell>
          <cell r="AD616">
            <v>17200</v>
          </cell>
          <cell r="BM616">
            <v>3805.1199999999994</v>
          </cell>
        </row>
        <row r="617">
          <cell r="B617" t="str">
            <v>WS</v>
          </cell>
          <cell r="D617" t="str">
            <v>M</v>
          </cell>
          <cell r="G617" t="str">
            <v>H1</v>
          </cell>
          <cell r="X617">
            <v>1</v>
          </cell>
          <cell r="Y617">
            <v>1</v>
          </cell>
          <cell r="AD617">
            <v>21500</v>
          </cell>
          <cell r="BM617">
            <v>4423.8999999999996</v>
          </cell>
        </row>
        <row r="618">
          <cell r="B618" t="str">
            <v>WS</v>
          </cell>
          <cell r="D618" t="str">
            <v>M</v>
          </cell>
          <cell r="G618" t="str">
            <v>H1</v>
          </cell>
          <cell r="Y618">
            <v>1</v>
          </cell>
          <cell r="AD618">
            <v>21500</v>
          </cell>
          <cell r="BM618">
            <v>4423.8999999999996</v>
          </cell>
        </row>
        <row r="619">
          <cell r="B619" t="str">
            <v>WS</v>
          </cell>
          <cell r="D619" t="str">
            <v>M</v>
          </cell>
          <cell r="G619" t="str">
            <v>H1</v>
          </cell>
          <cell r="X619">
            <v>1</v>
          </cell>
          <cell r="Y619">
            <v>1</v>
          </cell>
          <cell r="AD619">
            <v>27200</v>
          </cell>
          <cell r="BM619">
            <v>6499.1679999999997</v>
          </cell>
        </row>
        <row r="620">
          <cell r="B620" t="str">
            <v>WS</v>
          </cell>
          <cell r="D620" t="str">
            <v>M</v>
          </cell>
          <cell r="G620" t="str">
            <v>H1</v>
          </cell>
          <cell r="X620">
            <v>1</v>
          </cell>
          <cell r="Y620">
            <v>1</v>
          </cell>
          <cell r="AD620">
            <v>17200</v>
          </cell>
          <cell r="BM620">
            <v>3699.2640000000001</v>
          </cell>
        </row>
        <row r="621">
          <cell r="B621" t="str">
            <v>WS</v>
          </cell>
          <cell r="D621" t="str">
            <v>M</v>
          </cell>
          <cell r="G621" t="str">
            <v>H1</v>
          </cell>
          <cell r="Y621">
            <v>1</v>
          </cell>
          <cell r="AD621">
            <v>17200</v>
          </cell>
          <cell r="BM621">
            <v>3699.2640000000001</v>
          </cell>
        </row>
        <row r="622">
          <cell r="B622" t="str">
            <v>WS</v>
          </cell>
          <cell r="D622" t="str">
            <v>M</v>
          </cell>
          <cell r="G622" t="str">
            <v>Q2</v>
          </cell>
          <cell r="X622">
            <v>1</v>
          </cell>
          <cell r="Y622">
            <v>1</v>
          </cell>
          <cell r="AD622">
            <v>33000</v>
          </cell>
          <cell r="BM622">
            <v>7588.5839999999998</v>
          </cell>
        </row>
        <row r="623">
          <cell r="B623" t="str">
            <v>WS</v>
          </cell>
          <cell r="D623" t="str">
            <v>M</v>
          </cell>
          <cell r="G623" t="str">
            <v>Q2</v>
          </cell>
          <cell r="X623">
            <v>1</v>
          </cell>
          <cell r="Y623">
            <v>1</v>
          </cell>
          <cell r="AD623">
            <v>4500</v>
          </cell>
          <cell r="BM623">
            <v>1004.4839999999999</v>
          </cell>
        </row>
        <row r="624">
          <cell r="B624" t="str">
            <v>WS</v>
          </cell>
          <cell r="D624" t="str">
            <v>M</v>
          </cell>
          <cell r="G624" t="str">
            <v>Q2</v>
          </cell>
          <cell r="Y624">
            <v>1</v>
          </cell>
          <cell r="AD624">
            <v>4500</v>
          </cell>
          <cell r="BM624">
            <v>1004.4839999999999</v>
          </cell>
        </row>
        <row r="625">
          <cell r="B625" t="str">
            <v>WS</v>
          </cell>
          <cell r="D625" t="str">
            <v>M</v>
          </cell>
          <cell r="G625" t="str">
            <v>Q2</v>
          </cell>
          <cell r="Y625">
            <v>1</v>
          </cell>
          <cell r="AD625">
            <v>4500</v>
          </cell>
          <cell r="BM625">
            <v>1004.4839999999999</v>
          </cell>
        </row>
        <row r="626">
          <cell r="B626" t="str">
            <v>WS</v>
          </cell>
          <cell r="D626" t="str">
            <v>M</v>
          </cell>
          <cell r="G626" t="str">
            <v>S1</v>
          </cell>
          <cell r="X626">
            <v>1</v>
          </cell>
          <cell r="Y626">
            <v>1</v>
          </cell>
          <cell r="AD626">
            <v>133500</v>
          </cell>
          <cell r="BM626">
            <v>28392.134999999998</v>
          </cell>
        </row>
        <row r="627">
          <cell r="B627" t="str">
            <v>WS</v>
          </cell>
          <cell r="D627" t="str">
            <v>M</v>
          </cell>
          <cell r="G627" t="str">
            <v>S1</v>
          </cell>
          <cell r="Y627">
            <v>1</v>
          </cell>
          <cell r="AD627">
            <v>53400</v>
          </cell>
          <cell r="BM627">
            <v>11356.853999999999</v>
          </cell>
        </row>
        <row r="628">
          <cell r="B628" t="str">
            <v>WS</v>
          </cell>
          <cell r="D628" t="str">
            <v>M</v>
          </cell>
          <cell r="G628" t="str">
            <v>S1</v>
          </cell>
          <cell r="X628">
            <v>1</v>
          </cell>
          <cell r="Y628">
            <v>1</v>
          </cell>
          <cell r="AD628">
            <v>55050</v>
          </cell>
          <cell r="BM628">
            <v>9562.5519999999997</v>
          </cell>
        </row>
        <row r="629">
          <cell r="B629" t="str">
            <v>WS</v>
          </cell>
          <cell r="D629" t="str">
            <v>M</v>
          </cell>
          <cell r="G629" t="str">
            <v>S1</v>
          </cell>
          <cell r="Y629">
            <v>1</v>
          </cell>
          <cell r="AD629">
            <v>21675</v>
          </cell>
          <cell r="BM629">
            <v>3765.0920000000001</v>
          </cell>
        </row>
        <row r="630">
          <cell r="B630" t="str">
            <v>WS</v>
          </cell>
          <cell r="D630" t="str">
            <v>M</v>
          </cell>
          <cell r="G630" t="str">
            <v>S1</v>
          </cell>
          <cell r="X630">
            <v>1</v>
          </cell>
          <cell r="Y630">
            <v>1</v>
          </cell>
          <cell r="AD630">
            <v>55614</v>
          </cell>
          <cell r="BM630">
            <v>10500.567999999999</v>
          </cell>
        </row>
        <row r="631">
          <cell r="B631" t="str">
            <v>WS</v>
          </cell>
          <cell r="D631" t="str">
            <v>M</v>
          </cell>
          <cell r="G631" t="str">
            <v>S1</v>
          </cell>
          <cell r="Y631">
            <v>1</v>
          </cell>
          <cell r="AD631">
            <v>59133</v>
          </cell>
          <cell r="BM631">
            <v>11164.995999999999</v>
          </cell>
        </row>
        <row r="632">
          <cell r="B632" t="str">
            <v>WS</v>
          </cell>
          <cell r="D632" t="str">
            <v>M</v>
          </cell>
          <cell r="G632" t="str">
            <v>S3</v>
          </cell>
          <cell r="X632">
            <v>1</v>
          </cell>
          <cell r="Y632">
            <v>1</v>
          </cell>
          <cell r="AD632">
            <v>228000</v>
          </cell>
          <cell r="BM632">
            <v>54633.924000000006</v>
          </cell>
        </row>
        <row r="633">
          <cell r="B633" t="str">
            <v>WS</v>
          </cell>
          <cell r="D633" t="str">
            <v>M</v>
          </cell>
          <cell r="G633" t="str">
            <v>S3</v>
          </cell>
          <cell r="Y633">
            <v>1</v>
          </cell>
          <cell r="AD633">
            <v>190000</v>
          </cell>
          <cell r="BM633">
            <v>45528.270000000004</v>
          </cell>
        </row>
        <row r="634">
          <cell r="B634" t="str">
            <v>WS</v>
          </cell>
          <cell r="D634" t="str">
            <v>M</v>
          </cell>
          <cell r="G634" t="str">
            <v>S3</v>
          </cell>
          <cell r="X634">
            <v>1</v>
          </cell>
          <cell r="Y634">
            <v>1</v>
          </cell>
          <cell r="AD634">
            <v>279500</v>
          </cell>
          <cell r="BM634">
            <v>62436.165999999997</v>
          </cell>
        </row>
        <row r="635">
          <cell r="B635" t="str">
            <v>WS</v>
          </cell>
          <cell r="D635" t="str">
            <v>M</v>
          </cell>
          <cell r="G635" t="str">
            <v>S3</v>
          </cell>
          <cell r="Y635">
            <v>1</v>
          </cell>
          <cell r="AD635">
            <v>215000</v>
          </cell>
          <cell r="BM635">
            <v>48027.82</v>
          </cell>
        </row>
        <row r="636">
          <cell r="B636" t="str">
            <v>WS</v>
          </cell>
          <cell r="D636" t="str">
            <v>M</v>
          </cell>
          <cell r="G636" t="str">
            <v>S3</v>
          </cell>
          <cell r="X636">
            <v>1</v>
          </cell>
          <cell r="Y636">
            <v>1</v>
          </cell>
          <cell r="AD636">
            <v>215000</v>
          </cell>
          <cell r="BM636">
            <v>53027.75</v>
          </cell>
        </row>
        <row r="637">
          <cell r="B637" t="str">
            <v>WS</v>
          </cell>
          <cell r="D637" t="str">
            <v>M</v>
          </cell>
          <cell r="G637" t="str">
            <v>S3</v>
          </cell>
          <cell r="X637">
            <v>1</v>
          </cell>
          <cell r="Y637">
            <v>1</v>
          </cell>
          <cell r="AD637">
            <v>337500</v>
          </cell>
          <cell r="BM637">
            <v>80292</v>
          </cell>
        </row>
        <row r="638">
          <cell r="B638" t="str">
            <v>WS</v>
          </cell>
          <cell r="D638" t="str">
            <v>M</v>
          </cell>
          <cell r="G638" t="str">
            <v>S4</v>
          </cell>
          <cell r="X638">
            <v>1</v>
          </cell>
          <cell r="Y638">
            <v>1</v>
          </cell>
          <cell r="AD638">
            <v>119000</v>
          </cell>
          <cell r="BM638">
            <v>26528.421999999995</v>
          </cell>
        </row>
        <row r="639">
          <cell r="B639" t="str">
            <v>WS</v>
          </cell>
          <cell r="D639" t="str">
            <v>M</v>
          </cell>
          <cell r="G639" t="str">
            <v>S4</v>
          </cell>
          <cell r="Y639">
            <v>1</v>
          </cell>
          <cell r="AD639">
            <v>119000</v>
          </cell>
          <cell r="BM639">
            <v>26528.421999999995</v>
          </cell>
        </row>
        <row r="640">
          <cell r="B640" t="str">
            <v>WS</v>
          </cell>
          <cell r="D640" t="str">
            <v>M</v>
          </cell>
          <cell r="G640" t="str">
            <v>S4</v>
          </cell>
          <cell r="X640">
            <v>1</v>
          </cell>
          <cell r="Y640">
            <v>1</v>
          </cell>
          <cell r="AD640">
            <v>187000</v>
          </cell>
          <cell r="BM640">
            <v>46798.212</v>
          </cell>
        </row>
        <row r="641">
          <cell r="B641" t="str">
            <v>WS</v>
          </cell>
          <cell r="D641" t="str">
            <v>M</v>
          </cell>
          <cell r="G641" t="str">
            <v>S4</v>
          </cell>
          <cell r="Y641">
            <v>1</v>
          </cell>
          <cell r="AD641">
            <v>143000</v>
          </cell>
          <cell r="BM641">
            <v>35786.868000000002</v>
          </cell>
        </row>
        <row r="642">
          <cell r="B642" t="str">
            <v>WS</v>
          </cell>
          <cell r="D642" t="str">
            <v>M</v>
          </cell>
          <cell r="G642" t="str">
            <v>S4</v>
          </cell>
          <cell r="X642">
            <v>1</v>
          </cell>
          <cell r="Y642">
            <v>1</v>
          </cell>
          <cell r="AD642">
            <v>168000</v>
          </cell>
          <cell r="BM642">
            <v>42528</v>
          </cell>
        </row>
        <row r="643">
          <cell r="B643" t="str">
            <v>WS</v>
          </cell>
          <cell r="D643" t="str">
            <v>M</v>
          </cell>
          <cell r="G643" t="str">
            <v>S4</v>
          </cell>
          <cell r="X643">
            <v>1</v>
          </cell>
          <cell r="Y643">
            <v>1</v>
          </cell>
          <cell r="AD643">
            <v>195000</v>
          </cell>
          <cell r="BM643">
            <v>46828</v>
          </cell>
        </row>
        <row r="644">
          <cell r="B644" t="str">
            <v>WS</v>
          </cell>
          <cell r="D644" t="str">
            <v>M</v>
          </cell>
          <cell r="G644" t="str">
            <v>UW</v>
          </cell>
          <cell r="X644">
            <v>1</v>
          </cell>
          <cell r="Y644">
            <v>1</v>
          </cell>
          <cell r="AD644">
            <v>51600</v>
          </cell>
          <cell r="BM644">
            <v>9177.2639999999992</v>
          </cell>
        </row>
        <row r="645">
          <cell r="B645" t="str">
            <v>WS</v>
          </cell>
          <cell r="D645" t="str">
            <v>M</v>
          </cell>
          <cell r="G645" t="str">
            <v>UW</v>
          </cell>
          <cell r="Y645">
            <v>1</v>
          </cell>
          <cell r="AD645">
            <v>51600</v>
          </cell>
          <cell r="BM645">
            <v>9177.2639999999992</v>
          </cell>
        </row>
        <row r="646">
          <cell r="B646" t="str">
            <v>WS</v>
          </cell>
          <cell r="D646" t="str">
            <v>M</v>
          </cell>
          <cell r="G646" t="str">
            <v>UW</v>
          </cell>
          <cell r="X646">
            <v>1</v>
          </cell>
          <cell r="Y646">
            <v>1</v>
          </cell>
          <cell r="AD646">
            <v>25000</v>
          </cell>
          <cell r="BM646">
            <v>4947.8</v>
          </cell>
        </row>
        <row r="647">
          <cell r="B647" t="str">
            <v>WS</v>
          </cell>
          <cell r="D647" t="str">
            <v>M</v>
          </cell>
          <cell r="G647" t="str">
            <v>UW</v>
          </cell>
          <cell r="Y647">
            <v>1</v>
          </cell>
          <cell r="AD647">
            <v>25000</v>
          </cell>
          <cell r="BM647">
            <v>4947.8</v>
          </cell>
        </row>
        <row r="648">
          <cell r="B648" t="str">
            <v>WS</v>
          </cell>
          <cell r="D648" t="str">
            <v>M</v>
          </cell>
          <cell r="G648" t="str">
            <v>UW</v>
          </cell>
          <cell r="X648">
            <v>1</v>
          </cell>
          <cell r="Y648">
            <v>1</v>
          </cell>
          <cell r="AD648">
            <v>19000</v>
          </cell>
          <cell r="BM648">
            <v>4447.6000000000004</v>
          </cell>
        </row>
        <row r="649">
          <cell r="B649" t="str">
            <v>WS</v>
          </cell>
          <cell r="D649" t="str">
            <v>M</v>
          </cell>
          <cell r="G649" t="str">
            <v>UW</v>
          </cell>
          <cell r="Y649">
            <v>1</v>
          </cell>
          <cell r="AD649">
            <v>19000</v>
          </cell>
          <cell r="BM649">
            <v>3547.6</v>
          </cell>
        </row>
        <row r="650">
          <cell r="B650" t="str">
            <v>WV</v>
          </cell>
          <cell r="D650" t="str">
            <v>M</v>
          </cell>
          <cell r="G650" t="str">
            <v>UW</v>
          </cell>
          <cell r="X650">
            <v>1</v>
          </cell>
          <cell r="Y650">
            <v>1</v>
          </cell>
          <cell r="AD650">
            <v>14000</v>
          </cell>
          <cell r="BM650">
            <v>2874.12</v>
          </cell>
        </row>
        <row r="651">
          <cell r="B651" t="str">
            <v>WV</v>
          </cell>
          <cell r="D651" t="str">
            <v>M</v>
          </cell>
          <cell r="G651" t="str">
            <v>UW</v>
          </cell>
          <cell r="Y651">
            <v>1</v>
          </cell>
          <cell r="AD651">
            <v>14000</v>
          </cell>
          <cell r="BM651">
            <v>2874.12</v>
          </cell>
        </row>
        <row r="652">
          <cell r="B652" t="str">
            <v>WV</v>
          </cell>
          <cell r="D652" t="str">
            <v>M</v>
          </cell>
          <cell r="G652" t="str">
            <v>UW</v>
          </cell>
          <cell r="X652">
            <v>1</v>
          </cell>
          <cell r="Y652">
            <v>1</v>
          </cell>
          <cell r="AD652">
            <v>11500</v>
          </cell>
          <cell r="BM652">
            <v>2523.98</v>
          </cell>
        </row>
        <row r="653">
          <cell r="B653" t="str">
            <v>WV</v>
          </cell>
          <cell r="D653" t="str">
            <v>M</v>
          </cell>
          <cell r="G653" t="str">
            <v>UW</v>
          </cell>
          <cell r="Y653">
            <v>1</v>
          </cell>
          <cell r="AD653">
            <v>11500</v>
          </cell>
          <cell r="BM653">
            <v>2523.98</v>
          </cell>
        </row>
        <row r="654">
          <cell r="X654">
            <v>308</v>
          </cell>
          <cell r="Y654">
            <v>491</v>
          </cell>
          <cell r="AD654">
            <v>43291808</v>
          </cell>
          <cell r="BM654">
            <v>9096939.999599997</v>
          </cell>
        </row>
        <row r="655">
          <cell r="BM655">
            <v>10006633.999559997</v>
          </cell>
        </row>
      </sheetData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컬러"/>
      <sheetName val="집계장"/>
      <sheetName val="입출고"/>
      <sheetName val="주간판매(요약)-SS"/>
      <sheetName val="주간판매(요약)-FW"/>
      <sheetName val="주간판매(요약)-11SS"/>
      <sheetName val="주간판매(요약)-11FW "/>
      <sheetName val="주간판매(요약)-12SS"/>
      <sheetName val="DATA1"/>
      <sheetName val="DATA2"/>
      <sheetName val="원가"/>
      <sheetName val="일자별데이터"/>
      <sheetName val="주간판매기초(Down)"/>
      <sheetName val="2326"/>
    </sheetNames>
    <sheetDataSet>
      <sheetData sheetId="0">
        <row r="2">
          <cell r="B2" t="str">
            <v>S/WHITE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">
          <cell r="A1" t="str">
            <v>품번/일자별 판매추이현황</v>
          </cell>
        </row>
      </sheetData>
      <sheetData sheetId="9" refreshError="1"/>
      <sheetData sheetId="10">
        <row r="1">
          <cell r="A1" t="str">
            <v>STYLE-NO</v>
          </cell>
          <cell r="B1" t="str">
            <v>최초판매가</v>
          </cell>
          <cell r="C1" t="str">
            <v>원가</v>
          </cell>
        </row>
        <row r="2">
          <cell r="A2" t="str">
            <v>WLABGM310</v>
          </cell>
          <cell r="B2">
            <v>88000</v>
          </cell>
          <cell r="C2">
            <v>25107</v>
          </cell>
        </row>
        <row r="3">
          <cell r="A3" t="str">
            <v>WLABGM320</v>
          </cell>
          <cell r="B3">
            <v>73000</v>
          </cell>
          <cell r="C3">
            <v>23107</v>
          </cell>
        </row>
        <row r="4">
          <cell r="A4" t="str">
            <v>WLABGM330</v>
          </cell>
          <cell r="B4">
            <v>49000</v>
          </cell>
          <cell r="C4">
            <v>15107</v>
          </cell>
        </row>
        <row r="5">
          <cell r="A5" t="str">
            <v>WLABKM010</v>
          </cell>
          <cell r="B5">
            <v>165000</v>
          </cell>
          <cell r="C5">
            <v>44107</v>
          </cell>
        </row>
        <row r="6">
          <cell r="A6" t="str">
            <v>WLABKM020</v>
          </cell>
          <cell r="B6">
            <v>135000</v>
          </cell>
          <cell r="C6">
            <v>43107</v>
          </cell>
        </row>
        <row r="7">
          <cell r="A7" t="str">
            <v>WLABKM310</v>
          </cell>
          <cell r="B7">
            <v>155000</v>
          </cell>
          <cell r="C7">
            <v>40107</v>
          </cell>
        </row>
        <row r="8">
          <cell r="A8" t="str">
            <v>WLABKM320</v>
          </cell>
          <cell r="B8">
            <v>120000</v>
          </cell>
          <cell r="C8">
            <v>33107</v>
          </cell>
        </row>
        <row r="9">
          <cell r="A9" t="str">
            <v>WLABKM330</v>
          </cell>
          <cell r="B9">
            <v>105000</v>
          </cell>
          <cell r="C9">
            <v>29107</v>
          </cell>
        </row>
        <row r="10">
          <cell r="A10" t="str">
            <v>WLABKM340</v>
          </cell>
          <cell r="B10">
            <v>90000</v>
          </cell>
          <cell r="C10">
            <v>24107</v>
          </cell>
        </row>
        <row r="11">
          <cell r="A11" t="str">
            <v>WLACPM010</v>
          </cell>
          <cell r="B11">
            <v>69000</v>
          </cell>
          <cell r="C11">
            <v>19307</v>
          </cell>
        </row>
        <row r="12">
          <cell r="A12" t="str">
            <v>WLACPM020</v>
          </cell>
          <cell r="B12">
            <v>69000</v>
          </cell>
          <cell r="C12">
            <v>16107</v>
          </cell>
        </row>
        <row r="13">
          <cell r="A13" t="str">
            <v>WLACPM030</v>
          </cell>
          <cell r="B13">
            <v>63000</v>
          </cell>
          <cell r="C13">
            <v>15707</v>
          </cell>
        </row>
        <row r="14">
          <cell r="A14" t="str">
            <v>WLACPM040</v>
          </cell>
          <cell r="B14">
            <v>56000</v>
          </cell>
          <cell r="C14">
            <v>15207</v>
          </cell>
        </row>
        <row r="15">
          <cell r="A15" t="str">
            <v>WLACPM050</v>
          </cell>
          <cell r="B15">
            <v>69000</v>
          </cell>
          <cell r="C15">
            <v>15107</v>
          </cell>
        </row>
        <row r="16">
          <cell r="A16" t="str">
            <v>WLACPM060</v>
          </cell>
          <cell r="B16">
            <v>56000</v>
          </cell>
          <cell r="C16">
            <v>17307</v>
          </cell>
        </row>
        <row r="17">
          <cell r="A17" t="str">
            <v>WLACPM070</v>
          </cell>
          <cell r="B17">
            <v>58000</v>
          </cell>
          <cell r="C17">
            <v>17807</v>
          </cell>
        </row>
        <row r="18">
          <cell r="A18" t="str">
            <v>WLACPM170</v>
          </cell>
          <cell r="B18">
            <v>56000</v>
          </cell>
          <cell r="C18">
            <v>18207</v>
          </cell>
        </row>
        <row r="19">
          <cell r="A19" t="str">
            <v>WLACPM310</v>
          </cell>
          <cell r="B19">
            <v>18000</v>
          </cell>
          <cell r="C19">
            <v>3707</v>
          </cell>
        </row>
        <row r="20">
          <cell r="A20" t="str">
            <v>WLACPM320</v>
          </cell>
          <cell r="B20">
            <v>18000</v>
          </cell>
          <cell r="C20">
            <v>3707</v>
          </cell>
        </row>
        <row r="21">
          <cell r="A21" t="str">
            <v>WLACPM330</v>
          </cell>
          <cell r="B21">
            <v>18000</v>
          </cell>
          <cell r="C21">
            <v>3707</v>
          </cell>
        </row>
        <row r="22">
          <cell r="A22" t="str">
            <v>WLACPM340</v>
          </cell>
          <cell r="B22">
            <v>18000</v>
          </cell>
          <cell r="C22">
            <v>3707</v>
          </cell>
        </row>
        <row r="23">
          <cell r="A23" t="str">
            <v>WLACPM350</v>
          </cell>
          <cell r="B23">
            <v>60000</v>
          </cell>
          <cell r="C23">
            <v>14907</v>
          </cell>
        </row>
        <row r="24">
          <cell r="A24" t="str">
            <v>WLACPM360</v>
          </cell>
          <cell r="B24">
            <v>46000</v>
          </cell>
          <cell r="C24">
            <v>8607</v>
          </cell>
        </row>
        <row r="25">
          <cell r="A25" t="str">
            <v>WLACPM610</v>
          </cell>
          <cell r="B25">
            <v>48000</v>
          </cell>
          <cell r="C25">
            <v>16107</v>
          </cell>
        </row>
        <row r="26">
          <cell r="A26" t="str">
            <v>WLACPM620</v>
          </cell>
          <cell r="B26">
            <v>45000</v>
          </cell>
          <cell r="C26">
            <v>11607</v>
          </cell>
        </row>
        <row r="27">
          <cell r="A27" t="str">
            <v>WLACPM630</v>
          </cell>
          <cell r="B27">
            <v>45000</v>
          </cell>
          <cell r="C27">
            <v>12607</v>
          </cell>
        </row>
        <row r="28">
          <cell r="A28" t="str">
            <v>WLACPM790</v>
          </cell>
          <cell r="B28">
            <v>19000</v>
          </cell>
          <cell r="C28">
            <v>4020</v>
          </cell>
        </row>
        <row r="29">
          <cell r="A29" t="str">
            <v>WLAGJI010</v>
          </cell>
          <cell r="B29">
            <v>1089000</v>
          </cell>
          <cell r="C29">
            <v>305849</v>
          </cell>
        </row>
        <row r="30">
          <cell r="A30" t="str">
            <v>WLAGJI020</v>
          </cell>
          <cell r="B30">
            <v>1129000</v>
          </cell>
          <cell r="C30">
            <v>315373</v>
          </cell>
        </row>
        <row r="31">
          <cell r="A31" t="str">
            <v>WLAGJI210</v>
          </cell>
          <cell r="B31">
            <v>1000000</v>
          </cell>
          <cell r="C31">
            <v>303515</v>
          </cell>
        </row>
        <row r="32">
          <cell r="A32" t="str">
            <v>WLAGJM010</v>
          </cell>
          <cell r="B32">
            <v>390000</v>
          </cell>
          <cell r="C32">
            <v>66527</v>
          </cell>
        </row>
        <row r="33">
          <cell r="A33" t="str">
            <v>WLAGJM310</v>
          </cell>
          <cell r="B33">
            <v>350000</v>
          </cell>
          <cell r="C33">
            <v>53527</v>
          </cell>
        </row>
        <row r="34">
          <cell r="A34" t="str">
            <v>WLAGJM320</v>
          </cell>
          <cell r="B34">
            <v>390000</v>
          </cell>
          <cell r="C34">
            <v>68727</v>
          </cell>
        </row>
        <row r="35">
          <cell r="A35" t="str">
            <v>WLAGLM010</v>
          </cell>
          <cell r="B35">
            <v>43000</v>
          </cell>
          <cell r="C35">
            <v>11607</v>
          </cell>
        </row>
        <row r="36">
          <cell r="A36" t="str">
            <v>WLAGLM020</v>
          </cell>
          <cell r="B36">
            <v>43000</v>
          </cell>
          <cell r="C36">
            <v>10607</v>
          </cell>
        </row>
        <row r="37">
          <cell r="A37" t="str">
            <v>WLAGLM030</v>
          </cell>
          <cell r="B37">
            <v>43000</v>
          </cell>
          <cell r="C37">
            <v>10607</v>
          </cell>
        </row>
        <row r="38">
          <cell r="A38" t="str">
            <v>WLAGLM040</v>
          </cell>
          <cell r="B38">
            <v>26000</v>
          </cell>
          <cell r="C38">
            <v>6107</v>
          </cell>
        </row>
        <row r="39">
          <cell r="A39" t="str">
            <v>WLAGLM310</v>
          </cell>
          <cell r="B39">
            <v>40000</v>
          </cell>
          <cell r="C39">
            <v>10607</v>
          </cell>
        </row>
        <row r="40">
          <cell r="A40" t="str">
            <v>WLAGLM320</v>
          </cell>
          <cell r="B40">
            <v>40000</v>
          </cell>
          <cell r="C40">
            <v>11607</v>
          </cell>
        </row>
        <row r="41">
          <cell r="A41" t="str">
            <v>WLAGLM330</v>
          </cell>
          <cell r="B41">
            <v>40000</v>
          </cell>
          <cell r="C41">
            <v>10607</v>
          </cell>
        </row>
        <row r="42">
          <cell r="A42" t="str">
            <v>WLAGLM340</v>
          </cell>
          <cell r="B42">
            <v>43000</v>
          </cell>
          <cell r="C42">
            <v>11607</v>
          </cell>
        </row>
        <row r="43">
          <cell r="A43" t="str">
            <v>WLAGLM350</v>
          </cell>
          <cell r="B43">
            <v>18000</v>
          </cell>
          <cell r="C43">
            <v>3607</v>
          </cell>
        </row>
        <row r="44">
          <cell r="A44" t="str">
            <v>WLAJKI030</v>
          </cell>
          <cell r="B44">
            <v>499000</v>
          </cell>
          <cell r="C44">
            <v>142045</v>
          </cell>
        </row>
        <row r="45">
          <cell r="A45" t="str">
            <v>WLAJKM020</v>
          </cell>
          <cell r="B45">
            <v>350000</v>
          </cell>
          <cell r="C45">
            <v>66827</v>
          </cell>
        </row>
        <row r="46">
          <cell r="A46" t="str">
            <v>WLAJKM030</v>
          </cell>
          <cell r="B46">
            <v>290000</v>
          </cell>
          <cell r="C46">
            <v>60327</v>
          </cell>
        </row>
        <row r="47">
          <cell r="A47" t="str">
            <v>WLAJKM310</v>
          </cell>
          <cell r="B47">
            <v>320000</v>
          </cell>
          <cell r="C47">
            <v>61827</v>
          </cell>
        </row>
        <row r="48">
          <cell r="A48" t="str">
            <v>WLAJKM610</v>
          </cell>
          <cell r="B48">
            <v>199000</v>
          </cell>
          <cell r="C48">
            <v>46127</v>
          </cell>
        </row>
        <row r="49">
          <cell r="A49" t="str">
            <v>WLAJKM810</v>
          </cell>
          <cell r="B49">
            <v>129000</v>
          </cell>
          <cell r="C49">
            <v>29275</v>
          </cell>
        </row>
        <row r="50">
          <cell r="A50" t="str">
            <v>WLAJKM900</v>
          </cell>
          <cell r="B50">
            <v>199000</v>
          </cell>
          <cell r="C50">
            <v>50524</v>
          </cell>
        </row>
        <row r="51">
          <cell r="A51" t="str">
            <v>WLAJKP040</v>
          </cell>
          <cell r="B51">
            <v>338000</v>
          </cell>
          <cell r="C51">
            <v>51127</v>
          </cell>
        </row>
        <row r="52">
          <cell r="A52" t="str">
            <v>WLAJKS450</v>
          </cell>
          <cell r="B52">
            <v>159000</v>
          </cell>
          <cell r="C52">
            <v>33957</v>
          </cell>
        </row>
        <row r="53">
          <cell r="A53" t="str">
            <v>WLAKPM310</v>
          </cell>
          <cell r="B53">
            <v>36000</v>
          </cell>
          <cell r="C53">
            <v>8520</v>
          </cell>
        </row>
        <row r="54">
          <cell r="A54" t="str">
            <v>WLAKPM311</v>
          </cell>
          <cell r="B54">
            <v>36000</v>
          </cell>
          <cell r="C54">
            <v>8520</v>
          </cell>
        </row>
        <row r="55">
          <cell r="A55" t="str">
            <v>WLAPSM630</v>
          </cell>
          <cell r="B55">
            <v>89000</v>
          </cell>
          <cell r="C55">
            <v>23457</v>
          </cell>
        </row>
        <row r="56">
          <cell r="A56" t="str">
            <v>WLAPSM810</v>
          </cell>
          <cell r="B56">
            <v>59000</v>
          </cell>
          <cell r="C56">
            <v>17257</v>
          </cell>
        </row>
        <row r="57">
          <cell r="A57" t="str">
            <v>WLAPTM031</v>
          </cell>
          <cell r="B57">
            <v>139000</v>
          </cell>
          <cell r="C57">
            <v>29957</v>
          </cell>
        </row>
        <row r="58">
          <cell r="A58" t="str">
            <v>WLAPTM610</v>
          </cell>
          <cell r="B58">
            <v>119000</v>
          </cell>
          <cell r="C58">
            <v>28057</v>
          </cell>
        </row>
        <row r="59">
          <cell r="A59" t="str">
            <v>WLAPTM620</v>
          </cell>
          <cell r="B59">
            <v>129000</v>
          </cell>
          <cell r="C59">
            <v>30257</v>
          </cell>
        </row>
        <row r="60">
          <cell r="A60" t="str">
            <v>WLAPTM810</v>
          </cell>
          <cell r="B60">
            <v>79000</v>
          </cell>
          <cell r="C60">
            <v>20620</v>
          </cell>
        </row>
        <row r="61">
          <cell r="A61" t="str">
            <v>WLAPTM820</v>
          </cell>
          <cell r="B61">
            <v>119000</v>
          </cell>
          <cell r="C61">
            <v>30738</v>
          </cell>
        </row>
        <row r="62">
          <cell r="A62" t="str">
            <v>WLAPTM830</v>
          </cell>
          <cell r="B62">
            <v>129000</v>
          </cell>
          <cell r="C62">
            <v>32567</v>
          </cell>
        </row>
        <row r="63">
          <cell r="A63" t="str">
            <v>WLAPTM840</v>
          </cell>
          <cell r="B63">
            <v>99000</v>
          </cell>
          <cell r="C63">
            <v>24920</v>
          </cell>
        </row>
        <row r="64">
          <cell r="A64" t="str">
            <v>WLAPTM850</v>
          </cell>
          <cell r="B64">
            <v>109000</v>
          </cell>
          <cell r="C64">
            <v>27619</v>
          </cell>
        </row>
        <row r="65">
          <cell r="A65" t="str">
            <v>WLAPTM860</v>
          </cell>
          <cell r="B65">
            <v>99000</v>
          </cell>
          <cell r="C65">
            <v>24819</v>
          </cell>
        </row>
        <row r="66">
          <cell r="A66" t="str">
            <v>WLAPTM870</v>
          </cell>
          <cell r="B66">
            <v>139000</v>
          </cell>
          <cell r="C66">
            <v>21121</v>
          </cell>
        </row>
        <row r="67">
          <cell r="A67" t="str">
            <v>WLASCM010</v>
          </cell>
          <cell r="B67">
            <v>90000</v>
          </cell>
          <cell r="C67">
            <v>22607</v>
          </cell>
        </row>
        <row r="68">
          <cell r="A68" t="str">
            <v>WLASCM310</v>
          </cell>
          <cell r="B68">
            <v>90000</v>
          </cell>
          <cell r="C68">
            <v>25107</v>
          </cell>
        </row>
        <row r="69">
          <cell r="A69" t="str">
            <v>WLASCM320</v>
          </cell>
          <cell r="B69">
            <v>90000</v>
          </cell>
          <cell r="C69">
            <v>25607</v>
          </cell>
        </row>
        <row r="70">
          <cell r="A70" t="str">
            <v>WLASCM330</v>
          </cell>
          <cell r="B70">
            <v>90000</v>
          </cell>
          <cell r="C70">
            <v>24607</v>
          </cell>
        </row>
        <row r="71">
          <cell r="A71" t="str">
            <v>WLASFM310</v>
          </cell>
          <cell r="B71">
            <v>8000</v>
          </cell>
          <cell r="C71">
            <v>1320</v>
          </cell>
        </row>
        <row r="72">
          <cell r="A72" t="str">
            <v>WLASFM320</v>
          </cell>
          <cell r="B72">
            <v>8000</v>
          </cell>
          <cell r="C72">
            <v>1320</v>
          </cell>
        </row>
        <row r="73">
          <cell r="A73" t="str">
            <v>WLASHE360</v>
          </cell>
          <cell r="B73">
            <v>116500</v>
          </cell>
          <cell r="C73">
            <v>54707</v>
          </cell>
        </row>
        <row r="74">
          <cell r="A74" t="str">
            <v>WLASHE610</v>
          </cell>
          <cell r="B74">
            <v>150000</v>
          </cell>
          <cell r="C74">
            <v>42907</v>
          </cell>
        </row>
        <row r="75">
          <cell r="A75" t="str">
            <v>WLASHE620</v>
          </cell>
          <cell r="B75">
            <v>150000</v>
          </cell>
          <cell r="C75">
            <v>42907</v>
          </cell>
        </row>
        <row r="76">
          <cell r="A76" t="str">
            <v>WLASHM010</v>
          </cell>
          <cell r="B76">
            <v>250000</v>
          </cell>
          <cell r="C76">
            <v>78627</v>
          </cell>
        </row>
        <row r="77">
          <cell r="A77" t="str">
            <v>WLASHM110</v>
          </cell>
          <cell r="B77">
            <v>219000</v>
          </cell>
          <cell r="C77">
            <v>64221</v>
          </cell>
        </row>
        <row r="78">
          <cell r="A78" t="str">
            <v>WLASHM120</v>
          </cell>
          <cell r="B78">
            <v>199000</v>
          </cell>
          <cell r="C78">
            <v>66121</v>
          </cell>
        </row>
        <row r="79">
          <cell r="A79" t="str">
            <v>WLASHM130</v>
          </cell>
          <cell r="B79">
            <v>189000</v>
          </cell>
          <cell r="C79">
            <v>62121</v>
          </cell>
        </row>
        <row r="80">
          <cell r="A80" t="str">
            <v>WLASHM310</v>
          </cell>
          <cell r="B80">
            <v>230000</v>
          </cell>
          <cell r="C80">
            <v>79027</v>
          </cell>
        </row>
        <row r="81">
          <cell r="A81" t="str">
            <v>WLASHM320</v>
          </cell>
          <cell r="B81">
            <v>140000</v>
          </cell>
          <cell r="C81">
            <v>40137</v>
          </cell>
        </row>
        <row r="82">
          <cell r="A82" t="str">
            <v>WLASHM330</v>
          </cell>
          <cell r="B82">
            <v>140000</v>
          </cell>
          <cell r="C82">
            <v>37137</v>
          </cell>
        </row>
        <row r="83">
          <cell r="A83" t="str">
            <v>WLASHM350</v>
          </cell>
          <cell r="B83">
            <v>220000</v>
          </cell>
          <cell r="C83">
            <v>66327</v>
          </cell>
        </row>
        <row r="84">
          <cell r="A84" t="str">
            <v>WLASHM360</v>
          </cell>
          <cell r="B84">
            <v>230000</v>
          </cell>
          <cell r="C84">
            <v>72927</v>
          </cell>
        </row>
        <row r="85">
          <cell r="A85" t="str">
            <v>WLASHX110</v>
          </cell>
          <cell r="B85">
            <v>219000</v>
          </cell>
          <cell r="C85">
            <v>64221</v>
          </cell>
        </row>
        <row r="86">
          <cell r="A86" t="str">
            <v>WLASHX120</v>
          </cell>
          <cell r="B86">
            <v>199000</v>
          </cell>
          <cell r="C86">
            <v>66121</v>
          </cell>
        </row>
        <row r="87">
          <cell r="A87" t="str">
            <v>WLASHX130</v>
          </cell>
          <cell r="B87">
            <v>189000</v>
          </cell>
          <cell r="C87">
            <v>62121</v>
          </cell>
        </row>
        <row r="88">
          <cell r="A88" t="str">
            <v>WLASKS810</v>
          </cell>
          <cell r="B88">
            <v>59000</v>
          </cell>
          <cell r="C88">
            <v>12557</v>
          </cell>
        </row>
        <row r="89">
          <cell r="A89" t="str">
            <v>WLASKS820</v>
          </cell>
          <cell r="B89">
            <v>69000</v>
          </cell>
          <cell r="C89">
            <v>15257</v>
          </cell>
        </row>
        <row r="90">
          <cell r="A90" t="str">
            <v>WLASKS830</v>
          </cell>
          <cell r="B90">
            <v>69000</v>
          </cell>
          <cell r="C90">
            <v>14357</v>
          </cell>
        </row>
        <row r="91">
          <cell r="A91" t="str">
            <v>WLASOS610</v>
          </cell>
          <cell r="B91">
            <v>9000</v>
          </cell>
          <cell r="C91">
            <v>2420</v>
          </cell>
        </row>
        <row r="92">
          <cell r="A92" t="str">
            <v>WLASOS620</v>
          </cell>
          <cell r="B92">
            <v>9000</v>
          </cell>
          <cell r="C92">
            <v>2520</v>
          </cell>
        </row>
        <row r="93">
          <cell r="A93" t="str">
            <v>WLATLM610</v>
          </cell>
          <cell r="B93">
            <v>59000</v>
          </cell>
          <cell r="C93">
            <v>14657</v>
          </cell>
        </row>
        <row r="94">
          <cell r="A94" t="str">
            <v>WLATLM620</v>
          </cell>
          <cell r="B94">
            <v>45000</v>
          </cell>
          <cell r="C94">
            <v>10957</v>
          </cell>
        </row>
        <row r="95">
          <cell r="A95" t="str">
            <v>WLATLM630</v>
          </cell>
          <cell r="B95">
            <v>59000</v>
          </cell>
          <cell r="C95">
            <v>13157</v>
          </cell>
        </row>
        <row r="96">
          <cell r="A96" t="str">
            <v>WLATLM810</v>
          </cell>
          <cell r="B96">
            <v>155000</v>
          </cell>
          <cell r="C96">
            <v>39280</v>
          </cell>
        </row>
        <row r="97">
          <cell r="A97" t="str">
            <v>WLATLM820</v>
          </cell>
          <cell r="B97">
            <v>139000</v>
          </cell>
          <cell r="C97">
            <v>34712</v>
          </cell>
        </row>
        <row r="98">
          <cell r="A98" t="str">
            <v>WLATSM610</v>
          </cell>
          <cell r="B98">
            <v>49000</v>
          </cell>
          <cell r="C98">
            <v>10257</v>
          </cell>
        </row>
        <row r="99">
          <cell r="A99" t="str">
            <v>WLATSM620</v>
          </cell>
          <cell r="B99">
            <v>89000</v>
          </cell>
          <cell r="C99">
            <v>19057</v>
          </cell>
        </row>
        <row r="100">
          <cell r="A100" t="str">
            <v>WLATSM630</v>
          </cell>
          <cell r="B100">
            <v>52000</v>
          </cell>
          <cell r="C100">
            <v>12757</v>
          </cell>
        </row>
        <row r="101">
          <cell r="A101" t="str">
            <v>WLATSM640</v>
          </cell>
          <cell r="B101">
            <v>59000</v>
          </cell>
          <cell r="C101">
            <v>14657</v>
          </cell>
        </row>
        <row r="102">
          <cell r="A102" t="str">
            <v>WLATSM650</v>
          </cell>
          <cell r="B102">
            <v>62000</v>
          </cell>
          <cell r="C102">
            <v>15657</v>
          </cell>
        </row>
        <row r="103">
          <cell r="A103" t="str">
            <v>WLATSM660</v>
          </cell>
          <cell r="B103">
            <v>59000</v>
          </cell>
          <cell r="C103">
            <v>15157</v>
          </cell>
        </row>
        <row r="104">
          <cell r="A104" t="str">
            <v>WLATSM670</v>
          </cell>
          <cell r="B104">
            <v>49000</v>
          </cell>
          <cell r="C104">
            <v>12357</v>
          </cell>
        </row>
        <row r="105">
          <cell r="A105" t="str">
            <v>WLATSM680</v>
          </cell>
          <cell r="B105">
            <v>69000</v>
          </cell>
          <cell r="C105">
            <v>17057</v>
          </cell>
        </row>
        <row r="106">
          <cell r="A106" t="str">
            <v>WLATSM690</v>
          </cell>
          <cell r="B106">
            <v>69000</v>
          </cell>
          <cell r="C106">
            <v>15430</v>
          </cell>
        </row>
        <row r="107">
          <cell r="A107" t="str">
            <v>WLATSM691</v>
          </cell>
          <cell r="B107">
            <v>69000</v>
          </cell>
          <cell r="C107">
            <v>15430</v>
          </cell>
        </row>
        <row r="108">
          <cell r="A108" t="str">
            <v>WLATSM810</v>
          </cell>
          <cell r="B108">
            <v>155000</v>
          </cell>
          <cell r="C108">
            <v>38416</v>
          </cell>
        </row>
        <row r="109">
          <cell r="A109" t="str">
            <v>WLATSM820</v>
          </cell>
          <cell r="B109">
            <v>129000</v>
          </cell>
          <cell r="C109">
            <v>33367</v>
          </cell>
        </row>
        <row r="110">
          <cell r="A110" t="str">
            <v>WLATSS710</v>
          </cell>
          <cell r="B110">
            <v>79000</v>
          </cell>
          <cell r="C110">
            <v>17957</v>
          </cell>
        </row>
        <row r="111">
          <cell r="A111" t="str">
            <v>WLATSS720</v>
          </cell>
          <cell r="B111">
            <v>69000</v>
          </cell>
          <cell r="C111">
            <v>15157</v>
          </cell>
        </row>
        <row r="112">
          <cell r="A112" t="str">
            <v>WLATSS730</v>
          </cell>
          <cell r="B112">
            <v>69000</v>
          </cell>
          <cell r="C112">
            <v>15657</v>
          </cell>
        </row>
        <row r="113">
          <cell r="A113" t="str">
            <v>WLATSS740</v>
          </cell>
          <cell r="B113">
            <v>79000</v>
          </cell>
          <cell r="C113">
            <v>17457</v>
          </cell>
        </row>
        <row r="114">
          <cell r="A114" t="str">
            <v>WLATSS750</v>
          </cell>
          <cell r="B114">
            <v>79000</v>
          </cell>
          <cell r="C114">
            <v>17957</v>
          </cell>
        </row>
        <row r="115">
          <cell r="A115" t="str">
            <v>WLATSS760</v>
          </cell>
          <cell r="B115">
            <v>89000</v>
          </cell>
          <cell r="C115">
            <v>19357</v>
          </cell>
        </row>
        <row r="116">
          <cell r="A116" t="str">
            <v>WLATSS780</v>
          </cell>
          <cell r="B116">
            <v>89000</v>
          </cell>
          <cell r="C116">
            <v>19857</v>
          </cell>
        </row>
        <row r="117">
          <cell r="A117" t="str">
            <v>WLATSS790</v>
          </cell>
          <cell r="B117">
            <v>89000</v>
          </cell>
          <cell r="C117">
            <v>19957</v>
          </cell>
        </row>
        <row r="118">
          <cell r="A118" t="str">
            <v>WLAUWM010</v>
          </cell>
          <cell r="B118">
            <v>48000</v>
          </cell>
          <cell r="C118">
            <v>10557</v>
          </cell>
        </row>
        <row r="119">
          <cell r="A119" t="str">
            <v>WLAUWM020</v>
          </cell>
          <cell r="B119">
            <v>36000</v>
          </cell>
          <cell r="C119">
            <v>7657</v>
          </cell>
        </row>
        <row r="120">
          <cell r="A120" t="str">
            <v>WLAUWM110</v>
          </cell>
          <cell r="B120">
            <v>52000</v>
          </cell>
          <cell r="C120">
            <v>10957</v>
          </cell>
        </row>
        <row r="121">
          <cell r="A121" t="str">
            <v>WLAUWM120</v>
          </cell>
          <cell r="B121">
            <v>32000</v>
          </cell>
          <cell r="C121">
            <v>6657</v>
          </cell>
        </row>
        <row r="122">
          <cell r="A122" t="str">
            <v>WLAVSM620</v>
          </cell>
          <cell r="B122">
            <v>195000</v>
          </cell>
          <cell r="C122">
            <v>43127</v>
          </cell>
        </row>
        <row r="123">
          <cell r="A123" t="str">
            <v>WLAVSM820</v>
          </cell>
          <cell r="B123">
            <v>150000</v>
          </cell>
          <cell r="C123">
            <v>40075</v>
          </cell>
        </row>
        <row r="124">
          <cell r="A124" t="str">
            <v>WLAVSS350</v>
          </cell>
          <cell r="B124">
            <v>129000</v>
          </cell>
          <cell r="C124">
            <v>28657</v>
          </cell>
        </row>
        <row r="125">
          <cell r="A125" t="str">
            <v>WLFJKM010</v>
          </cell>
          <cell r="B125">
            <v>390000</v>
          </cell>
        </row>
        <row r="126">
          <cell r="A126" t="str">
            <v>WLFJKM020</v>
          </cell>
          <cell r="B126">
            <v>350000</v>
          </cell>
        </row>
        <row r="127">
          <cell r="A127" t="str">
            <v>WLFJKM310</v>
          </cell>
          <cell r="B127">
            <v>330000</v>
          </cell>
        </row>
        <row r="128">
          <cell r="A128" t="str">
            <v>WLFJKM320</v>
          </cell>
          <cell r="B128">
            <v>290000</v>
          </cell>
        </row>
        <row r="129">
          <cell r="A129" t="str">
            <v>WLFJKM330</v>
          </cell>
          <cell r="B129">
            <v>260000</v>
          </cell>
        </row>
        <row r="130">
          <cell r="A130" t="str">
            <v>WLFJKP030</v>
          </cell>
          <cell r="B130">
            <v>378000</v>
          </cell>
        </row>
        <row r="131">
          <cell r="A131" t="str">
            <v>WLFJPM040</v>
          </cell>
          <cell r="B131">
            <v>179000</v>
          </cell>
        </row>
        <row r="132">
          <cell r="A132" t="str">
            <v>WLFJPM050</v>
          </cell>
          <cell r="B132">
            <v>198000</v>
          </cell>
        </row>
        <row r="133">
          <cell r="A133" t="str">
            <v>WLFJPM340</v>
          </cell>
          <cell r="B133">
            <v>179000</v>
          </cell>
        </row>
        <row r="134">
          <cell r="A134" t="str">
            <v>WLFPTM010</v>
          </cell>
          <cell r="B134">
            <v>219000</v>
          </cell>
        </row>
        <row r="135">
          <cell r="A135" t="str">
            <v>WLFPTM020</v>
          </cell>
          <cell r="B135">
            <v>179000</v>
          </cell>
        </row>
        <row r="136">
          <cell r="A136" t="str">
            <v>WLFPTM030</v>
          </cell>
          <cell r="B136">
            <v>199000</v>
          </cell>
        </row>
        <row r="137">
          <cell r="A137" t="str">
            <v>WLFPTM040</v>
          </cell>
          <cell r="B137">
            <v>169000</v>
          </cell>
        </row>
        <row r="138">
          <cell r="A138" t="str">
            <v>WLFPTM050</v>
          </cell>
          <cell r="B138">
            <v>189000</v>
          </cell>
        </row>
        <row r="139">
          <cell r="A139" t="str">
            <v>WLFPTM060</v>
          </cell>
          <cell r="B139">
            <v>139000</v>
          </cell>
        </row>
        <row r="140">
          <cell r="A140" t="str">
            <v>WLFPTM310</v>
          </cell>
          <cell r="B140">
            <v>169000</v>
          </cell>
        </row>
        <row r="141">
          <cell r="A141" t="str">
            <v>WLFPTM320</v>
          </cell>
          <cell r="B141">
            <v>179000</v>
          </cell>
        </row>
        <row r="142">
          <cell r="A142" t="str">
            <v>WLFPTM330</v>
          </cell>
          <cell r="B142">
            <v>169000</v>
          </cell>
        </row>
        <row r="143">
          <cell r="A143" t="str">
            <v>WLFPTP910</v>
          </cell>
          <cell r="B143">
            <v>198000</v>
          </cell>
        </row>
        <row r="144">
          <cell r="A144" t="str">
            <v>WLFTLM010</v>
          </cell>
          <cell r="B144">
            <v>109000</v>
          </cell>
        </row>
        <row r="145">
          <cell r="A145" t="str">
            <v>WLFTLM020</v>
          </cell>
          <cell r="B145">
            <v>109000</v>
          </cell>
        </row>
        <row r="146">
          <cell r="A146" t="str">
            <v>WLFTLM030</v>
          </cell>
          <cell r="B146">
            <v>109000</v>
          </cell>
        </row>
        <row r="147">
          <cell r="A147" t="str">
            <v>WLFTLM040</v>
          </cell>
          <cell r="B147">
            <v>109000</v>
          </cell>
        </row>
        <row r="148">
          <cell r="A148" t="str">
            <v>WLFTLM050</v>
          </cell>
          <cell r="B148">
            <v>119000</v>
          </cell>
        </row>
        <row r="149">
          <cell r="A149" t="str">
            <v>WLFTLM060</v>
          </cell>
          <cell r="B149">
            <v>149000</v>
          </cell>
        </row>
        <row r="150">
          <cell r="A150" t="str">
            <v>WLFTLM070</v>
          </cell>
          <cell r="B150">
            <v>139000</v>
          </cell>
        </row>
        <row r="151">
          <cell r="A151" t="str">
            <v>WLFTLM310</v>
          </cell>
          <cell r="B151">
            <v>119600</v>
          </cell>
        </row>
        <row r="152">
          <cell r="A152" t="str">
            <v>WLFTLM320</v>
          </cell>
          <cell r="B152">
            <v>109000</v>
          </cell>
        </row>
        <row r="153">
          <cell r="A153" t="str">
            <v>WLFTLM330</v>
          </cell>
          <cell r="B153">
            <v>109000</v>
          </cell>
        </row>
        <row r="154">
          <cell r="A154" t="str">
            <v>WLFTLM340</v>
          </cell>
          <cell r="B154">
            <v>109000</v>
          </cell>
        </row>
        <row r="155">
          <cell r="A155" t="str">
            <v>WLFTLP910</v>
          </cell>
          <cell r="B155">
            <v>180000</v>
          </cell>
        </row>
        <row r="156">
          <cell r="A156" t="str">
            <v>WLFVSM010</v>
          </cell>
          <cell r="B156">
            <v>119000</v>
          </cell>
        </row>
        <row r="157">
          <cell r="A157" t="str">
            <v>WLFVSM020</v>
          </cell>
          <cell r="B157">
            <v>129000</v>
          </cell>
        </row>
        <row r="158">
          <cell r="A158" t="str">
            <v>WLMCPM310</v>
          </cell>
          <cell r="B158">
            <v>54000</v>
          </cell>
          <cell r="C158">
            <v>14207</v>
          </cell>
        </row>
        <row r="159">
          <cell r="A159" t="str">
            <v>WLMCPM320</v>
          </cell>
          <cell r="B159">
            <v>56000</v>
          </cell>
          <cell r="C159">
            <v>14807</v>
          </cell>
        </row>
        <row r="160">
          <cell r="A160" t="str">
            <v>WLMCPM330</v>
          </cell>
          <cell r="B160">
            <v>48000</v>
          </cell>
          <cell r="C160">
            <v>13207</v>
          </cell>
        </row>
        <row r="161">
          <cell r="A161" t="str">
            <v>WLMCPM340</v>
          </cell>
          <cell r="B161">
            <v>45000</v>
          </cell>
          <cell r="C161">
            <v>10607</v>
          </cell>
        </row>
        <row r="162">
          <cell r="A162" t="str">
            <v>WLMCPM350</v>
          </cell>
          <cell r="B162">
            <v>46000</v>
          </cell>
          <cell r="C162">
            <v>14107</v>
          </cell>
        </row>
        <row r="163">
          <cell r="A163" t="str">
            <v>WLMCPM610</v>
          </cell>
          <cell r="B163">
            <v>46000</v>
          </cell>
          <cell r="C163">
            <v>11107</v>
          </cell>
        </row>
        <row r="164">
          <cell r="A164" t="str">
            <v>WLMCPM620</v>
          </cell>
          <cell r="B164">
            <v>53000</v>
          </cell>
          <cell r="C164">
            <v>14007</v>
          </cell>
        </row>
        <row r="165">
          <cell r="A165" t="str">
            <v>WLMCPM630</v>
          </cell>
          <cell r="B165">
            <v>43000</v>
          </cell>
          <cell r="C165">
            <v>10707</v>
          </cell>
        </row>
        <row r="166">
          <cell r="A166" t="str">
            <v>WLMCPM640</v>
          </cell>
          <cell r="B166">
            <v>40000</v>
          </cell>
          <cell r="C166">
            <v>8607</v>
          </cell>
        </row>
        <row r="167">
          <cell r="A167" t="str">
            <v>WLMGLM010</v>
          </cell>
          <cell r="B167">
            <v>38000</v>
          </cell>
          <cell r="C167">
            <v>10607</v>
          </cell>
        </row>
        <row r="168">
          <cell r="A168" t="str">
            <v>WLMGLM020</v>
          </cell>
          <cell r="B168">
            <v>38000</v>
          </cell>
          <cell r="C168">
            <v>10607</v>
          </cell>
        </row>
        <row r="169">
          <cell r="A169" t="str">
            <v>WLMGLM310</v>
          </cell>
          <cell r="B169">
            <v>38000</v>
          </cell>
          <cell r="C169">
            <v>10607</v>
          </cell>
        </row>
        <row r="170">
          <cell r="A170" t="str">
            <v>WLMJKI310</v>
          </cell>
          <cell r="B170">
            <v>709000</v>
          </cell>
          <cell r="C170">
            <v>201091</v>
          </cell>
        </row>
        <row r="171">
          <cell r="A171" t="str">
            <v>WLMJKI320</v>
          </cell>
          <cell r="B171">
            <v>699000</v>
          </cell>
          <cell r="C171">
            <v>195377</v>
          </cell>
        </row>
        <row r="172">
          <cell r="A172" t="str">
            <v>WLMJKI330</v>
          </cell>
          <cell r="B172">
            <v>619000</v>
          </cell>
          <cell r="C172">
            <v>174425</v>
          </cell>
        </row>
        <row r="173">
          <cell r="A173" t="str">
            <v>WLMJKI340</v>
          </cell>
          <cell r="B173">
            <v>259000</v>
          </cell>
          <cell r="C173">
            <v>73476</v>
          </cell>
        </row>
        <row r="174">
          <cell r="A174" t="str">
            <v>WLMJKI350</v>
          </cell>
          <cell r="B174">
            <v>249000</v>
          </cell>
          <cell r="C174">
            <v>71572</v>
          </cell>
        </row>
        <row r="175">
          <cell r="A175" t="str">
            <v>WLMJKM050</v>
          </cell>
          <cell r="B175">
            <v>199000</v>
          </cell>
          <cell r="C175">
            <v>59527</v>
          </cell>
        </row>
        <row r="176">
          <cell r="A176" t="str">
            <v>WLMJKM120</v>
          </cell>
          <cell r="B176">
            <v>199000</v>
          </cell>
          <cell r="C176">
            <v>44875</v>
          </cell>
        </row>
        <row r="177">
          <cell r="A177" t="str">
            <v>WLMJKM130</v>
          </cell>
          <cell r="B177">
            <v>179000</v>
          </cell>
          <cell r="C177">
            <v>40175</v>
          </cell>
        </row>
        <row r="178">
          <cell r="A178" t="str">
            <v>WLMJKM210</v>
          </cell>
          <cell r="B178">
            <v>180000</v>
          </cell>
          <cell r="C178">
            <v>40875</v>
          </cell>
        </row>
        <row r="179">
          <cell r="A179" t="str">
            <v>WLMJKM220</v>
          </cell>
          <cell r="B179">
            <v>180000</v>
          </cell>
          <cell r="C179">
            <v>40275</v>
          </cell>
        </row>
        <row r="180">
          <cell r="A180" t="str">
            <v>WLMJKM230</v>
          </cell>
          <cell r="B180">
            <v>180000</v>
          </cell>
          <cell r="C180">
            <v>39975</v>
          </cell>
        </row>
        <row r="181">
          <cell r="A181" t="str">
            <v>WLMJKM240</v>
          </cell>
          <cell r="B181">
            <v>180000</v>
          </cell>
          <cell r="C181">
            <v>41427</v>
          </cell>
        </row>
        <row r="182">
          <cell r="A182" t="str">
            <v>WLMJKM250</v>
          </cell>
          <cell r="B182">
            <v>198000</v>
          </cell>
          <cell r="C182">
            <v>45775</v>
          </cell>
        </row>
        <row r="183">
          <cell r="A183" t="str">
            <v>WLMJKM320</v>
          </cell>
          <cell r="B183">
            <v>320000</v>
          </cell>
          <cell r="C183">
            <v>68027</v>
          </cell>
        </row>
        <row r="184">
          <cell r="A184" t="str">
            <v>WLMJKM330</v>
          </cell>
          <cell r="B184">
            <v>290000</v>
          </cell>
          <cell r="C184">
            <v>65927</v>
          </cell>
        </row>
        <row r="185">
          <cell r="A185" t="str">
            <v>WLMJKM340</v>
          </cell>
          <cell r="B185">
            <v>249000</v>
          </cell>
          <cell r="C185">
            <v>57700</v>
          </cell>
        </row>
        <row r="186">
          <cell r="A186" t="str">
            <v>WLMJKM420</v>
          </cell>
          <cell r="B186">
            <v>180000</v>
          </cell>
          <cell r="C186">
            <v>39075</v>
          </cell>
        </row>
        <row r="187">
          <cell r="A187" t="str">
            <v>WLMJKM430</v>
          </cell>
          <cell r="B187">
            <v>149000</v>
          </cell>
          <cell r="C187">
            <v>35927</v>
          </cell>
        </row>
        <row r="188">
          <cell r="A188" t="str">
            <v>WLMJKM440</v>
          </cell>
          <cell r="B188">
            <v>149000</v>
          </cell>
          <cell r="C188">
            <v>36127</v>
          </cell>
        </row>
        <row r="189">
          <cell r="A189" t="str">
            <v>WLMJKM520</v>
          </cell>
          <cell r="B189">
            <v>159000</v>
          </cell>
          <cell r="C189">
            <v>39627</v>
          </cell>
        </row>
        <row r="190">
          <cell r="A190" t="str">
            <v>WLMJKM710</v>
          </cell>
          <cell r="B190">
            <v>199000</v>
          </cell>
          <cell r="C190">
            <v>54627</v>
          </cell>
        </row>
        <row r="191">
          <cell r="A191" t="str">
            <v>WLMJKM720</v>
          </cell>
          <cell r="B191">
            <v>199000</v>
          </cell>
          <cell r="C191">
            <v>55127</v>
          </cell>
        </row>
        <row r="192">
          <cell r="A192" t="str">
            <v>WLMJKP410</v>
          </cell>
          <cell r="B192">
            <v>198000</v>
          </cell>
          <cell r="C192">
            <v>30027</v>
          </cell>
        </row>
        <row r="193">
          <cell r="A193" t="str">
            <v>WLMJKP510</v>
          </cell>
          <cell r="B193">
            <v>158000</v>
          </cell>
          <cell r="C193">
            <v>18627</v>
          </cell>
        </row>
        <row r="194">
          <cell r="A194" t="str">
            <v>WLMPSI330</v>
          </cell>
          <cell r="B194">
            <v>199000</v>
          </cell>
          <cell r="C194">
            <v>54429</v>
          </cell>
        </row>
        <row r="195">
          <cell r="A195" t="str">
            <v>WLMPSI620</v>
          </cell>
          <cell r="B195">
            <v>189000</v>
          </cell>
          <cell r="C195">
            <v>52525</v>
          </cell>
        </row>
        <row r="196">
          <cell r="A196" t="str">
            <v>WLMPSI640</v>
          </cell>
          <cell r="B196">
            <v>219000</v>
          </cell>
          <cell r="C196">
            <v>62048</v>
          </cell>
        </row>
        <row r="197">
          <cell r="A197" t="str">
            <v>WLMPSI920</v>
          </cell>
          <cell r="B197">
            <v>219000</v>
          </cell>
          <cell r="C197">
            <v>62048</v>
          </cell>
        </row>
        <row r="198">
          <cell r="A198" t="str">
            <v>WLMPSM130</v>
          </cell>
          <cell r="B198">
            <v>143000</v>
          </cell>
          <cell r="C198">
            <v>34057</v>
          </cell>
        </row>
        <row r="199">
          <cell r="A199" t="str">
            <v>WLMPSM140</v>
          </cell>
          <cell r="B199">
            <v>139000</v>
          </cell>
          <cell r="C199">
            <v>32157</v>
          </cell>
        </row>
        <row r="200">
          <cell r="A200" t="str">
            <v>WLMPSM150</v>
          </cell>
          <cell r="B200">
            <v>119000</v>
          </cell>
          <cell r="C200">
            <v>27657</v>
          </cell>
        </row>
        <row r="201">
          <cell r="A201" t="str">
            <v>WLMPSM450</v>
          </cell>
          <cell r="B201">
            <v>129000</v>
          </cell>
          <cell r="C201">
            <v>31757</v>
          </cell>
        </row>
        <row r="202">
          <cell r="A202" t="str">
            <v>WLMPSM460</v>
          </cell>
          <cell r="B202">
            <v>119000</v>
          </cell>
          <cell r="C202">
            <v>28557</v>
          </cell>
        </row>
        <row r="203">
          <cell r="A203" t="str">
            <v>WLMPSM470</v>
          </cell>
          <cell r="B203">
            <v>109000</v>
          </cell>
          <cell r="C203">
            <v>25657</v>
          </cell>
        </row>
        <row r="204">
          <cell r="A204" t="str">
            <v>WLMPSP920</v>
          </cell>
          <cell r="B204">
            <v>118000</v>
          </cell>
          <cell r="C204">
            <v>17479</v>
          </cell>
        </row>
        <row r="205">
          <cell r="A205" t="str">
            <v>WLMPSS160</v>
          </cell>
          <cell r="B205">
            <v>119000</v>
          </cell>
          <cell r="C205">
            <v>30057</v>
          </cell>
        </row>
        <row r="206">
          <cell r="A206" t="str">
            <v>WLMPTI310</v>
          </cell>
          <cell r="B206">
            <v>299000</v>
          </cell>
          <cell r="C206">
            <v>84905</v>
          </cell>
        </row>
        <row r="207">
          <cell r="A207" t="str">
            <v>WLMPTI320</v>
          </cell>
          <cell r="B207">
            <v>249000</v>
          </cell>
          <cell r="C207">
            <v>69667</v>
          </cell>
        </row>
        <row r="208">
          <cell r="A208" t="str">
            <v>WLMPTI610</v>
          </cell>
          <cell r="B208">
            <v>219000</v>
          </cell>
          <cell r="C208">
            <v>62048</v>
          </cell>
        </row>
        <row r="209">
          <cell r="A209" t="str">
            <v>WLMPTI630</v>
          </cell>
          <cell r="B209">
            <v>279000</v>
          </cell>
          <cell r="C209">
            <v>79190</v>
          </cell>
        </row>
        <row r="210">
          <cell r="A210" t="str">
            <v>WLMPTI930</v>
          </cell>
          <cell r="B210">
            <v>219000</v>
          </cell>
          <cell r="C210">
            <v>63001</v>
          </cell>
        </row>
        <row r="211">
          <cell r="A211" t="str">
            <v>WLMPTM050</v>
          </cell>
          <cell r="B211">
            <v>169000</v>
          </cell>
          <cell r="C211">
            <v>35457</v>
          </cell>
        </row>
        <row r="212">
          <cell r="A212" t="str">
            <v>WLMPTM060</v>
          </cell>
          <cell r="B212">
            <v>159000</v>
          </cell>
          <cell r="C212">
            <v>36857</v>
          </cell>
        </row>
        <row r="213">
          <cell r="A213" t="str">
            <v>WLMPTM070</v>
          </cell>
          <cell r="B213">
            <v>189000</v>
          </cell>
          <cell r="C213">
            <v>42657</v>
          </cell>
        </row>
        <row r="214">
          <cell r="A214" t="str">
            <v>WLMPTM080</v>
          </cell>
          <cell r="B214">
            <v>139000</v>
          </cell>
          <cell r="C214">
            <v>32457</v>
          </cell>
        </row>
        <row r="215">
          <cell r="A215" t="str">
            <v>WLMPTM090</v>
          </cell>
          <cell r="B215">
            <v>129000</v>
          </cell>
          <cell r="C215">
            <v>26557</v>
          </cell>
        </row>
        <row r="216">
          <cell r="A216" t="str">
            <v>WLMPTM100</v>
          </cell>
          <cell r="B216">
            <v>119000</v>
          </cell>
          <cell r="C216">
            <v>22457</v>
          </cell>
        </row>
        <row r="217">
          <cell r="A217" t="str">
            <v>WLMPTM110</v>
          </cell>
          <cell r="B217">
            <v>139000</v>
          </cell>
          <cell r="C217">
            <v>30757</v>
          </cell>
        </row>
        <row r="218">
          <cell r="A218" t="str">
            <v>WLMPTM120</v>
          </cell>
          <cell r="B218">
            <v>119000</v>
          </cell>
          <cell r="C218">
            <v>21757</v>
          </cell>
        </row>
        <row r="219">
          <cell r="A219" t="str">
            <v>WLMPTM350</v>
          </cell>
          <cell r="B219">
            <v>153000</v>
          </cell>
          <cell r="C219">
            <v>34057</v>
          </cell>
        </row>
        <row r="220">
          <cell r="A220" t="str">
            <v>WLMPTM360</v>
          </cell>
          <cell r="B220">
            <v>149000</v>
          </cell>
          <cell r="C220">
            <v>35057</v>
          </cell>
        </row>
        <row r="221">
          <cell r="A221" t="str">
            <v>WLMPTM370</v>
          </cell>
          <cell r="B221">
            <v>149000</v>
          </cell>
          <cell r="C221">
            <v>35057</v>
          </cell>
        </row>
        <row r="222">
          <cell r="A222" t="str">
            <v>WLMPTM380</v>
          </cell>
          <cell r="B222">
            <v>156000</v>
          </cell>
          <cell r="C222">
            <v>35057</v>
          </cell>
        </row>
        <row r="223">
          <cell r="A223" t="str">
            <v>WLMPTM390</v>
          </cell>
          <cell r="B223">
            <v>219000</v>
          </cell>
          <cell r="C223">
            <v>48745</v>
          </cell>
        </row>
        <row r="224">
          <cell r="A224" t="str">
            <v>WLMPTM400</v>
          </cell>
          <cell r="B224">
            <v>143000</v>
          </cell>
          <cell r="C224">
            <v>31357</v>
          </cell>
        </row>
        <row r="225">
          <cell r="A225" t="str">
            <v>WLMPTM410</v>
          </cell>
          <cell r="B225">
            <v>139000</v>
          </cell>
          <cell r="C225">
            <v>32557</v>
          </cell>
        </row>
        <row r="226">
          <cell r="A226" t="str">
            <v>WLMPTM420</v>
          </cell>
          <cell r="B226">
            <v>139000</v>
          </cell>
          <cell r="C226">
            <v>30065</v>
          </cell>
        </row>
        <row r="227">
          <cell r="A227" t="str">
            <v>WLMPTP910</v>
          </cell>
          <cell r="B227">
            <v>138000</v>
          </cell>
          <cell r="C227">
            <v>19279</v>
          </cell>
        </row>
        <row r="228">
          <cell r="A228" t="str">
            <v>WLMSHE630</v>
          </cell>
          <cell r="B228">
            <v>39000</v>
          </cell>
          <cell r="C228">
            <v>14607</v>
          </cell>
        </row>
        <row r="229">
          <cell r="A229" t="str">
            <v>WLMSHE640</v>
          </cell>
          <cell r="B229">
            <v>39000</v>
          </cell>
          <cell r="C229">
            <v>14607</v>
          </cell>
        </row>
        <row r="230">
          <cell r="A230" t="str">
            <v>WLMSHE650</v>
          </cell>
          <cell r="B230">
            <v>39000</v>
          </cell>
          <cell r="C230">
            <v>14607</v>
          </cell>
        </row>
        <row r="231">
          <cell r="A231" t="str">
            <v>WLMSHE660</v>
          </cell>
          <cell r="B231">
            <v>39000</v>
          </cell>
          <cell r="C231">
            <v>14607</v>
          </cell>
        </row>
        <row r="232">
          <cell r="A232" t="str">
            <v>WLMSKM430</v>
          </cell>
          <cell r="B232">
            <v>80000</v>
          </cell>
          <cell r="C232">
            <v>18057</v>
          </cell>
        </row>
        <row r="233">
          <cell r="A233" t="str">
            <v>WLMSKM440</v>
          </cell>
          <cell r="B233">
            <v>75000</v>
          </cell>
          <cell r="C233">
            <v>16457</v>
          </cell>
        </row>
        <row r="234">
          <cell r="A234" t="str">
            <v>WLMSTI610</v>
          </cell>
          <cell r="B234">
            <v>199000</v>
          </cell>
          <cell r="C234">
            <v>71572</v>
          </cell>
        </row>
        <row r="235">
          <cell r="A235" t="str">
            <v>WLMTLM010</v>
          </cell>
          <cell r="B235">
            <v>89000</v>
          </cell>
          <cell r="C235">
            <v>19057</v>
          </cell>
        </row>
        <row r="236">
          <cell r="A236" t="str">
            <v>WLMTLM020</v>
          </cell>
          <cell r="B236">
            <v>119000</v>
          </cell>
          <cell r="C236">
            <v>26057</v>
          </cell>
        </row>
        <row r="237">
          <cell r="A237" t="str">
            <v>WLMTLM030</v>
          </cell>
          <cell r="B237">
            <v>109000</v>
          </cell>
          <cell r="C237">
            <v>22657</v>
          </cell>
        </row>
        <row r="238">
          <cell r="A238" t="str">
            <v>WLMTLM040</v>
          </cell>
          <cell r="B238">
            <v>115000</v>
          </cell>
          <cell r="C238">
            <v>25457</v>
          </cell>
        </row>
        <row r="239">
          <cell r="A239" t="str">
            <v>WLMTLM050</v>
          </cell>
          <cell r="B239">
            <v>89000</v>
          </cell>
          <cell r="C239">
            <v>19057</v>
          </cell>
        </row>
        <row r="240">
          <cell r="A240" t="str">
            <v>WLMTLM060</v>
          </cell>
          <cell r="B240">
            <v>89000</v>
          </cell>
          <cell r="C240">
            <v>20257</v>
          </cell>
        </row>
        <row r="241">
          <cell r="A241" t="str">
            <v>WLMTLM070</v>
          </cell>
          <cell r="B241">
            <v>109000</v>
          </cell>
          <cell r="C241">
            <v>23857</v>
          </cell>
        </row>
        <row r="242">
          <cell r="A242" t="str">
            <v>WLMTLM080</v>
          </cell>
          <cell r="B242">
            <v>109000</v>
          </cell>
          <cell r="C242">
            <v>23857</v>
          </cell>
        </row>
        <row r="243">
          <cell r="A243" t="str">
            <v>WLMTLM090</v>
          </cell>
          <cell r="B243">
            <v>119000</v>
          </cell>
          <cell r="C243">
            <v>24357</v>
          </cell>
        </row>
        <row r="244">
          <cell r="A244" t="str">
            <v>WLMTLM310</v>
          </cell>
          <cell r="B244">
            <v>95000</v>
          </cell>
          <cell r="C244">
            <v>21230</v>
          </cell>
        </row>
        <row r="245">
          <cell r="A245" t="str">
            <v>WLMTLM320</v>
          </cell>
          <cell r="B245">
            <v>109000</v>
          </cell>
          <cell r="C245">
            <v>24657</v>
          </cell>
        </row>
        <row r="246">
          <cell r="A246" t="str">
            <v>WLMTLM330</v>
          </cell>
          <cell r="B246">
            <v>89000</v>
          </cell>
          <cell r="C246">
            <v>19357</v>
          </cell>
        </row>
        <row r="247">
          <cell r="A247" t="str">
            <v>WLMTLM340</v>
          </cell>
          <cell r="B247">
            <v>95000</v>
          </cell>
          <cell r="C247">
            <v>20457</v>
          </cell>
        </row>
        <row r="248">
          <cell r="A248" t="str">
            <v>WLMTLM350</v>
          </cell>
          <cell r="B248">
            <v>89000</v>
          </cell>
          <cell r="C248">
            <v>19457</v>
          </cell>
        </row>
        <row r="249">
          <cell r="A249" t="str">
            <v>WLMTLM360</v>
          </cell>
          <cell r="B249">
            <v>109000</v>
          </cell>
          <cell r="C249">
            <v>24357</v>
          </cell>
        </row>
        <row r="250">
          <cell r="A250" t="str">
            <v>WLMTSI610</v>
          </cell>
          <cell r="B250">
            <v>119000</v>
          </cell>
          <cell r="C250">
            <v>35382</v>
          </cell>
        </row>
        <row r="251">
          <cell r="A251" t="str">
            <v>WLMTSI620</v>
          </cell>
          <cell r="B251">
            <v>119000</v>
          </cell>
          <cell r="C251">
            <v>35382</v>
          </cell>
        </row>
        <row r="252">
          <cell r="A252" t="str">
            <v>WLMTSI630</v>
          </cell>
          <cell r="B252">
            <v>129000</v>
          </cell>
          <cell r="C252">
            <v>35382</v>
          </cell>
        </row>
        <row r="253">
          <cell r="A253" t="str">
            <v>WLMTSI910</v>
          </cell>
          <cell r="B253">
            <v>139000</v>
          </cell>
          <cell r="C253">
            <v>41097</v>
          </cell>
        </row>
        <row r="254">
          <cell r="A254" t="str">
            <v>WLMTSM010</v>
          </cell>
          <cell r="B254">
            <v>99000</v>
          </cell>
          <cell r="C254">
            <v>21157</v>
          </cell>
        </row>
        <row r="255">
          <cell r="A255" t="str">
            <v>WLMTSM020</v>
          </cell>
          <cell r="B255">
            <v>115000</v>
          </cell>
          <cell r="C255">
            <v>25357</v>
          </cell>
        </row>
        <row r="256">
          <cell r="A256" t="str">
            <v>WLMTSM030</v>
          </cell>
          <cell r="B256">
            <v>99000</v>
          </cell>
          <cell r="C256">
            <v>20757</v>
          </cell>
        </row>
        <row r="257">
          <cell r="A257" t="str">
            <v>WLMTSM040</v>
          </cell>
          <cell r="B257">
            <v>99000</v>
          </cell>
          <cell r="C257">
            <v>23757</v>
          </cell>
        </row>
        <row r="258">
          <cell r="A258" t="str">
            <v>WLMTSM041</v>
          </cell>
          <cell r="B258">
            <v>99000</v>
          </cell>
          <cell r="C258">
            <v>23757</v>
          </cell>
        </row>
        <row r="259">
          <cell r="A259" t="str">
            <v>WLMTSM050</v>
          </cell>
          <cell r="B259">
            <v>109000</v>
          </cell>
          <cell r="C259">
            <v>23457</v>
          </cell>
        </row>
        <row r="260">
          <cell r="A260" t="str">
            <v>WLMTSM060</v>
          </cell>
          <cell r="B260">
            <v>99000</v>
          </cell>
          <cell r="C260">
            <v>21257</v>
          </cell>
        </row>
        <row r="261">
          <cell r="A261" t="str">
            <v>WLMTSM070</v>
          </cell>
          <cell r="B261">
            <v>89000</v>
          </cell>
          <cell r="C261">
            <v>20157</v>
          </cell>
        </row>
        <row r="262">
          <cell r="A262" t="str">
            <v>WLMTSM080</v>
          </cell>
          <cell r="B262">
            <v>109000</v>
          </cell>
          <cell r="C262">
            <v>23857</v>
          </cell>
        </row>
        <row r="263">
          <cell r="A263" t="str">
            <v>WLMTSM090</v>
          </cell>
          <cell r="B263">
            <v>69000</v>
          </cell>
          <cell r="C263">
            <v>16057</v>
          </cell>
        </row>
        <row r="264">
          <cell r="A264" t="str">
            <v>WLMTSM100</v>
          </cell>
          <cell r="B264">
            <v>69000</v>
          </cell>
          <cell r="C264">
            <v>15457</v>
          </cell>
        </row>
        <row r="265">
          <cell r="A265" t="str">
            <v>WLMTSM310</v>
          </cell>
          <cell r="B265">
            <v>89000</v>
          </cell>
          <cell r="C265">
            <v>19457</v>
          </cell>
        </row>
        <row r="266">
          <cell r="A266" t="str">
            <v>WLMTSM320</v>
          </cell>
          <cell r="B266">
            <v>109000</v>
          </cell>
          <cell r="C266">
            <v>25057</v>
          </cell>
        </row>
        <row r="267">
          <cell r="A267" t="str">
            <v>WLMTSM330</v>
          </cell>
          <cell r="B267">
            <v>95000</v>
          </cell>
          <cell r="C267">
            <v>21457</v>
          </cell>
        </row>
        <row r="268">
          <cell r="A268" t="str">
            <v>WLMTSM340</v>
          </cell>
          <cell r="B268">
            <v>89000</v>
          </cell>
          <cell r="C268">
            <v>20957</v>
          </cell>
        </row>
        <row r="269">
          <cell r="A269" t="str">
            <v>WLMTSM350</v>
          </cell>
          <cell r="B269">
            <v>89000</v>
          </cell>
          <cell r="C269">
            <v>20857</v>
          </cell>
        </row>
        <row r="270">
          <cell r="A270" t="str">
            <v>WLMTSM360</v>
          </cell>
          <cell r="B270">
            <v>89000</v>
          </cell>
          <cell r="C270">
            <v>19657</v>
          </cell>
        </row>
        <row r="271">
          <cell r="A271" t="str">
            <v>WLMTSM370</v>
          </cell>
          <cell r="B271">
            <v>89000</v>
          </cell>
          <cell r="C271">
            <v>19157</v>
          </cell>
        </row>
        <row r="272">
          <cell r="A272" t="str">
            <v>WLMTSM380</v>
          </cell>
          <cell r="B272">
            <v>99000</v>
          </cell>
          <cell r="C272">
            <v>21657</v>
          </cell>
        </row>
        <row r="273">
          <cell r="A273" t="str">
            <v>WLMTSM390</v>
          </cell>
          <cell r="B273">
            <v>99000</v>
          </cell>
          <cell r="C273">
            <v>22357</v>
          </cell>
        </row>
        <row r="274">
          <cell r="A274" t="str">
            <v>WLMTSM400</v>
          </cell>
          <cell r="B274">
            <v>79000</v>
          </cell>
          <cell r="C274">
            <v>17457</v>
          </cell>
        </row>
        <row r="275">
          <cell r="A275" t="str">
            <v>WLMTSM410</v>
          </cell>
          <cell r="B275">
            <v>109000</v>
          </cell>
          <cell r="C275">
            <v>26357</v>
          </cell>
        </row>
        <row r="276">
          <cell r="A276" t="str">
            <v>WLMTSM420</v>
          </cell>
          <cell r="B276">
            <v>79000</v>
          </cell>
          <cell r="C276">
            <v>18257</v>
          </cell>
        </row>
        <row r="277">
          <cell r="A277" t="str">
            <v>WLMTSP910</v>
          </cell>
          <cell r="B277">
            <v>58000</v>
          </cell>
          <cell r="C277">
            <v>7557</v>
          </cell>
        </row>
        <row r="278">
          <cell r="A278" t="str">
            <v>WLMTSP920</v>
          </cell>
          <cell r="B278">
            <v>58000</v>
          </cell>
          <cell r="C278">
            <v>7195</v>
          </cell>
        </row>
        <row r="279">
          <cell r="A279" t="str">
            <v>WLMTSS110</v>
          </cell>
          <cell r="B279">
            <v>109000</v>
          </cell>
          <cell r="C279">
            <v>24457</v>
          </cell>
        </row>
        <row r="280">
          <cell r="A280" t="str">
            <v>WLMTSS120</v>
          </cell>
          <cell r="B280">
            <v>99000</v>
          </cell>
          <cell r="C280">
            <v>22157</v>
          </cell>
        </row>
        <row r="281">
          <cell r="A281" t="str">
            <v>WLMTSS130</v>
          </cell>
          <cell r="B281">
            <v>99000</v>
          </cell>
          <cell r="C281">
            <v>22457</v>
          </cell>
        </row>
        <row r="282">
          <cell r="A282" t="str">
            <v>WLMTSS140</v>
          </cell>
          <cell r="B282">
            <v>89000</v>
          </cell>
          <cell r="C282">
            <v>19057</v>
          </cell>
        </row>
        <row r="283">
          <cell r="A283" t="str">
            <v>WLMTSS430</v>
          </cell>
          <cell r="B283">
            <v>99000</v>
          </cell>
          <cell r="C283">
            <v>21457</v>
          </cell>
        </row>
        <row r="284">
          <cell r="A284" t="str">
            <v>WLMVSM010</v>
          </cell>
          <cell r="B284">
            <v>145000</v>
          </cell>
          <cell r="C284">
            <v>34875</v>
          </cell>
        </row>
        <row r="285">
          <cell r="A285" t="str">
            <v>WLMVSM020</v>
          </cell>
          <cell r="B285">
            <v>115000</v>
          </cell>
          <cell r="C285">
            <v>29575</v>
          </cell>
        </row>
        <row r="286">
          <cell r="A286" t="str">
            <v>WLMVSM030</v>
          </cell>
          <cell r="B286">
            <v>115000</v>
          </cell>
          <cell r="C286">
            <v>29975</v>
          </cell>
        </row>
        <row r="287">
          <cell r="A287" t="str">
            <v>WLMVSM310</v>
          </cell>
          <cell r="B287">
            <v>99000</v>
          </cell>
          <cell r="C287">
            <v>25600</v>
          </cell>
        </row>
        <row r="288">
          <cell r="A288" t="str">
            <v>WLMVSM320</v>
          </cell>
          <cell r="B288">
            <v>99000</v>
          </cell>
          <cell r="C288">
            <v>26575</v>
          </cell>
        </row>
        <row r="289">
          <cell r="A289" t="str">
            <v>WLMVSM330</v>
          </cell>
          <cell r="B289">
            <v>120000</v>
          </cell>
          <cell r="C289">
            <v>31275</v>
          </cell>
        </row>
        <row r="290">
          <cell r="A290" t="str">
            <v>WLMVSM340</v>
          </cell>
          <cell r="B290">
            <v>129000</v>
          </cell>
          <cell r="C290">
            <v>32975</v>
          </cell>
        </row>
        <row r="291">
          <cell r="A291" t="str">
            <v>WLSJKM110</v>
          </cell>
          <cell r="B291">
            <v>199000</v>
          </cell>
          <cell r="C291">
            <v>44675</v>
          </cell>
        </row>
        <row r="292">
          <cell r="A292" t="str">
            <v>WLSPTM010</v>
          </cell>
          <cell r="B292">
            <v>199000</v>
          </cell>
          <cell r="C292">
            <v>40557</v>
          </cell>
        </row>
        <row r="293">
          <cell r="A293" t="str">
            <v>WLSPTM020</v>
          </cell>
          <cell r="B293">
            <v>179000</v>
          </cell>
          <cell r="C293">
            <v>36557</v>
          </cell>
        </row>
        <row r="294">
          <cell r="A294" t="str">
            <v>WLSPTM030</v>
          </cell>
          <cell r="B294">
            <v>139000</v>
          </cell>
          <cell r="C294">
            <v>29957</v>
          </cell>
        </row>
        <row r="295">
          <cell r="A295" t="str">
            <v>WLSPTM040</v>
          </cell>
          <cell r="B295">
            <v>139000</v>
          </cell>
          <cell r="C295">
            <v>29457</v>
          </cell>
        </row>
        <row r="296">
          <cell r="A296" t="str">
            <v>WLSPTM310</v>
          </cell>
          <cell r="B296">
            <v>163000</v>
          </cell>
          <cell r="C296">
            <v>36057</v>
          </cell>
        </row>
        <row r="297">
          <cell r="A297" t="str">
            <v>WLSPTM320</v>
          </cell>
          <cell r="B297">
            <v>159000</v>
          </cell>
          <cell r="C297">
            <v>35057</v>
          </cell>
        </row>
        <row r="298">
          <cell r="A298" t="str">
            <v>WLSPTM330</v>
          </cell>
          <cell r="B298">
            <v>169000</v>
          </cell>
          <cell r="C298">
            <v>37557</v>
          </cell>
        </row>
        <row r="299">
          <cell r="A299" t="str">
            <v>WLSPTM340</v>
          </cell>
          <cell r="B299">
            <v>129000</v>
          </cell>
          <cell r="C299">
            <v>29257</v>
          </cell>
        </row>
        <row r="300">
          <cell r="A300" t="str">
            <v>WLSTLM010</v>
          </cell>
          <cell r="B300">
            <v>135000</v>
          </cell>
          <cell r="C300">
            <v>29657</v>
          </cell>
        </row>
        <row r="301">
          <cell r="A301" t="str">
            <v>WLSTLM020</v>
          </cell>
          <cell r="B301">
            <v>125000</v>
          </cell>
          <cell r="C301">
            <v>26900</v>
          </cell>
        </row>
        <row r="302">
          <cell r="A302" t="str">
            <v>WLSTLM030</v>
          </cell>
          <cell r="B302">
            <v>109000</v>
          </cell>
          <cell r="C302">
            <v>23157</v>
          </cell>
        </row>
        <row r="303">
          <cell r="A303" t="str">
            <v>WLSTLM040</v>
          </cell>
          <cell r="B303">
            <v>99000</v>
          </cell>
          <cell r="C303">
            <v>21657</v>
          </cell>
        </row>
        <row r="304">
          <cell r="A304" t="str">
            <v>WLSTLM050</v>
          </cell>
          <cell r="B304">
            <v>99000</v>
          </cell>
          <cell r="C304">
            <v>21657</v>
          </cell>
        </row>
        <row r="305">
          <cell r="A305" t="str">
            <v>WLSTLM060</v>
          </cell>
          <cell r="B305">
            <v>99000</v>
          </cell>
          <cell r="C305">
            <v>21857</v>
          </cell>
        </row>
        <row r="306">
          <cell r="A306" t="str">
            <v>WLSTLM310</v>
          </cell>
          <cell r="B306">
            <v>99000</v>
          </cell>
          <cell r="C306">
            <v>21557</v>
          </cell>
        </row>
        <row r="307">
          <cell r="A307" t="str">
            <v>WLSTLM320</v>
          </cell>
          <cell r="B307">
            <v>99000</v>
          </cell>
          <cell r="C307">
            <v>22257</v>
          </cell>
        </row>
        <row r="308">
          <cell r="A308" t="str">
            <v>WLSTLM330</v>
          </cell>
          <cell r="B308">
            <v>99000</v>
          </cell>
          <cell r="C308">
            <v>22030</v>
          </cell>
        </row>
        <row r="309">
          <cell r="A309" t="str">
            <v>WLSTLM340</v>
          </cell>
          <cell r="B309">
            <v>99000</v>
          </cell>
          <cell r="C309">
            <v>21757</v>
          </cell>
        </row>
        <row r="310">
          <cell r="A310" t="str">
            <v>WLSTLP910</v>
          </cell>
          <cell r="B310">
            <v>70000</v>
          </cell>
          <cell r="C310">
            <v>8380</v>
          </cell>
        </row>
        <row r="311">
          <cell r="A311" t="str">
            <v>WLSTSS150</v>
          </cell>
          <cell r="B311">
            <v>139000</v>
          </cell>
          <cell r="C311">
            <v>23500</v>
          </cell>
        </row>
        <row r="312">
          <cell r="A312" t="str">
            <v>WLWBGM410</v>
          </cell>
          <cell r="B312">
            <v>69000</v>
          </cell>
        </row>
        <row r="313">
          <cell r="A313" t="str">
            <v>WLWBGM420</v>
          </cell>
          <cell r="B313">
            <v>88000</v>
          </cell>
        </row>
        <row r="314">
          <cell r="A314" t="str">
            <v>WLWBGM430</v>
          </cell>
          <cell r="B314">
            <v>59000</v>
          </cell>
        </row>
        <row r="315">
          <cell r="A315" t="str">
            <v>WLWBGM610</v>
          </cell>
          <cell r="B315">
            <v>42000</v>
          </cell>
        </row>
        <row r="316">
          <cell r="A316" t="str">
            <v>WLWBKM410</v>
          </cell>
          <cell r="B316">
            <v>125000</v>
          </cell>
        </row>
        <row r="317">
          <cell r="A317" t="str">
            <v>WLWCPM010</v>
          </cell>
          <cell r="B317">
            <v>55000</v>
          </cell>
        </row>
        <row r="318">
          <cell r="A318" t="str">
            <v>WLWCPM020</v>
          </cell>
          <cell r="B318">
            <v>160000</v>
          </cell>
        </row>
        <row r="319">
          <cell r="A319" t="str">
            <v>WLWCPM100</v>
          </cell>
          <cell r="B319">
            <v>62000</v>
          </cell>
        </row>
        <row r="320">
          <cell r="A320" t="str">
            <v>WLWCPM110</v>
          </cell>
          <cell r="B320">
            <v>63000</v>
          </cell>
        </row>
        <row r="321">
          <cell r="A321" t="str">
            <v>WLWCPM120</v>
          </cell>
          <cell r="B321">
            <v>45000</v>
          </cell>
        </row>
        <row r="322">
          <cell r="A322" t="str">
            <v>WLWCPM130</v>
          </cell>
          <cell r="B322">
            <v>45000</v>
          </cell>
        </row>
        <row r="323">
          <cell r="A323" t="str">
            <v>WLWCPM140</v>
          </cell>
          <cell r="B323">
            <v>43000</v>
          </cell>
        </row>
        <row r="324">
          <cell r="A324" t="str">
            <v>WLWCPM160</v>
          </cell>
          <cell r="B324">
            <v>47000</v>
          </cell>
        </row>
        <row r="325">
          <cell r="A325" t="str">
            <v>WLWCPM180</v>
          </cell>
          <cell r="B325">
            <v>58000</v>
          </cell>
        </row>
        <row r="326">
          <cell r="A326" t="str">
            <v>WLWCPM400</v>
          </cell>
          <cell r="B326">
            <v>52000</v>
          </cell>
        </row>
        <row r="327">
          <cell r="A327" t="str">
            <v>WLWCPM410</v>
          </cell>
          <cell r="B327">
            <v>50000</v>
          </cell>
        </row>
        <row r="328">
          <cell r="A328" t="str">
            <v>WLWCPM420</v>
          </cell>
          <cell r="B328">
            <v>42000</v>
          </cell>
        </row>
        <row r="329">
          <cell r="A329" t="str">
            <v>WLWCPM430</v>
          </cell>
          <cell r="B329">
            <v>43000</v>
          </cell>
        </row>
        <row r="330">
          <cell r="A330" t="str">
            <v>WLWCPM440</v>
          </cell>
          <cell r="B330">
            <v>42000</v>
          </cell>
        </row>
        <row r="331">
          <cell r="A331" t="str">
            <v>WLWCPM450</v>
          </cell>
          <cell r="B331">
            <v>53000</v>
          </cell>
        </row>
        <row r="332">
          <cell r="A332" t="str">
            <v>WLWCPM460</v>
          </cell>
          <cell r="B332">
            <v>52000</v>
          </cell>
        </row>
        <row r="333">
          <cell r="A333" t="str">
            <v>WLWCPM480</v>
          </cell>
          <cell r="B333">
            <v>29000</v>
          </cell>
        </row>
        <row r="334">
          <cell r="A334" t="str">
            <v>WLWCPM490</v>
          </cell>
          <cell r="B334">
            <v>29000</v>
          </cell>
        </row>
        <row r="335">
          <cell r="A335" t="str">
            <v>WLWCPM500</v>
          </cell>
          <cell r="B335">
            <v>40000</v>
          </cell>
        </row>
        <row r="336">
          <cell r="A336" t="str">
            <v>WLWCPM520</v>
          </cell>
          <cell r="B336">
            <v>35000</v>
          </cell>
        </row>
        <row r="337">
          <cell r="A337" t="str">
            <v>WLWCPM530</v>
          </cell>
          <cell r="B337">
            <v>52000</v>
          </cell>
        </row>
        <row r="338">
          <cell r="A338" t="str">
            <v>WLWCPM540</v>
          </cell>
          <cell r="B338">
            <v>48000</v>
          </cell>
        </row>
        <row r="339">
          <cell r="A339" t="str">
            <v>WLWCPM550</v>
          </cell>
          <cell r="B339">
            <v>49000</v>
          </cell>
        </row>
        <row r="340">
          <cell r="A340" t="str">
            <v>WLWCPM710</v>
          </cell>
          <cell r="B340">
            <v>39000</v>
          </cell>
        </row>
        <row r="341">
          <cell r="A341" t="str">
            <v>WLWCPM720</v>
          </cell>
          <cell r="B341">
            <v>34000</v>
          </cell>
        </row>
        <row r="342">
          <cell r="A342" t="str">
            <v>WLWCPM730</v>
          </cell>
          <cell r="B342">
            <v>43000</v>
          </cell>
        </row>
        <row r="343">
          <cell r="A343" t="str">
            <v>WLWCPM740</v>
          </cell>
          <cell r="B343">
            <v>47000</v>
          </cell>
        </row>
        <row r="344">
          <cell r="A344" t="str">
            <v>WLWCPM750</v>
          </cell>
          <cell r="B344">
            <v>45000</v>
          </cell>
        </row>
        <row r="345">
          <cell r="A345" t="str">
            <v>WLWDWI610</v>
          </cell>
          <cell r="B345">
            <v>899000</v>
          </cell>
        </row>
        <row r="346">
          <cell r="A346" t="str">
            <v>WLWDWI620</v>
          </cell>
          <cell r="B346">
            <v>899000</v>
          </cell>
        </row>
        <row r="347">
          <cell r="A347" t="str">
            <v>WLWDWM130</v>
          </cell>
          <cell r="B347">
            <v>250000</v>
          </cell>
        </row>
        <row r="348">
          <cell r="A348" t="str">
            <v>WLWDWM140</v>
          </cell>
          <cell r="B348">
            <v>390000</v>
          </cell>
        </row>
        <row r="349">
          <cell r="A349" t="str">
            <v>WLWDWM150</v>
          </cell>
          <cell r="B349">
            <v>360000</v>
          </cell>
        </row>
        <row r="350">
          <cell r="A350" t="str">
            <v>WLWDWM160</v>
          </cell>
          <cell r="B350">
            <v>360000</v>
          </cell>
        </row>
        <row r="351">
          <cell r="A351" t="str">
            <v>WLWDWM170</v>
          </cell>
          <cell r="B351">
            <v>490000</v>
          </cell>
        </row>
        <row r="352">
          <cell r="A352" t="str">
            <v>WLWDWM420</v>
          </cell>
          <cell r="B352">
            <v>219000</v>
          </cell>
        </row>
        <row r="353">
          <cell r="A353" t="str">
            <v>WLWDWM430</v>
          </cell>
          <cell r="B353">
            <v>249000</v>
          </cell>
        </row>
        <row r="354">
          <cell r="A354" t="str">
            <v>WLWDWM440</v>
          </cell>
          <cell r="B354">
            <v>239000</v>
          </cell>
        </row>
        <row r="355">
          <cell r="A355" t="str">
            <v>WLWDWM460</v>
          </cell>
          <cell r="B355">
            <v>298000</v>
          </cell>
        </row>
        <row r="356">
          <cell r="A356" t="str">
            <v>WLWDWM470</v>
          </cell>
          <cell r="B356">
            <v>330000</v>
          </cell>
        </row>
        <row r="357">
          <cell r="A357" t="str">
            <v>WLWDWM480</v>
          </cell>
          <cell r="B357">
            <v>360000</v>
          </cell>
        </row>
        <row r="358">
          <cell r="A358" t="str">
            <v>WLWDWP180</v>
          </cell>
          <cell r="B358">
            <v>438000</v>
          </cell>
        </row>
        <row r="359">
          <cell r="A359" t="str">
            <v>WLWGLM050</v>
          </cell>
          <cell r="B359">
            <v>38000</v>
          </cell>
        </row>
        <row r="360">
          <cell r="A360" t="str">
            <v>WLWGLM060</v>
          </cell>
          <cell r="B360">
            <v>47000</v>
          </cell>
        </row>
        <row r="361">
          <cell r="A361" t="str">
            <v>WLWJKM060</v>
          </cell>
          <cell r="B361">
            <v>490000</v>
          </cell>
        </row>
        <row r="362">
          <cell r="A362" t="str">
            <v>WLWJKM070</v>
          </cell>
          <cell r="B362">
            <v>450000</v>
          </cell>
        </row>
        <row r="363">
          <cell r="A363" t="str">
            <v>WLWJKM080</v>
          </cell>
          <cell r="B363">
            <v>390000</v>
          </cell>
        </row>
        <row r="364">
          <cell r="A364" t="str">
            <v>WLWJPM090</v>
          </cell>
          <cell r="B364">
            <v>198000</v>
          </cell>
        </row>
        <row r="365">
          <cell r="A365" t="str">
            <v>WLWJPM100</v>
          </cell>
          <cell r="B365">
            <v>229000</v>
          </cell>
        </row>
        <row r="366">
          <cell r="A366" t="str">
            <v>WLWJPM350</v>
          </cell>
          <cell r="B366">
            <v>119000</v>
          </cell>
        </row>
        <row r="367">
          <cell r="A367" t="str">
            <v>WLWJPM360</v>
          </cell>
          <cell r="B367">
            <v>219000</v>
          </cell>
        </row>
        <row r="368">
          <cell r="A368" t="str">
            <v>WLWPDM410</v>
          </cell>
          <cell r="B368">
            <v>179000</v>
          </cell>
        </row>
        <row r="369">
          <cell r="A369" t="str">
            <v>WLWPDM490</v>
          </cell>
          <cell r="B369">
            <v>298000</v>
          </cell>
        </row>
        <row r="370">
          <cell r="A370" t="str">
            <v>WLWPFM110</v>
          </cell>
          <cell r="B370">
            <v>189000</v>
          </cell>
        </row>
        <row r="371">
          <cell r="A371" t="str">
            <v>WLWPFM120</v>
          </cell>
          <cell r="B371">
            <v>198000</v>
          </cell>
        </row>
        <row r="372">
          <cell r="A372" t="str">
            <v>WLWPFM370</v>
          </cell>
          <cell r="B372">
            <v>169000</v>
          </cell>
        </row>
        <row r="373">
          <cell r="A373" t="str">
            <v>WLWPFM380</v>
          </cell>
          <cell r="B373">
            <v>179000</v>
          </cell>
        </row>
        <row r="374">
          <cell r="A374" t="str">
            <v>WLWPFM390</v>
          </cell>
          <cell r="B374">
            <v>189000</v>
          </cell>
        </row>
        <row r="375">
          <cell r="A375" t="str">
            <v>WLWPFM400</v>
          </cell>
          <cell r="B375">
            <v>159000</v>
          </cell>
        </row>
        <row r="376">
          <cell r="A376" t="str">
            <v>WLWPSM480</v>
          </cell>
          <cell r="B376">
            <v>129000</v>
          </cell>
        </row>
        <row r="377">
          <cell r="A377" t="str">
            <v>WLWPSM510</v>
          </cell>
          <cell r="B377">
            <v>139000</v>
          </cell>
        </row>
        <row r="378">
          <cell r="A378" t="str">
            <v>WLWPTI310</v>
          </cell>
          <cell r="B378">
            <v>219000</v>
          </cell>
        </row>
        <row r="379">
          <cell r="A379" t="str">
            <v>WLWPTM100</v>
          </cell>
          <cell r="B379">
            <v>249000</v>
          </cell>
        </row>
        <row r="380">
          <cell r="A380" t="str">
            <v>WLWPTM110</v>
          </cell>
          <cell r="B380">
            <v>189000</v>
          </cell>
        </row>
        <row r="381">
          <cell r="A381" t="str">
            <v>WLWPTM120</v>
          </cell>
          <cell r="B381">
            <v>259000</v>
          </cell>
        </row>
        <row r="382">
          <cell r="A382" t="str">
            <v>WLWPTM130</v>
          </cell>
          <cell r="B382">
            <v>199000</v>
          </cell>
        </row>
        <row r="383">
          <cell r="A383" t="str">
            <v>WLWPTM140</v>
          </cell>
          <cell r="B383">
            <v>199000</v>
          </cell>
        </row>
        <row r="384">
          <cell r="A384" t="str">
            <v>WLWPTM150</v>
          </cell>
          <cell r="B384">
            <v>210000</v>
          </cell>
        </row>
        <row r="385">
          <cell r="A385" t="str">
            <v>WLWPTM160</v>
          </cell>
          <cell r="B385">
            <v>249000</v>
          </cell>
        </row>
        <row r="386">
          <cell r="A386" t="str">
            <v>WLWPTM170</v>
          </cell>
          <cell r="B386">
            <v>299000</v>
          </cell>
        </row>
        <row r="387">
          <cell r="A387" t="str">
            <v>WLWPTM180</v>
          </cell>
          <cell r="B387">
            <v>169000</v>
          </cell>
        </row>
        <row r="388">
          <cell r="A388" t="str">
            <v>WLWPTM190</v>
          </cell>
          <cell r="B388">
            <v>169000</v>
          </cell>
        </row>
        <row r="389">
          <cell r="A389" t="str">
            <v>WLWPTM200</v>
          </cell>
          <cell r="B389">
            <v>189000</v>
          </cell>
        </row>
        <row r="390">
          <cell r="A390" t="str">
            <v>WLWPTM400</v>
          </cell>
          <cell r="B390">
            <v>189000</v>
          </cell>
        </row>
        <row r="391">
          <cell r="A391" t="str">
            <v>WLWPTM410</v>
          </cell>
          <cell r="B391">
            <v>189000</v>
          </cell>
        </row>
        <row r="392">
          <cell r="A392" t="str">
            <v>WLWPTM420</v>
          </cell>
          <cell r="B392">
            <v>289000</v>
          </cell>
        </row>
        <row r="393">
          <cell r="A393" t="str">
            <v>WLWPTM430</v>
          </cell>
          <cell r="B393">
            <v>179000</v>
          </cell>
        </row>
        <row r="394">
          <cell r="A394" t="str">
            <v>WLWPTM440</v>
          </cell>
          <cell r="B394">
            <v>179000</v>
          </cell>
        </row>
        <row r="395">
          <cell r="A395" t="str">
            <v>WLWPTM450</v>
          </cell>
          <cell r="B395">
            <v>99000</v>
          </cell>
        </row>
        <row r="396">
          <cell r="A396" t="str">
            <v>WLWPTM460</v>
          </cell>
          <cell r="B396">
            <v>99000</v>
          </cell>
        </row>
        <row r="397">
          <cell r="A397" t="str">
            <v>WLWPTM470</v>
          </cell>
          <cell r="B397">
            <v>169000</v>
          </cell>
        </row>
        <row r="398">
          <cell r="A398" t="str">
            <v>WLWPTP920</v>
          </cell>
          <cell r="B398">
            <v>238000</v>
          </cell>
        </row>
        <row r="399">
          <cell r="A399" t="str">
            <v>WLWPTP930</v>
          </cell>
          <cell r="B399">
            <v>198000</v>
          </cell>
        </row>
        <row r="400">
          <cell r="A400" t="str">
            <v>WLWSKM490</v>
          </cell>
          <cell r="B400">
            <v>119000</v>
          </cell>
        </row>
        <row r="401">
          <cell r="A401" t="str">
            <v>WLWSKM500</v>
          </cell>
          <cell r="B401">
            <v>119000</v>
          </cell>
        </row>
        <row r="402">
          <cell r="A402" t="str">
            <v>WLWTLM010</v>
          </cell>
          <cell r="B402">
            <v>129000</v>
          </cell>
        </row>
        <row r="403">
          <cell r="A403" t="str">
            <v>WLWTLM020</v>
          </cell>
          <cell r="B403">
            <v>129000</v>
          </cell>
        </row>
        <row r="404">
          <cell r="A404" t="str">
            <v>WLWTLM030</v>
          </cell>
          <cell r="B404">
            <v>125000</v>
          </cell>
        </row>
        <row r="405">
          <cell r="A405" t="str">
            <v>WLWTLM040</v>
          </cell>
          <cell r="B405">
            <v>119000</v>
          </cell>
        </row>
        <row r="406">
          <cell r="A406" t="str">
            <v>WLWTLM050</v>
          </cell>
          <cell r="B406">
            <v>119000</v>
          </cell>
        </row>
        <row r="407">
          <cell r="A407" t="str">
            <v>WLWTLM060</v>
          </cell>
          <cell r="B407">
            <v>109000</v>
          </cell>
        </row>
        <row r="408">
          <cell r="A408" t="str">
            <v>WLWTLM070</v>
          </cell>
          <cell r="B408">
            <v>129000</v>
          </cell>
        </row>
        <row r="409">
          <cell r="A409" t="str">
            <v>WLWTLM080</v>
          </cell>
          <cell r="B409">
            <v>129000</v>
          </cell>
        </row>
        <row r="410">
          <cell r="A410" t="str">
            <v>WLWTLM090</v>
          </cell>
          <cell r="B410">
            <v>129000</v>
          </cell>
        </row>
        <row r="411">
          <cell r="A411" t="str">
            <v>WLWTLM100</v>
          </cell>
          <cell r="B411">
            <v>149000</v>
          </cell>
        </row>
        <row r="412">
          <cell r="A412" t="str">
            <v>WLWTLM110</v>
          </cell>
          <cell r="B412">
            <v>149000</v>
          </cell>
        </row>
        <row r="413">
          <cell r="A413" t="str">
            <v>WLWTLM120</v>
          </cell>
          <cell r="B413">
            <v>149000</v>
          </cell>
        </row>
        <row r="414">
          <cell r="A414" t="str">
            <v>WLWTLM130</v>
          </cell>
          <cell r="B414">
            <v>169000</v>
          </cell>
        </row>
        <row r="415">
          <cell r="A415" t="str">
            <v>WLWTLM310</v>
          </cell>
          <cell r="B415">
            <v>109000</v>
          </cell>
        </row>
        <row r="416">
          <cell r="A416" t="str">
            <v>WLWTLM320</v>
          </cell>
          <cell r="B416">
            <v>109000</v>
          </cell>
        </row>
        <row r="417">
          <cell r="A417" t="str">
            <v>WLWTLM330</v>
          </cell>
          <cell r="B417">
            <v>129000</v>
          </cell>
        </row>
        <row r="418">
          <cell r="A418" t="str">
            <v>WLWTLM340</v>
          </cell>
          <cell r="B418">
            <v>139000</v>
          </cell>
        </row>
        <row r="419">
          <cell r="A419" t="str">
            <v>WLWTLM350</v>
          </cell>
          <cell r="B419">
            <v>149000</v>
          </cell>
        </row>
        <row r="420">
          <cell r="A420" t="str">
            <v>WLWTLM360</v>
          </cell>
          <cell r="B420">
            <v>159000</v>
          </cell>
        </row>
        <row r="421">
          <cell r="A421" t="str">
            <v>WLWTLP910</v>
          </cell>
          <cell r="B421">
            <v>236000</v>
          </cell>
          <cell r="C421">
            <v>-43</v>
          </cell>
        </row>
        <row r="422">
          <cell r="A422" t="str">
            <v>WLWTLP920</v>
          </cell>
          <cell r="B422">
            <v>208000</v>
          </cell>
        </row>
        <row r="423">
          <cell r="A423" t="str">
            <v>WLWVSM030</v>
          </cell>
          <cell r="B423">
            <v>139000</v>
          </cell>
        </row>
        <row r="424">
          <cell r="A424" t="str">
            <v>WLWVSM040</v>
          </cell>
          <cell r="B424">
            <v>129000</v>
          </cell>
        </row>
        <row r="425">
          <cell r="A425" t="str">
            <v>WLWVSM050</v>
          </cell>
          <cell r="B425">
            <v>198000</v>
          </cell>
        </row>
        <row r="426">
          <cell r="A426" t="str">
            <v>WLWVSM060</v>
          </cell>
          <cell r="B426">
            <v>139000</v>
          </cell>
        </row>
        <row r="427">
          <cell r="A427" t="str">
            <v>WLWVSM070</v>
          </cell>
          <cell r="B427">
            <v>149000</v>
          </cell>
        </row>
        <row r="428">
          <cell r="A428" t="str">
            <v>WLWVSM310</v>
          </cell>
          <cell r="B428">
            <v>159000</v>
          </cell>
        </row>
        <row r="429">
          <cell r="A429" t="str">
            <v>WLWVSM320</v>
          </cell>
          <cell r="B429">
            <v>179000</v>
          </cell>
        </row>
        <row r="430">
          <cell r="A430" t="str">
            <v>WLWVSM330</v>
          </cell>
          <cell r="B430">
            <v>189000</v>
          </cell>
        </row>
        <row r="431">
          <cell r="A431" t="str">
            <v>GLAJKM010</v>
          </cell>
          <cell r="B431">
            <v>350000</v>
          </cell>
          <cell r="C431">
            <v>73427</v>
          </cell>
        </row>
        <row r="432">
          <cell r="A432" t="str">
            <v>GLMJKM020</v>
          </cell>
          <cell r="B432">
            <v>109000</v>
          </cell>
          <cell r="C432">
            <v>28688</v>
          </cell>
        </row>
        <row r="433">
          <cell r="A433" t="str">
            <v>GLMJKM030</v>
          </cell>
          <cell r="B433">
            <v>159000</v>
          </cell>
          <cell r="C433">
            <v>35488</v>
          </cell>
        </row>
        <row r="434">
          <cell r="A434" t="str">
            <v>GLMJKM040</v>
          </cell>
          <cell r="B434">
            <v>179000</v>
          </cell>
          <cell r="C434">
            <v>33588</v>
          </cell>
        </row>
        <row r="435">
          <cell r="A435" t="str">
            <v>GLMJKM050</v>
          </cell>
          <cell r="B435">
            <v>179000</v>
          </cell>
          <cell r="C435">
            <v>35688</v>
          </cell>
        </row>
        <row r="436">
          <cell r="A436" t="str">
            <v>GLMJKP510</v>
          </cell>
          <cell r="B436">
            <v>158000</v>
          </cell>
          <cell r="C436">
            <v>19627</v>
          </cell>
        </row>
        <row r="437">
          <cell r="A437" t="str">
            <v>GLMPSM060</v>
          </cell>
          <cell r="B437">
            <v>129000</v>
          </cell>
          <cell r="C437">
            <v>31057</v>
          </cell>
        </row>
        <row r="438">
          <cell r="A438" t="str">
            <v>GLMPSM070</v>
          </cell>
          <cell r="B438">
            <v>135000</v>
          </cell>
          <cell r="C438">
            <v>33057</v>
          </cell>
        </row>
        <row r="439">
          <cell r="A439" t="str">
            <v>GLMPTM010</v>
          </cell>
          <cell r="B439">
            <v>169000</v>
          </cell>
          <cell r="C439">
            <v>36057</v>
          </cell>
        </row>
        <row r="440">
          <cell r="A440" t="str">
            <v>GLMPTM020</v>
          </cell>
          <cell r="B440">
            <v>169000</v>
          </cell>
          <cell r="C440">
            <v>38057</v>
          </cell>
        </row>
        <row r="441">
          <cell r="A441" t="str">
            <v>GLMPTM030</v>
          </cell>
          <cell r="B441">
            <v>179000</v>
          </cell>
          <cell r="C441">
            <v>41857</v>
          </cell>
        </row>
        <row r="442">
          <cell r="A442" t="str">
            <v>GLMPTM040</v>
          </cell>
          <cell r="B442">
            <v>139000</v>
          </cell>
          <cell r="C442">
            <v>32357</v>
          </cell>
        </row>
        <row r="443">
          <cell r="A443" t="str">
            <v>GLMPTM050</v>
          </cell>
          <cell r="B443">
            <v>139000</v>
          </cell>
          <cell r="C443">
            <v>32157</v>
          </cell>
        </row>
        <row r="444">
          <cell r="A444" t="str">
            <v>GLMTLM010</v>
          </cell>
          <cell r="B444">
            <v>109000</v>
          </cell>
          <cell r="C444">
            <v>22757</v>
          </cell>
        </row>
        <row r="445">
          <cell r="A445" t="str">
            <v>GLMTLM020</v>
          </cell>
          <cell r="B445">
            <v>119000</v>
          </cell>
          <cell r="C445">
            <v>25957</v>
          </cell>
        </row>
        <row r="446">
          <cell r="A446" t="str">
            <v>GLMTLM030</v>
          </cell>
          <cell r="B446">
            <v>129000</v>
          </cell>
          <cell r="C446">
            <v>28557</v>
          </cell>
        </row>
        <row r="447">
          <cell r="A447" t="str">
            <v>GLMTLM040</v>
          </cell>
          <cell r="B447">
            <v>169000</v>
          </cell>
          <cell r="C447">
            <v>37257</v>
          </cell>
        </row>
        <row r="448">
          <cell r="A448" t="str">
            <v>GLMTSM010</v>
          </cell>
          <cell r="B448">
            <v>109000</v>
          </cell>
          <cell r="C448">
            <v>24757</v>
          </cell>
        </row>
        <row r="449">
          <cell r="A449" t="str">
            <v>GLMTSM020</v>
          </cell>
          <cell r="B449">
            <v>109000</v>
          </cell>
          <cell r="C449">
            <v>22457</v>
          </cell>
        </row>
        <row r="450">
          <cell r="A450" t="str">
            <v>GLMTSM030</v>
          </cell>
          <cell r="B450">
            <v>119000</v>
          </cell>
          <cell r="C450">
            <v>26357</v>
          </cell>
        </row>
        <row r="451">
          <cell r="A451" t="str">
            <v>GLMTSM040</v>
          </cell>
          <cell r="B451">
            <v>99000</v>
          </cell>
          <cell r="C451">
            <v>21557</v>
          </cell>
        </row>
        <row r="452">
          <cell r="A452" t="str">
            <v>GLMTSM050</v>
          </cell>
          <cell r="B452">
            <v>99000</v>
          </cell>
          <cell r="C452">
            <v>22200</v>
          </cell>
        </row>
        <row r="453">
          <cell r="A453" t="str">
            <v>GLMTSM060</v>
          </cell>
          <cell r="B453">
            <v>69000</v>
          </cell>
          <cell r="C453">
            <v>15657</v>
          </cell>
        </row>
        <row r="454">
          <cell r="A454" t="str">
            <v>GLMVSM010</v>
          </cell>
          <cell r="B454">
            <v>99000</v>
          </cell>
          <cell r="C454">
            <v>26088</v>
          </cell>
        </row>
        <row r="455">
          <cell r="A455" t="str">
            <v>GLMVSM020</v>
          </cell>
          <cell r="B455">
            <v>109000</v>
          </cell>
          <cell r="C455">
            <v>24788</v>
          </cell>
        </row>
        <row r="456">
          <cell r="A456" t="str">
            <v>GLMVSM030</v>
          </cell>
          <cell r="B456">
            <v>109000</v>
          </cell>
          <cell r="C456">
            <v>24988</v>
          </cell>
        </row>
        <row r="457">
          <cell r="A457" t="str">
            <v>WLAPTM810</v>
          </cell>
          <cell r="B457">
            <v>79000</v>
          </cell>
          <cell r="C457">
            <v>20620</v>
          </cell>
        </row>
        <row r="458">
          <cell r="A458" t="str">
            <v>WLAPTM820</v>
          </cell>
          <cell r="B458">
            <v>119000</v>
          </cell>
          <cell r="C458">
            <v>30738</v>
          </cell>
        </row>
        <row r="459">
          <cell r="A459" t="str">
            <v>WLAPTM830</v>
          </cell>
          <cell r="B459">
            <v>129000</v>
          </cell>
          <cell r="C459">
            <v>32567</v>
          </cell>
        </row>
        <row r="460">
          <cell r="A460" t="str">
            <v>WLAPTM840</v>
          </cell>
          <cell r="B460">
            <v>99000</v>
          </cell>
          <cell r="C460">
            <v>24920</v>
          </cell>
        </row>
        <row r="461">
          <cell r="A461" t="str">
            <v>WLAPTM850</v>
          </cell>
          <cell r="B461">
            <v>109000</v>
          </cell>
          <cell r="C461">
            <v>27619</v>
          </cell>
        </row>
        <row r="462">
          <cell r="A462" t="str">
            <v>WLAPTM860</v>
          </cell>
          <cell r="B462">
            <v>99000</v>
          </cell>
          <cell r="C462">
            <v>24819</v>
          </cell>
        </row>
        <row r="463">
          <cell r="A463" t="str">
            <v>WLAPTM870</v>
          </cell>
          <cell r="B463">
            <v>139000</v>
          </cell>
          <cell r="C463">
            <v>21121</v>
          </cell>
        </row>
        <row r="464">
          <cell r="A464" t="str">
            <v>WLATLM810</v>
          </cell>
          <cell r="B464">
            <v>155000</v>
          </cell>
          <cell r="C464">
            <v>39280</v>
          </cell>
        </row>
        <row r="465">
          <cell r="A465" t="str">
            <v>WLATLM820</v>
          </cell>
          <cell r="B465">
            <v>139000</v>
          </cell>
          <cell r="C465">
            <v>34712</v>
          </cell>
        </row>
        <row r="466">
          <cell r="A466" t="str">
            <v>WLATSM810</v>
          </cell>
          <cell r="B466">
            <v>155000</v>
          </cell>
          <cell r="C466">
            <v>38416</v>
          </cell>
        </row>
        <row r="467">
          <cell r="A467" t="str">
            <v>WLATSM820</v>
          </cell>
          <cell r="B467">
            <v>129000</v>
          </cell>
          <cell r="C467">
            <v>33367</v>
          </cell>
        </row>
        <row r="468">
          <cell r="A468" t="str">
            <v>WLMPSM450</v>
          </cell>
          <cell r="B468">
            <v>129000</v>
          </cell>
          <cell r="C468">
            <v>31757</v>
          </cell>
        </row>
        <row r="469">
          <cell r="A469" t="str">
            <v>WLMPSM460</v>
          </cell>
          <cell r="B469">
            <v>119000</v>
          </cell>
          <cell r="C469">
            <v>28557</v>
          </cell>
        </row>
        <row r="470">
          <cell r="A470" t="str">
            <v>WLMPTM110</v>
          </cell>
          <cell r="B470">
            <v>139000</v>
          </cell>
          <cell r="C470">
            <v>30757</v>
          </cell>
        </row>
        <row r="471">
          <cell r="A471" t="str">
            <v>WLMPTM360</v>
          </cell>
          <cell r="B471">
            <v>149000</v>
          </cell>
          <cell r="C471">
            <v>35057</v>
          </cell>
        </row>
        <row r="472">
          <cell r="A472" t="str">
            <v>WLMPTM370</v>
          </cell>
          <cell r="B472">
            <v>149000</v>
          </cell>
          <cell r="C472">
            <v>35057</v>
          </cell>
        </row>
        <row r="473">
          <cell r="A473" t="str">
            <v>WLMPTM390</v>
          </cell>
          <cell r="B473">
            <v>219000</v>
          </cell>
          <cell r="C473">
            <v>48745</v>
          </cell>
        </row>
        <row r="474">
          <cell r="A474" t="str">
            <v>WLMTLM010</v>
          </cell>
          <cell r="B474">
            <v>89000</v>
          </cell>
          <cell r="C474">
            <v>19057</v>
          </cell>
        </row>
        <row r="475">
          <cell r="A475" t="str">
            <v>WLMTLM030</v>
          </cell>
          <cell r="B475">
            <v>109000</v>
          </cell>
          <cell r="C475">
            <v>22657</v>
          </cell>
        </row>
        <row r="476">
          <cell r="A476" t="str">
            <v>WLMTSM060</v>
          </cell>
          <cell r="B476">
            <v>99000</v>
          </cell>
          <cell r="C476">
            <v>21257</v>
          </cell>
        </row>
        <row r="477">
          <cell r="A477" t="str">
            <v>WLMTSM070</v>
          </cell>
          <cell r="B477">
            <v>89000</v>
          </cell>
          <cell r="C477">
            <v>20157</v>
          </cell>
        </row>
        <row r="478">
          <cell r="A478" t="str">
            <v>WLMTSM080</v>
          </cell>
          <cell r="B478">
            <v>109000</v>
          </cell>
          <cell r="C478">
            <v>23857</v>
          </cell>
        </row>
        <row r="479">
          <cell r="A479" t="str">
            <v>WLMTSM320</v>
          </cell>
          <cell r="B479">
            <v>109000</v>
          </cell>
          <cell r="C479">
            <v>25057</v>
          </cell>
        </row>
        <row r="480">
          <cell r="A480" t="str">
            <v>WLMTSM370</v>
          </cell>
          <cell r="B480">
            <v>89000</v>
          </cell>
          <cell r="C480">
            <v>19157</v>
          </cell>
        </row>
        <row r="481">
          <cell r="A481" t="str">
            <v>WLMTSM380</v>
          </cell>
          <cell r="B481">
            <v>99000</v>
          </cell>
          <cell r="C481">
            <v>21657</v>
          </cell>
        </row>
        <row r="482">
          <cell r="A482" t="str">
            <v>WLMTSM390</v>
          </cell>
          <cell r="B482">
            <v>99000</v>
          </cell>
          <cell r="C482">
            <v>22357</v>
          </cell>
        </row>
        <row r="483">
          <cell r="A483" t="str">
            <v>WLMTSM410</v>
          </cell>
          <cell r="B483">
            <v>109000</v>
          </cell>
          <cell r="C483">
            <v>26357</v>
          </cell>
        </row>
        <row r="484">
          <cell r="A484" t="str">
            <v>WLMTSM420</v>
          </cell>
          <cell r="B484">
            <v>79000</v>
          </cell>
          <cell r="C484">
            <v>18257</v>
          </cell>
        </row>
        <row r="485">
          <cell r="A485" t="str">
            <v>WLMVSM030</v>
          </cell>
          <cell r="B485">
            <v>115000</v>
          </cell>
          <cell r="C485">
            <v>29975</v>
          </cell>
        </row>
        <row r="486">
          <cell r="A486" t="str">
            <v>WLMVSM320</v>
          </cell>
          <cell r="B486">
            <v>99000</v>
          </cell>
          <cell r="C486">
            <v>26575</v>
          </cell>
        </row>
        <row r="487">
          <cell r="A487" t="str">
            <v>WLMVSM330</v>
          </cell>
          <cell r="B487">
            <v>120000</v>
          </cell>
          <cell r="C487">
            <v>31275</v>
          </cell>
        </row>
      </sheetData>
      <sheetData sheetId="11">
        <row r="2">
          <cell r="A2" t="str">
            <v>WJMTTM52074</v>
          </cell>
        </row>
      </sheetData>
      <sheetData sheetId="12">
        <row r="4">
          <cell r="C4" t="str">
            <v>WJABGM01034</v>
          </cell>
        </row>
      </sheetData>
      <sheetData sheetId="13">
        <row r="1">
          <cell r="B1" t="str">
            <v>STYLE-NO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패턴"/>
      <sheetName val="출금전표"/>
      <sheetName val="업체별"/>
      <sheetName val="2004"/>
      <sheetName val="2005"/>
      <sheetName val="출력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C1" t="str">
            <v xml:space="preserve"> </v>
          </cell>
        </row>
        <row r="2">
          <cell r="C2" t="str">
            <v>거래처</v>
          </cell>
        </row>
        <row r="4">
          <cell r="C4" t="str">
            <v>윤진</v>
          </cell>
        </row>
        <row r="5">
          <cell r="C5" t="str">
            <v>윤진</v>
          </cell>
        </row>
        <row r="6">
          <cell r="C6" t="str">
            <v>윤진</v>
          </cell>
        </row>
        <row r="7">
          <cell r="C7" t="str">
            <v>윤진</v>
          </cell>
        </row>
        <row r="8">
          <cell r="C8" t="str">
            <v>윤진</v>
          </cell>
        </row>
        <row r="9">
          <cell r="C9" t="str">
            <v>윤진</v>
          </cell>
        </row>
        <row r="10">
          <cell r="C10" t="str">
            <v>윤진</v>
          </cell>
        </row>
        <row r="11">
          <cell r="C11" t="str">
            <v>유니트</v>
          </cell>
        </row>
        <row r="12">
          <cell r="C12" t="str">
            <v>유니트</v>
          </cell>
        </row>
        <row r="13">
          <cell r="C13" t="str">
            <v>유니트</v>
          </cell>
        </row>
        <row r="14">
          <cell r="C14" t="str">
            <v>진양</v>
          </cell>
        </row>
        <row r="15">
          <cell r="C15" t="str">
            <v>진양</v>
          </cell>
        </row>
        <row r="16">
          <cell r="C16" t="str">
            <v>건우</v>
          </cell>
        </row>
        <row r="17">
          <cell r="C17" t="str">
            <v>건우</v>
          </cell>
        </row>
        <row r="18">
          <cell r="C18" t="str">
            <v>건우</v>
          </cell>
        </row>
        <row r="19">
          <cell r="C19" t="str">
            <v>acc</v>
          </cell>
        </row>
        <row r="20">
          <cell r="C20" t="str">
            <v>acc</v>
          </cell>
        </row>
        <row r="21">
          <cell r="C21" t="str">
            <v>ACC</v>
          </cell>
        </row>
        <row r="22">
          <cell r="C22" t="str">
            <v>이슈</v>
          </cell>
        </row>
        <row r="23">
          <cell r="C23" t="str">
            <v>이슈</v>
          </cell>
        </row>
        <row r="24">
          <cell r="C24" t="str">
            <v>동영</v>
          </cell>
        </row>
        <row r="25">
          <cell r="C25" t="str">
            <v>보광</v>
          </cell>
        </row>
        <row r="26">
          <cell r="C26" t="str">
            <v>알파</v>
          </cell>
        </row>
        <row r="27">
          <cell r="C27" t="str">
            <v>한우리</v>
          </cell>
        </row>
        <row r="28">
          <cell r="C28" t="str">
            <v>김필곤</v>
          </cell>
        </row>
        <row r="29">
          <cell r="C29" t="str">
            <v>ttl</v>
          </cell>
        </row>
        <row r="30">
          <cell r="C30" t="str">
            <v>윤진</v>
          </cell>
        </row>
        <row r="31">
          <cell r="C31" t="str">
            <v>윤진</v>
          </cell>
        </row>
        <row r="32">
          <cell r="C32" t="str">
            <v>윤진</v>
          </cell>
        </row>
        <row r="33">
          <cell r="C33" t="str">
            <v>윤진</v>
          </cell>
        </row>
        <row r="34">
          <cell r="C34" t="str">
            <v>윤진</v>
          </cell>
        </row>
        <row r="35">
          <cell r="C35" t="str">
            <v>윤진</v>
          </cell>
        </row>
        <row r="36">
          <cell r="C36" t="str">
            <v>윤진</v>
          </cell>
        </row>
        <row r="37">
          <cell r="C37" t="str">
            <v>유니트</v>
          </cell>
        </row>
        <row r="38">
          <cell r="C38" t="str">
            <v>유니트</v>
          </cell>
        </row>
        <row r="39">
          <cell r="C39" t="str">
            <v>유니트</v>
          </cell>
        </row>
        <row r="40">
          <cell r="C40" t="str">
            <v>유니트</v>
          </cell>
        </row>
        <row r="41">
          <cell r="C41" t="str">
            <v>유니트</v>
          </cell>
        </row>
        <row r="42">
          <cell r="C42" t="str">
            <v>유니트</v>
          </cell>
        </row>
        <row r="43">
          <cell r="C43" t="str">
            <v>acc</v>
          </cell>
        </row>
        <row r="44">
          <cell r="C44" t="str">
            <v>acc</v>
          </cell>
        </row>
        <row r="45">
          <cell r="C45" t="str">
            <v>acc</v>
          </cell>
        </row>
        <row r="46">
          <cell r="C46" t="str">
            <v>acc</v>
          </cell>
        </row>
        <row r="47">
          <cell r="C47" t="str">
            <v>acc</v>
          </cell>
        </row>
        <row r="48">
          <cell r="C48" t="str">
            <v>acc</v>
          </cell>
        </row>
        <row r="49">
          <cell r="C49" t="str">
            <v>acc</v>
          </cell>
        </row>
        <row r="50">
          <cell r="C50" t="str">
            <v>acc</v>
          </cell>
        </row>
        <row r="51">
          <cell r="C51" t="str">
            <v>이글</v>
          </cell>
        </row>
        <row r="52">
          <cell r="C52" t="str">
            <v>이글</v>
          </cell>
        </row>
        <row r="53">
          <cell r="C53" t="str">
            <v>이글</v>
          </cell>
        </row>
        <row r="54">
          <cell r="C54" t="str">
            <v>이글</v>
          </cell>
        </row>
        <row r="55">
          <cell r="C55" t="str">
            <v>이슈</v>
          </cell>
        </row>
        <row r="56">
          <cell r="C56" t="str">
            <v>이슈</v>
          </cell>
        </row>
        <row r="57">
          <cell r="C57" t="str">
            <v>건우</v>
          </cell>
        </row>
        <row r="58">
          <cell r="C58" t="str">
            <v>건우</v>
          </cell>
        </row>
        <row r="59">
          <cell r="C59" t="str">
            <v>보광</v>
          </cell>
        </row>
        <row r="60">
          <cell r="C60" t="str">
            <v>동영</v>
          </cell>
        </row>
        <row r="61">
          <cell r="C61" t="str">
            <v>알파</v>
          </cell>
        </row>
        <row r="62">
          <cell r="C62" t="str">
            <v>김필곤</v>
          </cell>
        </row>
        <row r="63">
          <cell r="C63" t="str">
            <v>아이비스</v>
          </cell>
        </row>
        <row r="64">
          <cell r="C64" t="str">
            <v>에스제이</v>
          </cell>
        </row>
        <row r="65">
          <cell r="C65" t="str">
            <v>원도</v>
          </cell>
        </row>
        <row r="66">
          <cell r="C66" t="str">
            <v>원도</v>
          </cell>
        </row>
        <row r="67">
          <cell r="C67" t="str">
            <v>원도</v>
          </cell>
        </row>
        <row r="68">
          <cell r="C68" t="str">
            <v>원도</v>
          </cell>
        </row>
        <row r="69">
          <cell r="C69" t="str">
            <v>스노피</v>
          </cell>
        </row>
        <row r="70">
          <cell r="C70" t="str">
            <v>스노피</v>
          </cell>
        </row>
        <row r="71">
          <cell r="C71" t="str">
            <v>스노피</v>
          </cell>
        </row>
        <row r="72">
          <cell r="C72" t="str">
            <v>스노피</v>
          </cell>
        </row>
        <row r="73">
          <cell r="C73" t="str">
            <v>스노피</v>
          </cell>
        </row>
        <row r="74">
          <cell r="C74" t="str">
            <v>스노피</v>
          </cell>
        </row>
        <row r="75">
          <cell r="C75" t="str">
            <v>TBO</v>
          </cell>
        </row>
        <row r="76">
          <cell r="C76" t="str">
            <v>TBO</v>
          </cell>
        </row>
        <row r="77">
          <cell r="C77" t="str">
            <v>TBO</v>
          </cell>
        </row>
        <row r="78">
          <cell r="C78" t="str">
            <v>TBO</v>
          </cell>
        </row>
        <row r="79">
          <cell r="C79" t="str">
            <v>TBO</v>
          </cell>
        </row>
        <row r="80">
          <cell r="C80" t="str">
            <v>TBO</v>
          </cell>
        </row>
        <row r="81">
          <cell r="C81" t="str">
            <v>TBO</v>
          </cell>
        </row>
        <row r="82">
          <cell r="C82" t="str">
            <v>TBO</v>
          </cell>
        </row>
        <row r="83">
          <cell r="C83" t="str">
            <v>TBO</v>
          </cell>
        </row>
        <row r="84">
          <cell r="C84" t="str">
            <v>TBO</v>
          </cell>
        </row>
        <row r="85">
          <cell r="C85" t="str">
            <v>TBO</v>
          </cell>
        </row>
        <row r="86">
          <cell r="C86" t="str">
            <v>TBO</v>
          </cell>
        </row>
        <row r="87">
          <cell r="C87" t="str">
            <v>유니트</v>
          </cell>
        </row>
        <row r="88">
          <cell r="C88" t="str">
            <v>유니트</v>
          </cell>
        </row>
        <row r="89">
          <cell r="C89" t="str">
            <v>유니트</v>
          </cell>
        </row>
        <row r="90">
          <cell r="C90" t="str">
            <v>유니트</v>
          </cell>
        </row>
        <row r="91">
          <cell r="C91" t="str">
            <v>유니트</v>
          </cell>
        </row>
        <row r="92">
          <cell r="C92" t="str">
            <v>유니트</v>
          </cell>
        </row>
        <row r="93">
          <cell r="C93" t="str">
            <v>유니트</v>
          </cell>
        </row>
        <row r="94">
          <cell r="C94" t="str">
            <v>유니트</v>
          </cell>
        </row>
        <row r="95">
          <cell r="C95" t="str">
            <v>윤진</v>
          </cell>
        </row>
        <row r="96">
          <cell r="C96" t="str">
            <v>윤진</v>
          </cell>
        </row>
        <row r="97">
          <cell r="C97" t="str">
            <v>윤진</v>
          </cell>
        </row>
        <row r="98">
          <cell r="C98" t="str">
            <v>윤진</v>
          </cell>
        </row>
        <row r="99">
          <cell r="C99" t="str">
            <v>윤진</v>
          </cell>
        </row>
        <row r="100">
          <cell r="C100" t="str">
            <v>윤진</v>
          </cell>
        </row>
        <row r="101">
          <cell r="C101" t="str">
            <v>윤진</v>
          </cell>
        </row>
        <row r="102">
          <cell r="C102" t="str">
            <v>윤진</v>
          </cell>
        </row>
        <row r="103">
          <cell r="C103" t="str">
            <v>윤진</v>
          </cell>
        </row>
        <row r="104">
          <cell r="C104" t="str">
            <v>윤진</v>
          </cell>
        </row>
        <row r="105">
          <cell r="C105" t="str">
            <v>그린</v>
          </cell>
        </row>
        <row r="106">
          <cell r="C106" t="str">
            <v>그린</v>
          </cell>
        </row>
        <row r="107">
          <cell r="C107" t="str">
            <v>그린</v>
          </cell>
        </row>
        <row r="108">
          <cell r="C108" t="str">
            <v>이글</v>
          </cell>
        </row>
        <row r="109">
          <cell r="C109" t="str">
            <v>이글</v>
          </cell>
        </row>
        <row r="110">
          <cell r="C110" t="str">
            <v>이글</v>
          </cell>
        </row>
        <row r="111">
          <cell r="C111" t="str">
            <v>이글</v>
          </cell>
        </row>
        <row r="112">
          <cell r="C112" t="str">
            <v>건우</v>
          </cell>
        </row>
        <row r="113">
          <cell r="C113" t="str">
            <v>건우</v>
          </cell>
        </row>
        <row r="114">
          <cell r="C114" t="str">
            <v>건우</v>
          </cell>
        </row>
        <row r="115">
          <cell r="C115" t="str">
            <v>건우</v>
          </cell>
        </row>
        <row r="116">
          <cell r="C116" t="str">
            <v>acc</v>
          </cell>
        </row>
        <row r="117">
          <cell r="C117" t="str">
            <v>acc</v>
          </cell>
        </row>
        <row r="118">
          <cell r="C118" t="str">
            <v>acc</v>
          </cell>
        </row>
        <row r="119">
          <cell r="C119" t="str">
            <v>acc</v>
          </cell>
        </row>
        <row r="120">
          <cell r="C120" t="str">
            <v>acc</v>
          </cell>
        </row>
        <row r="121">
          <cell r="C121" t="str">
            <v>acc</v>
          </cell>
        </row>
        <row r="122">
          <cell r="C122" t="str">
            <v>acc</v>
          </cell>
        </row>
        <row r="123">
          <cell r="C123" t="str">
            <v>아성</v>
          </cell>
        </row>
        <row r="124">
          <cell r="C124" t="str">
            <v>아성</v>
          </cell>
        </row>
        <row r="125">
          <cell r="C125" t="str">
            <v>아성</v>
          </cell>
        </row>
        <row r="127">
          <cell r="C127" t="str">
            <v>코오롱</v>
          </cell>
        </row>
        <row r="128">
          <cell r="C128" t="str">
            <v>코오롱</v>
          </cell>
        </row>
        <row r="129">
          <cell r="C129" t="str">
            <v>코오롱</v>
          </cell>
        </row>
        <row r="130">
          <cell r="C130" t="str">
            <v>코오롱</v>
          </cell>
        </row>
        <row r="131">
          <cell r="C131" t="str">
            <v>보광</v>
          </cell>
        </row>
        <row r="132">
          <cell r="C132" t="str">
            <v>김필곤</v>
          </cell>
        </row>
        <row r="133">
          <cell r="C133" t="str">
            <v>원도</v>
          </cell>
        </row>
        <row r="134">
          <cell r="C134" t="str">
            <v>스노피</v>
          </cell>
        </row>
        <row r="135">
          <cell r="C135" t="str">
            <v>스노피</v>
          </cell>
        </row>
        <row r="136">
          <cell r="C136" t="str">
            <v>스노피</v>
          </cell>
        </row>
        <row r="137">
          <cell r="C137" t="str">
            <v>TBO</v>
          </cell>
        </row>
        <row r="138">
          <cell r="C138" t="str">
            <v>TBO</v>
          </cell>
        </row>
        <row r="139">
          <cell r="C139" t="str">
            <v>유니트</v>
          </cell>
        </row>
        <row r="140">
          <cell r="C140" t="str">
            <v>유니트</v>
          </cell>
        </row>
        <row r="141">
          <cell r="C141" t="str">
            <v>유니트</v>
          </cell>
        </row>
        <row r="142">
          <cell r="C142" t="str">
            <v>유니트</v>
          </cell>
        </row>
        <row r="143">
          <cell r="C143" t="str">
            <v>유니트</v>
          </cell>
        </row>
        <row r="144">
          <cell r="C144" t="str">
            <v>유니트</v>
          </cell>
        </row>
        <row r="145">
          <cell r="C145" t="str">
            <v>유니트</v>
          </cell>
        </row>
        <row r="146">
          <cell r="C146" t="str">
            <v>윤진</v>
          </cell>
        </row>
        <row r="147">
          <cell r="C147" t="str">
            <v>윤진</v>
          </cell>
        </row>
        <row r="148">
          <cell r="C148" t="str">
            <v>윤진</v>
          </cell>
        </row>
        <row r="149">
          <cell r="C149" t="str">
            <v>윤진</v>
          </cell>
        </row>
        <row r="150">
          <cell r="C150" t="str">
            <v>매트로</v>
          </cell>
        </row>
        <row r="151">
          <cell r="C151" t="str">
            <v>매트로</v>
          </cell>
        </row>
        <row r="152">
          <cell r="C152" t="str">
            <v>매트로</v>
          </cell>
        </row>
        <row r="153">
          <cell r="C153" t="str">
            <v>매트로</v>
          </cell>
        </row>
        <row r="154">
          <cell r="C154" t="str">
            <v>매트로</v>
          </cell>
        </row>
        <row r="155">
          <cell r="C155" t="str">
            <v>그린</v>
          </cell>
        </row>
        <row r="156">
          <cell r="C156" t="str">
            <v>그린</v>
          </cell>
        </row>
        <row r="157">
          <cell r="C157" t="str">
            <v>이글</v>
          </cell>
        </row>
        <row r="158">
          <cell r="C158" t="str">
            <v>이글</v>
          </cell>
        </row>
        <row r="159">
          <cell r="C159" t="str">
            <v>이슈</v>
          </cell>
        </row>
        <row r="160">
          <cell r="C160" t="str">
            <v>샘</v>
          </cell>
        </row>
        <row r="161">
          <cell r="C161" t="str">
            <v>샘</v>
          </cell>
        </row>
        <row r="162">
          <cell r="C162" t="str">
            <v>샘</v>
          </cell>
        </row>
        <row r="163">
          <cell r="C163" t="str">
            <v>샘</v>
          </cell>
        </row>
        <row r="164">
          <cell r="C164" t="str">
            <v>샘</v>
          </cell>
        </row>
        <row r="165">
          <cell r="C165" t="str">
            <v>acc</v>
          </cell>
        </row>
        <row r="166">
          <cell r="C166" t="str">
            <v>acc</v>
          </cell>
        </row>
        <row r="167">
          <cell r="C167" t="str">
            <v>acc</v>
          </cell>
        </row>
        <row r="168">
          <cell r="C168" t="str">
            <v>acc</v>
          </cell>
        </row>
        <row r="169">
          <cell r="C169" t="str">
            <v>acc</v>
          </cell>
        </row>
        <row r="170">
          <cell r="C170" t="str">
            <v>KOLON</v>
          </cell>
        </row>
        <row r="171">
          <cell r="C171" t="str">
            <v>KOLON</v>
          </cell>
        </row>
        <row r="172">
          <cell r="C172" t="str">
            <v>KOLON</v>
          </cell>
        </row>
        <row r="173">
          <cell r="C173" t="str">
            <v>KOLON</v>
          </cell>
        </row>
        <row r="174">
          <cell r="C174" t="str">
            <v>이슈</v>
          </cell>
        </row>
        <row r="175">
          <cell r="C175" t="str">
            <v>이슈</v>
          </cell>
        </row>
        <row r="176">
          <cell r="C176" t="str">
            <v>아성</v>
          </cell>
        </row>
        <row r="177">
          <cell r="C177" t="str">
            <v>신풍</v>
          </cell>
        </row>
        <row r="178">
          <cell r="C178" t="str">
            <v>동영</v>
          </cell>
        </row>
        <row r="179">
          <cell r="C179" t="str">
            <v>보광</v>
          </cell>
        </row>
        <row r="180">
          <cell r="C180" t="str">
            <v>김필곤</v>
          </cell>
        </row>
        <row r="181">
          <cell r="C181" t="str">
            <v>알파</v>
          </cell>
        </row>
        <row r="182">
          <cell r="C182" t="str">
            <v>스노피</v>
          </cell>
        </row>
        <row r="183">
          <cell r="C183" t="str">
            <v>홍진자수</v>
          </cell>
        </row>
        <row r="184">
          <cell r="C184" t="str">
            <v>그린</v>
          </cell>
        </row>
        <row r="185">
          <cell r="C185" t="str">
            <v>그린</v>
          </cell>
        </row>
        <row r="186">
          <cell r="C186" t="str">
            <v>그린</v>
          </cell>
        </row>
        <row r="187">
          <cell r="C187" t="str">
            <v>그린</v>
          </cell>
        </row>
        <row r="188">
          <cell r="C188" t="str">
            <v>메트로</v>
          </cell>
        </row>
        <row r="189">
          <cell r="C189" t="str">
            <v>메트로</v>
          </cell>
        </row>
        <row r="190">
          <cell r="C190" t="str">
            <v>메트로</v>
          </cell>
        </row>
        <row r="191">
          <cell r="C191" t="str">
            <v>메트로</v>
          </cell>
        </row>
        <row r="192">
          <cell r="C192" t="str">
            <v>메트로</v>
          </cell>
        </row>
        <row r="193">
          <cell r="C193" t="str">
            <v>메트로</v>
          </cell>
        </row>
        <row r="194">
          <cell r="C194" t="str">
            <v>메트로</v>
          </cell>
        </row>
        <row r="195">
          <cell r="C195" t="str">
            <v>메트로</v>
          </cell>
        </row>
        <row r="196">
          <cell r="C196" t="str">
            <v>메트로</v>
          </cell>
        </row>
        <row r="197">
          <cell r="C197" t="str">
            <v>샘</v>
          </cell>
        </row>
        <row r="198">
          <cell r="C198" t="str">
            <v>샘</v>
          </cell>
        </row>
        <row r="199">
          <cell r="C199" t="str">
            <v>샘</v>
          </cell>
        </row>
        <row r="200">
          <cell r="C200" t="str">
            <v>스노피</v>
          </cell>
        </row>
        <row r="201">
          <cell r="C201" t="str">
            <v>스노피</v>
          </cell>
        </row>
        <row r="202">
          <cell r="C202" t="str">
            <v>스노피</v>
          </cell>
        </row>
        <row r="203">
          <cell r="C203" t="str">
            <v>스노피</v>
          </cell>
        </row>
        <row r="204">
          <cell r="C204" t="str">
            <v>유니트</v>
          </cell>
        </row>
        <row r="205">
          <cell r="C205" t="str">
            <v>유니트</v>
          </cell>
        </row>
        <row r="206">
          <cell r="C206" t="str">
            <v>유니트</v>
          </cell>
        </row>
        <row r="207">
          <cell r="C207" t="str">
            <v>유니트</v>
          </cell>
        </row>
        <row r="208">
          <cell r="C208" t="str">
            <v>유니트</v>
          </cell>
        </row>
        <row r="209">
          <cell r="C209" t="str">
            <v>유니트</v>
          </cell>
        </row>
        <row r="210">
          <cell r="C210" t="str">
            <v>유니트</v>
          </cell>
        </row>
        <row r="211">
          <cell r="C211" t="str">
            <v>유니트</v>
          </cell>
        </row>
        <row r="212">
          <cell r="C212" t="str">
            <v>윤진</v>
          </cell>
        </row>
        <row r="213">
          <cell r="C213" t="str">
            <v>윤진</v>
          </cell>
        </row>
        <row r="214">
          <cell r="C214" t="str">
            <v>윤진</v>
          </cell>
        </row>
        <row r="215">
          <cell r="C215" t="str">
            <v>윤진</v>
          </cell>
        </row>
        <row r="216">
          <cell r="C216" t="str">
            <v>티에라</v>
          </cell>
        </row>
        <row r="217">
          <cell r="C217" t="str">
            <v>티에라</v>
          </cell>
        </row>
        <row r="218">
          <cell r="C218" t="str">
            <v>TBO</v>
          </cell>
        </row>
        <row r="219">
          <cell r="C219" t="str">
            <v>건우</v>
          </cell>
        </row>
        <row r="220">
          <cell r="C220" t="str">
            <v>ACC</v>
          </cell>
        </row>
        <row r="221">
          <cell r="C221" t="str">
            <v>ACC</v>
          </cell>
        </row>
        <row r="222">
          <cell r="C222" t="str">
            <v>ACC</v>
          </cell>
        </row>
        <row r="223">
          <cell r="C223" t="str">
            <v>동영</v>
          </cell>
        </row>
        <row r="224">
          <cell r="C224" t="str">
            <v>보광</v>
          </cell>
        </row>
        <row r="225">
          <cell r="C225" t="str">
            <v>포럼</v>
          </cell>
        </row>
        <row r="226">
          <cell r="C226" t="str">
            <v>영풍</v>
          </cell>
        </row>
        <row r="227">
          <cell r="C227" t="str">
            <v>아성</v>
          </cell>
        </row>
        <row r="228">
          <cell r="C228" t="str">
            <v>아성</v>
          </cell>
        </row>
        <row r="229">
          <cell r="C229" t="str">
            <v>KOLON</v>
          </cell>
        </row>
        <row r="230">
          <cell r="C230" t="str">
            <v>김필곤</v>
          </cell>
        </row>
        <row r="231">
          <cell r="C231" t="str">
            <v>유아름</v>
          </cell>
        </row>
        <row r="233">
          <cell r="C233" t="str">
            <v>ACC</v>
          </cell>
        </row>
        <row r="234">
          <cell r="C234" t="str">
            <v>ACC</v>
          </cell>
        </row>
        <row r="235">
          <cell r="C235" t="str">
            <v>ACC</v>
          </cell>
        </row>
        <row r="236">
          <cell r="C236" t="str">
            <v>ACC</v>
          </cell>
        </row>
        <row r="237">
          <cell r="C237" t="str">
            <v>ACC</v>
          </cell>
        </row>
        <row r="238">
          <cell r="C238" t="str">
            <v>그린</v>
          </cell>
        </row>
        <row r="239">
          <cell r="C239" t="str">
            <v>그린</v>
          </cell>
        </row>
        <row r="240">
          <cell r="C240" t="str">
            <v>그린</v>
          </cell>
        </row>
        <row r="241">
          <cell r="C241" t="str">
            <v>메트로</v>
          </cell>
        </row>
        <row r="242">
          <cell r="C242" t="str">
            <v>메트로</v>
          </cell>
        </row>
        <row r="243">
          <cell r="C243" t="str">
            <v>메트로</v>
          </cell>
        </row>
        <row r="244">
          <cell r="C244" t="str">
            <v>메트로</v>
          </cell>
        </row>
        <row r="245">
          <cell r="C245" t="str">
            <v>메트로</v>
          </cell>
        </row>
        <row r="246">
          <cell r="C246" t="str">
            <v>메트로</v>
          </cell>
        </row>
        <row r="247">
          <cell r="C247" t="str">
            <v>메트로</v>
          </cell>
        </row>
        <row r="248">
          <cell r="C248" t="str">
            <v>메트로</v>
          </cell>
        </row>
        <row r="249">
          <cell r="C249" t="str">
            <v>윤진</v>
          </cell>
        </row>
        <row r="250">
          <cell r="C250" t="str">
            <v>유니트</v>
          </cell>
        </row>
        <row r="251">
          <cell r="C251" t="str">
            <v>TBO</v>
          </cell>
        </row>
        <row r="252">
          <cell r="C252" t="str">
            <v>아성</v>
          </cell>
        </row>
        <row r="253">
          <cell r="C253" t="str">
            <v>아성</v>
          </cell>
        </row>
        <row r="254">
          <cell r="C254" t="str">
            <v>영풍</v>
          </cell>
        </row>
        <row r="255">
          <cell r="C255" t="str">
            <v>동영</v>
          </cell>
        </row>
        <row r="256">
          <cell r="C256" t="str">
            <v>보광</v>
          </cell>
        </row>
        <row r="257">
          <cell r="C257" t="str">
            <v>KOLON</v>
          </cell>
        </row>
        <row r="258">
          <cell r="C258" t="str">
            <v>KOLON</v>
          </cell>
        </row>
        <row r="259">
          <cell r="C259" t="str">
            <v>KOLON</v>
          </cell>
        </row>
        <row r="260">
          <cell r="C260" t="str">
            <v>KOLON</v>
          </cell>
        </row>
        <row r="261">
          <cell r="C261" t="str">
            <v>메트로</v>
          </cell>
        </row>
        <row r="262">
          <cell r="C262" t="str">
            <v>메트로</v>
          </cell>
        </row>
        <row r="263">
          <cell r="C263" t="str">
            <v>메트로</v>
          </cell>
        </row>
        <row r="264">
          <cell r="C264" t="str">
            <v>유니트</v>
          </cell>
        </row>
        <row r="265">
          <cell r="C265" t="str">
            <v>스노피</v>
          </cell>
        </row>
        <row r="266">
          <cell r="C266" t="str">
            <v>스노피</v>
          </cell>
        </row>
        <row r="267">
          <cell r="C267" t="str">
            <v>스노피</v>
          </cell>
        </row>
        <row r="268">
          <cell r="C268" t="str">
            <v>그린</v>
          </cell>
        </row>
        <row r="269">
          <cell r="C269" t="str">
            <v>ACC</v>
          </cell>
        </row>
        <row r="270">
          <cell r="C270" t="str">
            <v>건우</v>
          </cell>
        </row>
        <row r="271">
          <cell r="C271" t="str">
            <v>유아름</v>
          </cell>
        </row>
        <row r="272">
          <cell r="C272" t="str">
            <v>김필곤</v>
          </cell>
        </row>
        <row r="274">
          <cell r="C274" t="str">
            <v>유니트</v>
          </cell>
        </row>
        <row r="275">
          <cell r="C275" t="str">
            <v>한영캉가루</v>
          </cell>
        </row>
        <row r="276">
          <cell r="C276" t="str">
            <v>메트로</v>
          </cell>
        </row>
        <row r="277">
          <cell r="C277" t="str">
            <v>메트로</v>
          </cell>
        </row>
        <row r="278">
          <cell r="C278" t="str">
            <v>메트로</v>
          </cell>
        </row>
        <row r="279">
          <cell r="C279" t="str">
            <v>메트로</v>
          </cell>
        </row>
        <row r="280">
          <cell r="C280" t="str">
            <v>메트로</v>
          </cell>
        </row>
        <row r="281">
          <cell r="C281" t="str">
            <v>TBO</v>
          </cell>
        </row>
        <row r="282">
          <cell r="C282" t="str">
            <v>TBO</v>
          </cell>
        </row>
        <row r="283">
          <cell r="C283" t="str">
            <v>TBO</v>
          </cell>
        </row>
        <row r="284">
          <cell r="C284" t="str">
            <v>TBO</v>
          </cell>
        </row>
        <row r="285">
          <cell r="C285" t="str">
            <v>TBO</v>
          </cell>
        </row>
        <row r="286">
          <cell r="C286" t="str">
            <v>원도</v>
          </cell>
        </row>
        <row r="287">
          <cell r="C287" t="str">
            <v>원도</v>
          </cell>
        </row>
        <row r="288">
          <cell r="C288" t="str">
            <v>원도</v>
          </cell>
        </row>
        <row r="289">
          <cell r="C289" t="str">
            <v>원도</v>
          </cell>
        </row>
        <row r="290">
          <cell r="C290" t="str">
            <v>스노피</v>
          </cell>
        </row>
        <row r="291">
          <cell r="C291" t="str">
            <v>스노피</v>
          </cell>
        </row>
        <row r="292">
          <cell r="C292" t="str">
            <v>스노피</v>
          </cell>
        </row>
        <row r="293">
          <cell r="C293" t="str">
            <v>스노피</v>
          </cell>
        </row>
        <row r="294">
          <cell r="C294" t="str">
            <v>스노피</v>
          </cell>
        </row>
        <row r="295">
          <cell r="C295" t="str">
            <v>윤진</v>
          </cell>
        </row>
        <row r="296">
          <cell r="C296" t="str">
            <v>윤진</v>
          </cell>
        </row>
        <row r="297">
          <cell r="C297" t="str">
            <v>그린</v>
          </cell>
        </row>
        <row r="298">
          <cell r="C298" t="str">
            <v>이글</v>
          </cell>
        </row>
        <row r="299">
          <cell r="C299" t="str">
            <v>이글</v>
          </cell>
        </row>
        <row r="300">
          <cell r="C300" t="str">
            <v>ACC</v>
          </cell>
        </row>
        <row r="301">
          <cell r="C301" t="str">
            <v>ACC</v>
          </cell>
        </row>
        <row r="302">
          <cell r="C302" t="str">
            <v>ACC</v>
          </cell>
        </row>
        <row r="303">
          <cell r="C303" t="str">
            <v>샘</v>
          </cell>
        </row>
        <row r="304">
          <cell r="C304" t="str">
            <v>샘</v>
          </cell>
        </row>
        <row r="305">
          <cell r="C305" t="str">
            <v>KOLON</v>
          </cell>
        </row>
        <row r="306">
          <cell r="C306" t="str">
            <v>KOLON</v>
          </cell>
        </row>
        <row r="307">
          <cell r="C307" t="str">
            <v>KOLON</v>
          </cell>
        </row>
        <row r="308">
          <cell r="C308" t="str">
            <v>아성</v>
          </cell>
        </row>
        <row r="309">
          <cell r="C309" t="str">
            <v>아성</v>
          </cell>
        </row>
        <row r="310">
          <cell r="C310" t="str">
            <v>알파</v>
          </cell>
        </row>
        <row r="311">
          <cell r="C311" t="str">
            <v>동영</v>
          </cell>
        </row>
        <row r="312">
          <cell r="C312" t="str">
            <v>보광</v>
          </cell>
        </row>
        <row r="313">
          <cell r="C313" t="str">
            <v>홍진자수</v>
          </cell>
        </row>
        <row r="314">
          <cell r="C314" t="str">
            <v>MALDEN</v>
          </cell>
        </row>
        <row r="315">
          <cell r="C315" t="str">
            <v>MALDEN</v>
          </cell>
        </row>
        <row r="316">
          <cell r="C316" t="str">
            <v>SCHOELLER</v>
          </cell>
        </row>
        <row r="317">
          <cell r="C317" t="str">
            <v>SCHOELLER</v>
          </cell>
        </row>
        <row r="318">
          <cell r="C318" t="str">
            <v>SCHOELLER</v>
          </cell>
        </row>
        <row r="319">
          <cell r="C319" t="str">
            <v>SCHOELLER</v>
          </cell>
        </row>
        <row r="320">
          <cell r="C320" t="str">
            <v>SCHOELLER</v>
          </cell>
        </row>
        <row r="321">
          <cell r="C321" t="str">
            <v>SCHOELLER</v>
          </cell>
        </row>
        <row r="322">
          <cell r="C322" t="str">
            <v>SCHOELLER</v>
          </cell>
        </row>
        <row r="323">
          <cell r="C323" t="str">
            <v>SCHOELLER</v>
          </cell>
        </row>
        <row r="324">
          <cell r="C324" t="str">
            <v>SCHOELLER</v>
          </cell>
        </row>
        <row r="325">
          <cell r="C325" t="str">
            <v>SCHOELLER</v>
          </cell>
        </row>
        <row r="326">
          <cell r="C326" t="str">
            <v>SCHOELLER</v>
          </cell>
        </row>
        <row r="327">
          <cell r="C327" t="str">
            <v>SCHOELLER</v>
          </cell>
        </row>
        <row r="328">
          <cell r="C328" t="str">
            <v>SCHOELLER</v>
          </cell>
        </row>
        <row r="329">
          <cell r="C329" t="str">
            <v>김필곤</v>
          </cell>
        </row>
        <row r="330">
          <cell r="C330" t="str">
            <v>거래처</v>
          </cell>
        </row>
        <row r="331">
          <cell r="C331" t="str">
            <v>원도</v>
          </cell>
        </row>
        <row r="332">
          <cell r="C332" t="str">
            <v>원도</v>
          </cell>
        </row>
        <row r="333">
          <cell r="C333" t="str">
            <v>원도</v>
          </cell>
        </row>
        <row r="334">
          <cell r="C334" t="str">
            <v>원도</v>
          </cell>
        </row>
        <row r="335">
          <cell r="C335" t="str">
            <v>원도</v>
          </cell>
        </row>
        <row r="336">
          <cell r="C336" t="str">
            <v>원도</v>
          </cell>
        </row>
        <row r="337">
          <cell r="C337" t="str">
            <v>원도</v>
          </cell>
        </row>
        <row r="338">
          <cell r="C338" t="str">
            <v>원도</v>
          </cell>
        </row>
        <row r="339">
          <cell r="C339" t="str">
            <v>원도</v>
          </cell>
        </row>
        <row r="341">
          <cell r="C341" t="str">
            <v>원도</v>
          </cell>
        </row>
        <row r="342">
          <cell r="C342" t="str">
            <v>원도</v>
          </cell>
        </row>
        <row r="343">
          <cell r="C343" t="str">
            <v>원도</v>
          </cell>
        </row>
        <row r="344">
          <cell r="C344" t="str">
            <v>원도</v>
          </cell>
        </row>
        <row r="345">
          <cell r="C345" t="str">
            <v>원도</v>
          </cell>
        </row>
        <row r="346">
          <cell r="C346" t="str">
            <v>원도</v>
          </cell>
        </row>
        <row r="348">
          <cell r="C348" t="str">
            <v>아성</v>
          </cell>
        </row>
        <row r="349">
          <cell r="C349" t="str">
            <v>KOLON</v>
          </cell>
        </row>
        <row r="350">
          <cell r="C350" t="str">
            <v>KOLON</v>
          </cell>
        </row>
        <row r="351">
          <cell r="C351" t="str">
            <v>금오</v>
          </cell>
        </row>
        <row r="352">
          <cell r="C352" t="str">
            <v>해외무역</v>
          </cell>
        </row>
        <row r="353">
          <cell r="C353" t="str">
            <v>해외무역</v>
          </cell>
        </row>
        <row r="354">
          <cell r="C354" t="str">
            <v>윤진</v>
          </cell>
        </row>
        <row r="355">
          <cell r="C355" t="str">
            <v>윤진</v>
          </cell>
        </row>
        <row r="356">
          <cell r="C356" t="str">
            <v>윤진</v>
          </cell>
        </row>
        <row r="357">
          <cell r="C357" t="str">
            <v>윤진</v>
          </cell>
        </row>
        <row r="358">
          <cell r="C358" t="str">
            <v>윤진</v>
          </cell>
        </row>
        <row r="359">
          <cell r="C359" t="str">
            <v>이글</v>
          </cell>
        </row>
        <row r="360">
          <cell r="C360" t="str">
            <v>메트로</v>
          </cell>
        </row>
        <row r="361">
          <cell r="C361" t="str">
            <v>메트로</v>
          </cell>
        </row>
        <row r="362">
          <cell r="C362" t="str">
            <v>메트로</v>
          </cell>
        </row>
        <row r="363">
          <cell r="C363" t="str">
            <v>메트로</v>
          </cell>
        </row>
        <row r="364">
          <cell r="C364" t="str">
            <v>메트로</v>
          </cell>
        </row>
        <row r="365">
          <cell r="C365" t="str">
            <v>메트로</v>
          </cell>
        </row>
        <row r="366">
          <cell r="C366" t="str">
            <v>유니트</v>
          </cell>
        </row>
        <row r="367">
          <cell r="C367" t="str">
            <v>이슈</v>
          </cell>
        </row>
        <row r="368">
          <cell r="C368" t="str">
            <v>ACC</v>
          </cell>
        </row>
        <row r="369">
          <cell r="C369" t="str">
            <v>ACC</v>
          </cell>
        </row>
        <row r="370">
          <cell r="C370" t="str">
            <v>ACC</v>
          </cell>
        </row>
        <row r="371">
          <cell r="C371" t="str">
            <v>ACC</v>
          </cell>
        </row>
        <row r="372">
          <cell r="C372" t="str">
            <v>윤진</v>
          </cell>
        </row>
        <row r="373">
          <cell r="C373" t="str">
            <v>윤진</v>
          </cell>
        </row>
        <row r="374">
          <cell r="C374" t="str">
            <v>윤진</v>
          </cell>
        </row>
        <row r="375">
          <cell r="C375" t="str">
            <v>윤진</v>
          </cell>
        </row>
        <row r="376">
          <cell r="C376" t="str">
            <v>윤진</v>
          </cell>
        </row>
        <row r="377">
          <cell r="C377" t="str">
            <v>그린</v>
          </cell>
        </row>
        <row r="378">
          <cell r="C378" t="str">
            <v>그린</v>
          </cell>
        </row>
        <row r="379">
          <cell r="C379" t="str">
            <v>TBO</v>
          </cell>
        </row>
        <row r="380">
          <cell r="C380" t="str">
            <v>TBO</v>
          </cell>
        </row>
        <row r="381">
          <cell r="C381" t="str">
            <v>TBO</v>
          </cell>
        </row>
        <row r="382">
          <cell r="C382" t="str">
            <v>TBO</v>
          </cell>
        </row>
        <row r="383">
          <cell r="C383" t="str">
            <v>건우</v>
          </cell>
        </row>
        <row r="384">
          <cell r="C384" t="str">
            <v>건우</v>
          </cell>
        </row>
        <row r="385">
          <cell r="C385" t="str">
            <v>건우</v>
          </cell>
        </row>
        <row r="386">
          <cell r="C386" t="str">
            <v>보광</v>
          </cell>
        </row>
        <row r="387">
          <cell r="C387" t="str">
            <v>동영</v>
          </cell>
        </row>
        <row r="388">
          <cell r="C388" t="str">
            <v>김필곤</v>
          </cell>
        </row>
        <row r="393">
          <cell r="C393" t="str">
            <v>거래처</v>
          </cell>
        </row>
        <row r="394">
          <cell r="C394" t="str">
            <v>메트로</v>
          </cell>
        </row>
        <row r="395">
          <cell r="C395" t="str">
            <v>유니트</v>
          </cell>
        </row>
        <row r="396">
          <cell r="C396" t="str">
            <v>유니트</v>
          </cell>
        </row>
        <row r="397">
          <cell r="C397" t="str">
            <v>유니트</v>
          </cell>
        </row>
        <row r="398">
          <cell r="C398" t="str">
            <v>유니트</v>
          </cell>
        </row>
        <row r="399">
          <cell r="C399" t="str">
            <v>유니트</v>
          </cell>
        </row>
        <row r="400">
          <cell r="C400" t="str">
            <v>그린</v>
          </cell>
        </row>
        <row r="401">
          <cell r="C401" t="str">
            <v>원도</v>
          </cell>
        </row>
        <row r="402">
          <cell r="C402" t="str">
            <v>원도</v>
          </cell>
        </row>
        <row r="403">
          <cell r="C403" t="str">
            <v>원도</v>
          </cell>
        </row>
        <row r="404">
          <cell r="C404" t="str">
            <v>원도</v>
          </cell>
        </row>
        <row r="405">
          <cell r="C405" t="str">
            <v>원도</v>
          </cell>
        </row>
        <row r="406">
          <cell r="C406" t="str">
            <v>원도</v>
          </cell>
        </row>
        <row r="407">
          <cell r="C407" t="str">
            <v>원도</v>
          </cell>
        </row>
        <row r="408">
          <cell r="C408" t="str">
            <v>원도</v>
          </cell>
        </row>
        <row r="409">
          <cell r="C409" t="str">
            <v>원도</v>
          </cell>
        </row>
        <row r="410">
          <cell r="C410" t="str">
            <v>원도</v>
          </cell>
        </row>
        <row r="411">
          <cell r="C411" t="str">
            <v>원도</v>
          </cell>
        </row>
        <row r="412">
          <cell r="C412" t="str">
            <v>원도</v>
          </cell>
        </row>
        <row r="413">
          <cell r="C413" t="str">
            <v>원도</v>
          </cell>
        </row>
        <row r="414">
          <cell r="C414" t="str">
            <v>원도</v>
          </cell>
        </row>
        <row r="415">
          <cell r="C415" t="str">
            <v>원도</v>
          </cell>
        </row>
        <row r="416">
          <cell r="C416" t="str">
            <v>원도</v>
          </cell>
        </row>
        <row r="417">
          <cell r="C417" t="str">
            <v>원도</v>
          </cell>
        </row>
        <row r="418">
          <cell r="C418" t="str">
            <v>원도</v>
          </cell>
        </row>
        <row r="419">
          <cell r="C419" t="str">
            <v>원도</v>
          </cell>
        </row>
        <row r="420">
          <cell r="C420" t="str">
            <v>MALDEN</v>
          </cell>
        </row>
        <row r="421">
          <cell r="C421" t="str">
            <v>MALDEN</v>
          </cell>
        </row>
        <row r="422">
          <cell r="C422" t="str">
            <v>MALDEN</v>
          </cell>
        </row>
        <row r="423">
          <cell r="C423" t="str">
            <v>MALDEN</v>
          </cell>
        </row>
        <row r="424">
          <cell r="C424" t="str">
            <v>MALDEN</v>
          </cell>
        </row>
        <row r="425">
          <cell r="C425" t="str">
            <v>MALDEN</v>
          </cell>
        </row>
        <row r="426">
          <cell r="C426" t="str">
            <v>MALDEN</v>
          </cell>
        </row>
        <row r="427">
          <cell r="C427" t="str">
            <v>MALDEN</v>
          </cell>
        </row>
        <row r="428">
          <cell r="C428" t="str">
            <v>MALDEN</v>
          </cell>
        </row>
        <row r="429">
          <cell r="C429" t="str">
            <v>MALDEN</v>
          </cell>
        </row>
        <row r="430">
          <cell r="C430" t="str">
            <v>MALDEN</v>
          </cell>
        </row>
        <row r="431">
          <cell r="C431" t="str">
            <v>MALDEN</v>
          </cell>
        </row>
        <row r="432">
          <cell r="C432" t="str">
            <v>MALDEN</v>
          </cell>
        </row>
        <row r="433">
          <cell r="C433" t="str">
            <v>윤진</v>
          </cell>
        </row>
        <row r="434">
          <cell r="C434" t="str">
            <v>윤진</v>
          </cell>
        </row>
        <row r="435">
          <cell r="C435" t="str">
            <v>윤진</v>
          </cell>
        </row>
        <row r="436">
          <cell r="C436" t="str">
            <v>윤진</v>
          </cell>
        </row>
        <row r="437">
          <cell r="C437" t="str">
            <v>윤진</v>
          </cell>
        </row>
        <row r="438">
          <cell r="C438" t="str">
            <v>윤진</v>
          </cell>
        </row>
        <row r="439">
          <cell r="C439" t="str">
            <v>윤진</v>
          </cell>
        </row>
        <row r="440">
          <cell r="C440" t="str">
            <v>윤진</v>
          </cell>
        </row>
        <row r="441">
          <cell r="C441" t="str">
            <v>윤진</v>
          </cell>
        </row>
        <row r="442">
          <cell r="C442" t="str">
            <v>윤진</v>
          </cell>
        </row>
        <row r="443">
          <cell r="C443" t="str">
            <v>윤진</v>
          </cell>
        </row>
        <row r="444">
          <cell r="C444" t="str">
            <v>윤진</v>
          </cell>
        </row>
        <row r="445">
          <cell r="C445" t="str">
            <v>윤진</v>
          </cell>
        </row>
        <row r="446">
          <cell r="C446" t="str">
            <v>윤진</v>
          </cell>
        </row>
        <row r="447">
          <cell r="C447" t="str">
            <v>윤진</v>
          </cell>
        </row>
        <row r="448">
          <cell r="C448" t="str">
            <v>윤진</v>
          </cell>
        </row>
        <row r="449">
          <cell r="C449" t="str">
            <v>윤진</v>
          </cell>
        </row>
        <row r="450">
          <cell r="C450" t="str">
            <v>메트로</v>
          </cell>
        </row>
        <row r="451">
          <cell r="C451" t="str">
            <v>메트로</v>
          </cell>
        </row>
        <row r="452">
          <cell r="C452" t="str">
            <v>메트로</v>
          </cell>
        </row>
        <row r="453">
          <cell r="C453" t="str">
            <v>메트로</v>
          </cell>
        </row>
        <row r="454">
          <cell r="C454" t="str">
            <v>메트로</v>
          </cell>
        </row>
        <row r="455">
          <cell r="C455" t="str">
            <v>메트로</v>
          </cell>
        </row>
        <row r="456">
          <cell r="C456" t="str">
            <v>ACC</v>
          </cell>
        </row>
        <row r="457">
          <cell r="C457" t="str">
            <v>ACC</v>
          </cell>
        </row>
        <row r="458">
          <cell r="C458" t="str">
            <v>ACC</v>
          </cell>
        </row>
        <row r="459">
          <cell r="C459" t="str">
            <v>ACC</v>
          </cell>
        </row>
        <row r="460">
          <cell r="C460" t="str">
            <v>ACC</v>
          </cell>
        </row>
        <row r="461">
          <cell r="C461" t="str">
            <v>ACC</v>
          </cell>
        </row>
        <row r="462">
          <cell r="C462" t="str">
            <v>TBO</v>
          </cell>
        </row>
        <row r="463">
          <cell r="C463" t="str">
            <v>TBO</v>
          </cell>
        </row>
        <row r="464">
          <cell r="C464" t="str">
            <v>TBO</v>
          </cell>
        </row>
        <row r="465">
          <cell r="C465" t="str">
            <v>TBO</v>
          </cell>
        </row>
        <row r="466">
          <cell r="C466" t="str">
            <v>TBO</v>
          </cell>
        </row>
        <row r="467">
          <cell r="C467" t="str">
            <v>KOLON TTA</v>
          </cell>
        </row>
        <row r="468">
          <cell r="C468" t="str">
            <v>크로바</v>
          </cell>
        </row>
        <row r="469">
          <cell r="C469" t="str">
            <v>크로바</v>
          </cell>
        </row>
        <row r="470">
          <cell r="C470" t="str">
            <v>크로바</v>
          </cell>
        </row>
        <row r="471">
          <cell r="C471" t="str">
            <v>크로바</v>
          </cell>
        </row>
        <row r="472">
          <cell r="C472" t="str">
            <v>크로바</v>
          </cell>
        </row>
        <row r="473">
          <cell r="C473" t="str">
            <v>크로바</v>
          </cell>
        </row>
        <row r="474">
          <cell r="C474" t="str">
            <v>크로바</v>
          </cell>
        </row>
        <row r="475">
          <cell r="C475" t="str">
            <v>그린</v>
          </cell>
        </row>
        <row r="476">
          <cell r="C476" t="str">
            <v>티에라</v>
          </cell>
        </row>
        <row r="477">
          <cell r="C477" t="str">
            <v>티에라</v>
          </cell>
        </row>
        <row r="478">
          <cell r="C478" t="str">
            <v>건우</v>
          </cell>
        </row>
        <row r="479">
          <cell r="C479" t="str">
            <v>건우</v>
          </cell>
        </row>
        <row r="480">
          <cell r="C480" t="str">
            <v>건우</v>
          </cell>
        </row>
        <row r="481">
          <cell r="C481" t="str">
            <v>이슈</v>
          </cell>
        </row>
        <row r="482">
          <cell r="C482" t="str">
            <v>이슈</v>
          </cell>
        </row>
        <row r="483">
          <cell r="C483" t="str">
            <v>심우통상</v>
          </cell>
        </row>
        <row r="484">
          <cell r="C484" t="str">
            <v>스노피</v>
          </cell>
        </row>
        <row r="485">
          <cell r="C485" t="str">
            <v>이슈</v>
          </cell>
        </row>
        <row r="486">
          <cell r="C486" t="str">
            <v>동영</v>
          </cell>
        </row>
        <row r="487">
          <cell r="C487" t="str">
            <v>보광</v>
          </cell>
        </row>
        <row r="488">
          <cell r="C488" t="str">
            <v>윤진</v>
          </cell>
        </row>
        <row r="489">
          <cell r="C489" t="str">
            <v>윤진</v>
          </cell>
        </row>
        <row r="490">
          <cell r="C490" t="str">
            <v>메트로</v>
          </cell>
        </row>
        <row r="491">
          <cell r="C491" t="str">
            <v>TBO</v>
          </cell>
        </row>
        <row r="492">
          <cell r="C492" t="str">
            <v>이슈</v>
          </cell>
        </row>
        <row r="493">
          <cell r="C493" t="str">
            <v>원도</v>
          </cell>
        </row>
        <row r="495">
          <cell r="C495" t="str">
            <v>거래처</v>
          </cell>
        </row>
        <row r="496">
          <cell r="C496" t="str">
            <v>스노피</v>
          </cell>
        </row>
        <row r="497">
          <cell r="C497" t="str">
            <v>이슈</v>
          </cell>
        </row>
        <row r="498">
          <cell r="C498" t="str">
            <v>이슈</v>
          </cell>
        </row>
        <row r="499">
          <cell r="C499" t="str">
            <v>그린</v>
          </cell>
        </row>
        <row r="500">
          <cell r="C500" t="str">
            <v>원도</v>
          </cell>
        </row>
        <row r="501">
          <cell r="C501" t="str">
            <v>원도</v>
          </cell>
        </row>
        <row r="502">
          <cell r="C502" t="str">
            <v>원도</v>
          </cell>
        </row>
        <row r="503">
          <cell r="C503" t="str">
            <v>원도</v>
          </cell>
        </row>
        <row r="504">
          <cell r="C504" t="str">
            <v>원도</v>
          </cell>
        </row>
        <row r="505">
          <cell r="C505" t="str">
            <v>원도</v>
          </cell>
        </row>
        <row r="506">
          <cell r="C506" t="str">
            <v>대영</v>
          </cell>
        </row>
        <row r="507">
          <cell r="C507" t="str">
            <v>원도</v>
          </cell>
        </row>
        <row r="508">
          <cell r="C508" t="str">
            <v>원도</v>
          </cell>
        </row>
        <row r="509">
          <cell r="C509" t="str">
            <v>원도</v>
          </cell>
        </row>
        <row r="510">
          <cell r="C510" t="str">
            <v>TBO</v>
          </cell>
        </row>
        <row r="511">
          <cell r="C511" t="str">
            <v>TBO</v>
          </cell>
        </row>
        <row r="512">
          <cell r="C512" t="str">
            <v>TBO</v>
          </cell>
        </row>
        <row r="513">
          <cell r="C513" t="str">
            <v>윤진</v>
          </cell>
        </row>
        <row r="514">
          <cell r="C514" t="str">
            <v>윤진</v>
          </cell>
        </row>
        <row r="515">
          <cell r="C515" t="str">
            <v>그린</v>
          </cell>
        </row>
        <row r="516">
          <cell r="C516" t="str">
            <v>그린</v>
          </cell>
        </row>
        <row r="517">
          <cell r="C517" t="str">
            <v>신형스포츠</v>
          </cell>
        </row>
        <row r="518">
          <cell r="C518" t="str">
            <v>EPS</v>
          </cell>
        </row>
        <row r="519">
          <cell r="C519" t="str">
            <v>EPS</v>
          </cell>
        </row>
        <row r="520">
          <cell r="C520" t="str">
            <v>EPS</v>
          </cell>
        </row>
        <row r="521">
          <cell r="C521" t="str">
            <v>코오롱TTA</v>
          </cell>
        </row>
        <row r="522">
          <cell r="C522" t="str">
            <v>대현</v>
          </cell>
        </row>
        <row r="523">
          <cell r="C523" t="str">
            <v>동영</v>
          </cell>
        </row>
        <row r="524">
          <cell r="C524" t="str">
            <v>스노피</v>
          </cell>
        </row>
        <row r="525">
          <cell r="C525" t="str">
            <v>ACC</v>
          </cell>
        </row>
        <row r="526">
          <cell r="C526" t="str">
            <v>ACC</v>
          </cell>
        </row>
        <row r="527">
          <cell r="C527" t="str">
            <v>거래처</v>
          </cell>
        </row>
        <row r="528">
          <cell r="C528" t="str">
            <v>이슈</v>
          </cell>
        </row>
        <row r="529">
          <cell r="C529" t="str">
            <v>이슈</v>
          </cell>
        </row>
        <row r="530">
          <cell r="C530" t="str">
            <v>원도</v>
          </cell>
        </row>
        <row r="531">
          <cell r="C531" t="str">
            <v>원도</v>
          </cell>
        </row>
        <row r="532">
          <cell r="C532" t="str">
            <v>원도</v>
          </cell>
        </row>
        <row r="533">
          <cell r="C533" t="str">
            <v>원도</v>
          </cell>
        </row>
        <row r="534">
          <cell r="C534" t="str">
            <v>원도</v>
          </cell>
        </row>
        <row r="535">
          <cell r="C535" t="str">
            <v>원도</v>
          </cell>
        </row>
        <row r="536">
          <cell r="C536" t="str">
            <v>원도</v>
          </cell>
        </row>
        <row r="537">
          <cell r="C537" t="str">
            <v>원도</v>
          </cell>
        </row>
        <row r="538">
          <cell r="C538" t="str">
            <v>원도</v>
          </cell>
        </row>
        <row r="539">
          <cell r="C539" t="str">
            <v>ACC</v>
          </cell>
        </row>
        <row r="540">
          <cell r="C540" t="str">
            <v>ACC</v>
          </cell>
        </row>
        <row r="541">
          <cell r="C541" t="str">
            <v>TBO</v>
          </cell>
        </row>
        <row r="542">
          <cell r="C542" t="str">
            <v>크로바</v>
          </cell>
        </row>
        <row r="543">
          <cell r="C543" t="str">
            <v>크로바</v>
          </cell>
        </row>
        <row r="544">
          <cell r="C544" t="str">
            <v>크로바</v>
          </cell>
        </row>
        <row r="545">
          <cell r="C545" t="str">
            <v>거래처</v>
          </cell>
        </row>
        <row r="546">
          <cell r="C546" t="str">
            <v>건우</v>
          </cell>
        </row>
        <row r="547">
          <cell r="C547" t="str">
            <v>건우</v>
          </cell>
        </row>
        <row r="548">
          <cell r="C548" t="str">
            <v>건우</v>
          </cell>
        </row>
        <row r="549">
          <cell r="C549" t="str">
            <v>건우</v>
          </cell>
        </row>
        <row r="550">
          <cell r="C550" t="str">
            <v>리미츠</v>
          </cell>
        </row>
        <row r="551">
          <cell r="C551" t="str">
            <v>리미츠</v>
          </cell>
        </row>
        <row r="552">
          <cell r="C552" t="str">
            <v>리미츠</v>
          </cell>
        </row>
        <row r="553">
          <cell r="C553" t="str">
            <v>리미츠</v>
          </cell>
        </row>
        <row r="554">
          <cell r="C554" t="str">
            <v>태성</v>
          </cell>
        </row>
        <row r="555">
          <cell r="C555" t="str">
            <v>동일</v>
          </cell>
        </row>
        <row r="556">
          <cell r="C556" t="str">
            <v>KOLON INT.</v>
          </cell>
        </row>
        <row r="557">
          <cell r="C557" t="str">
            <v>이슈</v>
          </cell>
        </row>
        <row r="558">
          <cell r="C558" t="str">
            <v>그린</v>
          </cell>
        </row>
        <row r="559">
          <cell r="C559" t="str">
            <v>TBO</v>
          </cell>
        </row>
        <row r="560">
          <cell r="C560" t="str">
            <v>메트로</v>
          </cell>
        </row>
        <row r="561">
          <cell r="C561" t="str">
            <v>보광</v>
          </cell>
        </row>
        <row r="562">
          <cell r="C562" t="str">
            <v>동영</v>
          </cell>
        </row>
        <row r="563">
          <cell r="C563" t="str">
            <v>김필곤</v>
          </cell>
        </row>
        <row r="564">
          <cell r="C564" t="str">
            <v>대현</v>
          </cell>
        </row>
        <row r="565">
          <cell r="C565" t="str">
            <v>대현</v>
          </cell>
        </row>
        <row r="566">
          <cell r="C566" t="str">
            <v>대현</v>
          </cell>
        </row>
        <row r="567">
          <cell r="C567" t="str">
            <v>대현</v>
          </cell>
        </row>
        <row r="568">
          <cell r="C568" t="str">
            <v>대현</v>
          </cell>
        </row>
        <row r="569">
          <cell r="C569" t="str">
            <v>비비드</v>
          </cell>
        </row>
        <row r="570">
          <cell r="C570" t="str">
            <v>이슈</v>
          </cell>
        </row>
        <row r="571">
          <cell r="C571" t="str">
            <v>이글</v>
          </cell>
        </row>
        <row r="572">
          <cell r="C572" t="str">
            <v>이글</v>
          </cell>
        </row>
        <row r="573">
          <cell r="C573" t="str">
            <v>이글</v>
          </cell>
        </row>
        <row r="574">
          <cell r="C574" t="str">
            <v>이글</v>
          </cell>
        </row>
        <row r="575">
          <cell r="C575" t="str">
            <v>이글</v>
          </cell>
        </row>
      </sheetData>
      <sheetData sheetId="6">
        <row r="1">
          <cell r="C1" t="str">
            <v xml:space="preserve"> </v>
          </cell>
        </row>
        <row r="2">
          <cell r="C2" t="str">
            <v>거래처</v>
          </cell>
          <cell r="H2" t="str">
            <v>amount(-VAT)</v>
          </cell>
        </row>
        <row r="3">
          <cell r="C3" t="str">
            <v>이글</v>
          </cell>
          <cell r="H3">
            <v>15200000</v>
          </cell>
        </row>
        <row r="4">
          <cell r="C4" t="str">
            <v>이글</v>
          </cell>
          <cell r="H4">
            <v>22420000</v>
          </cell>
        </row>
        <row r="5">
          <cell r="C5" t="str">
            <v>이글</v>
          </cell>
          <cell r="H5">
            <v>16100000</v>
          </cell>
        </row>
        <row r="6">
          <cell r="C6" t="str">
            <v>이글</v>
          </cell>
          <cell r="H6">
            <v>2900000</v>
          </cell>
        </row>
        <row r="7">
          <cell r="C7" t="str">
            <v>원도</v>
          </cell>
          <cell r="H7">
            <v>25400000</v>
          </cell>
        </row>
        <row r="8">
          <cell r="C8" t="str">
            <v>원도</v>
          </cell>
          <cell r="H8">
            <v>12860000</v>
          </cell>
        </row>
        <row r="9">
          <cell r="C9" t="str">
            <v>원도</v>
          </cell>
          <cell r="H9">
            <v>12998000</v>
          </cell>
        </row>
        <row r="10">
          <cell r="C10" t="str">
            <v>이슈</v>
          </cell>
          <cell r="H10">
            <v>617500</v>
          </cell>
        </row>
        <row r="11">
          <cell r="C11" t="str">
            <v>원도</v>
          </cell>
          <cell r="H11">
            <v>30107000</v>
          </cell>
        </row>
        <row r="12">
          <cell r="C12" t="str">
            <v>원도</v>
          </cell>
          <cell r="H12">
            <v>11725000</v>
          </cell>
        </row>
        <row r="13">
          <cell r="C13" t="str">
            <v>이글</v>
          </cell>
          <cell r="H13">
            <v>9564000</v>
          </cell>
        </row>
        <row r="14">
          <cell r="C14" t="str">
            <v>이글</v>
          </cell>
          <cell r="H14">
            <v>24650000</v>
          </cell>
        </row>
        <row r="15">
          <cell r="C15" t="str">
            <v>이글</v>
          </cell>
          <cell r="H15">
            <v>26334000</v>
          </cell>
        </row>
        <row r="16">
          <cell r="C16" t="str">
            <v>이슈</v>
          </cell>
          <cell r="H16">
            <v>5832000</v>
          </cell>
        </row>
        <row r="17">
          <cell r="C17" t="str">
            <v>ACC</v>
          </cell>
          <cell r="H17">
            <v>25500000</v>
          </cell>
        </row>
        <row r="18">
          <cell r="C18" t="str">
            <v>ACC</v>
          </cell>
          <cell r="H18">
            <v>8000000</v>
          </cell>
        </row>
        <row r="19">
          <cell r="C19" t="str">
            <v>윤진</v>
          </cell>
          <cell r="H19">
            <v>34461000</v>
          </cell>
        </row>
        <row r="20">
          <cell r="C20" t="str">
            <v>윤진</v>
          </cell>
          <cell r="H20">
            <v>17223500</v>
          </cell>
        </row>
        <row r="21">
          <cell r="C21" t="str">
            <v>메트로</v>
          </cell>
          <cell r="H21">
            <v>12201000</v>
          </cell>
        </row>
        <row r="22">
          <cell r="C22" t="str">
            <v>메트로</v>
          </cell>
          <cell r="H22">
            <v>6793200</v>
          </cell>
        </row>
        <row r="23">
          <cell r="C23" t="str">
            <v>TBO</v>
          </cell>
          <cell r="H23">
            <v>24273600</v>
          </cell>
        </row>
        <row r="24">
          <cell r="C24" t="str">
            <v>TBO</v>
          </cell>
          <cell r="H24">
            <v>27599500</v>
          </cell>
        </row>
        <row r="25">
          <cell r="C25" t="str">
            <v>TBO</v>
          </cell>
          <cell r="H25">
            <v>24750000</v>
          </cell>
        </row>
        <row r="26">
          <cell r="C26" t="str">
            <v>동영</v>
          </cell>
          <cell r="H26">
            <v>934266</v>
          </cell>
        </row>
        <row r="27">
          <cell r="C27" t="str">
            <v>보광</v>
          </cell>
          <cell r="H27">
            <v>840000</v>
          </cell>
        </row>
        <row r="28">
          <cell r="C28" t="str">
            <v>ACC</v>
          </cell>
          <cell r="H28">
            <v>70500000</v>
          </cell>
        </row>
        <row r="29">
          <cell r="C29" t="str">
            <v>ACC</v>
          </cell>
          <cell r="H29">
            <v>36000000</v>
          </cell>
        </row>
        <row r="30">
          <cell r="C30" t="str">
            <v>ACC</v>
          </cell>
          <cell r="H30">
            <v>18900000</v>
          </cell>
        </row>
        <row r="31">
          <cell r="C31" t="str">
            <v>ACC</v>
          </cell>
          <cell r="H31">
            <v>23800000</v>
          </cell>
        </row>
        <row r="32">
          <cell r="C32" t="str">
            <v>ACC</v>
          </cell>
          <cell r="H32">
            <v>39200000</v>
          </cell>
        </row>
        <row r="33">
          <cell r="C33" t="str">
            <v>ACC</v>
          </cell>
          <cell r="H33">
            <v>29600000</v>
          </cell>
        </row>
        <row r="34">
          <cell r="C34" t="str">
            <v>윤진</v>
          </cell>
          <cell r="H34">
            <v>10815000</v>
          </cell>
        </row>
        <row r="35">
          <cell r="C35" t="str">
            <v>윤진</v>
          </cell>
          <cell r="H35">
            <v>25104500</v>
          </cell>
        </row>
        <row r="36">
          <cell r="C36" t="str">
            <v>윤진</v>
          </cell>
          <cell r="H36">
            <v>8800000</v>
          </cell>
        </row>
        <row r="37">
          <cell r="C37" t="str">
            <v>윤진</v>
          </cell>
          <cell r="H37">
            <v>9360000</v>
          </cell>
        </row>
        <row r="38">
          <cell r="C38" t="str">
            <v>ACC</v>
          </cell>
          <cell r="H38">
            <v>57200000</v>
          </cell>
        </row>
        <row r="39">
          <cell r="C39" t="str">
            <v>ACC</v>
          </cell>
          <cell r="H39">
            <v>22400000</v>
          </cell>
        </row>
        <row r="40">
          <cell r="C40" t="str">
            <v>ACC</v>
          </cell>
          <cell r="H40">
            <v>16000000</v>
          </cell>
        </row>
        <row r="41">
          <cell r="C41" t="str">
            <v>원도</v>
          </cell>
          <cell r="H41">
            <v>22378000</v>
          </cell>
        </row>
        <row r="42">
          <cell r="C42" t="str">
            <v>원도</v>
          </cell>
          <cell r="H42">
            <v>36008000</v>
          </cell>
        </row>
        <row r="43">
          <cell r="C43" t="str">
            <v>원도</v>
          </cell>
          <cell r="H43">
            <v>54054000</v>
          </cell>
        </row>
        <row r="44">
          <cell r="C44" t="str">
            <v>원도</v>
          </cell>
          <cell r="H44">
            <v>40669000</v>
          </cell>
        </row>
        <row r="45">
          <cell r="C45" t="str">
            <v>원도</v>
          </cell>
          <cell r="H45">
            <v>24748000</v>
          </cell>
        </row>
        <row r="46">
          <cell r="C46" t="str">
            <v>원도</v>
          </cell>
          <cell r="H46">
            <v>34272000</v>
          </cell>
        </row>
        <row r="47">
          <cell r="C47" t="str">
            <v>원도</v>
          </cell>
          <cell r="H47">
            <v>14628000</v>
          </cell>
        </row>
        <row r="48">
          <cell r="C48" t="str">
            <v>원도</v>
          </cell>
          <cell r="H48">
            <v>14112000</v>
          </cell>
        </row>
        <row r="49">
          <cell r="C49" t="str">
            <v>원도</v>
          </cell>
          <cell r="H49">
            <v>26680000</v>
          </cell>
        </row>
        <row r="50">
          <cell r="C50" t="str">
            <v>원도</v>
          </cell>
          <cell r="H50">
            <v>17892000</v>
          </cell>
        </row>
        <row r="51">
          <cell r="C51" t="str">
            <v>원도</v>
          </cell>
          <cell r="H51">
            <v>22260000</v>
          </cell>
        </row>
        <row r="52">
          <cell r="C52" t="str">
            <v>원도</v>
          </cell>
          <cell r="H52">
            <v>21792000</v>
          </cell>
        </row>
        <row r="53">
          <cell r="C53" t="str">
            <v>효성</v>
          </cell>
          <cell r="H53">
            <v>2911200</v>
          </cell>
        </row>
        <row r="54">
          <cell r="C54" t="str">
            <v>원도</v>
          </cell>
          <cell r="H54">
            <v>3850000</v>
          </cell>
        </row>
        <row r="55">
          <cell r="C55" t="str">
            <v>메트로</v>
          </cell>
          <cell r="H55">
            <v>18887000</v>
          </cell>
        </row>
        <row r="56">
          <cell r="C56" t="str">
            <v>윤진</v>
          </cell>
          <cell r="H56">
            <v>29448000</v>
          </cell>
        </row>
        <row r="57">
          <cell r="C57" t="str">
            <v>윤진</v>
          </cell>
          <cell r="H57">
            <v>6376500</v>
          </cell>
        </row>
        <row r="58">
          <cell r="C58" t="str">
            <v>윤진</v>
          </cell>
          <cell r="H58">
            <v>20000000</v>
          </cell>
        </row>
        <row r="59">
          <cell r="C59" t="str">
            <v>윤진</v>
          </cell>
          <cell r="H59">
            <v>19665000</v>
          </cell>
        </row>
        <row r="60">
          <cell r="C60" t="str">
            <v>윤진</v>
          </cell>
          <cell r="H60">
            <v>25486500</v>
          </cell>
        </row>
        <row r="61">
          <cell r="C61" t="str">
            <v>윤진</v>
          </cell>
          <cell r="H61">
            <v>16698000</v>
          </cell>
        </row>
        <row r="62">
          <cell r="C62" t="str">
            <v>윤진</v>
          </cell>
          <cell r="H62">
            <v>8294000</v>
          </cell>
        </row>
        <row r="63">
          <cell r="C63" t="str">
            <v>윤진</v>
          </cell>
          <cell r="H63">
            <v>23760000</v>
          </cell>
        </row>
        <row r="64">
          <cell r="C64" t="str">
            <v>윤진</v>
          </cell>
          <cell r="H64">
            <v>19646000</v>
          </cell>
        </row>
        <row r="65">
          <cell r="C65" t="str">
            <v>TBO</v>
          </cell>
          <cell r="H65">
            <v>20520000</v>
          </cell>
        </row>
        <row r="66">
          <cell r="C66" t="str">
            <v>TBO</v>
          </cell>
          <cell r="H66">
            <v>23110400</v>
          </cell>
        </row>
        <row r="67">
          <cell r="C67" t="str">
            <v>TBO</v>
          </cell>
          <cell r="H67">
            <v>15200000</v>
          </cell>
        </row>
        <row r="68">
          <cell r="C68" t="str">
            <v>TBO</v>
          </cell>
          <cell r="H68">
            <v>23550000</v>
          </cell>
        </row>
        <row r="69">
          <cell r="C69" t="str">
            <v>홍진</v>
          </cell>
          <cell r="H69">
            <v>430000</v>
          </cell>
        </row>
        <row r="70">
          <cell r="C70" t="str">
            <v>스노피</v>
          </cell>
          <cell r="H70">
            <v>518500</v>
          </cell>
        </row>
        <row r="71">
          <cell r="C71" t="str">
            <v>kolon int.</v>
          </cell>
          <cell r="H71">
            <v>2790000</v>
          </cell>
        </row>
        <row r="72">
          <cell r="C72" t="str">
            <v>원도</v>
          </cell>
          <cell r="H72">
            <v>23148000</v>
          </cell>
        </row>
        <row r="73">
          <cell r="C73" t="str">
            <v>원도</v>
          </cell>
          <cell r="H73">
            <v>54824000</v>
          </cell>
        </row>
        <row r="74">
          <cell r="C74" t="str">
            <v>원도</v>
          </cell>
          <cell r="H74">
            <v>43215000</v>
          </cell>
        </row>
        <row r="75">
          <cell r="C75" t="str">
            <v>원도</v>
          </cell>
          <cell r="H75">
            <v>20700000</v>
          </cell>
        </row>
        <row r="76">
          <cell r="C76" t="str">
            <v>원도</v>
          </cell>
          <cell r="H76">
            <v>28140000</v>
          </cell>
        </row>
        <row r="77">
          <cell r="C77" t="str">
            <v>원도</v>
          </cell>
          <cell r="H77">
            <v>45050000</v>
          </cell>
        </row>
        <row r="78">
          <cell r="C78" t="str">
            <v>원도</v>
          </cell>
          <cell r="H78">
            <v>34464000</v>
          </cell>
        </row>
        <row r="79">
          <cell r="C79" t="str">
            <v>원도</v>
          </cell>
          <cell r="H79">
            <v>23821000</v>
          </cell>
        </row>
        <row r="80">
          <cell r="C80" t="str">
            <v>원도</v>
          </cell>
          <cell r="H80">
            <v>13275000</v>
          </cell>
        </row>
        <row r="81">
          <cell r="C81" t="str">
            <v>원도</v>
          </cell>
          <cell r="H81">
            <v>36750000</v>
          </cell>
        </row>
        <row r="82">
          <cell r="C82" t="str">
            <v>원도</v>
          </cell>
          <cell r="H82">
            <v>35784000</v>
          </cell>
        </row>
        <row r="83">
          <cell r="C83" t="str">
            <v>원도</v>
          </cell>
          <cell r="H83">
            <v>53084000</v>
          </cell>
        </row>
        <row r="84">
          <cell r="C84" t="str">
            <v>원도</v>
          </cell>
          <cell r="H84">
            <v>38892000</v>
          </cell>
        </row>
        <row r="85">
          <cell r="C85" t="str">
            <v>원도</v>
          </cell>
          <cell r="H85">
            <v>20882000</v>
          </cell>
        </row>
        <row r="86">
          <cell r="C86" t="str">
            <v>원도</v>
          </cell>
          <cell r="H86">
            <v>38016000</v>
          </cell>
        </row>
        <row r="87">
          <cell r="C87" t="str">
            <v>원도</v>
          </cell>
          <cell r="H87">
            <v>35441000</v>
          </cell>
        </row>
        <row r="88">
          <cell r="C88" t="str">
            <v>원도</v>
          </cell>
          <cell r="H88">
            <v>34575000</v>
          </cell>
        </row>
        <row r="89">
          <cell r="C89" t="str">
            <v>원도</v>
          </cell>
          <cell r="H89">
            <v>105892000</v>
          </cell>
        </row>
        <row r="90">
          <cell r="C90" t="str">
            <v>원도</v>
          </cell>
          <cell r="H90">
            <v>93576000</v>
          </cell>
        </row>
        <row r="91">
          <cell r="C91" t="str">
            <v>크로바</v>
          </cell>
          <cell r="H91">
            <v>14950000</v>
          </cell>
        </row>
        <row r="92">
          <cell r="C92" t="str">
            <v>크로바</v>
          </cell>
          <cell r="H92">
            <v>15200000</v>
          </cell>
        </row>
        <row r="93">
          <cell r="C93" t="str">
            <v>크로바</v>
          </cell>
          <cell r="H93">
            <v>17700000</v>
          </cell>
        </row>
        <row r="94">
          <cell r="C94" t="str">
            <v>크로바</v>
          </cell>
          <cell r="H94">
            <v>13572000</v>
          </cell>
        </row>
        <row r="95">
          <cell r="C95" t="str">
            <v>크로바</v>
          </cell>
          <cell r="H95">
            <v>6500000</v>
          </cell>
        </row>
        <row r="96">
          <cell r="C96" t="str">
            <v>해외</v>
          </cell>
          <cell r="H96">
            <v>19252800</v>
          </cell>
        </row>
        <row r="97">
          <cell r="C97" t="str">
            <v>해외</v>
          </cell>
          <cell r="H97">
            <v>34027200</v>
          </cell>
        </row>
        <row r="98">
          <cell r="C98" t="str">
            <v>TBO</v>
          </cell>
          <cell r="H98">
            <v>15469000</v>
          </cell>
        </row>
        <row r="99">
          <cell r="C99" t="str">
            <v>TBO</v>
          </cell>
          <cell r="H99">
            <v>13560600</v>
          </cell>
        </row>
        <row r="100">
          <cell r="C100" t="str">
            <v>TBO</v>
          </cell>
          <cell r="H100">
            <v>3820000</v>
          </cell>
        </row>
        <row r="101">
          <cell r="C101" t="str">
            <v>TBO</v>
          </cell>
          <cell r="H101">
            <v>154000</v>
          </cell>
        </row>
        <row r="102">
          <cell r="C102" t="str">
            <v>스노피</v>
          </cell>
          <cell r="H102">
            <v>2499000</v>
          </cell>
        </row>
        <row r="103">
          <cell r="C103" t="str">
            <v>유진</v>
          </cell>
          <cell r="H103">
            <v>18360000</v>
          </cell>
        </row>
        <row r="104">
          <cell r="C104" t="str">
            <v>유진</v>
          </cell>
          <cell r="H104">
            <v>13926300</v>
          </cell>
        </row>
        <row r="105">
          <cell r="C105" t="str">
            <v>한영캉가루</v>
          </cell>
          <cell r="H105">
            <v>26229000</v>
          </cell>
        </row>
        <row r="106">
          <cell r="C106" t="str">
            <v>한영캉가루</v>
          </cell>
          <cell r="H106">
            <v>8200000</v>
          </cell>
        </row>
        <row r="107">
          <cell r="C107" t="str">
            <v>한영캉가루</v>
          </cell>
          <cell r="H107">
            <v>7200000</v>
          </cell>
        </row>
        <row r="108">
          <cell r="C108" t="str">
            <v>윤진</v>
          </cell>
          <cell r="H108">
            <v>16019000</v>
          </cell>
        </row>
        <row r="109">
          <cell r="C109" t="str">
            <v>윤진</v>
          </cell>
          <cell r="H109">
            <v>10782200</v>
          </cell>
        </row>
        <row r="110">
          <cell r="C110" t="str">
            <v>윤진</v>
          </cell>
          <cell r="H110">
            <v>2284800</v>
          </cell>
        </row>
        <row r="111">
          <cell r="C111" t="str">
            <v>원도</v>
          </cell>
          <cell r="H111">
            <v>89975000</v>
          </cell>
        </row>
        <row r="112">
          <cell r="C112" t="str">
            <v>원도</v>
          </cell>
          <cell r="H112">
            <v>70700000</v>
          </cell>
        </row>
        <row r="113">
          <cell r="C113" t="str">
            <v>고어코리아</v>
          </cell>
          <cell r="H113">
            <v>1640500</v>
          </cell>
        </row>
        <row r="114">
          <cell r="C114" t="str">
            <v>보광</v>
          </cell>
          <cell r="H114">
            <v>3043000</v>
          </cell>
        </row>
        <row r="115">
          <cell r="C115" t="str">
            <v>동영</v>
          </cell>
          <cell r="H115">
            <v>3356363</v>
          </cell>
        </row>
        <row r="116">
          <cell r="C116" t="str">
            <v>동일</v>
          </cell>
          <cell r="H116">
            <v>34222000</v>
          </cell>
        </row>
        <row r="117">
          <cell r="C117" t="str">
            <v>스노피</v>
          </cell>
          <cell r="H117">
            <v>35144000</v>
          </cell>
        </row>
        <row r="118">
          <cell r="C118" t="str">
            <v>스노피</v>
          </cell>
          <cell r="H118">
            <v>8938000</v>
          </cell>
        </row>
        <row r="119">
          <cell r="C119" t="str">
            <v>스노피</v>
          </cell>
          <cell r="H119">
            <v>16722200</v>
          </cell>
        </row>
        <row r="120">
          <cell r="C120" t="str">
            <v>원도</v>
          </cell>
          <cell r="H120">
            <v>53067000</v>
          </cell>
        </row>
        <row r="121">
          <cell r="C121" t="str">
            <v>원도</v>
          </cell>
          <cell r="H121">
            <v>46768000</v>
          </cell>
        </row>
        <row r="122">
          <cell r="C122" t="str">
            <v>원도</v>
          </cell>
          <cell r="H122">
            <v>10584000</v>
          </cell>
        </row>
        <row r="123">
          <cell r="C123" t="str">
            <v>대주</v>
          </cell>
          <cell r="H123">
            <v>44440000</v>
          </cell>
        </row>
        <row r="124">
          <cell r="C124" t="str">
            <v>대주</v>
          </cell>
          <cell r="H124">
            <v>68100000</v>
          </cell>
        </row>
        <row r="125">
          <cell r="C125" t="str">
            <v>대주</v>
          </cell>
          <cell r="H125">
            <v>40800000</v>
          </cell>
        </row>
        <row r="126">
          <cell r="C126" t="str">
            <v>대주</v>
          </cell>
          <cell r="H126">
            <v>64650000</v>
          </cell>
        </row>
        <row r="127">
          <cell r="C127" t="str">
            <v>대주</v>
          </cell>
          <cell r="H127">
            <v>34080000</v>
          </cell>
        </row>
        <row r="128">
          <cell r="C128" t="str">
            <v>대주</v>
          </cell>
          <cell r="H128">
            <v>28990000</v>
          </cell>
        </row>
        <row r="129">
          <cell r="C129" t="str">
            <v>대주</v>
          </cell>
          <cell r="H129">
            <v>39040000</v>
          </cell>
        </row>
        <row r="130">
          <cell r="C130" t="str">
            <v>대주</v>
          </cell>
          <cell r="H130">
            <v>31050000</v>
          </cell>
        </row>
        <row r="131">
          <cell r="C131" t="str">
            <v>원도</v>
          </cell>
          <cell r="H131">
            <v>36486700</v>
          </cell>
        </row>
        <row r="132">
          <cell r="C132" t="str">
            <v>원도</v>
          </cell>
          <cell r="H132">
            <v>72633600</v>
          </cell>
        </row>
        <row r="133">
          <cell r="C133" t="str">
            <v>윤진</v>
          </cell>
          <cell r="H133">
            <v>7179600</v>
          </cell>
        </row>
        <row r="134">
          <cell r="C134" t="str">
            <v>윤진</v>
          </cell>
          <cell r="H134">
            <v>1101600</v>
          </cell>
        </row>
        <row r="135">
          <cell r="C135" t="str">
            <v>윤진</v>
          </cell>
          <cell r="H135">
            <v>3160300</v>
          </cell>
        </row>
        <row r="136">
          <cell r="C136" t="str">
            <v>윤진</v>
          </cell>
          <cell r="H136">
            <v>15711300</v>
          </cell>
        </row>
        <row r="137">
          <cell r="C137" t="str">
            <v>윤진</v>
          </cell>
          <cell r="H137">
            <v>14935800</v>
          </cell>
        </row>
        <row r="138">
          <cell r="C138" t="str">
            <v>윤진</v>
          </cell>
          <cell r="H138">
            <v>12881600</v>
          </cell>
        </row>
        <row r="139">
          <cell r="C139" t="str">
            <v>윤진</v>
          </cell>
          <cell r="H139">
            <v>1444800</v>
          </cell>
        </row>
        <row r="140">
          <cell r="C140" t="str">
            <v>해외무역</v>
          </cell>
          <cell r="H140">
            <v>18723300</v>
          </cell>
        </row>
        <row r="141">
          <cell r="C141" t="str">
            <v>해외무역</v>
          </cell>
          <cell r="H141">
            <v>10782300</v>
          </cell>
        </row>
        <row r="142">
          <cell r="C142" t="str">
            <v>해외무역</v>
          </cell>
          <cell r="H142">
            <v>12297600</v>
          </cell>
        </row>
        <row r="143">
          <cell r="C143" t="str">
            <v>해외무역</v>
          </cell>
          <cell r="H143">
            <v>28576800</v>
          </cell>
        </row>
        <row r="144">
          <cell r="C144" t="str">
            <v>스노피</v>
          </cell>
          <cell r="H144">
            <v>3542000</v>
          </cell>
        </row>
        <row r="145">
          <cell r="C145" t="str">
            <v>스노피</v>
          </cell>
          <cell r="H145">
            <v>26728000</v>
          </cell>
        </row>
        <row r="146">
          <cell r="C146" t="str">
            <v>TBO</v>
          </cell>
          <cell r="H146">
            <v>24236000</v>
          </cell>
        </row>
        <row r="147">
          <cell r="C147" t="str">
            <v>TBO</v>
          </cell>
          <cell r="H147">
            <v>15729700</v>
          </cell>
        </row>
        <row r="148">
          <cell r="C148" t="str">
            <v>메트로</v>
          </cell>
          <cell r="H148">
            <v>15322000</v>
          </cell>
        </row>
        <row r="149">
          <cell r="C149" t="str">
            <v>메트로</v>
          </cell>
          <cell r="H149">
            <v>14485500</v>
          </cell>
        </row>
        <row r="150">
          <cell r="C150" t="str">
            <v>건우</v>
          </cell>
          <cell r="H150">
            <v>14897400</v>
          </cell>
        </row>
        <row r="151">
          <cell r="C151" t="str">
            <v>건우</v>
          </cell>
          <cell r="H151">
            <v>4176000</v>
          </cell>
        </row>
        <row r="152">
          <cell r="C152" t="str">
            <v>유진앤트</v>
          </cell>
          <cell r="H152">
            <v>11845600</v>
          </cell>
        </row>
        <row r="153">
          <cell r="C153" t="str">
            <v>유진앤트</v>
          </cell>
          <cell r="H153">
            <v>15080000</v>
          </cell>
        </row>
        <row r="154">
          <cell r="C154" t="str">
            <v>그린</v>
          </cell>
          <cell r="H154">
            <v>10774400</v>
          </cell>
        </row>
        <row r="155">
          <cell r="C155" t="str">
            <v>그린</v>
          </cell>
          <cell r="H155">
            <v>8904000</v>
          </cell>
        </row>
        <row r="156">
          <cell r="C156" t="str">
            <v>그린</v>
          </cell>
          <cell r="H156">
            <v>14846700</v>
          </cell>
        </row>
        <row r="157">
          <cell r="C157" t="str">
            <v>kolon int.</v>
          </cell>
          <cell r="H157">
            <v>292600</v>
          </cell>
        </row>
        <row r="158">
          <cell r="C158" t="str">
            <v>kolon int.</v>
          </cell>
          <cell r="H158">
            <v>8500000</v>
          </cell>
        </row>
        <row r="159">
          <cell r="C159" t="str">
            <v>크로바</v>
          </cell>
          <cell r="H159">
            <v>85500</v>
          </cell>
        </row>
        <row r="160">
          <cell r="C160" t="str">
            <v>크로바</v>
          </cell>
          <cell r="H160">
            <v>46000</v>
          </cell>
        </row>
        <row r="161">
          <cell r="C161" t="str">
            <v>크로바</v>
          </cell>
          <cell r="H161">
            <v>330400</v>
          </cell>
        </row>
        <row r="162">
          <cell r="C162" t="str">
            <v>크로바</v>
          </cell>
          <cell r="H162">
            <v>52000</v>
          </cell>
        </row>
        <row r="163">
          <cell r="C163" t="str">
            <v>크로바</v>
          </cell>
          <cell r="H163">
            <v>832000</v>
          </cell>
        </row>
        <row r="164">
          <cell r="C164" t="str">
            <v>윤진</v>
          </cell>
          <cell r="H164">
            <v>13886100</v>
          </cell>
        </row>
        <row r="165">
          <cell r="C165" t="str">
            <v>윤진</v>
          </cell>
          <cell r="H165">
            <v>8389500</v>
          </cell>
        </row>
        <row r="166">
          <cell r="C166" t="str">
            <v>윤진</v>
          </cell>
          <cell r="H166">
            <v>1444800</v>
          </cell>
        </row>
        <row r="167">
          <cell r="C167" t="str">
            <v>ACC</v>
          </cell>
          <cell r="H167">
            <v>900000</v>
          </cell>
        </row>
        <row r="168">
          <cell r="C168" t="str">
            <v>ACC</v>
          </cell>
          <cell r="H168">
            <v>3000000</v>
          </cell>
        </row>
        <row r="169">
          <cell r="C169" t="str">
            <v>이글</v>
          </cell>
          <cell r="H169">
            <v>2987000</v>
          </cell>
        </row>
        <row r="170">
          <cell r="C170" t="str">
            <v>TBO</v>
          </cell>
          <cell r="H170">
            <v>664000</v>
          </cell>
        </row>
        <row r="171">
          <cell r="C171" t="str">
            <v>TBO</v>
          </cell>
          <cell r="H171">
            <v>13680000</v>
          </cell>
        </row>
        <row r="172">
          <cell r="C172" t="str">
            <v>TBO</v>
          </cell>
          <cell r="H172">
            <v>13920000</v>
          </cell>
        </row>
        <row r="173">
          <cell r="C173" t="str">
            <v>윤진</v>
          </cell>
          <cell r="H173">
            <v>27967500</v>
          </cell>
        </row>
        <row r="174">
          <cell r="C174" t="str">
            <v>윤진</v>
          </cell>
          <cell r="H174">
            <v>8389500</v>
          </cell>
        </row>
        <row r="175">
          <cell r="C175" t="str">
            <v>메트로</v>
          </cell>
          <cell r="H175">
            <v>19204500</v>
          </cell>
        </row>
        <row r="176">
          <cell r="C176" t="str">
            <v>그린</v>
          </cell>
          <cell r="H176">
            <v>11597100</v>
          </cell>
        </row>
        <row r="177">
          <cell r="C177" t="str">
            <v>윤진</v>
          </cell>
          <cell r="H177">
            <v>10148000</v>
          </cell>
        </row>
        <row r="178">
          <cell r="C178" t="str">
            <v>윤진</v>
          </cell>
          <cell r="H178">
            <v>28365000</v>
          </cell>
        </row>
        <row r="179">
          <cell r="C179" t="str">
            <v>윤진</v>
          </cell>
          <cell r="H179">
            <v>13375600</v>
          </cell>
        </row>
        <row r="180">
          <cell r="C180" t="str">
            <v>윤진</v>
          </cell>
          <cell r="H180">
            <v>21063000</v>
          </cell>
        </row>
        <row r="181">
          <cell r="C181" t="str">
            <v>메트로</v>
          </cell>
          <cell r="H181">
            <v>19475000</v>
          </cell>
        </row>
        <row r="182">
          <cell r="C182" t="str">
            <v>TBO</v>
          </cell>
          <cell r="H182">
            <v>9550000</v>
          </cell>
        </row>
        <row r="183">
          <cell r="C183" t="str">
            <v>TBO</v>
          </cell>
          <cell r="H183">
            <v>2871000</v>
          </cell>
        </row>
        <row r="184">
          <cell r="C184" t="str">
            <v>TBO</v>
          </cell>
          <cell r="H184">
            <v>1692900</v>
          </cell>
        </row>
        <row r="185">
          <cell r="C185" t="str">
            <v>TBO</v>
          </cell>
          <cell r="H185">
            <v>1322400</v>
          </cell>
        </row>
        <row r="186">
          <cell r="C186" t="str">
            <v>이슈</v>
          </cell>
          <cell r="H186">
            <v>10262000</v>
          </cell>
        </row>
        <row r="187">
          <cell r="C187" t="str">
            <v>ACC</v>
          </cell>
          <cell r="H187">
            <v>8100000</v>
          </cell>
        </row>
        <row r="188">
          <cell r="C188" t="str">
            <v>ACC</v>
          </cell>
          <cell r="H188">
            <v>6750000</v>
          </cell>
        </row>
        <row r="189">
          <cell r="C189" t="str">
            <v>광명실업</v>
          </cell>
          <cell r="H189">
            <v>19600000</v>
          </cell>
        </row>
        <row r="190">
          <cell r="C190" t="str">
            <v>광명실업</v>
          </cell>
          <cell r="H190">
            <v>9800000</v>
          </cell>
        </row>
        <row r="191">
          <cell r="C191" t="str">
            <v>그린</v>
          </cell>
          <cell r="H191">
            <v>3788400</v>
          </cell>
        </row>
        <row r="192">
          <cell r="C192" t="str">
            <v>그린</v>
          </cell>
          <cell r="H192">
            <v>3946800</v>
          </cell>
        </row>
        <row r="193">
          <cell r="C193" t="str">
            <v>아화</v>
          </cell>
          <cell r="H193">
            <v>2528500</v>
          </cell>
        </row>
        <row r="194">
          <cell r="C194" t="str">
            <v>유일정보</v>
          </cell>
          <cell r="H194">
            <v>1450000</v>
          </cell>
        </row>
        <row r="195">
          <cell r="C195" t="str">
            <v>유일정보</v>
          </cell>
          <cell r="H195">
            <v>1250000</v>
          </cell>
        </row>
        <row r="196">
          <cell r="C196" t="str">
            <v>유일정보</v>
          </cell>
          <cell r="H196">
            <v>1200000</v>
          </cell>
        </row>
        <row r="197">
          <cell r="C197" t="str">
            <v>아성</v>
          </cell>
          <cell r="H197">
            <v>2506000</v>
          </cell>
        </row>
        <row r="198">
          <cell r="C198" t="str">
            <v>kolon int.</v>
          </cell>
          <cell r="H198">
            <v>1535000</v>
          </cell>
        </row>
        <row r="199">
          <cell r="C199" t="str">
            <v>이슈</v>
          </cell>
          <cell r="H199">
            <v>-292600</v>
          </cell>
        </row>
        <row r="200">
          <cell r="C200" t="str">
            <v>크로바</v>
          </cell>
          <cell r="H200">
            <v>14250000</v>
          </cell>
        </row>
        <row r="201">
          <cell r="C201" t="str">
            <v>리미츠</v>
          </cell>
          <cell r="H201">
            <v>7120000</v>
          </cell>
        </row>
        <row r="202">
          <cell r="C202" t="str">
            <v>리미츠</v>
          </cell>
          <cell r="H202">
            <v>4841000</v>
          </cell>
        </row>
        <row r="203">
          <cell r="C203" t="str">
            <v>리미츠</v>
          </cell>
          <cell r="H203">
            <v>6330200</v>
          </cell>
        </row>
        <row r="204">
          <cell r="C204" t="str">
            <v>리미츠</v>
          </cell>
          <cell r="H204">
            <v>6707200</v>
          </cell>
        </row>
        <row r="205">
          <cell r="C205" t="str">
            <v>리미츠</v>
          </cell>
          <cell r="H205">
            <v>4477200</v>
          </cell>
        </row>
        <row r="206">
          <cell r="C206" t="str">
            <v>윤진</v>
          </cell>
          <cell r="H206">
            <v>4320000</v>
          </cell>
        </row>
        <row r="207">
          <cell r="C207" t="str">
            <v>윤진</v>
          </cell>
          <cell r="H207">
            <v>7974000</v>
          </cell>
        </row>
        <row r="208">
          <cell r="C208" t="str">
            <v>윤진</v>
          </cell>
          <cell r="H208">
            <v>20572000</v>
          </cell>
        </row>
        <row r="209">
          <cell r="C209" t="str">
            <v>메트로</v>
          </cell>
          <cell r="H209">
            <v>10616900</v>
          </cell>
        </row>
        <row r="210">
          <cell r="C210" t="str">
            <v>메트로</v>
          </cell>
          <cell r="H210">
            <v>9939500</v>
          </cell>
        </row>
        <row r="211">
          <cell r="C211" t="str">
            <v>메트로</v>
          </cell>
          <cell r="H211">
            <v>13912500</v>
          </cell>
        </row>
        <row r="212">
          <cell r="C212" t="str">
            <v>메트로</v>
          </cell>
          <cell r="H212">
            <v>17550000</v>
          </cell>
        </row>
        <row r="213">
          <cell r="C213" t="str">
            <v>메트로</v>
          </cell>
          <cell r="H213">
            <v>26125200</v>
          </cell>
        </row>
        <row r="214">
          <cell r="C214" t="str">
            <v>이슈</v>
          </cell>
          <cell r="H214">
            <v>4230000</v>
          </cell>
        </row>
        <row r="215">
          <cell r="C215" t="str">
            <v>한영캉가루</v>
          </cell>
          <cell r="H215">
            <v>15827000</v>
          </cell>
        </row>
        <row r="216">
          <cell r="C216" t="str">
            <v>한영캉가루</v>
          </cell>
          <cell r="H216">
            <v>13530000</v>
          </cell>
        </row>
        <row r="217">
          <cell r="C217" t="str">
            <v>한영캉가루</v>
          </cell>
          <cell r="H217">
            <v>7992000</v>
          </cell>
        </row>
        <row r="218">
          <cell r="C218" t="str">
            <v>건우</v>
          </cell>
          <cell r="H218">
            <v>4523400</v>
          </cell>
        </row>
        <row r="219">
          <cell r="C219" t="str">
            <v>크로바</v>
          </cell>
          <cell r="H219">
            <v>15276000</v>
          </cell>
        </row>
        <row r="220">
          <cell r="C220" t="str">
            <v>크로바</v>
          </cell>
          <cell r="H220">
            <v>6500000</v>
          </cell>
        </row>
        <row r="221">
          <cell r="C221" t="str">
            <v>ACC</v>
          </cell>
          <cell r="H221">
            <v>39000000</v>
          </cell>
        </row>
        <row r="222">
          <cell r="C222" t="str">
            <v>ACC</v>
          </cell>
          <cell r="H222">
            <v>54600000</v>
          </cell>
        </row>
        <row r="223">
          <cell r="C223" t="str">
            <v>ACC</v>
          </cell>
          <cell r="H223">
            <v>22200000</v>
          </cell>
        </row>
        <row r="224">
          <cell r="C224" t="str">
            <v>윤진</v>
          </cell>
          <cell r="H224">
            <v>13163800</v>
          </cell>
        </row>
        <row r="225">
          <cell r="C225" t="str">
            <v>윤진</v>
          </cell>
          <cell r="H225">
            <v>14914800</v>
          </cell>
        </row>
        <row r="226">
          <cell r="C226" t="str">
            <v>윤진</v>
          </cell>
          <cell r="H226">
            <v>16609000</v>
          </cell>
        </row>
        <row r="227">
          <cell r="C227" t="str">
            <v>윤진</v>
          </cell>
          <cell r="H227">
            <v>12329300</v>
          </cell>
        </row>
        <row r="228">
          <cell r="C228" t="str">
            <v>윤진</v>
          </cell>
          <cell r="H228">
            <v>13185000</v>
          </cell>
        </row>
        <row r="229">
          <cell r="C229" t="str">
            <v>윤진</v>
          </cell>
          <cell r="H229">
            <v>18918900</v>
          </cell>
        </row>
        <row r="230">
          <cell r="C230" t="str">
            <v>메트로</v>
          </cell>
          <cell r="H230">
            <v>15174500</v>
          </cell>
        </row>
        <row r="231">
          <cell r="C231" t="str">
            <v>메트로</v>
          </cell>
          <cell r="H231">
            <v>15884000</v>
          </cell>
        </row>
        <row r="232">
          <cell r="C232" t="str">
            <v>메트로</v>
          </cell>
          <cell r="H232">
            <v>9353600</v>
          </cell>
        </row>
        <row r="233">
          <cell r="C233" t="str">
            <v>메트로</v>
          </cell>
          <cell r="H233">
            <v>7411200</v>
          </cell>
        </row>
        <row r="234">
          <cell r="C234" t="str">
            <v>메트로</v>
          </cell>
          <cell r="H234">
            <v>240000</v>
          </cell>
        </row>
        <row r="235">
          <cell r="C235" t="str">
            <v>그린</v>
          </cell>
          <cell r="H235">
            <v>7464000</v>
          </cell>
        </row>
        <row r="236">
          <cell r="C236" t="str">
            <v>TBO</v>
          </cell>
          <cell r="H236">
            <v>20750000</v>
          </cell>
        </row>
        <row r="237">
          <cell r="C237" t="str">
            <v>TBO</v>
          </cell>
          <cell r="H237">
            <v>4025000</v>
          </cell>
        </row>
        <row r="238">
          <cell r="C238" t="str">
            <v>스노피</v>
          </cell>
          <cell r="H238">
            <v>5306700</v>
          </cell>
        </row>
        <row r="239">
          <cell r="C239" t="str">
            <v>스노피</v>
          </cell>
          <cell r="H239">
            <v>2885500</v>
          </cell>
        </row>
        <row r="240">
          <cell r="C240" t="str">
            <v>스노피</v>
          </cell>
          <cell r="H240">
            <v>12525000</v>
          </cell>
        </row>
        <row r="241">
          <cell r="C241" t="str">
            <v>스노피</v>
          </cell>
          <cell r="H241">
            <v>4500000</v>
          </cell>
        </row>
        <row r="242">
          <cell r="C242" t="str">
            <v>이글</v>
          </cell>
          <cell r="H242">
            <v>2280000</v>
          </cell>
        </row>
        <row r="243">
          <cell r="C243" t="str">
            <v>이글</v>
          </cell>
          <cell r="H243">
            <v>4740000</v>
          </cell>
        </row>
        <row r="244">
          <cell r="C244" t="str">
            <v>이글</v>
          </cell>
          <cell r="H244">
            <v>3800000</v>
          </cell>
        </row>
        <row r="245">
          <cell r="C245" t="str">
            <v>이슈</v>
          </cell>
          <cell r="H245">
            <v>4854600</v>
          </cell>
        </row>
        <row r="246">
          <cell r="C246" t="str">
            <v>이슈</v>
          </cell>
          <cell r="H246">
            <v>3131100</v>
          </cell>
        </row>
        <row r="247">
          <cell r="C247" t="str">
            <v>이슈</v>
          </cell>
          <cell r="H247">
            <v>4477000</v>
          </cell>
        </row>
        <row r="248">
          <cell r="C248" t="str">
            <v>건우</v>
          </cell>
          <cell r="H248">
            <v>16451400</v>
          </cell>
        </row>
        <row r="249">
          <cell r="C249" t="str">
            <v>벽옥사</v>
          </cell>
          <cell r="H249">
            <v>4359600</v>
          </cell>
        </row>
        <row r="250">
          <cell r="C250" t="str">
            <v>리미츠</v>
          </cell>
          <cell r="H250">
            <v>864000</v>
          </cell>
        </row>
        <row r="251">
          <cell r="C251" t="str">
            <v>보광</v>
          </cell>
          <cell r="H251">
            <v>2260000</v>
          </cell>
        </row>
        <row r="252">
          <cell r="C252" t="str">
            <v>동영</v>
          </cell>
          <cell r="H252">
            <v>6574999.0909090908</v>
          </cell>
        </row>
        <row r="253">
          <cell r="C253" t="str">
            <v>아화 텍스 타일</v>
          </cell>
          <cell r="H253">
            <v>12204900</v>
          </cell>
        </row>
        <row r="254">
          <cell r="C254" t="str">
            <v>아화 텍스 타일</v>
          </cell>
          <cell r="H254">
            <v>8870400</v>
          </cell>
        </row>
        <row r="255">
          <cell r="H255">
            <v>385308299.09090906</v>
          </cell>
        </row>
        <row r="256">
          <cell r="C256" t="str">
            <v>이슈</v>
          </cell>
          <cell r="H256">
            <v>3108000</v>
          </cell>
        </row>
        <row r="257">
          <cell r="C257" t="str">
            <v>건우</v>
          </cell>
          <cell r="H257">
            <v>1488000</v>
          </cell>
        </row>
        <row r="258">
          <cell r="C258" t="str">
            <v>건우</v>
          </cell>
          <cell r="H258">
            <v>470400</v>
          </cell>
        </row>
        <row r="259">
          <cell r="C259" t="str">
            <v>건우</v>
          </cell>
          <cell r="H259">
            <v>997600</v>
          </cell>
        </row>
        <row r="260">
          <cell r="C260" t="str">
            <v>아화 텍스 타일</v>
          </cell>
          <cell r="H260">
            <v>36189600</v>
          </cell>
        </row>
        <row r="261">
          <cell r="C261" t="str">
            <v>메트로</v>
          </cell>
          <cell r="H261">
            <v>7000000</v>
          </cell>
        </row>
        <row r="262">
          <cell r="C262" t="str">
            <v>메트로</v>
          </cell>
          <cell r="H262">
            <v>6740400</v>
          </cell>
        </row>
        <row r="263">
          <cell r="C263" t="str">
            <v>윤진</v>
          </cell>
          <cell r="H263">
            <v>4570000</v>
          </cell>
        </row>
        <row r="264">
          <cell r="C264" t="str">
            <v>kolon int.</v>
          </cell>
          <cell r="H264">
            <v>12414600</v>
          </cell>
        </row>
        <row r="265">
          <cell r="C265" t="str">
            <v>원도</v>
          </cell>
          <cell r="H265">
            <v>111023.40000000001</v>
          </cell>
        </row>
        <row r="266">
          <cell r="C266" t="str">
            <v>원도</v>
          </cell>
          <cell r="H266">
            <v>28230.400000000001</v>
          </cell>
        </row>
        <row r="267">
          <cell r="C267" t="str">
            <v>원도</v>
          </cell>
          <cell r="H267">
            <v>24480</v>
          </cell>
        </row>
        <row r="268">
          <cell r="C268" t="str">
            <v>원도</v>
          </cell>
          <cell r="H268">
            <v>39823.5</v>
          </cell>
        </row>
        <row r="269">
          <cell r="C269" t="str">
            <v>원도</v>
          </cell>
          <cell r="H269">
            <v>109184</v>
          </cell>
        </row>
        <row r="270">
          <cell r="C270" t="str">
            <v>ACC</v>
          </cell>
          <cell r="H270">
            <v>14800000</v>
          </cell>
        </row>
        <row r="271">
          <cell r="C271" t="str">
            <v>이글콜렉션</v>
          </cell>
          <cell r="H271">
            <v>7250000</v>
          </cell>
        </row>
        <row r="272">
          <cell r="C272" t="str">
            <v>이글콜렉션</v>
          </cell>
          <cell r="H272">
            <v>12420000</v>
          </cell>
        </row>
        <row r="273">
          <cell r="C273" t="str">
            <v>TBO</v>
          </cell>
          <cell r="H273">
            <v>23884000</v>
          </cell>
        </row>
        <row r="274">
          <cell r="C274" t="str">
            <v>TBO</v>
          </cell>
          <cell r="H274">
            <v>15456000</v>
          </cell>
        </row>
        <row r="275">
          <cell r="C275" t="str">
            <v>리미츠</v>
          </cell>
          <cell r="H275">
            <v>4129200</v>
          </cell>
        </row>
        <row r="276">
          <cell r="C276" t="str">
            <v>아화텍스타일</v>
          </cell>
          <cell r="H276">
            <v>1659200</v>
          </cell>
        </row>
        <row r="277">
          <cell r="C277" t="str">
            <v>아화텍스타일</v>
          </cell>
          <cell r="H277">
            <v>1924000</v>
          </cell>
        </row>
        <row r="278">
          <cell r="C278" t="str">
            <v>윤진</v>
          </cell>
          <cell r="H278">
            <v>6885000</v>
          </cell>
        </row>
        <row r="279">
          <cell r="C279" t="str">
            <v>kolon int.</v>
          </cell>
          <cell r="H279">
            <v>24393600</v>
          </cell>
        </row>
        <row r="281">
          <cell r="C281" t="str">
            <v>그린</v>
          </cell>
          <cell r="H281">
            <v>12976000</v>
          </cell>
        </row>
        <row r="282">
          <cell r="C282" t="str">
            <v>그린</v>
          </cell>
          <cell r="H282">
            <v>11933500</v>
          </cell>
        </row>
        <row r="283">
          <cell r="C283" t="str">
            <v>그린</v>
          </cell>
          <cell r="H283">
            <v>22174600</v>
          </cell>
        </row>
        <row r="284">
          <cell r="C284" t="str">
            <v>메트로</v>
          </cell>
          <cell r="H284">
            <v>17371000</v>
          </cell>
        </row>
        <row r="285">
          <cell r="C285" t="str">
            <v>메트로</v>
          </cell>
          <cell r="H285">
            <v>1303400</v>
          </cell>
        </row>
        <row r="286">
          <cell r="C286" t="str">
            <v>TBO</v>
          </cell>
          <cell r="H286">
            <v>23621000</v>
          </cell>
        </row>
        <row r="287">
          <cell r="C287" t="str">
            <v>TBO</v>
          </cell>
          <cell r="H287">
            <v>13552000</v>
          </cell>
        </row>
        <row r="288">
          <cell r="C288" t="str">
            <v>TBO</v>
          </cell>
          <cell r="H288">
            <v>2624300</v>
          </cell>
        </row>
        <row r="289">
          <cell r="C289" t="str">
            <v>신풍섬유</v>
          </cell>
          <cell r="H289">
            <v>55298000</v>
          </cell>
        </row>
        <row r="290">
          <cell r="C290" t="str">
            <v>Everest</v>
          </cell>
          <cell r="H290">
            <v>26816.400000000001</v>
          </cell>
        </row>
        <row r="291">
          <cell r="C291" t="str">
            <v>Everest</v>
          </cell>
          <cell r="H291">
            <v>11377.499999999998</v>
          </cell>
        </row>
        <row r="292">
          <cell r="C292" t="str">
            <v>Everest</v>
          </cell>
          <cell r="H292">
            <v>11754.699999999999</v>
          </cell>
        </row>
        <row r="293">
          <cell r="C293" t="str">
            <v>ACC</v>
          </cell>
          <cell r="H293">
            <v>18200000</v>
          </cell>
        </row>
        <row r="294">
          <cell r="C294" t="str">
            <v>ACC</v>
          </cell>
          <cell r="H294">
            <v>9000000</v>
          </cell>
        </row>
        <row r="295">
          <cell r="C295" t="str">
            <v>ACC</v>
          </cell>
          <cell r="H295">
            <v>21120000</v>
          </cell>
        </row>
        <row r="296">
          <cell r="C296" t="str">
            <v>원도</v>
          </cell>
          <cell r="H296">
            <v>178636</v>
          </cell>
        </row>
        <row r="297">
          <cell r="C297" t="str">
            <v>원도</v>
          </cell>
          <cell r="H297">
            <v>94815</v>
          </cell>
        </row>
        <row r="298">
          <cell r="C298" t="str">
            <v>원도</v>
          </cell>
          <cell r="H298">
            <v>91728</v>
          </cell>
        </row>
        <row r="299">
          <cell r="C299" t="str">
            <v>원도</v>
          </cell>
          <cell r="H299">
            <v>45760</v>
          </cell>
        </row>
        <row r="300">
          <cell r="C300" t="str">
            <v>원도</v>
          </cell>
          <cell r="H300">
            <v>120955.40000000001</v>
          </cell>
        </row>
        <row r="301">
          <cell r="C301" t="str">
            <v>유일정보</v>
          </cell>
          <cell r="H301">
            <v>1450000</v>
          </cell>
        </row>
        <row r="302">
          <cell r="C302" t="str">
            <v>유일정보</v>
          </cell>
          <cell r="H302">
            <v>224000</v>
          </cell>
        </row>
        <row r="303">
          <cell r="C303" t="str">
            <v>경원지엠피</v>
          </cell>
          <cell r="H303">
            <v>120000</v>
          </cell>
        </row>
        <row r="304">
          <cell r="C304" t="str">
            <v>경원지엠피</v>
          </cell>
          <cell r="H304">
            <v>75000</v>
          </cell>
        </row>
        <row r="305">
          <cell r="C305" t="str">
            <v>윤진</v>
          </cell>
          <cell r="H305">
            <v>18088000</v>
          </cell>
        </row>
        <row r="306">
          <cell r="C306" t="str">
            <v>윤진</v>
          </cell>
          <cell r="H306">
            <v>18451800</v>
          </cell>
        </row>
        <row r="307">
          <cell r="C307" t="str">
            <v>윤진</v>
          </cell>
          <cell r="H307">
            <v>13542000</v>
          </cell>
        </row>
        <row r="308">
          <cell r="C308" t="str">
            <v>윤진</v>
          </cell>
          <cell r="H308">
            <v>12950000</v>
          </cell>
        </row>
        <row r="309">
          <cell r="C309" t="str">
            <v>윤진</v>
          </cell>
          <cell r="H309">
            <v>11815000</v>
          </cell>
        </row>
        <row r="310">
          <cell r="C310" t="str">
            <v>TBO</v>
          </cell>
          <cell r="H310">
            <v>640000</v>
          </cell>
        </row>
        <row r="311">
          <cell r="C311" t="str">
            <v>TBO</v>
          </cell>
          <cell r="H311">
            <v>29700000</v>
          </cell>
        </row>
        <row r="312">
          <cell r="C312" t="str">
            <v>메트로</v>
          </cell>
          <cell r="H312">
            <v>20500000</v>
          </cell>
        </row>
        <row r="313">
          <cell r="C313" t="str">
            <v>메트로</v>
          </cell>
          <cell r="H313">
            <v>18536000</v>
          </cell>
        </row>
        <row r="314">
          <cell r="C314" t="str">
            <v>메트로</v>
          </cell>
          <cell r="H314">
            <v>565500</v>
          </cell>
        </row>
        <row r="315">
          <cell r="C315" t="str">
            <v>광명실업</v>
          </cell>
          <cell r="H315">
            <v>7000000</v>
          </cell>
        </row>
        <row r="316">
          <cell r="C316" t="str">
            <v>원도</v>
          </cell>
          <cell r="H316">
            <v>64197</v>
          </cell>
        </row>
        <row r="317">
          <cell r="C317" t="str">
            <v>원도</v>
          </cell>
          <cell r="H317">
            <v>86328</v>
          </cell>
        </row>
        <row r="318">
          <cell r="C318" t="str">
            <v>원도</v>
          </cell>
          <cell r="H318">
            <v>38675</v>
          </cell>
        </row>
        <row r="319">
          <cell r="C319" t="str">
            <v>원도</v>
          </cell>
          <cell r="H319">
            <v>36156.299999999996</v>
          </cell>
        </row>
        <row r="320">
          <cell r="C320" t="str">
            <v>원도</v>
          </cell>
          <cell r="H320">
            <v>16661.5</v>
          </cell>
        </row>
        <row r="321">
          <cell r="C321" t="str">
            <v>원도</v>
          </cell>
          <cell r="H321">
            <v>26124</v>
          </cell>
        </row>
        <row r="322">
          <cell r="C322" t="str">
            <v>원도</v>
          </cell>
          <cell r="H322">
            <v>14016</v>
          </cell>
        </row>
        <row r="323">
          <cell r="C323" t="str">
            <v>TBO</v>
          </cell>
          <cell r="H323">
            <v>29412000</v>
          </cell>
        </row>
        <row r="324">
          <cell r="C324" t="str">
            <v>윤진</v>
          </cell>
          <cell r="H324">
            <v>11352000</v>
          </cell>
        </row>
        <row r="325">
          <cell r="C325" t="str">
            <v>건우</v>
          </cell>
          <cell r="H325">
            <v>7134000</v>
          </cell>
        </row>
        <row r="326">
          <cell r="C326" t="str">
            <v>건우</v>
          </cell>
          <cell r="H326">
            <v>10967500</v>
          </cell>
        </row>
        <row r="327">
          <cell r="C327" t="str">
            <v>TBO</v>
          </cell>
          <cell r="H327">
            <v>8160000</v>
          </cell>
        </row>
        <row r="329">
          <cell r="C329" t="str">
            <v>TBO</v>
          </cell>
          <cell r="H329">
            <v>10384000</v>
          </cell>
        </row>
        <row r="330">
          <cell r="C330" t="str">
            <v>TBO</v>
          </cell>
          <cell r="H330">
            <v>16995000</v>
          </cell>
        </row>
        <row r="331">
          <cell r="C331" t="str">
            <v>메트로</v>
          </cell>
          <cell r="H331">
            <v>25752000</v>
          </cell>
        </row>
        <row r="332">
          <cell r="C332" t="str">
            <v>메트로</v>
          </cell>
          <cell r="H332">
            <v>20865600</v>
          </cell>
        </row>
        <row r="333">
          <cell r="C333" t="str">
            <v>메트로</v>
          </cell>
          <cell r="H333">
            <v>26010000</v>
          </cell>
        </row>
        <row r="334">
          <cell r="C334" t="str">
            <v>그린</v>
          </cell>
          <cell r="H334">
            <v>26524000</v>
          </cell>
        </row>
        <row r="335">
          <cell r="C335" t="str">
            <v>윤진</v>
          </cell>
          <cell r="H335">
            <v>111000</v>
          </cell>
        </row>
        <row r="336">
          <cell r="C336" t="str">
            <v>신풍섬유</v>
          </cell>
          <cell r="H336">
            <v>6357800</v>
          </cell>
        </row>
        <row r="337">
          <cell r="C337" t="str">
            <v>Everest</v>
          </cell>
          <cell r="H337">
            <v>2533.7999999999997</v>
          </cell>
        </row>
        <row r="338">
          <cell r="C338" t="str">
            <v>원도</v>
          </cell>
          <cell r="H338">
            <v>11403</v>
          </cell>
        </row>
        <row r="339">
          <cell r="C339" t="str">
            <v>원도</v>
          </cell>
          <cell r="H339">
            <v>36140</v>
          </cell>
        </row>
        <row r="340">
          <cell r="C340" t="str">
            <v>원도</v>
          </cell>
          <cell r="H340">
            <v>88920</v>
          </cell>
        </row>
        <row r="341">
          <cell r="C341" t="str">
            <v>원도</v>
          </cell>
          <cell r="H341">
            <v>83700</v>
          </cell>
        </row>
        <row r="342">
          <cell r="C342" t="str">
            <v>원도</v>
          </cell>
          <cell r="H342">
            <v>77870</v>
          </cell>
        </row>
        <row r="343">
          <cell r="C343" t="str">
            <v>원도</v>
          </cell>
          <cell r="H343">
            <v>23069</v>
          </cell>
        </row>
        <row r="344">
          <cell r="C344" t="str">
            <v>원도</v>
          </cell>
          <cell r="H344">
            <v>8475</v>
          </cell>
        </row>
        <row r="345">
          <cell r="C345" t="str">
            <v>원도</v>
          </cell>
          <cell r="H345">
            <v>26609</v>
          </cell>
        </row>
        <row r="346">
          <cell r="C346" t="str">
            <v>원도</v>
          </cell>
          <cell r="H346">
            <v>37424.799999999996</v>
          </cell>
        </row>
        <row r="347">
          <cell r="C347" t="str">
            <v>원도</v>
          </cell>
          <cell r="H347">
            <v>33615</v>
          </cell>
        </row>
        <row r="348">
          <cell r="C348" t="str">
            <v>대주레포츠</v>
          </cell>
          <cell r="H348">
            <v>8094.42</v>
          </cell>
        </row>
        <row r="349">
          <cell r="C349" t="str">
            <v>대주레포츠</v>
          </cell>
          <cell r="H349">
            <v>19671.160000000003</v>
          </cell>
        </row>
        <row r="350">
          <cell r="C350" t="str">
            <v>대주레포츠</v>
          </cell>
          <cell r="H350">
            <v>31986.42</v>
          </cell>
        </row>
        <row r="351">
          <cell r="C351" t="str">
            <v>크로바</v>
          </cell>
          <cell r="H351">
            <v>22680000</v>
          </cell>
        </row>
        <row r="352">
          <cell r="C352" t="str">
            <v>크로바</v>
          </cell>
          <cell r="H352">
            <v>27400000</v>
          </cell>
        </row>
        <row r="353">
          <cell r="C353" t="str">
            <v>크로바</v>
          </cell>
          <cell r="H353">
            <v>9030000</v>
          </cell>
        </row>
        <row r="354">
          <cell r="C354" t="str">
            <v>Everest</v>
          </cell>
          <cell r="H354">
            <v>2527.2000000000003</v>
          </cell>
        </row>
        <row r="355">
          <cell r="C355" t="str">
            <v>원도</v>
          </cell>
          <cell r="H355">
            <v>41912</v>
          </cell>
        </row>
        <row r="356">
          <cell r="C356" t="str">
            <v>원도</v>
          </cell>
          <cell r="H356">
            <v>24750</v>
          </cell>
        </row>
        <row r="357">
          <cell r="C357" t="str">
            <v>원도</v>
          </cell>
          <cell r="H357">
            <v>20623</v>
          </cell>
        </row>
        <row r="358">
          <cell r="C358" t="str">
            <v>원도</v>
          </cell>
          <cell r="H358">
            <v>24803.5</v>
          </cell>
        </row>
        <row r="359">
          <cell r="C359" t="str">
            <v>원도</v>
          </cell>
          <cell r="H359">
            <v>16520</v>
          </cell>
        </row>
        <row r="360">
          <cell r="C360" t="str">
            <v>원도</v>
          </cell>
          <cell r="H360">
            <v>37350</v>
          </cell>
        </row>
        <row r="361">
          <cell r="C361" t="str">
            <v>건우</v>
          </cell>
          <cell r="H361">
            <v>2037000</v>
          </cell>
        </row>
        <row r="362">
          <cell r="C362" t="str">
            <v>건우</v>
          </cell>
          <cell r="H362">
            <v>6064300</v>
          </cell>
        </row>
        <row r="363">
          <cell r="C363" t="str">
            <v>건우</v>
          </cell>
          <cell r="H363">
            <v>11004400</v>
          </cell>
        </row>
        <row r="364">
          <cell r="C364" t="str">
            <v>건우</v>
          </cell>
          <cell r="H364">
            <v>4165600</v>
          </cell>
        </row>
        <row r="365">
          <cell r="C365" t="str">
            <v>건우</v>
          </cell>
          <cell r="H365">
            <v>1980000</v>
          </cell>
        </row>
        <row r="366">
          <cell r="C366" t="str">
            <v>메트로</v>
          </cell>
          <cell r="H366">
            <v>14020000</v>
          </cell>
        </row>
        <row r="367">
          <cell r="C367" t="str">
            <v>메트로</v>
          </cell>
          <cell r="H367">
            <v>7326000</v>
          </cell>
        </row>
        <row r="368">
          <cell r="C368" t="str">
            <v>메트로</v>
          </cell>
          <cell r="H368">
            <v>29070000</v>
          </cell>
        </row>
        <row r="369">
          <cell r="C369" t="str">
            <v>TBO</v>
          </cell>
          <cell r="H369">
            <v>20700000</v>
          </cell>
        </row>
        <row r="370">
          <cell r="C370" t="str">
            <v>TBO</v>
          </cell>
          <cell r="H370">
            <v>13900000</v>
          </cell>
        </row>
        <row r="371">
          <cell r="C371" t="str">
            <v>TBO</v>
          </cell>
          <cell r="H371">
            <v>5810000</v>
          </cell>
        </row>
        <row r="372">
          <cell r="C372" t="str">
            <v>TBO</v>
          </cell>
          <cell r="H372">
            <v>35534000</v>
          </cell>
        </row>
        <row r="373">
          <cell r="C373" t="str">
            <v>TBO</v>
          </cell>
          <cell r="H373">
            <v>1434000</v>
          </cell>
        </row>
        <row r="374">
          <cell r="C374" t="str">
            <v>TBO</v>
          </cell>
          <cell r="H374">
            <v>1353500</v>
          </cell>
        </row>
        <row r="375">
          <cell r="C375" t="str">
            <v>그린</v>
          </cell>
          <cell r="H375">
            <v>30597000</v>
          </cell>
        </row>
        <row r="376">
          <cell r="C376" t="str">
            <v>그린</v>
          </cell>
          <cell r="H376">
            <v>4976000</v>
          </cell>
        </row>
        <row r="377">
          <cell r="C377" t="str">
            <v>그린</v>
          </cell>
          <cell r="H377">
            <v>4306500</v>
          </cell>
        </row>
        <row r="378">
          <cell r="C378" t="str">
            <v>윤진</v>
          </cell>
          <cell r="H378">
            <v>17048700</v>
          </cell>
        </row>
        <row r="379">
          <cell r="C379" t="str">
            <v>윤진</v>
          </cell>
          <cell r="H379">
            <v>15055200</v>
          </cell>
        </row>
        <row r="380">
          <cell r="C380" t="str">
            <v>윤진</v>
          </cell>
          <cell r="H380">
            <v>39204000</v>
          </cell>
        </row>
        <row r="381">
          <cell r="C381" t="str">
            <v>담앤담</v>
          </cell>
          <cell r="H381">
            <v>13512800</v>
          </cell>
        </row>
        <row r="382">
          <cell r="C382" t="str">
            <v>담앤담</v>
          </cell>
          <cell r="H382">
            <v>11980800</v>
          </cell>
        </row>
        <row r="383">
          <cell r="C383" t="str">
            <v>유일정보</v>
          </cell>
          <cell r="H383">
            <v>1250000</v>
          </cell>
        </row>
        <row r="384">
          <cell r="C384" t="str">
            <v>유일정보</v>
          </cell>
          <cell r="H384">
            <v>224000</v>
          </cell>
        </row>
        <row r="385">
          <cell r="C385" t="str">
            <v>유일정보</v>
          </cell>
          <cell r="H385">
            <v>282000</v>
          </cell>
        </row>
        <row r="386">
          <cell r="C386" t="str">
            <v>아화텍스타일</v>
          </cell>
          <cell r="H386">
            <v>3300000</v>
          </cell>
        </row>
        <row r="387">
          <cell r="C387" t="str">
            <v>윤진</v>
          </cell>
          <cell r="H387">
            <v>32400000</v>
          </cell>
        </row>
        <row r="388">
          <cell r="C388" t="str">
            <v>TBO</v>
          </cell>
          <cell r="H388">
            <v>21760000</v>
          </cell>
        </row>
        <row r="389">
          <cell r="C389" t="str">
            <v>크로바</v>
          </cell>
          <cell r="H389">
            <v>14958000</v>
          </cell>
        </row>
        <row r="391">
          <cell r="C391" t="str">
            <v>원도</v>
          </cell>
          <cell r="H391">
            <v>508.5</v>
          </cell>
        </row>
        <row r="392">
          <cell r="C392" t="str">
            <v>원도</v>
          </cell>
          <cell r="H392">
            <v>25515</v>
          </cell>
        </row>
        <row r="393">
          <cell r="C393" t="str">
            <v>원도</v>
          </cell>
          <cell r="H393">
            <v>94620</v>
          </cell>
        </row>
        <row r="394">
          <cell r="C394" t="str">
            <v>원도</v>
          </cell>
          <cell r="H394">
            <v>77175</v>
          </cell>
        </row>
        <row r="395">
          <cell r="C395" t="str">
            <v>원도</v>
          </cell>
          <cell r="H395">
            <v>82750</v>
          </cell>
        </row>
        <row r="396">
          <cell r="C396" t="str">
            <v>메트로</v>
          </cell>
          <cell r="H396">
            <v>33957500</v>
          </cell>
        </row>
        <row r="397">
          <cell r="C397" t="str">
            <v>메트로</v>
          </cell>
          <cell r="H397">
            <v>26828000</v>
          </cell>
        </row>
        <row r="398">
          <cell r="C398" t="str">
            <v>메트로</v>
          </cell>
          <cell r="H398">
            <v>2185000</v>
          </cell>
        </row>
        <row r="399">
          <cell r="C399" t="str">
            <v>윤진</v>
          </cell>
          <cell r="H399">
            <v>4438500</v>
          </cell>
        </row>
        <row r="400">
          <cell r="C400" t="str">
            <v>유일정보</v>
          </cell>
          <cell r="H400">
            <v>1250000</v>
          </cell>
        </row>
        <row r="401">
          <cell r="C401" t="str">
            <v>크로바</v>
          </cell>
          <cell r="H401">
            <v>16200000</v>
          </cell>
        </row>
        <row r="402">
          <cell r="C402" t="str">
            <v>크로바</v>
          </cell>
          <cell r="H402">
            <v>6604800</v>
          </cell>
        </row>
        <row r="403">
          <cell r="C403" t="str">
            <v>크로바</v>
          </cell>
          <cell r="H403">
            <v>-664800</v>
          </cell>
        </row>
        <row r="404">
          <cell r="C404" t="str">
            <v>윤진</v>
          </cell>
          <cell r="H404">
            <v>29196000</v>
          </cell>
        </row>
        <row r="405">
          <cell r="C405" t="str">
            <v>윤진</v>
          </cell>
          <cell r="H405">
            <v>53592000</v>
          </cell>
        </row>
        <row r="406">
          <cell r="C406" t="str">
            <v>윤진</v>
          </cell>
          <cell r="H406">
            <v>48580000</v>
          </cell>
        </row>
        <row r="407">
          <cell r="C407" t="str">
            <v>윤진</v>
          </cell>
          <cell r="H407">
            <v>12000000</v>
          </cell>
        </row>
        <row r="408">
          <cell r="C408" t="str">
            <v>윤진</v>
          </cell>
          <cell r="H408">
            <v>22005000</v>
          </cell>
        </row>
        <row r="409">
          <cell r="C409" t="str">
            <v>윤진</v>
          </cell>
          <cell r="H409">
            <v>27804000</v>
          </cell>
        </row>
        <row r="410">
          <cell r="C410" t="str">
            <v>윤진</v>
          </cell>
          <cell r="H410">
            <v>20482000</v>
          </cell>
        </row>
        <row r="411">
          <cell r="C411" t="str">
            <v>윤진</v>
          </cell>
          <cell r="H411">
            <v>14023000</v>
          </cell>
        </row>
        <row r="412">
          <cell r="C412" t="str">
            <v>윤진</v>
          </cell>
          <cell r="H412">
            <v>115500</v>
          </cell>
        </row>
        <row r="413">
          <cell r="C413" t="str">
            <v>윤진</v>
          </cell>
          <cell r="H413">
            <v>6120000</v>
          </cell>
        </row>
        <row r="414">
          <cell r="C414" t="str">
            <v>메트로</v>
          </cell>
          <cell r="H414">
            <v>10338300</v>
          </cell>
        </row>
        <row r="415">
          <cell r="C415" t="str">
            <v>그린</v>
          </cell>
          <cell r="H415">
            <v>36427500</v>
          </cell>
        </row>
        <row r="416">
          <cell r="C416" t="str">
            <v>그린</v>
          </cell>
          <cell r="H416">
            <v>31850400</v>
          </cell>
        </row>
        <row r="417">
          <cell r="C417" t="str">
            <v>그린</v>
          </cell>
          <cell r="H417">
            <v>21481200</v>
          </cell>
        </row>
        <row r="418">
          <cell r="C418" t="str">
            <v>그린</v>
          </cell>
          <cell r="H418">
            <v>6016000</v>
          </cell>
        </row>
        <row r="419">
          <cell r="C419" t="str">
            <v>TBO</v>
          </cell>
          <cell r="H419">
            <v>20076000</v>
          </cell>
        </row>
        <row r="420">
          <cell r="C420" t="str">
            <v>TBO</v>
          </cell>
          <cell r="H420">
            <v>32364000</v>
          </cell>
        </row>
        <row r="421">
          <cell r="C421" t="str">
            <v>TBO</v>
          </cell>
          <cell r="H421">
            <v>7362000</v>
          </cell>
        </row>
        <row r="422">
          <cell r="C422" t="str">
            <v>TBO</v>
          </cell>
          <cell r="H422">
            <v>13488000</v>
          </cell>
        </row>
        <row r="423">
          <cell r="C423" t="str">
            <v>건우</v>
          </cell>
          <cell r="H423">
            <v>11487000</v>
          </cell>
        </row>
        <row r="424">
          <cell r="C424" t="str">
            <v>건우</v>
          </cell>
          <cell r="H424">
            <v>1036000</v>
          </cell>
        </row>
        <row r="425">
          <cell r="C425" t="str">
            <v>건우</v>
          </cell>
          <cell r="H425">
            <v>4797000</v>
          </cell>
        </row>
        <row r="426">
          <cell r="C426" t="str">
            <v>건우</v>
          </cell>
          <cell r="H426">
            <v>3003000</v>
          </cell>
        </row>
        <row r="427">
          <cell r="C427" t="str">
            <v>건우</v>
          </cell>
          <cell r="H427">
            <v>10064000</v>
          </cell>
        </row>
        <row r="428">
          <cell r="C428" t="str">
            <v>건우</v>
          </cell>
          <cell r="H428">
            <v>1906500</v>
          </cell>
        </row>
        <row r="429">
          <cell r="C429" t="str">
            <v>아성</v>
          </cell>
          <cell r="H429">
            <v>20712000</v>
          </cell>
        </row>
        <row r="430">
          <cell r="C430" t="str">
            <v>아성</v>
          </cell>
          <cell r="H430">
            <v>28248000</v>
          </cell>
        </row>
        <row r="431">
          <cell r="C431" t="str">
            <v>아화텍스타일</v>
          </cell>
          <cell r="H431">
            <v>1892000</v>
          </cell>
        </row>
        <row r="432">
          <cell r="C432" t="str">
            <v>유일정보</v>
          </cell>
          <cell r="H432">
            <v>3750000</v>
          </cell>
        </row>
        <row r="433">
          <cell r="C433" t="str">
            <v>유일정보</v>
          </cell>
          <cell r="H433">
            <v>1450000</v>
          </cell>
        </row>
        <row r="434">
          <cell r="C434" t="str">
            <v>유일정보</v>
          </cell>
          <cell r="H434">
            <v>336000</v>
          </cell>
        </row>
        <row r="435">
          <cell r="C435" t="str">
            <v>성보</v>
          </cell>
          <cell r="H435">
            <v>32500</v>
          </cell>
        </row>
        <row r="436">
          <cell r="C436" t="str">
            <v>성보</v>
          </cell>
          <cell r="H436">
            <v>35000</v>
          </cell>
        </row>
        <row r="437">
          <cell r="C437" t="str">
            <v>성보</v>
          </cell>
          <cell r="H437">
            <v>20000</v>
          </cell>
        </row>
        <row r="438">
          <cell r="C438" t="str">
            <v>윤진</v>
          </cell>
          <cell r="H438">
            <v>17064000</v>
          </cell>
        </row>
        <row r="439">
          <cell r="C439" t="str">
            <v>TBO</v>
          </cell>
          <cell r="H439">
            <v>23238000</v>
          </cell>
        </row>
        <row r="440">
          <cell r="C440" t="str">
            <v>TBO</v>
          </cell>
          <cell r="H440">
            <v>2000000</v>
          </cell>
        </row>
        <row r="441">
          <cell r="C441" t="str">
            <v>스노피</v>
          </cell>
          <cell r="H441">
            <v>1141400</v>
          </cell>
        </row>
        <row r="442">
          <cell r="C442" t="str">
            <v>원도</v>
          </cell>
          <cell r="H442">
            <v>17928</v>
          </cell>
        </row>
        <row r="443">
          <cell r="C443" t="str">
            <v>원도</v>
          </cell>
          <cell r="H443">
            <v>67252.5</v>
          </cell>
        </row>
        <row r="444">
          <cell r="C444" t="str">
            <v>원도</v>
          </cell>
          <cell r="H444">
            <v>19944</v>
          </cell>
        </row>
        <row r="445">
          <cell r="C445" t="str">
            <v>원도</v>
          </cell>
          <cell r="H445">
            <v>28350</v>
          </cell>
        </row>
        <row r="446">
          <cell r="C446" t="str">
            <v>원도</v>
          </cell>
          <cell r="H446">
            <v>62046</v>
          </cell>
        </row>
        <row r="447">
          <cell r="C447" t="str">
            <v>원도</v>
          </cell>
          <cell r="H447">
            <v>35792.5</v>
          </cell>
        </row>
        <row r="448">
          <cell r="C448" t="str">
            <v>원도</v>
          </cell>
          <cell r="H448">
            <v>16500</v>
          </cell>
        </row>
        <row r="449">
          <cell r="C449" t="str">
            <v>원도</v>
          </cell>
          <cell r="H449">
            <v>10197</v>
          </cell>
        </row>
      </sheetData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즌계획"/>
      <sheetName val="표지"/>
      <sheetName val="월별목표"/>
      <sheetName val="집계"/>
      <sheetName val="2010년"/>
      <sheetName val="TOTAL(시즌별)"/>
      <sheetName val="시즌별(생산지)"/>
      <sheetName val="시즌별(카테고리)"/>
      <sheetName val="입고"/>
      <sheetName val="출고"/>
      <sheetName val="사전원가"/>
      <sheetName val="ITEM"/>
      <sheetName val="Sheet2"/>
      <sheetName val="원자재"/>
      <sheetName val="원자재업체별"/>
      <sheetName val="컬러"/>
      <sheetName val="Sheet1"/>
      <sheetName val="TOTAL(입고)"/>
      <sheetName val="수입원가결제1nd"/>
      <sheetName val="수입원가결제2nd"/>
      <sheetName val="생산스케줄"/>
      <sheetName val="월별입고"/>
      <sheetName val="입고진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Q2">
            <v>25952</v>
          </cell>
        </row>
        <row r="6">
          <cell r="B6" t="str">
            <v>WJAJKM090</v>
          </cell>
          <cell r="D6" t="str">
            <v>DREAM LINE</v>
          </cell>
          <cell r="AE6">
            <v>101700000</v>
          </cell>
        </row>
        <row r="7">
          <cell r="B7" t="str">
            <v>WJAJKM090</v>
          </cell>
          <cell r="D7" t="str">
            <v>DREAM LINE</v>
          </cell>
          <cell r="AE7">
            <v>50850000</v>
          </cell>
        </row>
        <row r="8">
          <cell r="B8" t="str">
            <v>WJAJKM090</v>
          </cell>
          <cell r="D8" t="str">
            <v>DREAM LINE</v>
          </cell>
          <cell r="AE8">
            <v>101700000</v>
          </cell>
        </row>
        <row r="9">
          <cell r="B9" t="str">
            <v>WJFJKM040</v>
          </cell>
          <cell r="D9" t="str">
            <v>DREAM LINE</v>
          </cell>
          <cell r="AE9">
            <v>56700000</v>
          </cell>
        </row>
        <row r="10">
          <cell r="B10" t="str">
            <v>WJFJKM040</v>
          </cell>
          <cell r="D10" t="str">
            <v>DREAM LINE</v>
          </cell>
          <cell r="AE10">
            <v>56700000</v>
          </cell>
        </row>
        <row r="11">
          <cell r="B11" t="str">
            <v>WJWDWM100</v>
          </cell>
          <cell r="D11" t="str">
            <v>DREAM LINE</v>
          </cell>
          <cell r="AE11">
            <v>149700000</v>
          </cell>
        </row>
        <row r="12">
          <cell r="B12" t="str">
            <v>WJWDWM100</v>
          </cell>
          <cell r="D12" t="str">
            <v>DREAM LINE</v>
          </cell>
          <cell r="AE12">
            <v>149700000</v>
          </cell>
        </row>
        <row r="13">
          <cell r="B13" t="str">
            <v>WJWDWM130</v>
          </cell>
          <cell r="D13" t="str">
            <v>DREAM LINE</v>
          </cell>
          <cell r="AE13">
            <v>194850000</v>
          </cell>
        </row>
        <row r="14">
          <cell r="B14" t="str">
            <v>WJWDWM130</v>
          </cell>
          <cell r="D14" t="str">
            <v>DREAM LINE</v>
          </cell>
          <cell r="AE14">
            <v>129900000</v>
          </cell>
        </row>
        <row r="15">
          <cell r="B15" t="str">
            <v>WJWWJM090</v>
          </cell>
          <cell r="D15" t="str">
            <v>DREAM LINE</v>
          </cell>
          <cell r="AE15">
            <v>111870000</v>
          </cell>
        </row>
        <row r="16">
          <cell r="B16" t="str">
            <v>WJWWJM090</v>
          </cell>
          <cell r="D16" t="str">
            <v>DREAM LINE</v>
          </cell>
          <cell r="AE16">
            <v>111870000</v>
          </cell>
        </row>
        <row r="17">
          <cell r="B17" t="str">
            <v>WJWJKM100</v>
          </cell>
          <cell r="D17" t="str">
            <v>DREAM LINE</v>
          </cell>
          <cell r="AE17">
            <v>47800000</v>
          </cell>
        </row>
        <row r="18">
          <cell r="B18" t="str">
            <v>WJWJKM100</v>
          </cell>
          <cell r="D18" t="str">
            <v>DREAM LINE</v>
          </cell>
          <cell r="AE18">
            <v>71700000</v>
          </cell>
        </row>
        <row r="19">
          <cell r="B19" t="str">
            <v>WJAJKM100</v>
          </cell>
          <cell r="D19">
            <v>8000</v>
          </cell>
          <cell r="AE19">
            <v>107700000</v>
          </cell>
        </row>
        <row r="20">
          <cell r="B20" t="str">
            <v>WJAJKM100</v>
          </cell>
          <cell r="D20">
            <v>8000</v>
          </cell>
          <cell r="AE20">
            <v>53850000</v>
          </cell>
        </row>
        <row r="21">
          <cell r="B21" t="str">
            <v>WJAJKM100</v>
          </cell>
          <cell r="D21">
            <v>8000</v>
          </cell>
          <cell r="AE21">
            <v>53850000</v>
          </cell>
        </row>
        <row r="22">
          <cell r="B22" t="str">
            <v>WJAJKM120</v>
          </cell>
          <cell r="D22">
            <v>8000</v>
          </cell>
          <cell r="AE22">
            <v>123600000</v>
          </cell>
        </row>
        <row r="23">
          <cell r="B23" t="str">
            <v>WJAJKM120</v>
          </cell>
          <cell r="D23">
            <v>8000</v>
          </cell>
          <cell r="AE23">
            <v>123600000</v>
          </cell>
        </row>
        <row r="24">
          <cell r="B24" t="str">
            <v>WJAJKM110</v>
          </cell>
          <cell r="D24">
            <v>8000</v>
          </cell>
          <cell r="AE24">
            <v>20165000</v>
          </cell>
        </row>
        <row r="25">
          <cell r="B25" t="str">
            <v>WJAJKM110</v>
          </cell>
          <cell r="D25">
            <v>8000</v>
          </cell>
          <cell r="AE25">
            <v>11448000</v>
          </cell>
        </row>
        <row r="26">
          <cell r="B26" t="str">
            <v>WJAJKM110</v>
          </cell>
          <cell r="D26">
            <v>8000</v>
          </cell>
          <cell r="AE26">
            <v>11925000</v>
          </cell>
        </row>
        <row r="27">
          <cell r="B27" t="str">
            <v>WJFJKM050</v>
          </cell>
          <cell r="D27">
            <v>8000</v>
          </cell>
          <cell r="AE27">
            <v>32700000</v>
          </cell>
        </row>
        <row r="28">
          <cell r="B28" t="str">
            <v>WJFJKM050</v>
          </cell>
          <cell r="D28">
            <v>8000</v>
          </cell>
          <cell r="AE28">
            <v>32700000</v>
          </cell>
        </row>
        <row r="29">
          <cell r="B29" t="str">
            <v>WJFVSM010</v>
          </cell>
          <cell r="D29">
            <v>8000</v>
          </cell>
          <cell r="AE29">
            <v>47700000</v>
          </cell>
        </row>
        <row r="30">
          <cell r="B30" t="str">
            <v>WJFVSM010</v>
          </cell>
          <cell r="D30">
            <v>8000</v>
          </cell>
          <cell r="AE30">
            <v>47700000</v>
          </cell>
        </row>
        <row r="31">
          <cell r="B31" t="str">
            <v>WJWVSM020</v>
          </cell>
          <cell r="D31">
            <v>8000</v>
          </cell>
          <cell r="AE31">
            <v>20700000</v>
          </cell>
        </row>
        <row r="32">
          <cell r="B32" t="str">
            <v>WJWVSM020</v>
          </cell>
          <cell r="D32">
            <v>8000</v>
          </cell>
          <cell r="AE32">
            <v>34500000</v>
          </cell>
        </row>
        <row r="33">
          <cell r="B33" t="str">
            <v>WJWVSM070</v>
          </cell>
          <cell r="D33">
            <v>8000</v>
          </cell>
          <cell r="AE33">
            <v>44700000</v>
          </cell>
        </row>
        <row r="34">
          <cell r="B34" t="str">
            <v>WJWVSM070</v>
          </cell>
          <cell r="D34">
            <v>8000</v>
          </cell>
          <cell r="AE34">
            <v>74500000</v>
          </cell>
        </row>
        <row r="35">
          <cell r="B35" t="str">
            <v>WJWVSM080</v>
          </cell>
          <cell r="D35">
            <v>8000</v>
          </cell>
          <cell r="AE35">
            <v>169800000</v>
          </cell>
        </row>
        <row r="36">
          <cell r="B36" t="str">
            <v>WJWVSM080</v>
          </cell>
          <cell r="D36">
            <v>8000</v>
          </cell>
          <cell r="AE36">
            <v>169800000</v>
          </cell>
        </row>
        <row r="37">
          <cell r="B37" t="str">
            <v>WJWDWM010</v>
          </cell>
          <cell r="D37">
            <v>8000</v>
          </cell>
          <cell r="AE37">
            <v>101700000</v>
          </cell>
        </row>
        <row r="38">
          <cell r="B38" t="str">
            <v>WJWDWM010</v>
          </cell>
          <cell r="D38">
            <v>8000</v>
          </cell>
          <cell r="AE38">
            <v>169500000</v>
          </cell>
        </row>
        <row r="39">
          <cell r="B39" t="str">
            <v>WJWDWM020</v>
          </cell>
          <cell r="D39">
            <v>8000</v>
          </cell>
          <cell r="AE39">
            <v>159600000</v>
          </cell>
        </row>
        <row r="40">
          <cell r="B40" t="str">
            <v>WJWDWM020</v>
          </cell>
          <cell r="D40">
            <v>8000</v>
          </cell>
          <cell r="AE40">
            <v>159600000</v>
          </cell>
        </row>
        <row r="41">
          <cell r="B41" t="str">
            <v>WJWDWM030</v>
          </cell>
          <cell r="D41">
            <v>8000</v>
          </cell>
          <cell r="AE41">
            <v>103600000</v>
          </cell>
        </row>
        <row r="42">
          <cell r="B42" t="str">
            <v>WJWDWM030</v>
          </cell>
          <cell r="D42">
            <v>8000</v>
          </cell>
          <cell r="AE42">
            <v>77700000</v>
          </cell>
        </row>
        <row r="43">
          <cell r="B43" t="str">
            <v>WJWDWM040</v>
          </cell>
          <cell r="D43">
            <v>8000</v>
          </cell>
          <cell r="AE43">
            <v>59700000</v>
          </cell>
        </row>
        <row r="44">
          <cell r="B44" t="str">
            <v>WJWDWM040</v>
          </cell>
          <cell r="D44">
            <v>8000</v>
          </cell>
          <cell r="AE44">
            <v>159200000</v>
          </cell>
        </row>
        <row r="45">
          <cell r="B45" t="str">
            <v>WJWDWM050</v>
          </cell>
          <cell r="D45">
            <v>8000</v>
          </cell>
          <cell r="AE45">
            <v>79600000</v>
          </cell>
        </row>
        <row r="46">
          <cell r="B46" t="str">
            <v>WJWDWM050</v>
          </cell>
          <cell r="D46">
            <v>8000</v>
          </cell>
          <cell r="AE46">
            <v>129060000</v>
          </cell>
        </row>
        <row r="47">
          <cell r="B47" t="str">
            <v>WJWDWM050</v>
          </cell>
          <cell r="D47">
            <v>8000</v>
          </cell>
          <cell r="AE47">
            <v>126670000</v>
          </cell>
        </row>
        <row r="48">
          <cell r="B48" t="str">
            <v>WJWDWM060</v>
          </cell>
          <cell r="D48">
            <v>8000</v>
          </cell>
          <cell r="AE48">
            <v>100380000</v>
          </cell>
        </row>
        <row r="49">
          <cell r="B49" t="str">
            <v>WJWDWM060</v>
          </cell>
          <cell r="D49">
            <v>8000</v>
          </cell>
          <cell r="AE49">
            <v>257400000</v>
          </cell>
        </row>
        <row r="50">
          <cell r="B50" t="str">
            <v>WJWDWM060</v>
          </cell>
          <cell r="D50">
            <v>8000</v>
          </cell>
          <cell r="AE50">
            <v>115830000</v>
          </cell>
        </row>
        <row r="51">
          <cell r="B51" t="str">
            <v>WJWGJM060</v>
          </cell>
          <cell r="D51">
            <v>8000</v>
          </cell>
          <cell r="AE51">
            <v>65670000</v>
          </cell>
        </row>
        <row r="52">
          <cell r="B52" t="str">
            <v>WJWGJM060</v>
          </cell>
          <cell r="D52">
            <v>8000</v>
          </cell>
          <cell r="AE52">
            <v>65670000</v>
          </cell>
        </row>
        <row r="53">
          <cell r="B53" t="str">
            <v>WJWGJM080</v>
          </cell>
          <cell r="D53">
            <v>8000</v>
          </cell>
          <cell r="AE53">
            <v>94500000</v>
          </cell>
        </row>
        <row r="54">
          <cell r="B54" t="str">
            <v>WJWGJM080</v>
          </cell>
          <cell r="D54">
            <v>8000</v>
          </cell>
          <cell r="AE54">
            <v>94500000</v>
          </cell>
        </row>
        <row r="55">
          <cell r="B55" t="str">
            <v>WJWJKM140</v>
          </cell>
          <cell r="D55">
            <v>8000</v>
          </cell>
          <cell r="AE55">
            <v>119600000</v>
          </cell>
        </row>
        <row r="56">
          <cell r="B56" t="str">
            <v>WJWJKM140</v>
          </cell>
          <cell r="D56">
            <v>8000</v>
          </cell>
          <cell r="AE56">
            <v>119600000</v>
          </cell>
        </row>
        <row r="57">
          <cell r="B57" t="str">
            <v>WJWJKM150</v>
          </cell>
          <cell r="D57">
            <v>8000</v>
          </cell>
          <cell r="AE57">
            <v>152490000</v>
          </cell>
        </row>
        <row r="58">
          <cell r="B58" t="str">
            <v>WJWJKM150</v>
          </cell>
          <cell r="D58">
            <v>8000</v>
          </cell>
          <cell r="AE58">
            <v>179400000</v>
          </cell>
        </row>
        <row r="59">
          <cell r="B59" t="str">
            <v>WJWJKM170</v>
          </cell>
          <cell r="D59">
            <v>8000</v>
          </cell>
          <cell r="AE59">
            <v>87150000</v>
          </cell>
        </row>
        <row r="60">
          <cell r="B60" t="str">
            <v>WJWJKM170</v>
          </cell>
          <cell r="D60">
            <v>8000</v>
          </cell>
          <cell r="AE60">
            <v>87150000</v>
          </cell>
        </row>
        <row r="61">
          <cell r="B61" t="str">
            <v>WJWJKM180</v>
          </cell>
          <cell r="D61">
            <v>8000</v>
          </cell>
          <cell r="AE61">
            <v>39750000</v>
          </cell>
        </row>
        <row r="62">
          <cell r="B62" t="str">
            <v>WJWJKM180</v>
          </cell>
          <cell r="D62">
            <v>8000</v>
          </cell>
          <cell r="AE62">
            <v>39750000</v>
          </cell>
        </row>
        <row r="63">
          <cell r="B63" t="str">
            <v>WJAJKM200</v>
          </cell>
          <cell r="D63" t="str">
            <v>EXPLORE</v>
          </cell>
          <cell r="AE63">
            <v>70965000</v>
          </cell>
        </row>
        <row r="64">
          <cell r="B64" t="str">
            <v>WJAJKM200</v>
          </cell>
          <cell r="D64" t="str">
            <v>EXPLORE</v>
          </cell>
          <cell r="AE64">
            <v>70965000</v>
          </cell>
        </row>
        <row r="65">
          <cell r="B65" t="str">
            <v>WJAJKM210</v>
          </cell>
          <cell r="D65" t="str">
            <v>EXPLORE</v>
          </cell>
          <cell r="AE65">
            <v>88560000</v>
          </cell>
        </row>
        <row r="66">
          <cell r="B66" t="str">
            <v>WJAJKM210</v>
          </cell>
          <cell r="D66" t="str">
            <v>EXPLORE</v>
          </cell>
          <cell r="AE66">
            <v>118080000</v>
          </cell>
        </row>
        <row r="67">
          <cell r="B67" t="str">
            <v>WJWDWM070</v>
          </cell>
          <cell r="D67" t="str">
            <v>EXPLORE</v>
          </cell>
          <cell r="AE67">
            <v>41700000</v>
          </cell>
        </row>
        <row r="68">
          <cell r="B68" t="str">
            <v>WJWDWM070</v>
          </cell>
          <cell r="D68" t="str">
            <v>EXPLORE</v>
          </cell>
          <cell r="AE68">
            <v>69500000</v>
          </cell>
        </row>
        <row r="69">
          <cell r="B69" t="str">
            <v>WJWDWM080</v>
          </cell>
          <cell r="D69" t="str">
            <v>EXPLORE</v>
          </cell>
          <cell r="AE69">
            <v>75600000</v>
          </cell>
        </row>
        <row r="70">
          <cell r="B70" t="str">
            <v>WJWDWM080</v>
          </cell>
          <cell r="D70" t="str">
            <v>EXPLORE</v>
          </cell>
          <cell r="AE70">
            <v>56700000</v>
          </cell>
        </row>
        <row r="71">
          <cell r="B71" t="str">
            <v>WJWJKM220</v>
          </cell>
          <cell r="D71" t="str">
            <v>EXPLORE</v>
          </cell>
          <cell r="AE71">
            <v>29800000</v>
          </cell>
        </row>
        <row r="72">
          <cell r="B72" t="str">
            <v>WJWJKM220</v>
          </cell>
          <cell r="D72" t="str">
            <v>EXPLORE</v>
          </cell>
          <cell r="AE72">
            <v>44700000</v>
          </cell>
        </row>
        <row r="73">
          <cell r="B73" t="str">
            <v>WJWJKM210</v>
          </cell>
          <cell r="D73" t="str">
            <v>EXPLORE</v>
          </cell>
          <cell r="AE73">
            <v>21800000</v>
          </cell>
        </row>
        <row r="74">
          <cell r="B74" t="str">
            <v>WJWJKM210</v>
          </cell>
          <cell r="D74" t="str">
            <v>EXPLORE</v>
          </cell>
          <cell r="AE74">
            <v>49750000</v>
          </cell>
        </row>
        <row r="75">
          <cell r="B75" t="str">
            <v>WJWVSM200</v>
          </cell>
          <cell r="D75" t="str">
            <v>EXPLORE</v>
          </cell>
          <cell r="AE75">
            <v>49750000</v>
          </cell>
        </row>
        <row r="76">
          <cell r="B76" t="str">
            <v>WJWVSM200</v>
          </cell>
          <cell r="D76" t="str">
            <v>EXPLORE</v>
          </cell>
          <cell r="AE76">
            <v>16800000</v>
          </cell>
        </row>
        <row r="77">
          <cell r="B77" t="str">
            <v>WJWVSM210</v>
          </cell>
          <cell r="D77" t="str">
            <v>EXPLORE</v>
          </cell>
          <cell r="AE77">
            <v>32250000</v>
          </cell>
        </row>
        <row r="78">
          <cell r="B78" t="str">
            <v>WJFJKM400</v>
          </cell>
          <cell r="D78" t="str">
            <v>WILD CROSS</v>
          </cell>
          <cell r="AE78">
            <v>32250000</v>
          </cell>
        </row>
        <row r="79">
          <cell r="B79" t="str">
            <v>WJFJKM400</v>
          </cell>
          <cell r="D79" t="str">
            <v>WILD CROSS</v>
          </cell>
          <cell r="AE79">
            <v>32700000</v>
          </cell>
        </row>
        <row r="80">
          <cell r="B80" t="str">
            <v>WJWJKM420</v>
          </cell>
          <cell r="D80" t="str">
            <v>WILD CROSS</v>
          </cell>
          <cell r="AE80">
            <v>21800000</v>
          </cell>
        </row>
        <row r="81">
          <cell r="B81" t="str">
            <v>WJWJKM420</v>
          </cell>
          <cell r="D81" t="str">
            <v>WILD CROSS</v>
          </cell>
          <cell r="AE81">
            <v>29700000</v>
          </cell>
        </row>
        <row r="82">
          <cell r="B82" t="str">
            <v>WJFTTM400</v>
          </cell>
          <cell r="D82" t="str">
            <v>WILD CROSS</v>
          </cell>
          <cell r="AE82">
            <v>43950000</v>
          </cell>
        </row>
        <row r="83">
          <cell r="B83" t="str">
            <v>WJFTTM420</v>
          </cell>
          <cell r="D83" t="str">
            <v>WILD CROSS</v>
          </cell>
          <cell r="AE83">
            <v>43950000</v>
          </cell>
        </row>
        <row r="84">
          <cell r="B84" t="str">
            <v>WJFTTM420</v>
          </cell>
          <cell r="D84" t="str">
            <v>WILD CROSS</v>
          </cell>
          <cell r="AE84">
            <v>20450000</v>
          </cell>
        </row>
        <row r="85">
          <cell r="B85" t="str">
            <v>WJWTTM440</v>
          </cell>
          <cell r="D85" t="str">
            <v>WILD CROSS</v>
          </cell>
          <cell r="AE85">
            <v>20450000</v>
          </cell>
        </row>
        <row r="86">
          <cell r="B86" t="str">
            <v>WJWTTM440</v>
          </cell>
          <cell r="D86" t="str">
            <v>WILD CROSS</v>
          </cell>
          <cell r="AE86">
            <v>49800000</v>
          </cell>
        </row>
        <row r="87">
          <cell r="B87" t="str">
            <v>WJWTPM400</v>
          </cell>
          <cell r="D87" t="str">
            <v>WILD CROSS</v>
          </cell>
          <cell r="AE87">
            <v>49800000</v>
          </cell>
        </row>
        <row r="88">
          <cell r="B88" t="str">
            <v>WJWJKI200</v>
          </cell>
          <cell r="D88" t="str">
            <v>EXPLORE</v>
          </cell>
          <cell r="AE88">
            <v>52220000</v>
          </cell>
        </row>
        <row r="89">
          <cell r="B89" t="str">
            <v>WJWJKI200</v>
          </cell>
          <cell r="D89" t="str">
            <v>EXPLORE</v>
          </cell>
          <cell r="AE89">
            <v>52220000</v>
          </cell>
        </row>
        <row r="90">
          <cell r="B90" t="str">
            <v>WJFPTI200</v>
          </cell>
          <cell r="D90" t="str">
            <v>EXPLORE</v>
          </cell>
          <cell r="AE90">
            <v>61530000</v>
          </cell>
        </row>
        <row r="91">
          <cell r="B91" t="str">
            <v>WJFPTI200</v>
          </cell>
          <cell r="D91" t="str">
            <v>EXPLORE</v>
          </cell>
          <cell r="AE91">
            <v>61530000</v>
          </cell>
        </row>
        <row r="92">
          <cell r="B92" t="str">
            <v>WJWJKI210</v>
          </cell>
          <cell r="D92" t="str">
            <v>EXPLORE</v>
          </cell>
          <cell r="AE92">
            <v>63181000</v>
          </cell>
        </row>
        <row r="93">
          <cell r="B93" t="str">
            <v>WJWJKI210</v>
          </cell>
          <cell r="D93" t="str">
            <v>EXPLORE</v>
          </cell>
          <cell r="AE93">
            <v>66010000</v>
          </cell>
        </row>
        <row r="94">
          <cell r="B94" t="str">
            <v>WJWDWI220</v>
          </cell>
          <cell r="D94" t="str">
            <v>EXPLORE</v>
          </cell>
          <cell r="AE94">
            <v>21910000</v>
          </cell>
        </row>
        <row r="95">
          <cell r="B95" t="str">
            <v>WJWDWI220</v>
          </cell>
          <cell r="D95" t="str">
            <v>EXPLORE</v>
          </cell>
          <cell r="AE95">
            <v>21910000</v>
          </cell>
        </row>
        <row r="96">
          <cell r="B96" t="str">
            <v>WJWJKI230</v>
          </cell>
          <cell r="D96" t="str">
            <v>EXPLORE</v>
          </cell>
          <cell r="AE96">
            <v>23730000</v>
          </cell>
        </row>
        <row r="97">
          <cell r="B97" t="str">
            <v>WJWJKI230</v>
          </cell>
          <cell r="D97" t="str">
            <v>EXPLORE</v>
          </cell>
          <cell r="AE97">
            <v>23730000</v>
          </cell>
        </row>
        <row r="98">
          <cell r="B98" t="str">
            <v>WJWJKI240</v>
          </cell>
          <cell r="D98" t="str">
            <v>EXPLORE</v>
          </cell>
          <cell r="AE98">
            <v>21840000</v>
          </cell>
        </row>
        <row r="99">
          <cell r="B99" t="str">
            <v>WJWJKI240</v>
          </cell>
          <cell r="D99" t="str">
            <v>EXPLORE</v>
          </cell>
          <cell r="AE99">
            <v>38220000</v>
          </cell>
        </row>
        <row r="100">
          <cell r="B100" t="str">
            <v>WJWJKI250</v>
          </cell>
          <cell r="D100" t="str">
            <v>EXPLORE</v>
          </cell>
          <cell r="AE100">
            <v>25130000</v>
          </cell>
        </row>
        <row r="101">
          <cell r="B101" t="str">
            <v>WJWJKI250</v>
          </cell>
          <cell r="D101" t="str">
            <v>EXPLORE</v>
          </cell>
          <cell r="AE101">
            <v>13040000</v>
          </cell>
        </row>
        <row r="102">
          <cell r="B102" t="str">
            <v>WJWJKI260</v>
          </cell>
          <cell r="D102" t="str">
            <v>EXPLORE</v>
          </cell>
          <cell r="AE102">
            <v>22820000</v>
          </cell>
        </row>
        <row r="103">
          <cell r="B103" t="str">
            <v>WJWJKI260</v>
          </cell>
          <cell r="D103" t="str">
            <v>EXPLORE</v>
          </cell>
          <cell r="AE103">
            <v>25590000</v>
          </cell>
        </row>
        <row r="104">
          <cell r="B104" t="str">
            <v>WJAWJI030</v>
          </cell>
          <cell r="D104">
            <v>8000</v>
          </cell>
          <cell r="AE104">
            <v>23490000</v>
          </cell>
        </row>
        <row r="105">
          <cell r="B105" t="str">
            <v>WJAWJI030</v>
          </cell>
          <cell r="D105">
            <v>8000</v>
          </cell>
          <cell r="AE105">
            <v>23490000</v>
          </cell>
        </row>
        <row r="106">
          <cell r="B106" t="str">
            <v>WJWWJI040</v>
          </cell>
          <cell r="D106">
            <v>8000</v>
          </cell>
          <cell r="AE106">
            <v>33600000</v>
          </cell>
        </row>
        <row r="107">
          <cell r="B107" t="str">
            <v>WJWFVI010</v>
          </cell>
          <cell r="D107">
            <v>8000</v>
          </cell>
          <cell r="AE107">
            <v>33600000</v>
          </cell>
        </row>
        <row r="108">
          <cell r="B108" t="str">
            <v>WJWFVI010</v>
          </cell>
          <cell r="D108">
            <v>8000</v>
          </cell>
          <cell r="AE108">
            <v>21800000</v>
          </cell>
        </row>
        <row r="109">
          <cell r="B109" t="str">
            <v>WJWDWI010</v>
          </cell>
          <cell r="D109" t="str">
            <v>DREAM LINE</v>
          </cell>
          <cell r="AE109">
            <v>65400000</v>
          </cell>
        </row>
        <row r="110">
          <cell r="B110" t="str">
            <v>WJWDWI020</v>
          </cell>
          <cell r="D110" t="str">
            <v>DREAM LINE</v>
          </cell>
          <cell r="AE110">
            <v>47600000</v>
          </cell>
        </row>
        <row r="111">
          <cell r="B111" t="str">
            <v>WJWDWI020</v>
          </cell>
          <cell r="D111" t="str">
            <v>DREAM LINE</v>
          </cell>
          <cell r="AE111">
            <v>47600000</v>
          </cell>
        </row>
        <row r="112">
          <cell r="B112" t="str">
            <v>WJATLM010</v>
          </cell>
          <cell r="D112" t="str">
            <v>DREAM LINE</v>
          </cell>
          <cell r="AE112">
            <v>9900000</v>
          </cell>
        </row>
        <row r="113">
          <cell r="B113" t="str">
            <v>WJATLM010</v>
          </cell>
          <cell r="D113" t="str">
            <v>DREAM LINE</v>
          </cell>
          <cell r="AE113">
            <v>9900000</v>
          </cell>
        </row>
        <row r="114">
          <cell r="B114" t="str">
            <v>WJATLM020</v>
          </cell>
          <cell r="D114" t="str">
            <v>DREAM LINE</v>
          </cell>
          <cell r="AE114">
            <v>9900000</v>
          </cell>
        </row>
        <row r="115">
          <cell r="B115" t="str">
            <v>WJATLM020</v>
          </cell>
          <cell r="D115" t="str">
            <v>DREAM LINE</v>
          </cell>
          <cell r="AE115">
            <v>9900000</v>
          </cell>
        </row>
        <row r="116">
          <cell r="B116" t="str">
            <v>WJFTLM010</v>
          </cell>
          <cell r="D116" t="str">
            <v>DREAM LINE</v>
          </cell>
          <cell r="AE116">
            <v>39600000</v>
          </cell>
        </row>
        <row r="117">
          <cell r="B117" t="str">
            <v>WJFTLM010</v>
          </cell>
          <cell r="D117" t="str">
            <v>DREAM LINE</v>
          </cell>
          <cell r="AE117">
            <v>39600000</v>
          </cell>
        </row>
        <row r="118">
          <cell r="B118" t="str">
            <v>WJFTLM020</v>
          </cell>
          <cell r="D118" t="str">
            <v>DREAM LINE</v>
          </cell>
          <cell r="AE118">
            <v>39600000</v>
          </cell>
        </row>
        <row r="119">
          <cell r="B119" t="str">
            <v>WJFTLM020</v>
          </cell>
          <cell r="D119" t="str">
            <v>DREAM LINE</v>
          </cell>
          <cell r="AE119">
            <v>19800000</v>
          </cell>
        </row>
        <row r="120">
          <cell r="B120" t="str">
            <v>WJWTLM010</v>
          </cell>
          <cell r="D120" t="str">
            <v>DREAM LINE</v>
          </cell>
          <cell r="AE120">
            <v>89400000</v>
          </cell>
        </row>
        <row r="121">
          <cell r="B121" t="str">
            <v>WJWTLM010</v>
          </cell>
          <cell r="D121" t="str">
            <v>DREAM LINE</v>
          </cell>
          <cell r="AE121">
            <v>89400000</v>
          </cell>
        </row>
        <row r="122">
          <cell r="B122" t="str">
            <v>WJWTLM020</v>
          </cell>
          <cell r="D122" t="str">
            <v>DREAM LINE</v>
          </cell>
          <cell r="AE122">
            <v>59600000</v>
          </cell>
        </row>
        <row r="123">
          <cell r="B123" t="str">
            <v>WJWTLM020</v>
          </cell>
          <cell r="D123" t="str">
            <v>DREAM LINE</v>
          </cell>
          <cell r="AE123">
            <v>21200000</v>
          </cell>
        </row>
        <row r="124">
          <cell r="B124" t="str">
            <v>WJWTLM030</v>
          </cell>
          <cell r="D124" t="str">
            <v>DREAM LINE</v>
          </cell>
          <cell r="AE124">
            <v>42400000</v>
          </cell>
        </row>
        <row r="125">
          <cell r="B125" t="str">
            <v>WJWTLM030</v>
          </cell>
          <cell r="D125" t="str">
            <v>DREAM LINE</v>
          </cell>
          <cell r="AE125">
            <v>21200000</v>
          </cell>
        </row>
        <row r="126">
          <cell r="B126" t="str">
            <v>WJWTLM030</v>
          </cell>
          <cell r="D126" t="str">
            <v>DREAM LINE</v>
          </cell>
          <cell r="AE126">
            <v>31600000</v>
          </cell>
        </row>
        <row r="127">
          <cell r="B127" t="str">
            <v>WJWTLM120</v>
          </cell>
          <cell r="D127" t="str">
            <v>DREAM LINE</v>
          </cell>
          <cell r="AE127">
            <v>31600000</v>
          </cell>
        </row>
        <row r="128">
          <cell r="B128" t="str">
            <v>WJWTLM120</v>
          </cell>
          <cell r="D128" t="str">
            <v>DREAM LINE</v>
          </cell>
          <cell r="AE128">
            <v>35600000</v>
          </cell>
        </row>
        <row r="129">
          <cell r="B129" t="str">
            <v>WJATSM091</v>
          </cell>
          <cell r="D129">
            <v>8000</v>
          </cell>
          <cell r="AE129">
            <v>35600000</v>
          </cell>
        </row>
        <row r="130">
          <cell r="B130" t="str">
            <v>WJATSM091</v>
          </cell>
          <cell r="D130">
            <v>8000</v>
          </cell>
          <cell r="AE130">
            <v>17800000</v>
          </cell>
        </row>
        <row r="131">
          <cell r="B131" t="str">
            <v>WJATLM030</v>
          </cell>
          <cell r="D131">
            <v>8000</v>
          </cell>
          <cell r="AE131">
            <v>30400000</v>
          </cell>
        </row>
        <row r="132">
          <cell r="B132" t="str">
            <v>WJATLM030</v>
          </cell>
          <cell r="D132">
            <v>8000</v>
          </cell>
          <cell r="AE132">
            <v>15200000</v>
          </cell>
        </row>
        <row r="133">
          <cell r="B133" t="str">
            <v>WJATLM030</v>
          </cell>
          <cell r="D133">
            <v>8000</v>
          </cell>
          <cell r="AE133">
            <v>19000000</v>
          </cell>
        </row>
        <row r="134">
          <cell r="B134" t="str">
            <v>WJATLM040</v>
          </cell>
          <cell r="D134">
            <v>8000</v>
          </cell>
          <cell r="AE134">
            <v>19000000</v>
          </cell>
        </row>
        <row r="135">
          <cell r="B135" t="str">
            <v>WJATLM040</v>
          </cell>
          <cell r="D135">
            <v>8000</v>
          </cell>
          <cell r="AE135">
            <v>27600000</v>
          </cell>
        </row>
        <row r="136">
          <cell r="B136" t="str">
            <v>WJATLM050</v>
          </cell>
          <cell r="D136">
            <v>8000</v>
          </cell>
          <cell r="AE136">
            <v>27600000</v>
          </cell>
        </row>
        <row r="137">
          <cell r="B137" t="str">
            <v>WJATLM050</v>
          </cell>
          <cell r="D137">
            <v>8000</v>
          </cell>
          <cell r="AE137">
            <v>16600000</v>
          </cell>
        </row>
        <row r="138">
          <cell r="B138" t="str">
            <v>WJATLM060</v>
          </cell>
          <cell r="D138">
            <v>8000</v>
          </cell>
          <cell r="AE138">
            <v>16600000</v>
          </cell>
        </row>
        <row r="139">
          <cell r="B139" t="str">
            <v>WJATLM060</v>
          </cell>
          <cell r="D139">
            <v>8000</v>
          </cell>
          <cell r="AE139">
            <v>57200000</v>
          </cell>
        </row>
        <row r="140">
          <cell r="B140" t="str">
            <v>WJATLM070</v>
          </cell>
          <cell r="D140">
            <v>8000</v>
          </cell>
          <cell r="AE140">
            <v>71500000</v>
          </cell>
        </row>
        <row r="141">
          <cell r="B141" t="str">
            <v>WJATLM070</v>
          </cell>
          <cell r="D141">
            <v>8000</v>
          </cell>
          <cell r="AE141">
            <v>85800000</v>
          </cell>
        </row>
        <row r="142">
          <cell r="B142" t="str">
            <v>WJFTLM030</v>
          </cell>
          <cell r="D142">
            <v>8000</v>
          </cell>
          <cell r="AE142">
            <v>66500000</v>
          </cell>
        </row>
        <row r="143">
          <cell r="B143" t="str">
            <v>WJFTLM030</v>
          </cell>
          <cell r="D143">
            <v>8000</v>
          </cell>
          <cell r="AE143">
            <v>39900000</v>
          </cell>
        </row>
        <row r="144">
          <cell r="B144" t="str">
            <v>WJWTLM040</v>
          </cell>
          <cell r="D144">
            <v>8000</v>
          </cell>
          <cell r="AE144">
            <v>47200000</v>
          </cell>
        </row>
        <row r="145">
          <cell r="B145" t="str">
            <v>WJWTLM040</v>
          </cell>
          <cell r="D145">
            <v>8000</v>
          </cell>
          <cell r="AE145">
            <v>35400000</v>
          </cell>
        </row>
        <row r="146">
          <cell r="B146" t="str">
            <v>WJWTLM040</v>
          </cell>
          <cell r="D146">
            <v>8000</v>
          </cell>
          <cell r="AE146">
            <v>23600000</v>
          </cell>
        </row>
        <row r="147">
          <cell r="B147" t="str">
            <v>WJWTLM050</v>
          </cell>
          <cell r="D147">
            <v>8000</v>
          </cell>
          <cell r="AE147">
            <v>29700000</v>
          </cell>
        </row>
        <row r="148">
          <cell r="B148" t="str">
            <v>WJWTLM050</v>
          </cell>
          <cell r="D148">
            <v>8000</v>
          </cell>
          <cell r="AE148">
            <v>59400000</v>
          </cell>
        </row>
        <row r="149">
          <cell r="B149" t="str">
            <v>WJWTLM060</v>
          </cell>
          <cell r="D149">
            <v>8000</v>
          </cell>
          <cell r="AE149">
            <v>39600000</v>
          </cell>
        </row>
        <row r="150">
          <cell r="B150" t="str">
            <v>WJWTLM060</v>
          </cell>
          <cell r="D150">
            <v>8000</v>
          </cell>
          <cell r="AE150">
            <v>26700000</v>
          </cell>
        </row>
        <row r="151">
          <cell r="B151" t="str">
            <v>WJWTLM060</v>
          </cell>
          <cell r="D151">
            <v>8000</v>
          </cell>
          <cell r="AE151">
            <v>26700000</v>
          </cell>
        </row>
        <row r="152">
          <cell r="B152" t="str">
            <v>WJWTLM070</v>
          </cell>
          <cell r="D152">
            <v>8000</v>
          </cell>
          <cell r="AE152">
            <v>41200000</v>
          </cell>
        </row>
        <row r="153">
          <cell r="B153" t="str">
            <v>WJWTLM070</v>
          </cell>
          <cell r="D153">
            <v>8000</v>
          </cell>
          <cell r="AE153">
            <v>41200000</v>
          </cell>
        </row>
        <row r="154">
          <cell r="B154" t="str">
            <v>WJWTLM070</v>
          </cell>
          <cell r="D154">
            <v>8000</v>
          </cell>
          <cell r="AE154">
            <v>23200000</v>
          </cell>
        </row>
        <row r="155">
          <cell r="B155" t="str">
            <v>WJWTLM080</v>
          </cell>
          <cell r="D155">
            <v>8000</v>
          </cell>
          <cell r="AE155">
            <v>46400000</v>
          </cell>
        </row>
        <row r="156">
          <cell r="B156" t="str">
            <v>WJWTLM080</v>
          </cell>
          <cell r="D156">
            <v>8000</v>
          </cell>
          <cell r="AE156">
            <v>40050000</v>
          </cell>
        </row>
        <row r="157">
          <cell r="B157" t="str">
            <v>WJWTLM090</v>
          </cell>
          <cell r="D157">
            <v>8000</v>
          </cell>
          <cell r="AE157">
            <v>40050000</v>
          </cell>
        </row>
        <row r="158">
          <cell r="B158" t="str">
            <v>WJWTLM090</v>
          </cell>
          <cell r="D158">
            <v>8000</v>
          </cell>
          <cell r="AE158">
            <v>23700000</v>
          </cell>
        </row>
        <row r="159">
          <cell r="B159" t="str">
            <v>WJWTLM100</v>
          </cell>
          <cell r="D159">
            <v>8000</v>
          </cell>
          <cell r="AE159">
            <v>23700000</v>
          </cell>
        </row>
        <row r="160">
          <cell r="B160" t="str">
            <v>WJWTLM100</v>
          </cell>
          <cell r="D160">
            <v>8000</v>
          </cell>
          <cell r="AE160">
            <v>66500000</v>
          </cell>
        </row>
        <row r="161">
          <cell r="B161" t="str">
            <v>WJWTLM110</v>
          </cell>
          <cell r="D161">
            <v>8000</v>
          </cell>
          <cell r="AE161">
            <v>39900000</v>
          </cell>
        </row>
        <row r="162">
          <cell r="B162" t="str">
            <v>WJWTLM110</v>
          </cell>
          <cell r="D162">
            <v>8000</v>
          </cell>
          <cell r="AE162">
            <v>35600000</v>
          </cell>
        </row>
        <row r="163">
          <cell r="B163" t="str">
            <v>WJATLM210</v>
          </cell>
          <cell r="D163" t="str">
            <v>EXPLORE</v>
          </cell>
          <cell r="AE163">
            <v>26700000</v>
          </cell>
        </row>
        <row r="164">
          <cell r="B164" t="str">
            <v>WJATLM210</v>
          </cell>
          <cell r="D164" t="str">
            <v>EXPLORE</v>
          </cell>
          <cell r="AE164">
            <v>17800000</v>
          </cell>
        </row>
        <row r="165">
          <cell r="B165" t="str">
            <v>WJFTLM210</v>
          </cell>
          <cell r="D165" t="str">
            <v>EXPLORE</v>
          </cell>
          <cell r="AE165">
            <v>23700000</v>
          </cell>
        </row>
        <row r="166">
          <cell r="B166" t="str">
            <v>WJFTLM210</v>
          </cell>
          <cell r="D166" t="str">
            <v>EXPLORE</v>
          </cell>
          <cell r="AE166">
            <v>23700000</v>
          </cell>
        </row>
        <row r="167">
          <cell r="B167" t="str">
            <v>WJFTLM220</v>
          </cell>
          <cell r="D167" t="str">
            <v>EXPLORE</v>
          </cell>
          <cell r="AE167">
            <v>33200000</v>
          </cell>
        </row>
        <row r="168">
          <cell r="B168" t="str">
            <v>WJFTLM220</v>
          </cell>
          <cell r="D168" t="str">
            <v>EXPLORE</v>
          </cell>
          <cell r="AE168">
            <v>24900000</v>
          </cell>
        </row>
        <row r="169">
          <cell r="B169" t="str">
            <v>WJFTLM220</v>
          </cell>
          <cell r="D169" t="str">
            <v>EXPLORE</v>
          </cell>
          <cell r="AE169">
            <v>29700000</v>
          </cell>
        </row>
        <row r="170">
          <cell r="B170" t="str">
            <v>WJFTLM240</v>
          </cell>
          <cell r="D170" t="str">
            <v>EXPLORE</v>
          </cell>
          <cell r="AE170">
            <v>29700000</v>
          </cell>
        </row>
        <row r="171">
          <cell r="B171" t="str">
            <v>WJFTLM240</v>
          </cell>
          <cell r="D171" t="str">
            <v>EXPLORE</v>
          </cell>
          <cell r="AE171">
            <v>43600000</v>
          </cell>
        </row>
        <row r="172">
          <cell r="B172" t="str">
            <v>WJWTLM210</v>
          </cell>
          <cell r="D172" t="str">
            <v>EXPLORE</v>
          </cell>
          <cell r="AE172">
            <v>32700000</v>
          </cell>
        </row>
        <row r="173">
          <cell r="B173" t="str">
            <v>WJWTLM210</v>
          </cell>
          <cell r="D173" t="str">
            <v>EXPLORE</v>
          </cell>
          <cell r="AE173">
            <v>34400000</v>
          </cell>
        </row>
        <row r="174">
          <cell r="B174" t="str">
            <v>WJWTLM220</v>
          </cell>
          <cell r="D174" t="str">
            <v>EXPLORE</v>
          </cell>
          <cell r="AE174">
            <v>34400000</v>
          </cell>
        </row>
        <row r="175">
          <cell r="B175" t="str">
            <v>WJWTLM220</v>
          </cell>
          <cell r="D175" t="str">
            <v>EXPLORE</v>
          </cell>
          <cell r="AE175">
            <v>24600000</v>
          </cell>
        </row>
        <row r="176">
          <cell r="B176" t="str">
            <v>WJWTLM230</v>
          </cell>
          <cell r="D176" t="str">
            <v>EXPLORE</v>
          </cell>
          <cell r="AE176">
            <v>24600000</v>
          </cell>
        </row>
        <row r="177">
          <cell r="B177" t="str">
            <v>WJWTLM230</v>
          </cell>
          <cell r="D177" t="str">
            <v>EXPLORE</v>
          </cell>
          <cell r="AE177">
            <v>30750000</v>
          </cell>
        </row>
        <row r="178">
          <cell r="B178" t="str">
            <v>WJWTLM240</v>
          </cell>
          <cell r="D178" t="str">
            <v>EXPLORE</v>
          </cell>
          <cell r="AE178">
            <v>28600000</v>
          </cell>
        </row>
        <row r="179">
          <cell r="B179" t="str">
            <v>WJWTLM240</v>
          </cell>
          <cell r="D179" t="str">
            <v>EXPLORE</v>
          </cell>
          <cell r="AE179">
            <v>19800000</v>
          </cell>
        </row>
        <row r="180">
          <cell r="B180" t="str">
            <v>WJWTLM250</v>
          </cell>
          <cell r="D180" t="str">
            <v>EXPLORE</v>
          </cell>
          <cell r="AE180">
            <v>22350000</v>
          </cell>
        </row>
        <row r="181">
          <cell r="B181" t="str">
            <v>WJWTLM250</v>
          </cell>
          <cell r="D181" t="str">
            <v>EXPLORE</v>
          </cell>
          <cell r="AE181">
            <v>29800000</v>
          </cell>
        </row>
        <row r="182">
          <cell r="B182" t="str">
            <v>WJFPTM010</v>
          </cell>
          <cell r="D182" t="str">
            <v>DREAM LINE</v>
          </cell>
          <cell r="AE182">
            <v>67600000</v>
          </cell>
        </row>
        <row r="183">
          <cell r="B183" t="str">
            <v>WJFPTM010</v>
          </cell>
          <cell r="D183" t="str">
            <v>DREAM LINE</v>
          </cell>
          <cell r="AE183">
            <v>33800000</v>
          </cell>
        </row>
        <row r="184">
          <cell r="B184" t="str">
            <v>WJFPTM020</v>
          </cell>
          <cell r="D184" t="str">
            <v>DREAM LINE</v>
          </cell>
          <cell r="AE184">
            <v>59600000</v>
          </cell>
        </row>
        <row r="185">
          <cell r="B185" t="str">
            <v>WJFPTM020</v>
          </cell>
          <cell r="D185" t="str">
            <v>DREAM LINE</v>
          </cell>
          <cell r="AE185">
            <v>29800000</v>
          </cell>
        </row>
        <row r="186">
          <cell r="B186" t="str">
            <v>WJFPTM030</v>
          </cell>
          <cell r="D186" t="str">
            <v>DREAM LINE</v>
          </cell>
          <cell r="AE186">
            <v>223200000</v>
          </cell>
        </row>
        <row r="187">
          <cell r="B187" t="str">
            <v>WJFPTM030</v>
          </cell>
          <cell r="D187" t="str">
            <v>DREAM LINE</v>
          </cell>
          <cell r="AE187">
            <v>111600000</v>
          </cell>
        </row>
        <row r="188">
          <cell r="B188" t="str">
            <v>WJWPTM010</v>
          </cell>
          <cell r="D188" t="str">
            <v>DREAM LINE</v>
          </cell>
          <cell r="AE188">
            <v>75600000</v>
          </cell>
        </row>
        <row r="189">
          <cell r="B189" t="str">
            <v>WJWPTM010</v>
          </cell>
          <cell r="D189" t="str">
            <v>DREAM LINE</v>
          </cell>
          <cell r="AE189">
            <v>56700000</v>
          </cell>
        </row>
        <row r="190">
          <cell r="B190" t="str">
            <v>WJWPTM020</v>
          </cell>
          <cell r="D190" t="str">
            <v>DREAM LINE</v>
          </cell>
          <cell r="AE190">
            <v>75600000</v>
          </cell>
        </row>
        <row r="191">
          <cell r="B191" t="str">
            <v>WJWPTM020</v>
          </cell>
          <cell r="D191" t="str">
            <v>DREAM LINE</v>
          </cell>
          <cell r="AE191">
            <v>37800000</v>
          </cell>
        </row>
        <row r="192">
          <cell r="B192" t="str">
            <v>WJWPTM030</v>
          </cell>
          <cell r="D192" t="str">
            <v>DREAM LINE</v>
          </cell>
          <cell r="AE192">
            <v>67600000</v>
          </cell>
        </row>
        <row r="193">
          <cell r="B193" t="str">
            <v>WJWPTM030</v>
          </cell>
          <cell r="D193" t="str">
            <v>DREAM LINE</v>
          </cell>
          <cell r="AE193">
            <v>33800000</v>
          </cell>
        </row>
        <row r="194">
          <cell r="B194" t="str">
            <v>WJWPTM080</v>
          </cell>
          <cell r="D194" t="str">
            <v>DREAM LINE</v>
          </cell>
          <cell r="AE194">
            <v>83400000</v>
          </cell>
        </row>
        <row r="195">
          <cell r="B195" t="str">
            <v>WJWPTM080</v>
          </cell>
          <cell r="D195" t="str">
            <v>DREAM LINE</v>
          </cell>
          <cell r="AE195">
            <v>55600000</v>
          </cell>
        </row>
        <row r="196">
          <cell r="B196" t="str">
            <v>WJFPTM040</v>
          </cell>
          <cell r="D196">
            <v>8000</v>
          </cell>
          <cell r="AE196">
            <v>13900000</v>
          </cell>
        </row>
        <row r="197">
          <cell r="B197" t="str">
            <v>WJFPTM040</v>
          </cell>
          <cell r="D197">
            <v>8000</v>
          </cell>
          <cell r="AE197">
            <v>83400000</v>
          </cell>
        </row>
        <row r="198">
          <cell r="B198" t="str">
            <v>WJFPTM040</v>
          </cell>
          <cell r="D198">
            <v>8000</v>
          </cell>
          <cell r="AE198">
            <v>27800000</v>
          </cell>
        </row>
        <row r="199">
          <cell r="B199" t="str">
            <v>WJFPTM050</v>
          </cell>
          <cell r="D199">
            <v>8000</v>
          </cell>
          <cell r="AE199">
            <v>191200000</v>
          </cell>
        </row>
        <row r="200">
          <cell r="B200" t="str">
            <v>WJFPTM050</v>
          </cell>
          <cell r="D200">
            <v>8000</v>
          </cell>
          <cell r="AE200">
            <v>59600000</v>
          </cell>
        </row>
        <row r="201">
          <cell r="B201" t="str">
            <v>WJFPTM060</v>
          </cell>
          <cell r="D201">
            <v>8000</v>
          </cell>
          <cell r="AE201">
            <v>22350000</v>
          </cell>
        </row>
        <row r="202">
          <cell r="B202" t="str">
            <v>WJFPTM060</v>
          </cell>
          <cell r="D202">
            <v>8000</v>
          </cell>
          <cell r="AE202">
            <v>14900000</v>
          </cell>
        </row>
        <row r="203">
          <cell r="B203" t="str">
            <v>WJWPTM040</v>
          </cell>
          <cell r="D203">
            <v>8000</v>
          </cell>
          <cell r="AE203">
            <v>59600000</v>
          </cell>
        </row>
        <row r="204">
          <cell r="B204" t="str">
            <v>WJWPTM050</v>
          </cell>
          <cell r="D204">
            <v>8000</v>
          </cell>
          <cell r="AE204">
            <v>74500000</v>
          </cell>
        </row>
        <row r="205">
          <cell r="B205" t="str">
            <v>WJWPTM050</v>
          </cell>
          <cell r="D205">
            <v>8000</v>
          </cell>
          <cell r="AE205">
            <v>59600000</v>
          </cell>
        </row>
        <row r="206">
          <cell r="B206" t="str">
            <v>WJWPTM050</v>
          </cell>
          <cell r="D206">
            <v>8000</v>
          </cell>
          <cell r="AE206">
            <v>14900000</v>
          </cell>
        </row>
        <row r="207">
          <cell r="B207" t="str">
            <v>WJWPTM060</v>
          </cell>
          <cell r="D207">
            <v>8000</v>
          </cell>
          <cell r="AE207">
            <v>47600000</v>
          </cell>
        </row>
        <row r="208">
          <cell r="B208" t="str">
            <v>WJWPTM060</v>
          </cell>
          <cell r="D208">
            <v>8000</v>
          </cell>
          <cell r="AE208">
            <v>47600000</v>
          </cell>
        </row>
        <row r="209">
          <cell r="B209" t="str">
            <v>WJWPTM060</v>
          </cell>
          <cell r="D209">
            <v>8000</v>
          </cell>
          <cell r="AE209">
            <v>23800000</v>
          </cell>
        </row>
        <row r="210">
          <cell r="B210" t="str">
            <v>WJWPTM070</v>
          </cell>
          <cell r="D210">
            <v>8000</v>
          </cell>
          <cell r="AE210">
            <v>47600000</v>
          </cell>
        </row>
        <row r="211">
          <cell r="B211" t="str">
            <v>WJWPTM070</v>
          </cell>
          <cell r="D211">
            <v>8000</v>
          </cell>
          <cell r="AE211">
            <v>47600000</v>
          </cell>
        </row>
        <row r="212">
          <cell r="B212" t="str">
            <v>WJWPTM070</v>
          </cell>
          <cell r="D212">
            <v>8000</v>
          </cell>
          <cell r="AE212">
            <v>24750000</v>
          </cell>
        </row>
        <row r="213">
          <cell r="B213" t="str">
            <v>WJFPTM200</v>
          </cell>
          <cell r="D213" t="str">
            <v>EXPLORE</v>
          </cell>
          <cell r="AE213">
            <v>24750000</v>
          </cell>
        </row>
        <row r="214">
          <cell r="B214" t="str">
            <v>WJFPTM200</v>
          </cell>
          <cell r="D214" t="str">
            <v>EXPLORE</v>
          </cell>
          <cell r="AE214">
            <v>51600000</v>
          </cell>
        </row>
        <row r="215">
          <cell r="B215" t="str">
            <v>WJFPTM210</v>
          </cell>
          <cell r="D215" t="str">
            <v>EXPLORE</v>
          </cell>
          <cell r="AE215">
            <v>25800000</v>
          </cell>
        </row>
        <row r="216">
          <cell r="B216" t="str">
            <v>WJFPTM210</v>
          </cell>
          <cell r="D216" t="str">
            <v>EXPLORE</v>
          </cell>
          <cell r="AE216">
            <v>29750000</v>
          </cell>
        </row>
        <row r="217">
          <cell r="B217" t="str">
            <v>WJFPTM220</v>
          </cell>
          <cell r="D217" t="str">
            <v>EXPLORE</v>
          </cell>
          <cell r="AE217">
            <v>32250000</v>
          </cell>
        </row>
        <row r="218">
          <cell r="B218" t="str">
            <v>WJFPTM220</v>
          </cell>
          <cell r="D218" t="str">
            <v>EXPLORE</v>
          </cell>
          <cell r="AE218">
            <v>50700000</v>
          </cell>
        </row>
        <row r="219">
          <cell r="B219" t="str">
            <v>WJFPTM230</v>
          </cell>
          <cell r="D219" t="str">
            <v>EXPLORE</v>
          </cell>
          <cell r="AE219">
            <v>55600000</v>
          </cell>
        </row>
        <row r="220">
          <cell r="B220" t="str">
            <v>WJWPTM200</v>
          </cell>
          <cell r="D220" t="str">
            <v>EXPLORE</v>
          </cell>
          <cell r="AE220">
            <v>55600000</v>
          </cell>
        </row>
        <row r="221">
          <cell r="B221" t="str">
            <v>WJWPTM210</v>
          </cell>
          <cell r="D221" t="str">
            <v>EXPLORE</v>
          </cell>
          <cell r="AE221">
            <v>27800000</v>
          </cell>
        </row>
        <row r="222">
          <cell r="B222" t="str">
            <v>WJWPTM220</v>
          </cell>
          <cell r="D222" t="str">
            <v>EXPLORE</v>
          </cell>
          <cell r="AE222">
            <v>32700000</v>
          </cell>
        </row>
        <row r="223">
          <cell r="B223" t="str">
            <v>WJWPTM220</v>
          </cell>
          <cell r="D223" t="str">
            <v>EXPLORE</v>
          </cell>
          <cell r="AE223">
            <v>21800000</v>
          </cell>
        </row>
        <row r="224">
          <cell r="B224" t="str">
            <v>WJWPTM220</v>
          </cell>
          <cell r="D224" t="str">
            <v>EXPLORE</v>
          </cell>
          <cell r="AE224">
            <v>50700000</v>
          </cell>
        </row>
        <row r="225">
          <cell r="B225" t="str">
            <v>WJWPTM230</v>
          </cell>
          <cell r="D225" t="str">
            <v>EXPLORE</v>
          </cell>
          <cell r="AE225">
            <v>41700000</v>
          </cell>
        </row>
        <row r="226">
          <cell r="B226" t="str">
            <v>WJWPTM230</v>
          </cell>
          <cell r="D226" t="str">
            <v>EXPLORE</v>
          </cell>
          <cell r="AE226">
            <v>71700000</v>
          </cell>
        </row>
        <row r="227">
          <cell r="B227" t="str">
            <v>WJFSTM010</v>
          </cell>
          <cell r="D227" t="str">
            <v>EXPLORE</v>
          </cell>
          <cell r="AE227">
            <v>74700000</v>
          </cell>
        </row>
        <row r="228">
          <cell r="B228" t="str">
            <v>WJFSTM010</v>
          </cell>
          <cell r="D228" t="str">
            <v>EXPLORE</v>
          </cell>
          <cell r="AE228">
            <v>24000000</v>
          </cell>
        </row>
        <row r="229">
          <cell r="B229" t="str">
            <v>WJFSTM020</v>
          </cell>
          <cell r="D229" t="str">
            <v>EXPLORE</v>
          </cell>
          <cell r="AE229">
            <v>24000000</v>
          </cell>
        </row>
        <row r="230">
          <cell r="B230" t="str">
            <v>WJFSTM020</v>
          </cell>
          <cell r="D230" t="str">
            <v>EXPLORE</v>
          </cell>
          <cell r="AE230">
            <v>13900000</v>
          </cell>
        </row>
        <row r="231">
          <cell r="B231" t="str">
            <v>WJWSTM010</v>
          </cell>
          <cell r="D231" t="str">
            <v>EXPLORE</v>
          </cell>
          <cell r="AE231">
            <v>13900000</v>
          </cell>
        </row>
        <row r="232">
          <cell r="B232" t="str">
            <v>WJWSTM010</v>
          </cell>
          <cell r="D232" t="str">
            <v>EXPLORE</v>
          </cell>
          <cell r="AE232">
            <v>31150000</v>
          </cell>
        </row>
        <row r="233">
          <cell r="B233" t="str">
            <v>WJWSTM020</v>
          </cell>
          <cell r="D233" t="str">
            <v>EXPLORE</v>
          </cell>
          <cell r="AE233">
            <v>26700000</v>
          </cell>
        </row>
        <row r="234">
          <cell r="B234" t="str">
            <v>WJWSTM020</v>
          </cell>
          <cell r="D234" t="str">
            <v>EXPLORE</v>
          </cell>
          <cell r="AE234">
            <v>31150000</v>
          </cell>
        </row>
        <row r="235">
          <cell r="B235" t="str">
            <v>WJWJKM500</v>
          </cell>
          <cell r="D235" t="str">
            <v>WILD CROSS</v>
          </cell>
          <cell r="AE235">
            <v>31150000</v>
          </cell>
        </row>
        <row r="236">
          <cell r="B236" t="str">
            <v>WJWJKM500</v>
          </cell>
          <cell r="D236" t="str">
            <v>WILD CROSS</v>
          </cell>
          <cell r="AE236">
            <v>38150000</v>
          </cell>
        </row>
        <row r="237">
          <cell r="B237" t="str">
            <v>WJFTTM500</v>
          </cell>
          <cell r="D237" t="str">
            <v>WILD CROSS</v>
          </cell>
          <cell r="AE237">
            <v>38150000</v>
          </cell>
        </row>
        <row r="238">
          <cell r="B238" t="str">
            <v>WJFTTM500</v>
          </cell>
          <cell r="D238" t="str">
            <v>WILD CROSS</v>
          </cell>
          <cell r="AE238">
            <v>23800000</v>
          </cell>
        </row>
        <row r="239">
          <cell r="B239" t="str">
            <v>WJFTTM510</v>
          </cell>
          <cell r="D239" t="str">
            <v>WILD CROSS</v>
          </cell>
          <cell r="AE239">
            <v>23800000</v>
          </cell>
        </row>
        <row r="240">
          <cell r="B240" t="str">
            <v>WJFTTM510</v>
          </cell>
          <cell r="D240" t="str">
            <v>WILD CROSS</v>
          </cell>
          <cell r="AE240">
            <v>9750000</v>
          </cell>
        </row>
        <row r="241">
          <cell r="B241" t="str">
            <v>WJWTPM500</v>
          </cell>
          <cell r="D241" t="str">
            <v>WILD CROSS</v>
          </cell>
          <cell r="AE241">
            <v>9750000</v>
          </cell>
        </row>
        <row r="242">
          <cell r="B242" t="str">
            <v>WJWTPM500</v>
          </cell>
          <cell r="D242" t="str">
            <v>WILD CROSS</v>
          </cell>
          <cell r="AE242">
            <v>8850000</v>
          </cell>
        </row>
        <row r="243">
          <cell r="B243" t="str">
            <v>WJFJKM300</v>
          </cell>
          <cell r="D243" t="str">
            <v>WILD CROSS</v>
          </cell>
          <cell r="AE243">
            <v>8850000</v>
          </cell>
        </row>
        <row r="244">
          <cell r="B244" t="str">
            <v>WJFJKM300</v>
          </cell>
          <cell r="D244" t="str">
            <v>WILD CROSS</v>
          </cell>
          <cell r="AE244">
            <v>19800000</v>
          </cell>
        </row>
        <row r="245">
          <cell r="B245" t="str">
            <v>WJFTTM300</v>
          </cell>
          <cell r="D245" t="str">
            <v>WILD CROSS</v>
          </cell>
          <cell r="AE245">
            <v>19800000</v>
          </cell>
        </row>
        <row r="246">
          <cell r="B246" t="str">
            <v>WJFTTM310</v>
          </cell>
          <cell r="D246" t="str">
            <v>WILD CROSS</v>
          </cell>
          <cell r="AE246">
            <v>31800000</v>
          </cell>
        </row>
        <row r="247">
          <cell r="B247" t="str">
            <v>WJFTTM310</v>
          </cell>
          <cell r="D247" t="str">
            <v>WILD CROSS</v>
          </cell>
          <cell r="AE247">
            <v>20670000</v>
          </cell>
        </row>
        <row r="248">
          <cell r="B248" t="str">
            <v>WJWTTM300</v>
          </cell>
          <cell r="D248" t="str">
            <v>WILD CROSS</v>
          </cell>
          <cell r="AE248">
            <v>21800000</v>
          </cell>
        </row>
        <row r="249">
          <cell r="B249" t="str">
            <v>WJFTPM300</v>
          </cell>
          <cell r="D249" t="str">
            <v>WILD CROSS</v>
          </cell>
          <cell r="AE249">
            <v>32250000</v>
          </cell>
        </row>
        <row r="250">
          <cell r="B250" t="str">
            <v>WJWTPM300</v>
          </cell>
          <cell r="D250" t="str">
            <v>WILD CROSS</v>
          </cell>
          <cell r="AE250">
            <v>32250000</v>
          </cell>
        </row>
        <row r="251">
          <cell r="B251" t="str">
            <v>WJABKM610</v>
          </cell>
          <cell r="D251" t="str">
            <v>DREAM</v>
          </cell>
          <cell r="AE251">
            <v>21800000</v>
          </cell>
        </row>
        <row r="252">
          <cell r="B252" t="str">
            <v>WJABKM610</v>
          </cell>
          <cell r="D252" t="str">
            <v>DREAM</v>
          </cell>
          <cell r="AE252">
            <v>32700000</v>
          </cell>
        </row>
        <row r="253">
          <cell r="B253" t="str">
            <v>WJABKM620</v>
          </cell>
          <cell r="D253" t="str">
            <v>DREAM</v>
          </cell>
          <cell r="AE253">
            <v>32700000</v>
          </cell>
        </row>
        <row r="254">
          <cell r="B254" t="str">
            <v>WJABKM620</v>
          </cell>
          <cell r="D254">
            <v>8000</v>
          </cell>
          <cell r="AE254">
            <v>18900000</v>
          </cell>
        </row>
        <row r="255">
          <cell r="B255" t="str">
            <v>WJABKM630</v>
          </cell>
          <cell r="D255">
            <v>8000</v>
          </cell>
          <cell r="AE255">
            <v>18900000</v>
          </cell>
        </row>
        <row r="256">
          <cell r="B256" t="str">
            <v>WJABKM630</v>
          </cell>
          <cell r="D256">
            <v>8000</v>
          </cell>
          <cell r="AE256">
            <v>44700000</v>
          </cell>
        </row>
        <row r="257">
          <cell r="B257" t="str">
            <v>WJABKM650</v>
          </cell>
          <cell r="D257">
            <v>8000</v>
          </cell>
          <cell r="AE257">
            <v>29800000</v>
          </cell>
        </row>
        <row r="258">
          <cell r="B258" t="str">
            <v>WJABKM650</v>
          </cell>
          <cell r="D258">
            <v>8000</v>
          </cell>
          <cell r="AE258">
            <v>20850000</v>
          </cell>
        </row>
        <row r="259">
          <cell r="B259" t="str">
            <v>WJABKM660</v>
          </cell>
          <cell r="D259">
            <v>8000</v>
          </cell>
          <cell r="AE259">
            <v>27800000</v>
          </cell>
        </row>
        <row r="260">
          <cell r="B260" t="str">
            <v>WJABKM660</v>
          </cell>
          <cell r="D260" t="str">
            <v>DREAM</v>
          </cell>
          <cell r="AE260">
            <v>11900000</v>
          </cell>
        </row>
        <row r="261">
          <cell r="B261" t="str">
            <v>WJABKM670</v>
          </cell>
          <cell r="D261">
            <v>8000</v>
          </cell>
          <cell r="AE261">
            <v>29750000</v>
          </cell>
        </row>
        <row r="262">
          <cell r="B262" t="str">
            <v>WJABKM670</v>
          </cell>
          <cell r="D262">
            <v>8000</v>
          </cell>
          <cell r="AE262">
            <v>25800000</v>
          </cell>
        </row>
        <row r="263">
          <cell r="B263" t="str">
            <v>WJABKM680</v>
          </cell>
          <cell r="D263">
            <v>8000</v>
          </cell>
          <cell r="AE263">
            <v>25800000</v>
          </cell>
        </row>
        <row r="264">
          <cell r="B264" t="str">
            <v>WJABKM680</v>
          </cell>
          <cell r="D264">
            <v>8000</v>
          </cell>
          <cell r="AE264">
            <v>16350000</v>
          </cell>
        </row>
        <row r="265">
          <cell r="B265" t="str">
            <v>WJABGM610</v>
          </cell>
          <cell r="D265">
            <v>8000</v>
          </cell>
          <cell r="AE265">
            <v>21800000</v>
          </cell>
        </row>
        <row r="266">
          <cell r="B266" t="str">
            <v>WJABGM610</v>
          </cell>
          <cell r="D266">
            <v>8000</v>
          </cell>
          <cell r="AE266">
            <v>14850000</v>
          </cell>
        </row>
        <row r="267">
          <cell r="B267" t="str">
            <v>WJABGM610</v>
          </cell>
          <cell r="D267">
            <v>8000</v>
          </cell>
          <cell r="AE267">
            <v>14850000</v>
          </cell>
        </row>
        <row r="268">
          <cell r="B268" t="str">
            <v>WJABGM620</v>
          </cell>
          <cell r="D268">
            <v>8000</v>
          </cell>
          <cell r="AE268">
            <v>4600000</v>
          </cell>
        </row>
        <row r="269">
          <cell r="B269" t="str">
            <v>WJABGM620</v>
          </cell>
          <cell r="D269">
            <v>8000</v>
          </cell>
          <cell r="AE269">
            <v>6900000</v>
          </cell>
        </row>
        <row r="270">
          <cell r="B270" t="str">
            <v>WJABGM630</v>
          </cell>
          <cell r="D270" t="str">
            <v>EXPLORE</v>
          </cell>
          <cell r="AE270">
            <v>11500000</v>
          </cell>
        </row>
        <row r="271">
          <cell r="B271" t="str">
            <v>WJABGM630</v>
          </cell>
          <cell r="D271" t="str">
            <v>EXPLORE</v>
          </cell>
          <cell r="AE271">
            <v>8600000</v>
          </cell>
        </row>
        <row r="272">
          <cell r="B272" t="str">
            <v>WJABGM640</v>
          </cell>
          <cell r="D272" t="str">
            <v>EXPLORE</v>
          </cell>
          <cell r="AE272">
            <v>8600000</v>
          </cell>
        </row>
        <row r="273">
          <cell r="B273" t="str">
            <v>WJABGM640</v>
          </cell>
          <cell r="D273" t="str">
            <v>EXPLORE</v>
          </cell>
          <cell r="AE273">
            <v>6450000</v>
          </cell>
        </row>
        <row r="274">
          <cell r="B274" t="str">
            <v>WJABGM650</v>
          </cell>
          <cell r="D274" t="str">
            <v>EXPLORE</v>
          </cell>
          <cell r="AE274">
            <v>8600000</v>
          </cell>
        </row>
        <row r="275">
          <cell r="B275" t="str">
            <v>WJABGM670</v>
          </cell>
          <cell r="D275" t="str">
            <v>EXPLORE</v>
          </cell>
          <cell r="AE275">
            <v>7800000</v>
          </cell>
        </row>
        <row r="276">
          <cell r="B276" t="str">
            <v>WJABGM670</v>
          </cell>
          <cell r="D276" t="str">
            <v>EXPLORE</v>
          </cell>
          <cell r="AE276">
            <v>5850000</v>
          </cell>
        </row>
        <row r="277">
          <cell r="B277" t="str">
            <v>WJABGM680</v>
          </cell>
          <cell r="D277" t="str">
            <v>EXPLORE</v>
          </cell>
          <cell r="AE277">
            <v>13800000</v>
          </cell>
        </row>
        <row r="278">
          <cell r="B278" t="str">
            <v>WJABGM680</v>
          </cell>
          <cell r="D278" t="str">
            <v>EXPLORE</v>
          </cell>
          <cell r="AE278">
            <v>10600000</v>
          </cell>
        </row>
        <row r="279">
          <cell r="B279" t="str">
            <v>WJFCPM610</v>
          </cell>
          <cell r="D279" t="str">
            <v>DREAM</v>
          </cell>
          <cell r="AE279">
            <v>8850000</v>
          </cell>
        </row>
        <row r="280">
          <cell r="B280" t="str">
            <v>WJFCPM610</v>
          </cell>
          <cell r="D280">
            <v>8000</v>
          </cell>
          <cell r="AE280">
            <v>3900000</v>
          </cell>
        </row>
        <row r="281">
          <cell r="B281" t="str">
            <v>WJFCPM620</v>
          </cell>
          <cell r="D281">
            <v>8000</v>
          </cell>
          <cell r="AE281">
            <v>7800000</v>
          </cell>
        </row>
        <row r="282">
          <cell r="B282" t="str">
            <v>WJFCPM620</v>
          </cell>
          <cell r="D282">
            <v>8000</v>
          </cell>
          <cell r="AE282">
            <v>10600000</v>
          </cell>
        </row>
        <row r="283">
          <cell r="B283" t="str">
            <v>WJFCPM630</v>
          </cell>
          <cell r="D283" t="str">
            <v>8000</v>
          </cell>
          <cell r="AE283">
            <v>7950000</v>
          </cell>
        </row>
        <row r="284">
          <cell r="B284" t="str">
            <v>WJFCPM630</v>
          </cell>
          <cell r="D284" t="str">
            <v>8000</v>
          </cell>
          <cell r="AE284">
            <v>7350000</v>
          </cell>
        </row>
        <row r="285">
          <cell r="B285" t="str">
            <v>WJFCPM640</v>
          </cell>
          <cell r="D285">
            <v>8000</v>
          </cell>
          <cell r="AE285">
            <v>14700000</v>
          </cell>
        </row>
        <row r="286">
          <cell r="B286" t="str">
            <v>WJFCPM640</v>
          </cell>
          <cell r="D286">
            <v>8000</v>
          </cell>
          <cell r="AE286">
            <v>6450000</v>
          </cell>
        </row>
        <row r="287">
          <cell r="B287" t="str">
            <v>WJFCPM650</v>
          </cell>
          <cell r="D287" t="str">
            <v>DREAM</v>
          </cell>
          <cell r="AE287">
            <v>10750000</v>
          </cell>
        </row>
        <row r="288">
          <cell r="B288" t="str">
            <v>WJFCPM660</v>
          </cell>
          <cell r="D288">
            <v>8000</v>
          </cell>
          <cell r="AE288">
            <v>2150000</v>
          </cell>
        </row>
        <row r="289">
          <cell r="B289" t="str">
            <v>WJFCPM670</v>
          </cell>
          <cell r="D289" t="str">
            <v>EXPLORE</v>
          </cell>
          <cell r="AE289">
            <v>12250000</v>
          </cell>
        </row>
        <row r="290">
          <cell r="B290" t="str">
            <v>WJFCPM680</v>
          </cell>
          <cell r="D290" t="str">
            <v>EXPLORE</v>
          </cell>
          <cell r="AE290">
            <v>12250000</v>
          </cell>
        </row>
        <row r="291">
          <cell r="B291" t="str">
            <v>WJFCPM690</v>
          </cell>
          <cell r="D291">
            <v>8000</v>
          </cell>
          <cell r="AE291">
            <v>10800000</v>
          </cell>
        </row>
        <row r="292">
          <cell r="B292" t="str">
            <v>WJFCPM690</v>
          </cell>
          <cell r="D292">
            <v>8000</v>
          </cell>
          <cell r="AE292">
            <v>10800000</v>
          </cell>
        </row>
        <row r="293">
          <cell r="B293" t="str">
            <v>WJFCPM700</v>
          </cell>
          <cell r="D293">
            <v>8000</v>
          </cell>
          <cell r="AE293">
            <v>10750000</v>
          </cell>
        </row>
        <row r="294">
          <cell r="B294" t="str">
            <v>WJFCPM710</v>
          </cell>
          <cell r="D294" t="str">
            <v>EXPLORE</v>
          </cell>
          <cell r="AE294">
            <v>10750000</v>
          </cell>
        </row>
        <row r="295">
          <cell r="B295" t="str">
            <v>WJFCPM710</v>
          </cell>
          <cell r="D295" t="str">
            <v>EXPLORE</v>
          </cell>
          <cell r="AE295">
            <v>5800000</v>
          </cell>
        </row>
        <row r="296">
          <cell r="B296" t="str">
            <v>WJWCPM720</v>
          </cell>
          <cell r="D296" t="str">
            <v>DREAM</v>
          </cell>
          <cell r="AE296">
            <v>2900000</v>
          </cell>
        </row>
        <row r="297">
          <cell r="B297" t="str">
            <v>WJWCPM720</v>
          </cell>
          <cell r="D297" t="str">
            <v>DREAM</v>
          </cell>
          <cell r="AE297">
            <v>5800000</v>
          </cell>
        </row>
        <row r="298">
          <cell r="B298" t="str">
            <v>WJWCPM730</v>
          </cell>
          <cell r="D298" t="str">
            <v>DREAM</v>
          </cell>
          <cell r="AE298">
            <v>8250000</v>
          </cell>
        </row>
        <row r="299">
          <cell r="B299" t="str">
            <v>WJWCPM730</v>
          </cell>
          <cell r="D299" t="str">
            <v>DREAM</v>
          </cell>
          <cell r="AE299">
            <v>8250000</v>
          </cell>
        </row>
        <row r="300">
          <cell r="B300" t="str">
            <v>WJWCPM760</v>
          </cell>
          <cell r="D300">
            <v>8000</v>
          </cell>
          <cell r="AE300">
            <v>2950000</v>
          </cell>
        </row>
        <row r="301">
          <cell r="B301" t="str">
            <v>WJWCPM760</v>
          </cell>
          <cell r="D301">
            <v>8000</v>
          </cell>
          <cell r="AE301">
            <v>5900000</v>
          </cell>
        </row>
        <row r="302">
          <cell r="B302" t="str">
            <v>WJWCPM770</v>
          </cell>
          <cell r="D302" t="str">
            <v>EXPLORE</v>
          </cell>
          <cell r="AE302">
            <v>13250000</v>
          </cell>
        </row>
        <row r="303">
          <cell r="B303" t="str">
            <v>WJWCPM770</v>
          </cell>
          <cell r="D303" t="str">
            <v>EXPLORE</v>
          </cell>
          <cell r="AE303">
            <v>7950000</v>
          </cell>
        </row>
        <row r="304">
          <cell r="B304" t="str">
            <v>WJWCPM780</v>
          </cell>
          <cell r="D304">
            <v>8000</v>
          </cell>
          <cell r="AE304">
            <v>5300000</v>
          </cell>
        </row>
        <row r="305">
          <cell r="B305" t="str">
            <v>WJWCPM790</v>
          </cell>
          <cell r="D305">
            <v>8000</v>
          </cell>
          <cell r="AE305">
            <v>7950000</v>
          </cell>
        </row>
        <row r="306">
          <cell r="B306" t="str">
            <v>WJWCPM790</v>
          </cell>
          <cell r="D306">
            <v>8000</v>
          </cell>
          <cell r="AE306">
            <v>4600000</v>
          </cell>
        </row>
        <row r="307">
          <cell r="B307" t="str">
            <v>WJWCPM800</v>
          </cell>
          <cell r="D307">
            <v>8000</v>
          </cell>
          <cell r="AE307">
            <v>6900000</v>
          </cell>
        </row>
        <row r="308">
          <cell r="B308" t="str">
            <v>WJWCPM800</v>
          </cell>
          <cell r="D308">
            <v>8000</v>
          </cell>
          <cell r="AE308">
            <v>14700000</v>
          </cell>
        </row>
        <row r="309">
          <cell r="B309" t="str">
            <v>WJWCPM800</v>
          </cell>
          <cell r="D309">
            <v>8000</v>
          </cell>
          <cell r="AE309">
            <v>9800000</v>
          </cell>
        </row>
        <row r="310">
          <cell r="B310" t="str">
            <v>WJWCPM810</v>
          </cell>
          <cell r="D310">
            <v>8000</v>
          </cell>
          <cell r="AE310">
            <v>2150000</v>
          </cell>
        </row>
        <row r="311">
          <cell r="B311" t="str">
            <v>WJWCPM810</v>
          </cell>
          <cell r="D311">
            <v>8000</v>
          </cell>
          <cell r="AE311">
            <v>8600000</v>
          </cell>
        </row>
        <row r="312">
          <cell r="B312" t="str">
            <v>WJWCPM810</v>
          </cell>
          <cell r="D312">
            <v>8000</v>
          </cell>
          <cell r="AE312">
            <v>9800000</v>
          </cell>
        </row>
        <row r="313">
          <cell r="B313" t="str">
            <v>WJWCPM820</v>
          </cell>
          <cell r="D313">
            <v>8000</v>
          </cell>
          <cell r="AE313">
            <v>4350000</v>
          </cell>
        </row>
        <row r="314">
          <cell r="B314" t="str">
            <v>WJWCPM820</v>
          </cell>
          <cell r="D314">
            <v>8000</v>
          </cell>
          <cell r="AE314">
            <v>2900000</v>
          </cell>
        </row>
        <row r="315">
          <cell r="B315" t="str">
            <v>WJWCPM820</v>
          </cell>
          <cell r="D315">
            <v>8000</v>
          </cell>
          <cell r="AE315">
            <v>7800000</v>
          </cell>
        </row>
        <row r="316">
          <cell r="B316" t="str">
            <v>WJWCPM820</v>
          </cell>
          <cell r="D316">
            <v>8000</v>
          </cell>
          <cell r="AE316">
            <v>7800000</v>
          </cell>
        </row>
        <row r="317">
          <cell r="B317" t="str">
            <v>WJWCPM840</v>
          </cell>
          <cell r="D317">
            <v>8000</v>
          </cell>
          <cell r="AE317">
            <v>15600000</v>
          </cell>
        </row>
        <row r="318">
          <cell r="B318" t="str">
            <v>WJWCPM850</v>
          </cell>
          <cell r="D318" t="str">
            <v>EXPLORE</v>
          </cell>
          <cell r="AE318">
            <v>9900000</v>
          </cell>
        </row>
        <row r="319">
          <cell r="B319" t="str">
            <v>WJWCPM850</v>
          </cell>
          <cell r="D319" t="str">
            <v>EXPLORE</v>
          </cell>
          <cell r="AE319">
            <v>3300000</v>
          </cell>
        </row>
        <row r="320">
          <cell r="B320" t="str">
            <v>WJWCPM860</v>
          </cell>
          <cell r="D320" t="str">
            <v>WILD CROSS</v>
          </cell>
          <cell r="AE320">
            <v>4950000</v>
          </cell>
        </row>
        <row r="321">
          <cell r="B321" t="str">
            <v>WJWCPI910</v>
          </cell>
          <cell r="D321">
            <v>8000</v>
          </cell>
          <cell r="AE321">
            <v>3450000</v>
          </cell>
        </row>
        <row r="322">
          <cell r="B322" t="str">
            <v>WJWCPI910</v>
          </cell>
          <cell r="D322">
            <v>8000</v>
          </cell>
          <cell r="AE322">
            <v>6900000</v>
          </cell>
        </row>
        <row r="323">
          <cell r="B323" t="str">
            <v>WJWCPI920</v>
          </cell>
          <cell r="D323">
            <v>8000</v>
          </cell>
          <cell r="AE323">
            <v>6900000</v>
          </cell>
        </row>
        <row r="324">
          <cell r="B324" t="str">
            <v>WJWCPI930</v>
          </cell>
          <cell r="D324">
            <v>8000</v>
          </cell>
          <cell r="AE324">
            <v>2300000</v>
          </cell>
        </row>
        <row r="325">
          <cell r="B325" t="str">
            <v>WJWCPI930</v>
          </cell>
          <cell r="D325">
            <v>8000</v>
          </cell>
          <cell r="AE325">
            <v>2400000</v>
          </cell>
        </row>
        <row r="326">
          <cell r="B326" t="str">
            <v>WJWCPI940</v>
          </cell>
          <cell r="D326">
            <v>8000</v>
          </cell>
          <cell r="AE326">
            <v>4950000</v>
          </cell>
        </row>
        <row r="327">
          <cell r="B327" t="str">
            <v>WJWCPI940</v>
          </cell>
          <cell r="D327">
            <v>8000</v>
          </cell>
          <cell r="AE327">
            <v>4950000</v>
          </cell>
        </row>
        <row r="328">
          <cell r="B328" t="str">
            <v>WJWCPI950</v>
          </cell>
          <cell r="D328" t="str">
            <v>DREAM</v>
          </cell>
          <cell r="AE328">
            <v>3300000</v>
          </cell>
        </row>
        <row r="329">
          <cell r="B329" t="str">
            <v>WJWCPI950</v>
          </cell>
          <cell r="D329" t="str">
            <v>DREAM</v>
          </cell>
          <cell r="AE329">
            <v>6900000</v>
          </cell>
        </row>
        <row r="330">
          <cell r="B330" t="str">
            <v>WJFGLM610</v>
          </cell>
          <cell r="D330">
            <v>8000</v>
          </cell>
          <cell r="AE330">
            <v>6900000</v>
          </cell>
        </row>
        <row r="331">
          <cell r="B331" t="str">
            <v>WJFGLM610</v>
          </cell>
          <cell r="D331">
            <v>8000</v>
          </cell>
          <cell r="AE331">
            <v>5520000</v>
          </cell>
        </row>
        <row r="332">
          <cell r="B332" t="str">
            <v>WJFGLM610</v>
          </cell>
          <cell r="D332">
            <v>8000</v>
          </cell>
          <cell r="AE332">
            <v>5040000</v>
          </cell>
        </row>
        <row r="333">
          <cell r="B333" t="str">
            <v>WJFGLM620</v>
          </cell>
          <cell r="D333">
            <v>8000</v>
          </cell>
          <cell r="AE333">
            <v>5040000</v>
          </cell>
        </row>
        <row r="334">
          <cell r="B334" t="str">
            <v>WJFGLM710</v>
          </cell>
          <cell r="D334">
            <v>8000</v>
          </cell>
          <cell r="AE334">
            <v>5040000</v>
          </cell>
        </row>
        <row r="335">
          <cell r="B335" t="str">
            <v>WJFGLM720</v>
          </cell>
          <cell r="D335" t="str">
            <v>EXPLORE</v>
          </cell>
          <cell r="AE335">
            <v>5040000</v>
          </cell>
        </row>
        <row r="336">
          <cell r="B336" t="str">
            <v>WJWGLM730</v>
          </cell>
          <cell r="D336" t="str">
            <v>EXPLORE</v>
          </cell>
          <cell r="AE336">
            <v>16600000</v>
          </cell>
        </row>
        <row r="337">
          <cell r="B337" t="str">
            <v>WJWGLM740</v>
          </cell>
          <cell r="D337" t="str">
            <v>DREAM</v>
          </cell>
          <cell r="AE337">
            <v>6640000</v>
          </cell>
        </row>
        <row r="338">
          <cell r="B338" t="str">
            <v>WJWGLM740</v>
          </cell>
          <cell r="D338" t="str">
            <v>DREAM</v>
          </cell>
          <cell r="AE338">
            <v>3600000</v>
          </cell>
        </row>
        <row r="339">
          <cell r="B339" t="str">
            <v>WJWGLM810</v>
          </cell>
          <cell r="D339">
            <v>8000</v>
          </cell>
          <cell r="AE339">
            <v>7200000</v>
          </cell>
        </row>
        <row r="340">
          <cell r="B340" t="str">
            <v>WJWGLM810</v>
          </cell>
          <cell r="D340">
            <v>8000</v>
          </cell>
          <cell r="AE340">
            <v>7200000</v>
          </cell>
        </row>
        <row r="341">
          <cell r="B341" t="str">
            <v>WJWGLM920</v>
          </cell>
          <cell r="D341" t="str">
            <v>DREAM</v>
          </cell>
          <cell r="AE341">
            <v>6600000</v>
          </cell>
        </row>
        <row r="342">
          <cell r="B342" t="str">
            <v>WJWGLM930</v>
          </cell>
          <cell r="D342">
            <v>8000</v>
          </cell>
          <cell r="AE342">
            <v>11700000</v>
          </cell>
        </row>
        <row r="343">
          <cell r="B343" t="str">
            <v>WJWGLM940</v>
          </cell>
          <cell r="D343">
            <v>8000</v>
          </cell>
          <cell r="AE343">
            <v>8600000</v>
          </cell>
        </row>
        <row r="344">
          <cell r="B344" t="str">
            <v>WJASOM610</v>
          </cell>
          <cell r="D344">
            <v>8000</v>
          </cell>
          <cell r="AE344">
            <v>8600000</v>
          </cell>
        </row>
        <row r="345">
          <cell r="B345" t="str">
            <v>WJASOM610</v>
          </cell>
          <cell r="D345">
            <v>8000</v>
          </cell>
          <cell r="AE345">
            <v>7800000</v>
          </cell>
        </row>
        <row r="346">
          <cell r="B346" t="str">
            <v>WJASOM620</v>
          </cell>
          <cell r="D346">
            <v>8000</v>
          </cell>
          <cell r="AE346">
            <v>5850000</v>
          </cell>
        </row>
        <row r="347">
          <cell r="B347" t="str">
            <v>WJASOM620</v>
          </cell>
          <cell r="D347">
            <v>8000</v>
          </cell>
          <cell r="AE347">
            <v>11700000</v>
          </cell>
        </row>
        <row r="348">
          <cell r="B348" t="str">
            <v>WJASOM630</v>
          </cell>
          <cell r="D348">
            <v>8000</v>
          </cell>
          <cell r="AE348">
            <v>7800000</v>
          </cell>
        </row>
        <row r="349">
          <cell r="B349" t="str">
            <v>WJASOM630</v>
          </cell>
          <cell r="D349">
            <v>8000</v>
          </cell>
          <cell r="AE349">
            <v>10600000</v>
          </cell>
        </row>
        <row r="350">
          <cell r="B350" t="str">
            <v>WJASOM640</v>
          </cell>
          <cell r="D350">
            <v>8000</v>
          </cell>
          <cell r="AE350">
            <v>9200000</v>
          </cell>
        </row>
        <row r="351">
          <cell r="B351" t="str">
            <v>WJASOM640</v>
          </cell>
          <cell r="D351">
            <v>8000</v>
          </cell>
          <cell r="AE351">
            <v>11800000</v>
          </cell>
        </row>
        <row r="352">
          <cell r="B352" t="str">
            <v>WJASOM650</v>
          </cell>
          <cell r="D352">
            <v>8000</v>
          </cell>
          <cell r="AE352">
            <v>2700000</v>
          </cell>
        </row>
        <row r="353">
          <cell r="B353" t="str">
            <v>WJASOM650</v>
          </cell>
          <cell r="D353">
            <v>8000</v>
          </cell>
          <cell r="AE353">
            <v>4500000</v>
          </cell>
        </row>
        <row r="354">
          <cell r="B354" t="str">
            <v>WJWUWM810</v>
          </cell>
          <cell r="D354">
            <v>8000</v>
          </cell>
          <cell r="AE354">
            <v>6500000</v>
          </cell>
        </row>
        <row r="355">
          <cell r="B355" t="str">
            <v>WJWUWM820</v>
          </cell>
          <cell r="D355">
            <v>8000</v>
          </cell>
          <cell r="AE355">
            <v>3900000</v>
          </cell>
        </row>
        <row r="356">
          <cell r="B356" t="str">
            <v>WJWUWM830</v>
          </cell>
          <cell r="D356">
            <v>8000</v>
          </cell>
          <cell r="AE356">
            <v>3900000</v>
          </cell>
        </row>
        <row r="357">
          <cell r="B357" t="str">
            <v>WJWSSM010</v>
          </cell>
          <cell r="D357">
            <v>8000</v>
          </cell>
          <cell r="AE357">
            <v>3900000</v>
          </cell>
        </row>
        <row r="358">
          <cell r="B358" t="str">
            <v>WJWSSM010</v>
          </cell>
          <cell r="D358">
            <v>8000</v>
          </cell>
          <cell r="AE358">
            <v>3900000</v>
          </cell>
        </row>
        <row r="359">
          <cell r="B359" t="str">
            <v>WJWSSM110</v>
          </cell>
          <cell r="D359">
            <v>8000</v>
          </cell>
          <cell r="AE359">
            <v>6500000</v>
          </cell>
        </row>
        <row r="360">
          <cell r="B360" t="str">
            <v>WJASOM650</v>
          </cell>
          <cell r="D360">
            <v>8000</v>
          </cell>
          <cell r="AE360">
            <v>4800000</v>
          </cell>
        </row>
        <row r="361">
          <cell r="B361" t="str">
            <v>WJASOM650</v>
          </cell>
          <cell r="D361">
            <v>8000</v>
          </cell>
          <cell r="AE361">
            <v>8000000</v>
          </cell>
        </row>
        <row r="362">
          <cell r="B362" t="str">
            <v>WJWSSM010</v>
          </cell>
          <cell r="D362">
            <v>8000</v>
          </cell>
          <cell r="AE362">
            <v>8800000</v>
          </cell>
        </row>
        <row r="363">
          <cell r="B363" t="str">
            <v>WJWSSM010</v>
          </cell>
          <cell r="D363">
            <v>8000</v>
          </cell>
          <cell r="AE363">
            <v>8800000</v>
          </cell>
        </row>
        <row r="364">
          <cell r="B364" t="str">
            <v>WJWSSM110</v>
          </cell>
          <cell r="D364">
            <v>8000</v>
          </cell>
          <cell r="AE364">
            <v>11700000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간분석"/>
      <sheetName val="복종별"/>
      <sheetName val="Color별"/>
      <sheetName val="Size별"/>
      <sheetName val="표"/>
      <sheetName val="참조"/>
      <sheetName val="1월18일"/>
      <sheetName val="2월2일"/>
      <sheetName val="Data"/>
      <sheetName val="2월1일"/>
      <sheetName val="1월25일"/>
      <sheetName val="9월28일"/>
      <sheetName val="10월5일"/>
      <sheetName val="10월12일"/>
      <sheetName val="10월19일"/>
      <sheetName val="10월26일"/>
      <sheetName val="11월2일"/>
      <sheetName val="11월9일"/>
      <sheetName val="11월16일"/>
      <sheetName val="11월23일"/>
      <sheetName val="11월30일"/>
      <sheetName val="12월7일"/>
      <sheetName val="12월14일"/>
      <sheetName val="12월21일"/>
      <sheetName val="12월28일"/>
      <sheetName val="1월4일"/>
      <sheetName val="1월11일"/>
      <sheetName val="2월4일"/>
      <sheetName val="세부아이템"/>
      <sheetName val="16ss 의류&amp;용품"/>
      <sheetName val="SUB"/>
      <sheetName val="ITEM"/>
      <sheetName val="ITEM구분"/>
      <sheetName val="아이템기준_260107"/>
      <sheetName val="매장정보_250107"/>
      <sheetName val="2004"/>
      <sheetName val="2005"/>
      <sheetName val="Sheet1"/>
    </sheetNames>
    <sheetDataSet>
      <sheetData sheetId="0">
        <row r="2">
          <cell r="C2" t="str">
            <v>Line</v>
          </cell>
        </row>
        <row r="6">
          <cell r="C6">
            <v>1</v>
          </cell>
        </row>
        <row r="7">
          <cell r="C7">
            <v>2</v>
          </cell>
        </row>
        <row r="8">
          <cell r="C8">
            <v>3</v>
          </cell>
        </row>
        <row r="9">
          <cell r="C9">
            <v>4</v>
          </cell>
        </row>
        <row r="10">
          <cell r="C10">
            <v>4</v>
          </cell>
        </row>
        <row r="12">
          <cell r="C12">
            <v>1</v>
          </cell>
        </row>
        <row r="13">
          <cell r="C13">
            <v>2</v>
          </cell>
        </row>
        <row r="28">
          <cell r="C28" t="str">
            <v>10월26일</v>
          </cell>
        </row>
        <row r="29">
          <cell r="B29" t="str">
            <v>입고량</v>
          </cell>
          <cell r="C29">
            <v>85601</v>
          </cell>
          <cell r="D29">
            <v>112631</v>
          </cell>
          <cell r="E29">
            <v>149116</v>
          </cell>
          <cell r="F29">
            <v>162808</v>
          </cell>
          <cell r="G29">
            <v>163970</v>
          </cell>
          <cell r="H29">
            <v>165563</v>
          </cell>
          <cell r="I29">
            <v>165563</v>
          </cell>
          <cell r="J29">
            <v>165317</v>
          </cell>
          <cell r="K29">
            <v>165317</v>
          </cell>
          <cell r="L29">
            <v>165317</v>
          </cell>
          <cell r="M29">
            <v>165317</v>
          </cell>
          <cell r="N29">
            <v>165317</v>
          </cell>
          <cell r="O29">
            <v>165317</v>
          </cell>
          <cell r="P29">
            <v>165317</v>
          </cell>
          <cell r="Q29">
            <v>165317</v>
          </cell>
          <cell r="R29">
            <v>165317</v>
          </cell>
        </row>
        <row r="30">
          <cell r="C30">
            <v>28832</v>
          </cell>
        </row>
        <row r="31">
          <cell r="C31">
            <v>281</v>
          </cell>
        </row>
        <row r="32">
          <cell r="C32">
            <v>56358</v>
          </cell>
        </row>
        <row r="33">
          <cell r="C33">
            <v>0.6583801591102908</v>
          </cell>
        </row>
        <row r="34">
          <cell r="C34">
            <v>126054</v>
          </cell>
        </row>
        <row r="35">
          <cell r="C35">
            <v>32050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우진 I.S"/>
      <sheetName val="금호 산업"/>
      <sheetName val="제일 합섬"/>
      <sheetName val="진성 실업"/>
      <sheetName val="RAW"/>
      <sheetName val="1월관리손익"/>
      <sheetName val="GRACE"/>
      <sheetName val="현금경비중역"/>
      <sheetName val="효성"/>
      <sheetName val="전체현황"/>
      <sheetName val="점별(추정)"/>
      <sheetName val="96 FW 기획, 진행 현황"/>
      <sheetName val="FORM-SM1"/>
      <sheetName val="업체별 현황"/>
      <sheetName val="***********************00"/>
      <sheetName val="17년"/>
      <sheetName val="18년"/>
      <sheetName val="19년"/>
      <sheetName val="19년 7월(천원)"/>
      <sheetName val="19년 7월(백만)"/>
      <sheetName val="19년 7월누계(천원)"/>
      <sheetName val="19년 7월누계(백만)"/>
      <sheetName val="요약손익"/>
      <sheetName val="MK"/>
      <sheetName val="공통"/>
      <sheetName val="TBJ"/>
      <sheetName val="ANDEW"/>
      <sheetName val="BKR"/>
      <sheetName val="NBA"/>
      <sheetName val="KIDS"/>
      <sheetName val="GOLF"/>
      <sheetName val="Sheet1"/>
      <sheetName val="1.매장계획"/>
      <sheetName val="표지"/>
      <sheetName val="국민년금전환금"/>
      <sheetName val="급여"/>
      <sheetName val="991231"/>
      <sheetName val="05jp"/>
      <sheetName val="직접인건비"/>
      <sheetName val="내역서(교량)전체"/>
      <sheetName val="직접경비"/>
      <sheetName val="DI-ESTI"/>
      <sheetName val="IBASE"/>
      <sheetName val="97사업"/>
      <sheetName val="부적합현황보고_보고용_"/>
      <sheetName val="T6-6(2)"/>
      <sheetName val="CANDOI_T"/>
      <sheetName val="CAN DOI ke toan"/>
      <sheetName val="Summary"/>
      <sheetName val="주간분석"/>
      <sheetName val="지성학원"/>
      <sheetName val="ILBAN"/>
      <sheetName val="재고AR"/>
      <sheetName val="목차"/>
      <sheetName val="정리"/>
      <sheetName val="진성_실업"/>
      <sheetName val="제일_합섬"/>
      <sheetName val="우진_I_S"/>
      <sheetName val="금호_산업"/>
      <sheetName val="우진_I_S1"/>
      <sheetName val="금호_산업1"/>
      <sheetName val="제일_합섬1"/>
      <sheetName val="진성_실업1"/>
      <sheetName val="업체별_현황"/>
      <sheetName val="P2-1"/>
      <sheetName val="Decision"/>
      <sheetName val="시산표(매출조정전)"/>
      <sheetName val="개인인사"/>
      <sheetName val="편집1"/>
      <sheetName val="경남"/>
      <sheetName val="경북"/>
      <sheetName val="우리사주배정내역"/>
      <sheetName val="중부"/>
      <sheetName val="일반관리비(선급보험료)-총무"/>
    </sheetNames>
    <sheetDataSet>
      <sheetData sheetId="0">
        <row r="24">
          <cell r="B24">
            <v>20000</v>
          </cell>
        </row>
      </sheetData>
      <sheetData sheetId="1" refreshError="1">
        <row r="1">
          <cell r="A1">
            <v>0</v>
          </cell>
        </row>
        <row r="24">
          <cell r="B24">
            <v>20000</v>
          </cell>
          <cell r="K24">
            <v>3</v>
          </cell>
          <cell r="AA24">
            <v>21141.538461538461</v>
          </cell>
          <cell r="AP24">
            <v>17975</v>
          </cell>
          <cell r="AR24">
            <v>749</v>
          </cell>
          <cell r="AS24">
            <v>66</v>
          </cell>
          <cell r="AT24">
            <v>0</v>
          </cell>
        </row>
      </sheetData>
      <sheetData sheetId="2" refreshError="1">
        <row r="1">
          <cell r="A1">
            <v>0</v>
          </cell>
        </row>
        <row r="13">
          <cell r="B13">
            <v>9300</v>
          </cell>
          <cell r="K13">
            <v>5</v>
          </cell>
          <cell r="AA13">
            <v>9359.9069482057621</v>
          </cell>
          <cell r="AP13">
            <v>9315</v>
          </cell>
          <cell r="AR13">
            <v>118</v>
          </cell>
          <cell r="AS13">
            <v>0</v>
          </cell>
          <cell r="AT13">
            <v>0</v>
          </cell>
        </row>
      </sheetData>
      <sheetData sheetId="3" refreshError="1">
        <row r="1">
          <cell r="A1">
            <v>0</v>
          </cell>
        </row>
        <row r="7">
          <cell r="B7">
            <v>4000</v>
          </cell>
          <cell r="K7">
            <v>1</v>
          </cell>
          <cell r="AA7">
            <v>4084.5</v>
          </cell>
          <cell r="AP7">
            <v>4040</v>
          </cell>
          <cell r="AR7">
            <v>0</v>
          </cell>
          <cell r="AS7">
            <v>0</v>
          </cell>
          <cell r="AT7">
            <v>0</v>
          </cell>
        </row>
      </sheetData>
      <sheetData sheetId="4" refreshError="1">
        <row r="1">
          <cell r="A1">
            <v>0</v>
          </cell>
        </row>
        <row r="11">
          <cell r="B11">
            <v>3208</v>
          </cell>
          <cell r="K11">
            <v>5</v>
          </cell>
          <cell r="AA11">
            <v>3089.1721439749613</v>
          </cell>
          <cell r="AP11">
            <v>2969</v>
          </cell>
          <cell r="AR11">
            <v>88</v>
          </cell>
          <cell r="AS11">
            <v>26</v>
          </cell>
          <cell r="AT1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">
          <cell r="B7">
            <v>0</v>
          </cell>
        </row>
      </sheetData>
      <sheetData sheetId="17">
        <row r="7">
          <cell r="B7">
            <v>0</v>
          </cell>
        </row>
      </sheetData>
      <sheetData sheetId="18">
        <row r="7">
          <cell r="B7">
            <v>0</v>
          </cell>
        </row>
      </sheetData>
      <sheetData sheetId="19">
        <row r="7">
          <cell r="B7">
            <v>0</v>
          </cell>
        </row>
      </sheetData>
      <sheetData sheetId="20">
        <row r="7">
          <cell r="B7">
            <v>0</v>
          </cell>
        </row>
      </sheetData>
      <sheetData sheetId="21">
        <row r="7">
          <cell r="B7">
            <v>0</v>
          </cell>
        </row>
      </sheetData>
      <sheetData sheetId="22">
        <row r="7">
          <cell r="B7">
            <v>0</v>
          </cell>
        </row>
      </sheetData>
      <sheetData sheetId="23">
        <row r="7">
          <cell r="B7">
            <v>0</v>
          </cell>
        </row>
      </sheetData>
      <sheetData sheetId="24">
        <row r="7">
          <cell r="B7">
            <v>0</v>
          </cell>
        </row>
      </sheetData>
      <sheetData sheetId="25">
        <row r="7">
          <cell r="B7">
            <v>0</v>
          </cell>
        </row>
      </sheetData>
      <sheetData sheetId="26">
        <row r="7">
          <cell r="B7">
            <v>0</v>
          </cell>
        </row>
      </sheetData>
      <sheetData sheetId="27">
        <row r="7">
          <cell r="B7">
            <v>0</v>
          </cell>
        </row>
      </sheetData>
      <sheetData sheetId="28">
        <row r="7">
          <cell r="B7">
            <v>0</v>
          </cell>
        </row>
      </sheetData>
      <sheetData sheetId="29">
        <row r="7">
          <cell r="B7">
            <v>0</v>
          </cell>
        </row>
      </sheetData>
      <sheetData sheetId="30">
        <row r="7">
          <cell r="B7">
            <v>0</v>
          </cell>
        </row>
      </sheetData>
      <sheetData sheetId="31">
        <row r="7">
          <cell r="B7">
            <v>0</v>
          </cell>
        </row>
      </sheetData>
      <sheetData sheetId="32">
        <row r="7">
          <cell r="B7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 FW 기획, 진행 현황"/>
      <sheetName val="가을"/>
      <sheetName val="겨울"/>
      <sheetName val="사계절"/>
      <sheetName val="가을+겨울+사계절"/>
      <sheetName val="완사입+핸드메이드"/>
      <sheetName val="사입, 핸드 메이드 LIST"/>
      <sheetName val="특판"/>
      <sheetName val="업체별 그래프"/>
      <sheetName val="복종별 비율(임가공)"/>
      <sheetName val="업체별"/>
      <sheetName val="임가공"/>
      <sheetName val="매출"/>
      <sheetName val="원가집계"/>
      <sheetName val="원가집계 (2)"/>
      <sheetName val="스타손A"/>
    </sheetNames>
    <sheetDataSet>
      <sheetData sheetId="0" refreshError="1">
        <row r="155">
          <cell r="A155">
            <v>1</v>
          </cell>
          <cell r="V155">
            <v>1367</v>
          </cell>
          <cell r="W155">
            <v>1255</v>
          </cell>
        </row>
        <row r="156">
          <cell r="A156">
            <v>1</v>
          </cell>
          <cell r="V156">
            <v>927</v>
          </cell>
          <cell r="W156">
            <v>925</v>
          </cell>
        </row>
        <row r="157">
          <cell r="A157">
            <v>1</v>
          </cell>
          <cell r="V157">
            <v>1023</v>
          </cell>
          <cell r="W157">
            <v>977</v>
          </cell>
        </row>
        <row r="158">
          <cell r="A158">
            <v>1</v>
          </cell>
          <cell r="V158">
            <v>1571</v>
          </cell>
          <cell r="W158">
            <v>1494</v>
          </cell>
        </row>
        <row r="159">
          <cell r="A159">
            <v>1</v>
          </cell>
          <cell r="V159">
            <v>1569</v>
          </cell>
          <cell r="W159">
            <v>1546</v>
          </cell>
        </row>
        <row r="226">
          <cell r="A226">
            <v>1</v>
          </cell>
          <cell r="V226">
            <v>1882</v>
          </cell>
          <cell r="W226">
            <v>2053</v>
          </cell>
        </row>
        <row r="227">
          <cell r="A227">
            <v>1</v>
          </cell>
          <cell r="V227">
            <v>2371</v>
          </cell>
          <cell r="W227">
            <v>2736</v>
          </cell>
        </row>
        <row r="228">
          <cell r="A228">
            <v>1</v>
          </cell>
          <cell r="V228">
            <v>2094</v>
          </cell>
          <cell r="W228">
            <v>1992</v>
          </cell>
        </row>
        <row r="229">
          <cell r="A229">
            <v>1</v>
          </cell>
          <cell r="V229">
            <v>869</v>
          </cell>
          <cell r="W229">
            <v>859</v>
          </cell>
        </row>
        <row r="230">
          <cell r="A230">
            <v>1</v>
          </cell>
          <cell r="V230">
            <v>1814</v>
          </cell>
          <cell r="W230">
            <v>2053</v>
          </cell>
        </row>
        <row r="231">
          <cell r="A231">
            <v>1</v>
          </cell>
          <cell r="V231">
            <v>2387</v>
          </cell>
          <cell r="W231">
            <v>2691</v>
          </cell>
        </row>
        <row r="232">
          <cell r="A232">
            <v>1</v>
          </cell>
          <cell r="V232">
            <v>2157</v>
          </cell>
          <cell r="W232">
            <v>2150</v>
          </cell>
        </row>
        <row r="233">
          <cell r="A233">
            <v>1</v>
          </cell>
          <cell r="V233">
            <v>1493</v>
          </cell>
          <cell r="W233">
            <v>1500</v>
          </cell>
        </row>
        <row r="234">
          <cell r="A234">
            <v>1</v>
          </cell>
          <cell r="V234">
            <v>1500</v>
          </cell>
          <cell r="W234">
            <v>1712</v>
          </cell>
        </row>
        <row r="235">
          <cell r="A235">
            <v>1</v>
          </cell>
          <cell r="V235">
            <v>1180</v>
          </cell>
          <cell r="W235">
            <v>1177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VS 07진행"/>
      <sheetName val="07VS08"/>
      <sheetName val="차순"/>
      <sheetName val="업체별실적"/>
      <sheetName val="카테고리입고"/>
      <sheetName val="디자인별"/>
      <sheetName val="스타일별"/>
      <sheetName val="칼라"/>
      <sheetName val="월별판매"/>
      <sheetName val="주간판매"/>
      <sheetName val="주간 판매 기초"/>
      <sheetName val="택 발주"/>
      <sheetName val="입출고"/>
      <sheetName val="카테고리"/>
      <sheetName val="all"/>
      <sheetName val="item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Q7">
            <v>3500</v>
          </cell>
        </row>
        <row r="8">
          <cell r="Q8">
            <v>4800</v>
          </cell>
        </row>
        <row r="9">
          <cell r="Q9">
            <v>1200</v>
          </cell>
        </row>
        <row r="10">
          <cell r="Q10">
            <v>1000</v>
          </cell>
        </row>
        <row r="11">
          <cell r="Q11">
            <v>1100</v>
          </cell>
        </row>
        <row r="12">
          <cell r="Q12">
            <v>1300</v>
          </cell>
        </row>
        <row r="13">
          <cell r="Q13">
            <v>900</v>
          </cell>
        </row>
        <row r="14">
          <cell r="Q14">
            <v>1200</v>
          </cell>
        </row>
        <row r="15">
          <cell r="Q15">
            <v>2200</v>
          </cell>
        </row>
        <row r="16">
          <cell r="Q16">
            <v>2000</v>
          </cell>
        </row>
        <row r="17">
          <cell r="Q17">
            <v>2200</v>
          </cell>
        </row>
        <row r="18">
          <cell r="Q18">
            <v>1400</v>
          </cell>
        </row>
        <row r="19">
          <cell r="Q19">
            <v>1500</v>
          </cell>
        </row>
        <row r="20">
          <cell r="Q20">
            <v>1200</v>
          </cell>
        </row>
        <row r="21">
          <cell r="Q21">
            <v>1400</v>
          </cell>
        </row>
        <row r="22">
          <cell r="Q22">
            <v>1100</v>
          </cell>
        </row>
        <row r="23">
          <cell r="Q23">
            <v>1000</v>
          </cell>
        </row>
        <row r="24">
          <cell r="Q24">
            <v>1100</v>
          </cell>
        </row>
        <row r="25">
          <cell r="Q25">
            <v>900</v>
          </cell>
        </row>
        <row r="26">
          <cell r="Q26">
            <v>900</v>
          </cell>
        </row>
        <row r="27">
          <cell r="Q27">
            <v>1100</v>
          </cell>
        </row>
        <row r="28">
          <cell r="Q28">
            <v>1200</v>
          </cell>
        </row>
        <row r="29">
          <cell r="Q29">
            <v>2300</v>
          </cell>
        </row>
        <row r="30">
          <cell r="Q30">
            <v>2100</v>
          </cell>
        </row>
        <row r="31">
          <cell r="Q31">
            <v>1100</v>
          </cell>
        </row>
        <row r="32">
          <cell r="Q32">
            <v>39700</v>
          </cell>
        </row>
        <row r="33">
          <cell r="Q33">
            <v>1600</v>
          </cell>
        </row>
        <row r="34">
          <cell r="Q34">
            <v>1400</v>
          </cell>
        </row>
        <row r="35">
          <cell r="Q35">
            <v>2300</v>
          </cell>
        </row>
        <row r="36">
          <cell r="Q36">
            <v>2700</v>
          </cell>
        </row>
        <row r="37">
          <cell r="Q37">
            <v>2000</v>
          </cell>
        </row>
        <row r="38">
          <cell r="Q38">
            <v>1500</v>
          </cell>
        </row>
        <row r="39">
          <cell r="Q39">
            <v>800</v>
          </cell>
        </row>
        <row r="40">
          <cell r="Q40">
            <v>2300</v>
          </cell>
        </row>
        <row r="41">
          <cell r="Q41">
            <v>2400</v>
          </cell>
        </row>
        <row r="42">
          <cell r="Q42">
            <v>2400</v>
          </cell>
        </row>
        <row r="43">
          <cell r="Q43">
            <v>1100</v>
          </cell>
        </row>
        <row r="44">
          <cell r="Q44">
            <v>1900</v>
          </cell>
        </row>
        <row r="45">
          <cell r="Q45">
            <v>2000</v>
          </cell>
        </row>
        <row r="46">
          <cell r="Q46">
            <v>2000</v>
          </cell>
        </row>
        <row r="47">
          <cell r="Q47">
            <v>2000</v>
          </cell>
        </row>
        <row r="48">
          <cell r="Q48">
            <v>1400</v>
          </cell>
        </row>
        <row r="49">
          <cell r="Q49">
            <v>1100</v>
          </cell>
        </row>
        <row r="50">
          <cell r="Q50">
            <v>1100</v>
          </cell>
        </row>
        <row r="51">
          <cell r="Q51">
            <v>1000</v>
          </cell>
        </row>
        <row r="52">
          <cell r="Q52">
            <v>1300</v>
          </cell>
        </row>
        <row r="53">
          <cell r="Q53">
            <v>34300</v>
          </cell>
        </row>
        <row r="54">
          <cell r="Q54">
            <v>1500</v>
          </cell>
        </row>
        <row r="55">
          <cell r="Q55">
            <v>1700</v>
          </cell>
        </row>
        <row r="56">
          <cell r="Q56">
            <v>2400</v>
          </cell>
        </row>
        <row r="57">
          <cell r="Q57">
            <v>1950</v>
          </cell>
        </row>
        <row r="58">
          <cell r="Q58">
            <v>2400</v>
          </cell>
        </row>
        <row r="59">
          <cell r="Q59">
            <v>2200</v>
          </cell>
        </row>
        <row r="60">
          <cell r="Q60">
            <v>1700</v>
          </cell>
        </row>
        <row r="61">
          <cell r="Q61">
            <v>2400</v>
          </cell>
        </row>
        <row r="62">
          <cell r="Q62">
            <v>2000</v>
          </cell>
        </row>
        <row r="63">
          <cell r="Q63">
            <v>1800</v>
          </cell>
        </row>
        <row r="64">
          <cell r="Q64">
            <v>1600</v>
          </cell>
        </row>
        <row r="65">
          <cell r="Q65">
            <v>21650</v>
          </cell>
        </row>
        <row r="66">
          <cell r="Q66">
            <v>2200</v>
          </cell>
        </row>
        <row r="67">
          <cell r="Q67">
            <v>1800</v>
          </cell>
        </row>
        <row r="68">
          <cell r="Q68">
            <v>2200</v>
          </cell>
        </row>
        <row r="69">
          <cell r="Q69">
            <v>2300</v>
          </cell>
        </row>
        <row r="70">
          <cell r="Q70">
            <v>2000</v>
          </cell>
        </row>
        <row r="71">
          <cell r="Q71">
            <v>2600</v>
          </cell>
        </row>
        <row r="72">
          <cell r="Q72">
            <v>2100</v>
          </cell>
        </row>
        <row r="73">
          <cell r="Q73">
            <v>2100</v>
          </cell>
        </row>
        <row r="74">
          <cell r="Q74">
            <v>2400</v>
          </cell>
        </row>
        <row r="75">
          <cell r="Q75">
            <v>1900</v>
          </cell>
        </row>
        <row r="76">
          <cell r="Q76">
            <v>1400</v>
          </cell>
        </row>
        <row r="77">
          <cell r="Q77">
            <v>1100</v>
          </cell>
        </row>
        <row r="78">
          <cell r="Q78">
            <v>24100</v>
          </cell>
        </row>
        <row r="82">
          <cell r="Q82" t="e">
            <v>#REF!</v>
          </cell>
        </row>
      </sheetData>
      <sheetData sheetId="7"/>
      <sheetData sheetId="8"/>
      <sheetData sheetId="9"/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</row>
        <row r="3">
          <cell r="A3" t="str">
            <v>TMITEM</v>
          </cell>
          <cell r="B3" t="str">
            <v xml:space="preserve">TMSTY1    </v>
          </cell>
          <cell r="C3" t="str">
            <v xml:space="preserve">TMSTY2    </v>
          </cell>
          <cell r="D3" t="str">
            <v xml:space="preserve">TMCOLR    </v>
          </cell>
          <cell r="E3" t="str">
            <v xml:space="preserve">TMSIZE    </v>
          </cell>
          <cell r="F3" t="str">
            <v xml:space="preserve">TMIBDT    </v>
          </cell>
          <cell r="G3" t="str">
            <v xml:space="preserve">TMCHDT    </v>
          </cell>
          <cell r="H3" t="str">
            <v xml:space="preserve">TMPMDT    </v>
          </cell>
          <cell r="I3" t="str">
            <v xml:space="preserve">TM11QT    </v>
          </cell>
          <cell r="J3" t="str">
            <v xml:space="preserve">TM12QT    </v>
          </cell>
          <cell r="K3" t="str">
            <v xml:space="preserve">TM13QT    </v>
          </cell>
          <cell r="L3" t="str">
            <v xml:space="preserve">TM14QT    </v>
          </cell>
          <cell r="M3" t="str">
            <v xml:space="preserve">TM15QT    </v>
          </cell>
          <cell r="N3" t="str">
            <v xml:space="preserve">TM11AM    </v>
          </cell>
          <cell r="O3" t="str">
            <v xml:space="preserve">TM12AM    </v>
          </cell>
          <cell r="P3" t="str">
            <v xml:space="preserve">TM13AM    </v>
          </cell>
          <cell r="Q3" t="str">
            <v xml:space="preserve">TM14AM    </v>
          </cell>
          <cell r="R3" t="str">
            <v xml:space="preserve">TM15AM    </v>
          </cell>
          <cell r="S3" t="str">
            <v xml:space="preserve">TMEVNT    </v>
          </cell>
          <cell r="T3" t="str">
            <v xml:space="preserve">TMCAOB    </v>
          </cell>
          <cell r="U3" t="str">
            <v xml:space="preserve">TM21QT    </v>
          </cell>
          <cell r="V3" t="str">
            <v xml:space="preserve">TM21AM    </v>
          </cell>
          <cell r="W3" t="str">
            <v xml:space="preserve">TM22QT    </v>
          </cell>
          <cell r="X3" t="str">
            <v xml:space="preserve">TM22AM    </v>
          </cell>
          <cell r="Y3" t="str">
            <v xml:space="preserve">TM23YQ    </v>
          </cell>
          <cell r="Z3" t="str">
            <v xml:space="preserve">TM23YA    </v>
          </cell>
          <cell r="AA3" t="str">
            <v xml:space="preserve">TM2312    </v>
          </cell>
          <cell r="AB3" t="str">
            <v xml:space="preserve">TM2349    </v>
          </cell>
          <cell r="AC3" t="str">
            <v xml:space="preserve">TMAAQT    </v>
          </cell>
          <cell r="AD3" t="str">
            <v xml:space="preserve">TMAAAM    </v>
          </cell>
          <cell r="AE3" t="str">
            <v xml:space="preserve">TMABQT    </v>
          </cell>
          <cell r="AF3" t="str">
            <v xml:space="preserve">TMABAM    </v>
          </cell>
          <cell r="AG3" t="str">
            <v xml:space="preserve">TMACQT    </v>
          </cell>
          <cell r="AH3" t="str">
            <v xml:space="preserve">TMACAM    </v>
          </cell>
          <cell r="AI3" t="str">
            <v xml:space="preserve">TMY0QT    </v>
          </cell>
          <cell r="AJ3" t="str">
            <v xml:space="preserve">TMY0AM    </v>
          </cell>
          <cell r="AK3" t="str">
            <v xml:space="preserve">TMZ0QT    </v>
          </cell>
          <cell r="AL3" t="str">
            <v xml:space="preserve">TMZ0AM    </v>
          </cell>
          <cell r="AM3" t="str">
            <v xml:space="preserve">TMSHQT    </v>
          </cell>
          <cell r="AN3" t="str">
            <v xml:space="preserve">TMSHAM    </v>
          </cell>
          <cell r="AO3" t="str">
            <v xml:space="preserve">TMMWON    </v>
          </cell>
          <cell r="AP3" t="str">
            <v xml:space="preserve">TMCWON    </v>
          </cell>
          <cell r="AQ3" t="str">
            <v xml:space="preserve">TMPWON    </v>
          </cell>
          <cell r="AR3" t="str">
            <v xml:space="preserve">TMKWON    </v>
          </cell>
          <cell r="AS3" t="str">
            <v xml:space="preserve">TM33YU    </v>
          </cell>
          <cell r="AT3" t="str">
            <v xml:space="preserve">TM33AM    </v>
          </cell>
          <cell r="AU3" t="str">
            <v xml:space="preserve">TM34YU    </v>
          </cell>
          <cell r="AV3" t="str">
            <v xml:space="preserve">TM34AM    </v>
          </cell>
          <cell r="AW3" t="str">
            <v xml:space="preserve">TM35YU    </v>
          </cell>
          <cell r="AX3" t="str">
            <v xml:space="preserve">TM35AM    </v>
          </cell>
          <cell r="AY3" t="str">
            <v xml:space="preserve">TM40YQ    </v>
          </cell>
          <cell r="AZ3" t="str">
            <v xml:space="preserve">TM40YA    </v>
          </cell>
          <cell r="BA3" t="str">
            <v xml:space="preserve">TM43QT    </v>
          </cell>
          <cell r="BB3" t="str">
            <v xml:space="preserve">TM44QT    </v>
          </cell>
          <cell r="BC3" t="str">
            <v xml:space="preserve">TM45QT    </v>
          </cell>
          <cell r="BD3" t="str">
            <v xml:space="preserve">TM46QT    </v>
          </cell>
          <cell r="BE3" t="str">
            <v xml:space="preserve">TM47QT    </v>
          </cell>
          <cell r="BF3" t="str">
            <v xml:space="preserve">TM48QT    </v>
          </cell>
          <cell r="BG3" t="str">
            <v xml:space="preserve">TMSTQT    </v>
          </cell>
          <cell r="BH3" t="str">
            <v xml:space="preserve">TMCOQT    </v>
          </cell>
          <cell r="BI3" t="str">
            <v xml:space="preserve">TM01MH    </v>
          </cell>
          <cell r="BJ3" t="str">
            <v xml:space="preserve">TM0101    </v>
          </cell>
          <cell r="BK3" t="str">
            <v xml:space="preserve">TM0102    </v>
          </cell>
          <cell r="BL3" t="str">
            <v xml:space="preserve">TM0103    </v>
          </cell>
          <cell r="BM3" t="str">
            <v xml:space="preserve">TM0104    </v>
          </cell>
          <cell r="BN3" t="str">
            <v xml:space="preserve">TM0105    </v>
          </cell>
          <cell r="BO3" t="str">
            <v xml:space="preserve">TM0106    </v>
          </cell>
          <cell r="BP3" t="str">
            <v xml:space="preserve">TM02MH    </v>
          </cell>
          <cell r="BQ3" t="str">
            <v xml:space="preserve">TM0201    </v>
          </cell>
          <cell r="BR3" t="str">
            <v xml:space="preserve">TM0202    </v>
          </cell>
          <cell r="BS3" t="str">
            <v xml:space="preserve">TM0203    </v>
          </cell>
          <cell r="BT3" t="str">
            <v xml:space="preserve">TM0204    </v>
          </cell>
          <cell r="BU3" t="str">
            <v xml:space="preserve">TM0205    </v>
          </cell>
          <cell r="BV3" t="str">
            <v xml:space="preserve">TM0206    </v>
          </cell>
          <cell r="BW3" t="str">
            <v xml:space="preserve">TM03MH    </v>
          </cell>
          <cell r="BX3" t="str">
            <v xml:space="preserve">TM0301    </v>
          </cell>
          <cell r="BY3" t="str">
            <v xml:space="preserve">TM0302    </v>
          </cell>
          <cell r="BZ3" t="str">
            <v xml:space="preserve">TM0303    </v>
          </cell>
          <cell r="CA3" t="str">
            <v xml:space="preserve">TM0304    </v>
          </cell>
          <cell r="CB3" t="str">
            <v xml:space="preserve">TM0305    </v>
          </cell>
          <cell r="CC3" t="str">
            <v xml:space="preserve">TM0306    </v>
          </cell>
          <cell r="CD3" t="str">
            <v xml:space="preserve">TM04MH    </v>
          </cell>
          <cell r="CE3" t="str">
            <v xml:space="preserve">TM0401    </v>
          </cell>
          <cell r="CF3" t="str">
            <v xml:space="preserve">TM0402    </v>
          </cell>
          <cell r="CG3" t="str">
            <v xml:space="preserve">TM0403    </v>
          </cell>
          <cell r="CH3" t="str">
            <v xml:space="preserve">TM0404    </v>
          </cell>
          <cell r="CI3" t="str">
            <v xml:space="preserve">TM0405    </v>
          </cell>
          <cell r="CJ3" t="str">
            <v xml:space="preserve">TM0406    </v>
          </cell>
          <cell r="CK3" t="str">
            <v xml:space="preserve">TM05MH    </v>
          </cell>
          <cell r="CL3" t="str">
            <v xml:space="preserve">TM0501    </v>
          </cell>
          <cell r="CM3" t="str">
            <v xml:space="preserve">TM0502    </v>
          </cell>
          <cell r="CN3" t="str">
            <v xml:space="preserve">TM0503    </v>
          </cell>
          <cell r="CO3" t="str">
            <v xml:space="preserve">TM0504    </v>
          </cell>
          <cell r="CP3" t="str">
            <v xml:space="preserve">TM0505    </v>
          </cell>
          <cell r="CQ3" t="str">
            <v xml:space="preserve">TM0506    </v>
          </cell>
          <cell r="CR3" t="str">
            <v xml:space="preserve">TM06MH    </v>
          </cell>
          <cell r="CS3" t="str">
            <v xml:space="preserve">TM0601    </v>
          </cell>
          <cell r="CT3" t="str">
            <v xml:space="preserve">TM0602    </v>
          </cell>
          <cell r="CU3" t="str">
            <v xml:space="preserve">TM0603    </v>
          </cell>
          <cell r="CV3" t="str">
            <v xml:space="preserve">TM0604    </v>
          </cell>
          <cell r="CW3" t="str">
            <v xml:space="preserve">TM0605    </v>
          </cell>
          <cell r="CX3" t="str">
            <v xml:space="preserve">TM0606    </v>
          </cell>
          <cell r="CY3" t="str">
            <v xml:space="preserve">TM07MH    </v>
          </cell>
          <cell r="CZ3" t="str">
            <v xml:space="preserve">TM0701    </v>
          </cell>
          <cell r="DA3" t="str">
            <v xml:space="preserve">TM0702    </v>
          </cell>
          <cell r="DB3" t="str">
            <v xml:space="preserve">TM0703    </v>
          </cell>
          <cell r="DC3" t="str">
            <v xml:space="preserve">TM0704    </v>
          </cell>
          <cell r="DD3" t="str">
            <v xml:space="preserve">TM0705    </v>
          </cell>
          <cell r="DE3" t="str">
            <v xml:space="preserve">TM0706    </v>
          </cell>
          <cell r="DF3" t="str">
            <v xml:space="preserve">TM08MH    </v>
          </cell>
          <cell r="DG3" t="str">
            <v xml:space="preserve">TM0801    </v>
          </cell>
          <cell r="DH3" t="str">
            <v xml:space="preserve">TM0802    </v>
          </cell>
          <cell r="DI3" t="str">
            <v xml:space="preserve">TM0803    </v>
          </cell>
          <cell r="DJ3" t="str">
            <v xml:space="preserve">TM0804    </v>
          </cell>
          <cell r="DK3" t="str">
            <v xml:space="preserve">TM0805    </v>
          </cell>
          <cell r="DL3" t="str">
            <v xml:space="preserve">TM0806    </v>
          </cell>
          <cell r="DM3" t="str">
            <v xml:space="preserve">TM09MH    </v>
          </cell>
          <cell r="DN3" t="str">
            <v xml:space="preserve">TM0901    </v>
          </cell>
          <cell r="DO3" t="str">
            <v xml:space="preserve">TM0902    </v>
          </cell>
          <cell r="DP3" t="str">
            <v xml:space="preserve">TM0903    </v>
          </cell>
          <cell r="DQ3" t="str">
            <v xml:space="preserve">TM0904    </v>
          </cell>
          <cell r="DR3" t="str">
            <v xml:space="preserve">TM0905    </v>
          </cell>
          <cell r="DS3" t="str">
            <v xml:space="preserve">TM0906    </v>
          </cell>
          <cell r="DT3" t="str">
            <v xml:space="preserve">TM10MH    </v>
          </cell>
          <cell r="DU3" t="str">
            <v xml:space="preserve">TM1001    </v>
          </cell>
          <cell r="DV3" t="str">
            <v xml:space="preserve">TM1002    </v>
          </cell>
          <cell r="DW3" t="str">
            <v xml:space="preserve">TM1003    </v>
          </cell>
          <cell r="DX3" t="str">
            <v xml:space="preserve">TM1004    </v>
          </cell>
          <cell r="DY3" t="str">
            <v xml:space="preserve">TM1005    </v>
          </cell>
          <cell r="DZ3" t="str">
            <v xml:space="preserve">TM1006    </v>
          </cell>
          <cell r="EA3" t="str">
            <v xml:space="preserve">TM11MH    </v>
          </cell>
          <cell r="EB3" t="str">
            <v xml:space="preserve">TM1101    </v>
          </cell>
          <cell r="EC3" t="str">
            <v xml:space="preserve">TM1102    </v>
          </cell>
          <cell r="ED3" t="str">
            <v xml:space="preserve">TM1103    </v>
          </cell>
          <cell r="EE3" t="str">
            <v xml:space="preserve">TM1104    </v>
          </cell>
          <cell r="EF3" t="str">
            <v xml:space="preserve">TM1105    </v>
          </cell>
          <cell r="EG3" t="str">
            <v xml:space="preserve">TM1106    </v>
          </cell>
          <cell r="EH3" t="str">
            <v xml:space="preserve">TM12MH    </v>
          </cell>
          <cell r="EI3" t="str">
            <v xml:space="preserve">TM1201    </v>
          </cell>
          <cell r="EJ3" t="str">
            <v xml:space="preserve">TM1202    </v>
          </cell>
          <cell r="EK3" t="str">
            <v xml:space="preserve">TM1203    </v>
          </cell>
          <cell r="EL3" t="str">
            <v xml:space="preserve">TM1204    </v>
          </cell>
          <cell r="EM3" t="str">
            <v xml:space="preserve">TM1205    </v>
          </cell>
          <cell r="EN3" t="str">
            <v xml:space="preserve">TM1206    </v>
          </cell>
          <cell r="EO3" t="str">
            <v xml:space="preserve">TMSTNM    </v>
          </cell>
        </row>
        <row r="4">
          <cell r="A4" t="str">
            <v>CN3AB6095139</v>
          </cell>
          <cell r="B4" t="str">
            <v>CN3</v>
          </cell>
          <cell r="C4" t="str">
            <v>AB6095</v>
          </cell>
          <cell r="D4">
            <v>139</v>
          </cell>
          <cell r="E4" t="str">
            <v xml:space="preserve">   </v>
          </cell>
          <cell r="F4">
            <v>80716</v>
          </cell>
          <cell r="G4">
            <v>80904</v>
          </cell>
          <cell r="H4">
            <v>0</v>
          </cell>
          <cell r="I4">
            <v>306</v>
          </cell>
          <cell r="J4">
            <v>303</v>
          </cell>
          <cell r="K4">
            <v>303</v>
          </cell>
          <cell r="L4">
            <v>70</v>
          </cell>
          <cell r="M4">
            <v>70</v>
          </cell>
          <cell r="N4">
            <v>2298366</v>
          </cell>
          <cell r="O4">
            <v>2635191</v>
          </cell>
          <cell r="P4">
            <v>2635191</v>
          </cell>
          <cell r="Q4">
            <v>608790</v>
          </cell>
          <cell r="R4">
            <v>2943377</v>
          </cell>
          <cell r="S4" t="str">
            <v xml:space="preserve"> </v>
          </cell>
          <cell r="T4" t="str">
            <v xml:space="preserve"> </v>
          </cell>
          <cell r="U4">
            <v>303</v>
          </cell>
          <cell r="V4">
            <v>2635191</v>
          </cell>
          <cell r="W4">
            <v>70</v>
          </cell>
          <cell r="X4">
            <v>608790</v>
          </cell>
          <cell r="Y4">
            <v>23.1</v>
          </cell>
          <cell r="Z4">
            <v>23.1</v>
          </cell>
          <cell r="AA4">
            <v>582699</v>
          </cell>
          <cell r="AB4">
            <v>26091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233</v>
          </cell>
          <cell r="AN4">
            <v>4148469</v>
          </cell>
          <cell r="AO4">
            <v>7511</v>
          </cell>
          <cell r="AP4">
            <v>8697</v>
          </cell>
          <cell r="AQ4">
            <v>48000</v>
          </cell>
          <cell r="AR4">
            <v>0</v>
          </cell>
          <cell r="AS4">
            <v>5.52</v>
          </cell>
          <cell r="AT4">
            <v>14544000</v>
          </cell>
          <cell r="AU4">
            <v>5.0199999999999996</v>
          </cell>
          <cell r="AV4">
            <v>2922800</v>
          </cell>
          <cell r="AW4">
            <v>0.79</v>
          </cell>
          <cell r="AX4">
            <v>20577</v>
          </cell>
          <cell r="AY4">
            <v>23.1</v>
          </cell>
          <cell r="AZ4">
            <v>0</v>
          </cell>
          <cell r="BA4">
            <v>67</v>
          </cell>
          <cell r="BB4">
            <v>3</v>
          </cell>
          <cell r="BC4">
            <v>68</v>
          </cell>
          <cell r="BD4">
            <v>2</v>
          </cell>
          <cell r="BE4">
            <v>0</v>
          </cell>
          <cell r="BF4">
            <v>15</v>
          </cell>
          <cell r="BG4">
            <v>1</v>
          </cell>
          <cell r="BH4">
            <v>1</v>
          </cell>
          <cell r="BI4">
            <v>11</v>
          </cell>
          <cell r="BJ4">
            <v>3</v>
          </cell>
          <cell r="BK4">
            <v>2</v>
          </cell>
          <cell r="BL4">
            <v>0</v>
          </cell>
          <cell r="BM4">
            <v>5</v>
          </cell>
          <cell r="BN4">
            <v>1</v>
          </cell>
          <cell r="BO4">
            <v>0</v>
          </cell>
          <cell r="BP4">
            <v>11</v>
          </cell>
          <cell r="BQ4">
            <v>0</v>
          </cell>
          <cell r="BR4">
            <v>3</v>
          </cell>
          <cell r="BS4">
            <v>3</v>
          </cell>
          <cell r="BT4">
            <v>3</v>
          </cell>
          <cell r="BU4">
            <v>2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2</v>
          </cell>
          <cell r="DN4">
            <v>1</v>
          </cell>
          <cell r="DO4">
            <v>1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12</v>
          </cell>
          <cell r="DU4">
            <v>0</v>
          </cell>
          <cell r="DV4">
            <v>4</v>
          </cell>
          <cell r="DW4">
            <v>5</v>
          </cell>
          <cell r="DX4">
            <v>4</v>
          </cell>
          <cell r="DY4">
            <v>-1</v>
          </cell>
          <cell r="DZ4">
            <v>0</v>
          </cell>
          <cell r="EA4">
            <v>18</v>
          </cell>
          <cell r="EB4">
            <v>3</v>
          </cell>
          <cell r="EC4">
            <v>4</v>
          </cell>
          <cell r="ED4">
            <v>3</v>
          </cell>
          <cell r="EE4">
            <v>2</v>
          </cell>
          <cell r="EF4">
            <v>6</v>
          </cell>
          <cell r="EG4">
            <v>0</v>
          </cell>
          <cell r="EH4">
            <v>16</v>
          </cell>
          <cell r="EI4">
            <v>-1</v>
          </cell>
          <cell r="EJ4">
            <v>6</v>
          </cell>
          <cell r="EK4">
            <v>3</v>
          </cell>
          <cell r="EL4">
            <v>5</v>
          </cell>
          <cell r="EM4">
            <v>3</v>
          </cell>
          <cell r="EN4">
            <v>0</v>
          </cell>
          <cell r="EO4" t="str">
            <v xml:space="preserve">CRATER MOUNTAIN 2 FULL ZIP                                  </v>
          </cell>
        </row>
        <row r="5">
          <cell r="A5" t="str">
            <v>CN3AB6095990</v>
          </cell>
          <cell r="B5" t="str">
            <v>CN3</v>
          </cell>
          <cell r="C5" t="str">
            <v>AB6095</v>
          </cell>
          <cell r="D5">
            <v>990</v>
          </cell>
          <cell r="E5" t="str">
            <v xml:space="preserve">   </v>
          </cell>
          <cell r="F5">
            <v>80716</v>
          </cell>
          <cell r="G5">
            <v>80901</v>
          </cell>
          <cell r="H5">
            <v>0</v>
          </cell>
          <cell r="I5">
            <v>306</v>
          </cell>
          <cell r="J5">
            <v>306</v>
          </cell>
          <cell r="K5">
            <v>306</v>
          </cell>
          <cell r="L5">
            <v>113</v>
          </cell>
          <cell r="M5">
            <v>113</v>
          </cell>
          <cell r="N5">
            <v>2298366</v>
          </cell>
          <cell r="O5">
            <v>2661282</v>
          </cell>
          <cell r="P5">
            <v>2661282</v>
          </cell>
          <cell r="Q5">
            <v>982761</v>
          </cell>
          <cell r="R5">
            <v>4856518</v>
          </cell>
          <cell r="S5" t="str">
            <v xml:space="preserve"> </v>
          </cell>
          <cell r="T5" t="str">
            <v xml:space="preserve"> </v>
          </cell>
          <cell r="U5">
            <v>306</v>
          </cell>
          <cell r="V5">
            <v>2661282</v>
          </cell>
          <cell r="W5">
            <v>113</v>
          </cell>
          <cell r="X5">
            <v>982761</v>
          </cell>
          <cell r="Y5">
            <v>36.93</v>
          </cell>
          <cell r="Z5">
            <v>36.93</v>
          </cell>
          <cell r="AA5">
            <v>965367</v>
          </cell>
          <cell r="AB5">
            <v>17394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193</v>
          </cell>
          <cell r="AN5">
            <v>3504891</v>
          </cell>
          <cell r="AO5">
            <v>7511</v>
          </cell>
          <cell r="AP5">
            <v>8697</v>
          </cell>
          <cell r="AQ5">
            <v>48000</v>
          </cell>
          <cell r="AR5">
            <v>0</v>
          </cell>
          <cell r="AS5">
            <v>5.52</v>
          </cell>
          <cell r="AT5">
            <v>14688000</v>
          </cell>
          <cell r="AU5">
            <v>5.0199999999999996</v>
          </cell>
          <cell r="AV5">
            <v>4842800</v>
          </cell>
          <cell r="AW5">
            <v>0.79</v>
          </cell>
          <cell r="AX5">
            <v>13718</v>
          </cell>
          <cell r="AY5">
            <v>36.93</v>
          </cell>
          <cell r="AZ5">
            <v>0</v>
          </cell>
          <cell r="BA5">
            <v>111</v>
          </cell>
          <cell r="BB5">
            <v>2</v>
          </cell>
          <cell r="BC5">
            <v>112</v>
          </cell>
          <cell r="BD5">
            <v>1</v>
          </cell>
          <cell r="BE5">
            <v>0</v>
          </cell>
          <cell r="BF5">
            <v>19</v>
          </cell>
          <cell r="BG5">
            <v>0</v>
          </cell>
          <cell r="BH5">
            <v>1</v>
          </cell>
          <cell r="BI5">
            <v>17</v>
          </cell>
          <cell r="BJ5">
            <v>5</v>
          </cell>
          <cell r="BK5">
            <v>1</v>
          </cell>
          <cell r="BL5">
            <v>3</v>
          </cell>
          <cell r="BM5">
            <v>4</v>
          </cell>
          <cell r="BN5">
            <v>4</v>
          </cell>
          <cell r="BO5">
            <v>0</v>
          </cell>
          <cell r="BP5">
            <v>17</v>
          </cell>
          <cell r="BQ5">
            <v>2</v>
          </cell>
          <cell r="BR5">
            <v>2</v>
          </cell>
          <cell r="BS5">
            <v>4</v>
          </cell>
          <cell r="BT5">
            <v>2</v>
          </cell>
          <cell r="BU5">
            <v>7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1</v>
          </cell>
          <cell r="DN5">
            <v>1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31</v>
          </cell>
          <cell r="DU5">
            <v>0</v>
          </cell>
          <cell r="DV5">
            <v>9</v>
          </cell>
          <cell r="DW5">
            <v>10</v>
          </cell>
          <cell r="DX5">
            <v>8</v>
          </cell>
          <cell r="DY5">
            <v>4</v>
          </cell>
          <cell r="DZ5">
            <v>0</v>
          </cell>
          <cell r="EA5">
            <v>31</v>
          </cell>
          <cell r="EB5">
            <v>5</v>
          </cell>
          <cell r="EC5">
            <v>9</v>
          </cell>
          <cell r="ED5">
            <v>5</v>
          </cell>
          <cell r="EE5">
            <v>7</v>
          </cell>
          <cell r="EF5">
            <v>5</v>
          </cell>
          <cell r="EG5">
            <v>0</v>
          </cell>
          <cell r="EH5">
            <v>16</v>
          </cell>
          <cell r="EI5">
            <v>3</v>
          </cell>
          <cell r="EJ5">
            <v>6</v>
          </cell>
          <cell r="EK5">
            <v>2</v>
          </cell>
          <cell r="EL5">
            <v>2</v>
          </cell>
          <cell r="EM5">
            <v>3</v>
          </cell>
          <cell r="EN5">
            <v>0</v>
          </cell>
          <cell r="EO5" t="str">
            <v xml:space="preserve">CRATER MOUNTAIN 2 FULL ZIP                                  </v>
          </cell>
        </row>
        <row r="6">
          <cell r="A6" t="str">
            <v>CN3AB6099066</v>
          </cell>
          <cell r="B6" t="str">
            <v>CN3</v>
          </cell>
          <cell r="C6" t="str">
            <v>AB6099</v>
          </cell>
          <cell r="D6">
            <v>66</v>
          </cell>
          <cell r="E6" t="str">
            <v xml:space="preserve">   </v>
          </cell>
          <cell r="F6">
            <v>80716</v>
          </cell>
          <cell r="G6">
            <v>81006</v>
          </cell>
          <cell r="H6">
            <v>0</v>
          </cell>
          <cell r="I6">
            <v>306</v>
          </cell>
          <cell r="J6">
            <v>298</v>
          </cell>
          <cell r="K6">
            <v>298</v>
          </cell>
          <cell r="L6">
            <v>18</v>
          </cell>
          <cell r="M6">
            <v>18</v>
          </cell>
          <cell r="N6">
            <v>1700748</v>
          </cell>
          <cell r="O6">
            <v>1832998</v>
          </cell>
          <cell r="P6">
            <v>1832998</v>
          </cell>
          <cell r="Q6">
            <v>110718</v>
          </cell>
          <cell r="R6">
            <v>523200</v>
          </cell>
          <cell r="S6" t="str">
            <v xml:space="preserve"> </v>
          </cell>
          <cell r="T6" t="str">
            <v xml:space="preserve"> </v>
          </cell>
          <cell r="U6">
            <v>298</v>
          </cell>
          <cell r="V6">
            <v>1832998</v>
          </cell>
          <cell r="W6">
            <v>18</v>
          </cell>
          <cell r="X6">
            <v>110718</v>
          </cell>
          <cell r="Y6">
            <v>7.72</v>
          </cell>
          <cell r="Z6">
            <v>9.4</v>
          </cell>
          <cell r="AA6">
            <v>110718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5</v>
          </cell>
          <cell r="AL6">
            <v>61510</v>
          </cell>
          <cell r="AM6">
            <v>275</v>
          </cell>
          <cell r="AN6">
            <v>3426107</v>
          </cell>
          <cell r="AO6">
            <v>5558</v>
          </cell>
          <cell r="AP6">
            <v>6151</v>
          </cell>
          <cell r="AQ6">
            <v>32000</v>
          </cell>
          <cell r="AR6">
            <v>0</v>
          </cell>
          <cell r="AS6">
            <v>5.2</v>
          </cell>
          <cell r="AT6">
            <v>9536000</v>
          </cell>
          <cell r="AU6">
            <v>4.7300000000000004</v>
          </cell>
          <cell r="AV6">
            <v>523200</v>
          </cell>
          <cell r="AW6">
            <v>0</v>
          </cell>
          <cell r="AX6">
            <v>0</v>
          </cell>
          <cell r="AY6">
            <v>7.72</v>
          </cell>
          <cell r="AZ6">
            <v>0</v>
          </cell>
          <cell r="BA6">
            <v>18</v>
          </cell>
          <cell r="BB6">
            <v>0</v>
          </cell>
          <cell r="BC6">
            <v>18</v>
          </cell>
          <cell r="BD6">
            <v>0</v>
          </cell>
          <cell r="BE6">
            <v>0</v>
          </cell>
          <cell r="BF6">
            <v>7</v>
          </cell>
          <cell r="BG6">
            <v>1</v>
          </cell>
          <cell r="BH6">
            <v>1</v>
          </cell>
          <cell r="BI6">
            <v>1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1</v>
          </cell>
          <cell r="BO6">
            <v>0</v>
          </cell>
          <cell r="BP6">
            <v>7</v>
          </cell>
          <cell r="BQ6">
            <v>1</v>
          </cell>
          <cell r="BR6">
            <v>1</v>
          </cell>
          <cell r="BS6">
            <v>1</v>
          </cell>
          <cell r="BT6">
            <v>1</v>
          </cell>
          <cell r="BU6">
            <v>3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4</v>
          </cell>
          <cell r="DU6">
            <v>0</v>
          </cell>
          <cell r="DV6">
            <v>2</v>
          </cell>
          <cell r="DW6">
            <v>1</v>
          </cell>
          <cell r="DX6">
            <v>1</v>
          </cell>
          <cell r="DY6">
            <v>0</v>
          </cell>
          <cell r="DZ6">
            <v>0</v>
          </cell>
          <cell r="EA6">
            <v>4</v>
          </cell>
          <cell r="EB6">
            <v>0</v>
          </cell>
          <cell r="EC6">
            <v>0</v>
          </cell>
          <cell r="ED6">
            <v>0</v>
          </cell>
          <cell r="EE6">
            <v>1</v>
          </cell>
          <cell r="EF6">
            <v>3</v>
          </cell>
          <cell r="EG6">
            <v>0</v>
          </cell>
          <cell r="EH6">
            <v>2</v>
          </cell>
          <cell r="EI6">
            <v>0</v>
          </cell>
          <cell r="EJ6">
            <v>1</v>
          </cell>
          <cell r="EK6">
            <v>0</v>
          </cell>
          <cell r="EL6">
            <v>1</v>
          </cell>
          <cell r="EM6">
            <v>0</v>
          </cell>
          <cell r="EN6">
            <v>0</v>
          </cell>
          <cell r="EO6" t="str">
            <v xml:space="preserve">KALYPSO 2 LONG SLEEVE TEE GRP                               </v>
          </cell>
        </row>
        <row r="7">
          <cell r="A7" t="str">
            <v>CN3AB6099801</v>
          </cell>
          <cell r="B7" t="str">
            <v>CN3</v>
          </cell>
          <cell r="C7" t="str">
            <v>AB6099</v>
          </cell>
          <cell r="D7">
            <v>801</v>
          </cell>
          <cell r="E7" t="str">
            <v xml:space="preserve">   </v>
          </cell>
          <cell r="F7">
            <v>80716</v>
          </cell>
          <cell r="G7">
            <v>81006</v>
          </cell>
          <cell r="H7">
            <v>0</v>
          </cell>
          <cell r="I7">
            <v>306</v>
          </cell>
          <cell r="J7">
            <v>305</v>
          </cell>
          <cell r="K7">
            <v>305</v>
          </cell>
          <cell r="L7">
            <v>11</v>
          </cell>
          <cell r="M7">
            <v>11</v>
          </cell>
          <cell r="N7">
            <v>1700748</v>
          </cell>
          <cell r="O7">
            <v>1876055</v>
          </cell>
          <cell r="P7">
            <v>1876055</v>
          </cell>
          <cell r="Q7">
            <v>67661</v>
          </cell>
          <cell r="R7">
            <v>302400</v>
          </cell>
          <cell r="S7" t="str">
            <v xml:space="preserve"> </v>
          </cell>
          <cell r="T7" t="str">
            <v xml:space="preserve"> </v>
          </cell>
          <cell r="U7">
            <v>305</v>
          </cell>
          <cell r="V7">
            <v>1876055</v>
          </cell>
          <cell r="W7">
            <v>11</v>
          </cell>
          <cell r="X7">
            <v>67661</v>
          </cell>
          <cell r="Y7">
            <v>3.61</v>
          </cell>
          <cell r="Z7">
            <v>3.61</v>
          </cell>
          <cell r="AA7">
            <v>67661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294</v>
          </cell>
          <cell r="AN7">
            <v>3635241</v>
          </cell>
          <cell r="AO7">
            <v>5558</v>
          </cell>
          <cell r="AP7">
            <v>6151</v>
          </cell>
          <cell r="AQ7">
            <v>32000</v>
          </cell>
          <cell r="AR7">
            <v>0</v>
          </cell>
          <cell r="AS7">
            <v>5.2</v>
          </cell>
          <cell r="AT7">
            <v>9760000</v>
          </cell>
          <cell r="AU7">
            <v>4.47</v>
          </cell>
          <cell r="AV7">
            <v>302400</v>
          </cell>
          <cell r="AW7">
            <v>0</v>
          </cell>
          <cell r="AX7">
            <v>0</v>
          </cell>
          <cell r="AY7">
            <v>3.61</v>
          </cell>
          <cell r="AZ7">
            <v>0</v>
          </cell>
          <cell r="BA7">
            <v>11</v>
          </cell>
          <cell r="BB7">
            <v>0</v>
          </cell>
          <cell r="BC7">
            <v>11</v>
          </cell>
          <cell r="BD7">
            <v>0</v>
          </cell>
          <cell r="BE7">
            <v>0</v>
          </cell>
          <cell r="BF7">
            <v>3</v>
          </cell>
          <cell r="BG7">
            <v>0</v>
          </cell>
          <cell r="BH7">
            <v>1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3</v>
          </cell>
          <cell r="BQ7">
            <v>0</v>
          </cell>
          <cell r="BR7">
            <v>0</v>
          </cell>
          <cell r="BS7">
            <v>2</v>
          </cell>
          <cell r="BT7">
            <v>1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5</v>
          </cell>
          <cell r="DU7">
            <v>0</v>
          </cell>
          <cell r="DV7">
            <v>3</v>
          </cell>
          <cell r="DW7">
            <v>1</v>
          </cell>
          <cell r="DX7">
            <v>1</v>
          </cell>
          <cell r="DY7">
            <v>0</v>
          </cell>
          <cell r="DZ7">
            <v>0</v>
          </cell>
          <cell r="EA7">
            <v>2</v>
          </cell>
          <cell r="EB7">
            <v>1</v>
          </cell>
          <cell r="EC7">
            <v>1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1</v>
          </cell>
          <cell r="EI7">
            <v>0</v>
          </cell>
          <cell r="EJ7">
            <v>0</v>
          </cell>
          <cell r="EK7">
            <v>0</v>
          </cell>
          <cell r="EL7">
            <v>1</v>
          </cell>
          <cell r="EM7">
            <v>0</v>
          </cell>
          <cell r="EN7">
            <v>0</v>
          </cell>
          <cell r="EO7" t="str">
            <v xml:space="preserve">KALYPSO 2 LONG SLEEVE TEE GRP                               </v>
          </cell>
        </row>
        <row r="8">
          <cell r="A8" t="str">
            <v>CN3EE6382007</v>
          </cell>
          <cell r="B8" t="str">
            <v>CN3</v>
          </cell>
          <cell r="C8" t="str">
            <v>EE6382</v>
          </cell>
          <cell r="D8">
            <v>7</v>
          </cell>
          <cell r="E8" t="str">
            <v xml:space="preserve">   </v>
          </cell>
          <cell r="F8">
            <v>80730</v>
          </cell>
          <cell r="G8">
            <v>80909</v>
          </cell>
          <cell r="H8">
            <v>0</v>
          </cell>
          <cell r="I8">
            <v>1002</v>
          </cell>
          <cell r="J8">
            <v>1002</v>
          </cell>
          <cell r="K8">
            <v>934</v>
          </cell>
          <cell r="L8">
            <v>411</v>
          </cell>
          <cell r="M8">
            <v>411</v>
          </cell>
          <cell r="N8">
            <v>11723400</v>
          </cell>
          <cell r="O8">
            <v>11799552</v>
          </cell>
          <cell r="P8">
            <v>10998784</v>
          </cell>
          <cell r="Q8">
            <v>4839936</v>
          </cell>
          <cell r="R8">
            <v>40473918</v>
          </cell>
          <cell r="S8" t="str">
            <v xml:space="preserve"> </v>
          </cell>
          <cell r="T8" t="str">
            <v xml:space="preserve"> </v>
          </cell>
          <cell r="U8">
            <v>1002</v>
          </cell>
          <cell r="V8">
            <v>11799552</v>
          </cell>
          <cell r="W8">
            <v>411</v>
          </cell>
          <cell r="X8">
            <v>4839936</v>
          </cell>
          <cell r="Y8">
            <v>40.92</v>
          </cell>
          <cell r="Z8">
            <v>40.82</v>
          </cell>
          <cell r="AA8">
            <v>4816384</v>
          </cell>
          <cell r="AB8">
            <v>23552</v>
          </cell>
          <cell r="AC8">
            <v>68</v>
          </cell>
          <cell r="AD8">
            <v>1636864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-1</v>
          </cell>
          <cell r="AL8">
            <v>-23552</v>
          </cell>
          <cell r="AM8">
            <v>524</v>
          </cell>
          <cell r="AN8">
            <v>12647424</v>
          </cell>
          <cell r="AO8">
            <v>11700</v>
          </cell>
          <cell r="AP8">
            <v>11776</v>
          </cell>
          <cell r="AQ8">
            <v>108000</v>
          </cell>
          <cell r="AR8">
            <v>0</v>
          </cell>
          <cell r="AS8">
            <v>9.17</v>
          </cell>
          <cell r="AT8">
            <v>108216000</v>
          </cell>
          <cell r="AU8">
            <v>8.4</v>
          </cell>
          <cell r="AV8">
            <v>40460200</v>
          </cell>
          <cell r="AW8">
            <v>0.57999999999999996</v>
          </cell>
          <cell r="AX8">
            <v>13718</v>
          </cell>
          <cell r="AY8">
            <v>40.92</v>
          </cell>
          <cell r="AZ8">
            <v>0</v>
          </cell>
          <cell r="BA8">
            <v>409</v>
          </cell>
          <cell r="BB8">
            <v>2</v>
          </cell>
          <cell r="BC8">
            <v>411</v>
          </cell>
          <cell r="BD8">
            <v>0</v>
          </cell>
          <cell r="BE8">
            <v>0</v>
          </cell>
          <cell r="BF8">
            <v>39</v>
          </cell>
          <cell r="BG8">
            <v>1</v>
          </cell>
          <cell r="BH8">
            <v>1</v>
          </cell>
          <cell r="BI8">
            <v>52</v>
          </cell>
          <cell r="BJ8">
            <v>5</v>
          </cell>
          <cell r="BK8">
            <v>17</v>
          </cell>
          <cell r="BL8">
            <v>9</v>
          </cell>
          <cell r="BM8">
            <v>13</v>
          </cell>
          <cell r="BN8">
            <v>8</v>
          </cell>
          <cell r="BO8">
            <v>0</v>
          </cell>
          <cell r="BP8">
            <v>29</v>
          </cell>
          <cell r="BQ8">
            <v>2</v>
          </cell>
          <cell r="BR8">
            <v>7</v>
          </cell>
          <cell r="BS8">
            <v>9</v>
          </cell>
          <cell r="BT8">
            <v>5</v>
          </cell>
          <cell r="BU8">
            <v>6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81</v>
          </cell>
          <cell r="DN8">
            <v>0</v>
          </cell>
          <cell r="DO8">
            <v>12</v>
          </cell>
          <cell r="DP8">
            <v>10</v>
          </cell>
          <cell r="DQ8">
            <v>56</v>
          </cell>
          <cell r="DR8">
            <v>3</v>
          </cell>
          <cell r="DS8">
            <v>0</v>
          </cell>
          <cell r="DT8">
            <v>128</v>
          </cell>
          <cell r="DU8">
            <v>21</v>
          </cell>
          <cell r="DV8">
            <v>20</v>
          </cell>
          <cell r="DW8">
            <v>24</v>
          </cell>
          <cell r="DX8">
            <v>54</v>
          </cell>
          <cell r="DY8">
            <v>9</v>
          </cell>
          <cell r="DZ8">
            <v>0</v>
          </cell>
          <cell r="EA8">
            <v>76</v>
          </cell>
          <cell r="EB8">
            <v>14</v>
          </cell>
          <cell r="EC8">
            <v>31</v>
          </cell>
          <cell r="ED8">
            <v>16</v>
          </cell>
          <cell r="EE8">
            <v>8</v>
          </cell>
          <cell r="EF8">
            <v>7</v>
          </cell>
          <cell r="EG8">
            <v>0</v>
          </cell>
          <cell r="EH8">
            <v>45</v>
          </cell>
          <cell r="EI8">
            <v>8</v>
          </cell>
          <cell r="EJ8">
            <v>15</v>
          </cell>
          <cell r="EK8">
            <v>8</v>
          </cell>
          <cell r="EL8">
            <v>9</v>
          </cell>
          <cell r="EM8">
            <v>5</v>
          </cell>
          <cell r="EN8">
            <v>0</v>
          </cell>
          <cell r="EO8" t="str">
            <v xml:space="preserve">VOLTAGE 2 FULL ZIP                                          </v>
          </cell>
        </row>
        <row r="9">
          <cell r="A9" t="str">
            <v>CN3EE6382221</v>
          </cell>
          <cell r="B9" t="str">
            <v>CN3</v>
          </cell>
          <cell r="C9" t="str">
            <v>EE6382</v>
          </cell>
          <cell r="D9">
            <v>221</v>
          </cell>
          <cell r="E9" t="str">
            <v xml:space="preserve">   </v>
          </cell>
          <cell r="F9">
            <v>80730</v>
          </cell>
          <cell r="G9">
            <v>80909</v>
          </cell>
          <cell r="H9">
            <v>0</v>
          </cell>
          <cell r="I9">
            <v>504</v>
          </cell>
          <cell r="J9">
            <v>504</v>
          </cell>
          <cell r="K9">
            <v>498</v>
          </cell>
          <cell r="L9">
            <v>188</v>
          </cell>
          <cell r="M9">
            <v>188</v>
          </cell>
          <cell r="N9">
            <v>5896800</v>
          </cell>
          <cell r="O9">
            <v>5935104</v>
          </cell>
          <cell r="P9">
            <v>5864448</v>
          </cell>
          <cell r="Q9">
            <v>2213888</v>
          </cell>
          <cell r="R9">
            <v>18058318</v>
          </cell>
          <cell r="S9" t="str">
            <v xml:space="preserve"> </v>
          </cell>
          <cell r="T9" t="str">
            <v xml:space="preserve"> </v>
          </cell>
          <cell r="U9">
            <v>504</v>
          </cell>
          <cell r="V9">
            <v>5935104</v>
          </cell>
          <cell r="W9">
            <v>188</v>
          </cell>
          <cell r="X9">
            <v>2213888</v>
          </cell>
          <cell r="Y9">
            <v>37.299999999999997</v>
          </cell>
          <cell r="Z9">
            <v>37.299999999999997</v>
          </cell>
          <cell r="AA9">
            <v>2190336</v>
          </cell>
          <cell r="AB9">
            <v>23552</v>
          </cell>
          <cell r="AC9">
            <v>6</v>
          </cell>
          <cell r="AD9">
            <v>117760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310</v>
          </cell>
          <cell r="AN9">
            <v>7465984</v>
          </cell>
          <cell r="AO9">
            <v>11700</v>
          </cell>
          <cell r="AP9">
            <v>11776</v>
          </cell>
          <cell r="AQ9">
            <v>108000</v>
          </cell>
          <cell r="AR9">
            <v>0</v>
          </cell>
          <cell r="AS9">
            <v>9.17</v>
          </cell>
          <cell r="AT9">
            <v>54432000</v>
          </cell>
          <cell r="AU9">
            <v>8.24</v>
          </cell>
          <cell r="AV9">
            <v>18044600</v>
          </cell>
          <cell r="AW9">
            <v>0.57999999999999996</v>
          </cell>
          <cell r="AX9">
            <v>13718</v>
          </cell>
          <cell r="AY9">
            <v>37.299999999999997</v>
          </cell>
          <cell r="AZ9">
            <v>0</v>
          </cell>
          <cell r="BA9">
            <v>186</v>
          </cell>
          <cell r="BB9">
            <v>2</v>
          </cell>
          <cell r="BC9">
            <v>188</v>
          </cell>
          <cell r="BD9">
            <v>0</v>
          </cell>
          <cell r="BE9">
            <v>0</v>
          </cell>
          <cell r="BF9">
            <v>16</v>
          </cell>
          <cell r="BG9">
            <v>0</v>
          </cell>
          <cell r="BH9">
            <v>1</v>
          </cell>
          <cell r="BI9">
            <v>32</v>
          </cell>
          <cell r="BJ9">
            <v>4</v>
          </cell>
          <cell r="BK9">
            <v>10</v>
          </cell>
          <cell r="BL9">
            <v>10</v>
          </cell>
          <cell r="BM9">
            <v>6</v>
          </cell>
          <cell r="BN9">
            <v>2</v>
          </cell>
          <cell r="BO9">
            <v>0</v>
          </cell>
          <cell r="BP9">
            <v>12</v>
          </cell>
          <cell r="BQ9">
            <v>0</v>
          </cell>
          <cell r="BR9">
            <v>5</v>
          </cell>
          <cell r="BS9">
            <v>5</v>
          </cell>
          <cell r="BT9">
            <v>0</v>
          </cell>
          <cell r="BU9">
            <v>2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39</v>
          </cell>
          <cell r="DN9">
            <v>0</v>
          </cell>
          <cell r="DO9">
            <v>2</v>
          </cell>
          <cell r="DP9">
            <v>4</v>
          </cell>
          <cell r="DQ9">
            <v>32</v>
          </cell>
          <cell r="DR9">
            <v>1</v>
          </cell>
          <cell r="DS9">
            <v>0</v>
          </cell>
          <cell r="DT9">
            <v>46</v>
          </cell>
          <cell r="DU9">
            <v>7</v>
          </cell>
          <cell r="DV9">
            <v>11</v>
          </cell>
          <cell r="DW9">
            <v>4</v>
          </cell>
          <cell r="DX9">
            <v>18</v>
          </cell>
          <cell r="DY9">
            <v>6</v>
          </cell>
          <cell r="DZ9">
            <v>0</v>
          </cell>
          <cell r="EA9">
            <v>44</v>
          </cell>
          <cell r="EB9">
            <v>1</v>
          </cell>
          <cell r="EC9">
            <v>35</v>
          </cell>
          <cell r="ED9">
            <v>4</v>
          </cell>
          <cell r="EE9">
            <v>3</v>
          </cell>
          <cell r="EF9">
            <v>1</v>
          </cell>
          <cell r="EG9">
            <v>0</v>
          </cell>
          <cell r="EH9">
            <v>15</v>
          </cell>
          <cell r="EI9">
            <v>1</v>
          </cell>
          <cell r="EJ9">
            <v>3</v>
          </cell>
          <cell r="EK9">
            <v>7</v>
          </cell>
          <cell r="EL9">
            <v>3</v>
          </cell>
          <cell r="EM9">
            <v>1</v>
          </cell>
          <cell r="EN9">
            <v>0</v>
          </cell>
          <cell r="EO9" t="str">
            <v xml:space="preserve">VOLTAGE 2 FULL ZIP                                          </v>
          </cell>
        </row>
        <row r="10">
          <cell r="A10" t="str">
            <v>CN3EE6382861</v>
          </cell>
          <cell r="B10" t="str">
            <v>CN3</v>
          </cell>
          <cell r="C10" t="str">
            <v>EE6382</v>
          </cell>
          <cell r="D10">
            <v>861</v>
          </cell>
          <cell r="E10" t="str">
            <v xml:space="preserve">   </v>
          </cell>
          <cell r="F10">
            <v>80730</v>
          </cell>
          <cell r="G10">
            <v>80909</v>
          </cell>
          <cell r="H10">
            <v>0</v>
          </cell>
          <cell r="I10">
            <v>702</v>
          </cell>
          <cell r="J10">
            <v>702</v>
          </cell>
          <cell r="K10">
            <v>690</v>
          </cell>
          <cell r="L10">
            <v>176</v>
          </cell>
          <cell r="M10">
            <v>176</v>
          </cell>
          <cell r="N10">
            <v>8213400</v>
          </cell>
          <cell r="O10">
            <v>8266752</v>
          </cell>
          <cell r="P10">
            <v>8125440</v>
          </cell>
          <cell r="Q10">
            <v>2072576</v>
          </cell>
          <cell r="R10">
            <v>17270000</v>
          </cell>
          <cell r="S10" t="str">
            <v xml:space="preserve"> </v>
          </cell>
          <cell r="T10" t="str">
            <v xml:space="preserve"> </v>
          </cell>
          <cell r="U10">
            <v>702</v>
          </cell>
          <cell r="V10">
            <v>8266752</v>
          </cell>
          <cell r="W10">
            <v>176</v>
          </cell>
          <cell r="X10">
            <v>2072576</v>
          </cell>
          <cell r="Y10">
            <v>25.07</v>
          </cell>
          <cell r="Z10">
            <v>25.07</v>
          </cell>
          <cell r="AA10">
            <v>2072576</v>
          </cell>
          <cell r="AB10">
            <v>0</v>
          </cell>
          <cell r="AC10">
            <v>12</v>
          </cell>
          <cell r="AD10">
            <v>223744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514</v>
          </cell>
          <cell r="AN10">
            <v>12329472</v>
          </cell>
          <cell r="AO10">
            <v>11700</v>
          </cell>
          <cell r="AP10">
            <v>11776</v>
          </cell>
          <cell r="AQ10">
            <v>108000</v>
          </cell>
          <cell r="AR10">
            <v>0</v>
          </cell>
          <cell r="AS10">
            <v>9.17</v>
          </cell>
          <cell r="AT10">
            <v>75816000</v>
          </cell>
          <cell r="AU10">
            <v>8.33</v>
          </cell>
          <cell r="AV10">
            <v>17270000</v>
          </cell>
          <cell r="AW10">
            <v>0</v>
          </cell>
          <cell r="AX10">
            <v>0</v>
          </cell>
          <cell r="AY10">
            <v>25.07</v>
          </cell>
          <cell r="AZ10">
            <v>0</v>
          </cell>
          <cell r="BA10">
            <v>176</v>
          </cell>
          <cell r="BB10">
            <v>0</v>
          </cell>
          <cell r="BC10">
            <v>176</v>
          </cell>
          <cell r="BD10">
            <v>0</v>
          </cell>
          <cell r="BE10">
            <v>0</v>
          </cell>
          <cell r="BF10">
            <v>24</v>
          </cell>
          <cell r="BG10">
            <v>0</v>
          </cell>
          <cell r="BH10">
            <v>1</v>
          </cell>
          <cell r="BI10">
            <v>24</v>
          </cell>
          <cell r="BJ10">
            <v>3</v>
          </cell>
          <cell r="BK10">
            <v>3</v>
          </cell>
          <cell r="BL10">
            <v>9</v>
          </cell>
          <cell r="BM10">
            <v>1</v>
          </cell>
          <cell r="BN10">
            <v>8</v>
          </cell>
          <cell r="BO10">
            <v>0</v>
          </cell>
          <cell r="BP10">
            <v>14</v>
          </cell>
          <cell r="BQ10">
            <v>1</v>
          </cell>
          <cell r="BR10">
            <v>5</v>
          </cell>
          <cell r="BS10">
            <v>2</v>
          </cell>
          <cell r="BT10">
            <v>3</v>
          </cell>
          <cell r="BU10">
            <v>3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31</v>
          </cell>
          <cell r="DN10">
            <v>0</v>
          </cell>
          <cell r="DO10">
            <v>2</v>
          </cell>
          <cell r="DP10">
            <v>3</v>
          </cell>
          <cell r="DQ10">
            <v>22</v>
          </cell>
          <cell r="DR10">
            <v>4</v>
          </cell>
          <cell r="DS10">
            <v>0</v>
          </cell>
          <cell r="DT10">
            <v>63</v>
          </cell>
          <cell r="DU10">
            <v>13</v>
          </cell>
          <cell r="DV10">
            <v>0</v>
          </cell>
          <cell r="DW10">
            <v>14</v>
          </cell>
          <cell r="DX10">
            <v>34</v>
          </cell>
          <cell r="DY10">
            <v>2</v>
          </cell>
          <cell r="DZ10">
            <v>0</v>
          </cell>
          <cell r="EA10">
            <v>29</v>
          </cell>
          <cell r="EB10">
            <v>3</v>
          </cell>
          <cell r="EC10">
            <v>13</v>
          </cell>
          <cell r="ED10">
            <v>4</v>
          </cell>
          <cell r="EE10">
            <v>5</v>
          </cell>
          <cell r="EF10">
            <v>4</v>
          </cell>
          <cell r="EG10">
            <v>0</v>
          </cell>
          <cell r="EH10">
            <v>15</v>
          </cell>
          <cell r="EI10">
            <v>4</v>
          </cell>
          <cell r="EJ10">
            <v>5</v>
          </cell>
          <cell r="EK10">
            <v>2</v>
          </cell>
          <cell r="EL10">
            <v>2</v>
          </cell>
          <cell r="EM10">
            <v>2</v>
          </cell>
          <cell r="EN10">
            <v>0</v>
          </cell>
          <cell r="EO10" t="str">
            <v xml:space="preserve">VOLTAGE 2 FULL ZIP                                          </v>
          </cell>
        </row>
        <row r="11">
          <cell r="A11" t="str">
            <v>CN3EL6117010</v>
          </cell>
          <cell r="B11" t="str">
            <v>CN3</v>
          </cell>
          <cell r="C11" t="str">
            <v>EL6117</v>
          </cell>
          <cell r="D11">
            <v>10</v>
          </cell>
          <cell r="E11" t="str">
            <v xml:space="preserve">   </v>
          </cell>
          <cell r="F11">
            <v>80813</v>
          </cell>
          <cell r="G11">
            <v>80909</v>
          </cell>
          <cell r="H11">
            <v>81121</v>
          </cell>
          <cell r="I11">
            <v>702</v>
          </cell>
          <cell r="J11">
            <v>702</v>
          </cell>
          <cell r="K11">
            <v>693</v>
          </cell>
          <cell r="L11">
            <v>339</v>
          </cell>
          <cell r="M11">
            <v>339</v>
          </cell>
          <cell r="N11">
            <v>8624070</v>
          </cell>
          <cell r="O11">
            <v>8865558</v>
          </cell>
          <cell r="P11">
            <v>8751897</v>
          </cell>
          <cell r="Q11">
            <v>4281231</v>
          </cell>
          <cell r="R11">
            <v>23208666</v>
          </cell>
          <cell r="S11" t="str">
            <v>*</v>
          </cell>
          <cell r="T11" t="str">
            <v xml:space="preserve"> </v>
          </cell>
          <cell r="U11">
            <v>702</v>
          </cell>
          <cell r="V11">
            <v>8865558</v>
          </cell>
          <cell r="W11">
            <v>339</v>
          </cell>
          <cell r="X11">
            <v>4281231</v>
          </cell>
          <cell r="Y11">
            <v>48.43</v>
          </cell>
          <cell r="Z11">
            <v>48.58</v>
          </cell>
          <cell r="AA11">
            <v>429386</v>
          </cell>
          <cell r="AB11">
            <v>3851845</v>
          </cell>
          <cell r="AC11">
            <v>9</v>
          </cell>
          <cell r="AD11">
            <v>366241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25258</v>
          </cell>
          <cell r="AM11">
            <v>353</v>
          </cell>
          <cell r="AN11">
            <v>9181283</v>
          </cell>
          <cell r="AO11">
            <v>12285</v>
          </cell>
          <cell r="AP11">
            <v>12629</v>
          </cell>
          <cell r="AQ11">
            <v>108000</v>
          </cell>
          <cell r="AR11">
            <v>65000</v>
          </cell>
          <cell r="AS11">
            <v>8.5500000000000007</v>
          </cell>
          <cell r="AT11">
            <v>75816000</v>
          </cell>
          <cell r="AU11">
            <v>7.75</v>
          </cell>
          <cell r="AV11">
            <v>3325900</v>
          </cell>
          <cell r="AW11">
            <v>5.16</v>
          </cell>
          <cell r="AX11">
            <v>19882766</v>
          </cell>
          <cell r="AY11">
            <v>48.43</v>
          </cell>
          <cell r="AZ11">
            <v>0</v>
          </cell>
          <cell r="BA11">
            <v>34</v>
          </cell>
          <cell r="BB11">
            <v>305</v>
          </cell>
          <cell r="BC11">
            <v>339</v>
          </cell>
          <cell r="BD11">
            <v>0</v>
          </cell>
          <cell r="BE11">
            <v>0</v>
          </cell>
          <cell r="BF11">
            <v>46</v>
          </cell>
          <cell r="BG11">
            <v>1</v>
          </cell>
          <cell r="BH11">
            <v>1</v>
          </cell>
          <cell r="BI11">
            <v>81</v>
          </cell>
          <cell r="BJ11">
            <v>18</v>
          </cell>
          <cell r="BK11">
            <v>25</v>
          </cell>
          <cell r="BL11">
            <v>19</v>
          </cell>
          <cell r="BM11">
            <v>9</v>
          </cell>
          <cell r="BN11">
            <v>10</v>
          </cell>
          <cell r="BO11">
            <v>0</v>
          </cell>
          <cell r="BP11">
            <v>32</v>
          </cell>
          <cell r="BQ11">
            <v>0</v>
          </cell>
          <cell r="BR11">
            <v>15</v>
          </cell>
          <cell r="BS11">
            <v>3</v>
          </cell>
          <cell r="BT11">
            <v>7</v>
          </cell>
          <cell r="BU11">
            <v>7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8</v>
          </cell>
          <cell r="DN11">
            <v>0</v>
          </cell>
          <cell r="DO11">
            <v>2</v>
          </cell>
          <cell r="DP11">
            <v>2</v>
          </cell>
          <cell r="DQ11">
            <v>4</v>
          </cell>
          <cell r="DR11">
            <v>0</v>
          </cell>
          <cell r="DS11">
            <v>0</v>
          </cell>
          <cell r="DT11">
            <v>14</v>
          </cell>
          <cell r="DU11">
            <v>0</v>
          </cell>
          <cell r="DV11">
            <v>1</v>
          </cell>
          <cell r="DW11">
            <v>3</v>
          </cell>
          <cell r="DX11">
            <v>5</v>
          </cell>
          <cell r="DY11">
            <v>5</v>
          </cell>
          <cell r="DZ11">
            <v>0</v>
          </cell>
          <cell r="EA11">
            <v>99</v>
          </cell>
          <cell r="EB11">
            <v>1</v>
          </cell>
          <cell r="EC11">
            <v>7</v>
          </cell>
          <cell r="ED11">
            <v>1</v>
          </cell>
          <cell r="EE11">
            <v>28</v>
          </cell>
          <cell r="EF11">
            <v>62</v>
          </cell>
          <cell r="EG11">
            <v>0</v>
          </cell>
          <cell r="EH11">
            <v>105</v>
          </cell>
          <cell r="EI11">
            <v>30</v>
          </cell>
          <cell r="EJ11">
            <v>32</v>
          </cell>
          <cell r="EK11">
            <v>21</v>
          </cell>
          <cell r="EL11">
            <v>14</v>
          </cell>
          <cell r="EM11">
            <v>8</v>
          </cell>
          <cell r="EN11">
            <v>0</v>
          </cell>
          <cell r="EO11" t="str">
            <v xml:space="preserve">BALLISTIC FLEECE JACKET                                     </v>
          </cell>
        </row>
        <row r="12">
          <cell r="A12" t="str">
            <v>CN3EL6117100</v>
          </cell>
          <cell r="B12" t="str">
            <v>CN3</v>
          </cell>
          <cell r="C12" t="str">
            <v>EL6117</v>
          </cell>
          <cell r="D12">
            <v>100</v>
          </cell>
          <cell r="E12" t="str">
            <v xml:space="preserve">   </v>
          </cell>
          <cell r="F12">
            <v>80813</v>
          </cell>
          <cell r="G12">
            <v>80909</v>
          </cell>
          <cell r="H12">
            <v>81121</v>
          </cell>
          <cell r="I12">
            <v>402</v>
          </cell>
          <cell r="J12">
            <v>402</v>
          </cell>
          <cell r="K12">
            <v>392</v>
          </cell>
          <cell r="L12">
            <v>69</v>
          </cell>
          <cell r="M12">
            <v>69</v>
          </cell>
          <cell r="N12">
            <v>4938570</v>
          </cell>
          <cell r="O12">
            <v>5076858</v>
          </cell>
          <cell r="P12">
            <v>4950568</v>
          </cell>
          <cell r="Q12">
            <v>871401</v>
          </cell>
          <cell r="R12">
            <v>4814550</v>
          </cell>
          <cell r="S12" t="str">
            <v>*</v>
          </cell>
          <cell r="T12" t="str">
            <v xml:space="preserve"> </v>
          </cell>
          <cell r="U12">
            <v>402</v>
          </cell>
          <cell r="V12">
            <v>5076858</v>
          </cell>
          <cell r="W12">
            <v>69</v>
          </cell>
          <cell r="X12">
            <v>871401</v>
          </cell>
          <cell r="Y12">
            <v>17.41</v>
          </cell>
          <cell r="Z12">
            <v>17.66</v>
          </cell>
          <cell r="AA12">
            <v>126290</v>
          </cell>
          <cell r="AB12">
            <v>745111</v>
          </cell>
          <cell r="AC12">
            <v>10</v>
          </cell>
          <cell r="AD12">
            <v>543047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1</v>
          </cell>
          <cell r="AL12">
            <v>25258</v>
          </cell>
          <cell r="AM12">
            <v>322</v>
          </cell>
          <cell r="AN12">
            <v>7931012</v>
          </cell>
          <cell r="AO12">
            <v>12285</v>
          </cell>
          <cell r="AP12">
            <v>12629</v>
          </cell>
          <cell r="AQ12">
            <v>108000</v>
          </cell>
          <cell r="AR12">
            <v>65000</v>
          </cell>
          <cell r="AS12">
            <v>8.5500000000000007</v>
          </cell>
          <cell r="AT12">
            <v>43416000</v>
          </cell>
          <cell r="AU12">
            <v>7.78</v>
          </cell>
          <cell r="AV12">
            <v>982800</v>
          </cell>
          <cell r="AW12">
            <v>5.14</v>
          </cell>
          <cell r="AX12">
            <v>3831750</v>
          </cell>
          <cell r="AY12">
            <v>17.41</v>
          </cell>
          <cell r="AZ12">
            <v>0</v>
          </cell>
          <cell r="BA12">
            <v>10</v>
          </cell>
          <cell r="BB12">
            <v>59</v>
          </cell>
          <cell r="BC12">
            <v>68</v>
          </cell>
          <cell r="BD12">
            <v>1</v>
          </cell>
          <cell r="BE12">
            <v>0</v>
          </cell>
          <cell r="BF12">
            <v>9</v>
          </cell>
          <cell r="BG12">
            <v>0</v>
          </cell>
          <cell r="BH12">
            <v>1</v>
          </cell>
          <cell r="BI12">
            <v>16</v>
          </cell>
          <cell r="BJ12">
            <v>2</v>
          </cell>
          <cell r="BK12">
            <v>4</v>
          </cell>
          <cell r="BL12">
            <v>5</v>
          </cell>
          <cell r="BM12">
            <v>2</v>
          </cell>
          <cell r="BN12">
            <v>3</v>
          </cell>
          <cell r="BO12">
            <v>0</v>
          </cell>
          <cell r="BP12">
            <v>7</v>
          </cell>
          <cell r="BQ12">
            <v>0</v>
          </cell>
          <cell r="BR12">
            <v>2</v>
          </cell>
          <cell r="BS12">
            <v>3</v>
          </cell>
          <cell r="BT12">
            <v>1</v>
          </cell>
          <cell r="BU12">
            <v>1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6</v>
          </cell>
          <cell r="DN12">
            <v>0</v>
          </cell>
          <cell r="DO12">
            <v>2</v>
          </cell>
          <cell r="DP12">
            <v>1</v>
          </cell>
          <cell r="DQ12">
            <v>2</v>
          </cell>
          <cell r="DR12">
            <v>1</v>
          </cell>
          <cell r="DS12">
            <v>0</v>
          </cell>
          <cell r="DT12">
            <v>2</v>
          </cell>
          <cell r="DU12">
            <v>0</v>
          </cell>
          <cell r="DV12">
            <v>1</v>
          </cell>
          <cell r="DW12">
            <v>0</v>
          </cell>
          <cell r="DX12">
            <v>1</v>
          </cell>
          <cell r="DY12">
            <v>0</v>
          </cell>
          <cell r="DZ12">
            <v>0</v>
          </cell>
          <cell r="EA12">
            <v>15</v>
          </cell>
          <cell r="EB12">
            <v>1</v>
          </cell>
          <cell r="EC12">
            <v>0</v>
          </cell>
          <cell r="ED12">
            <v>0</v>
          </cell>
          <cell r="EE12">
            <v>9</v>
          </cell>
          <cell r="EF12">
            <v>5</v>
          </cell>
          <cell r="EG12">
            <v>0</v>
          </cell>
          <cell r="EH12">
            <v>23</v>
          </cell>
          <cell r="EI12">
            <v>9</v>
          </cell>
          <cell r="EJ12">
            <v>3</v>
          </cell>
          <cell r="EK12">
            <v>3</v>
          </cell>
          <cell r="EL12">
            <v>6</v>
          </cell>
          <cell r="EM12">
            <v>2</v>
          </cell>
          <cell r="EN12">
            <v>0</v>
          </cell>
          <cell r="EO12" t="str">
            <v xml:space="preserve">BALLISTIC FLEECE JACKET                                     </v>
          </cell>
        </row>
        <row r="13">
          <cell r="A13" t="str">
            <v>CN3EL6117986</v>
          </cell>
          <cell r="B13" t="str">
            <v>CN3</v>
          </cell>
          <cell r="C13" t="str">
            <v>EL6117</v>
          </cell>
          <cell r="D13">
            <v>986</v>
          </cell>
          <cell r="E13" t="str">
            <v xml:space="preserve">   </v>
          </cell>
          <cell r="F13">
            <v>80813</v>
          </cell>
          <cell r="G13">
            <v>80909</v>
          </cell>
          <cell r="H13">
            <v>81121</v>
          </cell>
          <cell r="I13">
            <v>702</v>
          </cell>
          <cell r="J13">
            <v>702</v>
          </cell>
          <cell r="K13">
            <v>688</v>
          </cell>
          <cell r="L13">
            <v>339</v>
          </cell>
          <cell r="M13">
            <v>339</v>
          </cell>
          <cell r="N13">
            <v>8624070</v>
          </cell>
          <cell r="O13">
            <v>8865558</v>
          </cell>
          <cell r="P13">
            <v>8688752</v>
          </cell>
          <cell r="Q13">
            <v>4281231</v>
          </cell>
          <cell r="R13">
            <v>23206234</v>
          </cell>
          <cell r="S13" t="str">
            <v>*</v>
          </cell>
          <cell r="T13" t="str">
            <v xml:space="preserve"> </v>
          </cell>
          <cell r="U13">
            <v>702</v>
          </cell>
          <cell r="V13">
            <v>8865558</v>
          </cell>
          <cell r="W13">
            <v>339</v>
          </cell>
          <cell r="X13">
            <v>4281231</v>
          </cell>
          <cell r="Y13">
            <v>48.01</v>
          </cell>
          <cell r="Z13">
            <v>47.72</v>
          </cell>
          <cell r="AA13">
            <v>442015</v>
          </cell>
          <cell r="AB13">
            <v>3839216</v>
          </cell>
          <cell r="AC13">
            <v>14</v>
          </cell>
          <cell r="AD13">
            <v>505160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-2</v>
          </cell>
          <cell r="AL13">
            <v>-50516</v>
          </cell>
          <cell r="AM13">
            <v>351</v>
          </cell>
          <cell r="AN13">
            <v>9017106</v>
          </cell>
          <cell r="AO13">
            <v>12285</v>
          </cell>
          <cell r="AP13">
            <v>12629</v>
          </cell>
          <cell r="AQ13">
            <v>108000</v>
          </cell>
          <cell r="AR13">
            <v>65000</v>
          </cell>
          <cell r="AS13">
            <v>8.5500000000000007</v>
          </cell>
          <cell r="AT13">
            <v>75816000</v>
          </cell>
          <cell r="AU13">
            <v>7.93</v>
          </cell>
          <cell r="AV13">
            <v>3504000</v>
          </cell>
          <cell r="AW13">
            <v>5.13</v>
          </cell>
          <cell r="AX13">
            <v>19702234</v>
          </cell>
          <cell r="AY13">
            <v>48.01</v>
          </cell>
          <cell r="AZ13">
            <v>0</v>
          </cell>
          <cell r="BA13">
            <v>35</v>
          </cell>
          <cell r="BB13">
            <v>304</v>
          </cell>
          <cell r="BC13">
            <v>339</v>
          </cell>
          <cell r="BD13">
            <v>0</v>
          </cell>
          <cell r="BE13">
            <v>0</v>
          </cell>
          <cell r="BF13">
            <v>32</v>
          </cell>
          <cell r="BG13">
            <v>0</v>
          </cell>
          <cell r="BH13">
            <v>1</v>
          </cell>
          <cell r="BI13">
            <v>82</v>
          </cell>
          <cell r="BJ13">
            <v>12</v>
          </cell>
          <cell r="BK13">
            <v>36</v>
          </cell>
          <cell r="BL13">
            <v>18</v>
          </cell>
          <cell r="BM13">
            <v>7</v>
          </cell>
          <cell r="BN13">
            <v>9</v>
          </cell>
          <cell r="BO13">
            <v>0</v>
          </cell>
          <cell r="BP13">
            <v>24</v>
          </cell>
          <cell r="BQ13">
            <v>2</v>
          </cell>
          <cell r="BR13">
            <v>3</v>
          </cell>
          <cell r="BS13">
            <v>10</v>
          </cell>
          <cell r="BT13">
            <v>5</v>
          </cell>
          <cell r="BU13">
            <v>4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9</v>
          </cell>
          <cell r="DN13">
            <v>0</v>
          </cell>
          <cell r="DO13">
            <v>1</v>
          </cell>
          <cell r="DP13">
            <v>1</v>
          </cell>
          <cell r="DQ13">
            <v>7</v>
          </cell>
          <cell r="DR13">
            <v>0</v>
          </cell>
          <cell r="DS13">
            <v>0</v>
          </cell>
          <cell r="DT13">
            <v>11</v>
          </cell>
          <cell r="DU13">
            <v>0</v>
          </cell>
          <cell r="DV13">
            <v>2</v>
          </cell>
          <cell r="DW13">
            <v>2</v>
          </cell>
          <cell r="DX13">
            <v>4</v>
          </cell>
          <cell r="DY13">
            <v>3</v>
          </cell>
          <cell r="DZ13">
            <v>0</v>
          </cell>
          <cell r="EA13">
            <v>96</v>
          </cell>
          <cell r="EB13">
            <v>4</v>
          </cell>
          <cell r="EC13">
            <v>6</v>
          </cell>
          <cell r="ED13">
            <v>4</v>
          </cell>
          <cell r="EE13">
            <v>23</v>
          </cell>
          <cell r="EF13">
            <v>59</v>
          </cell>
          <cell r="EG13">
            <v>0</v>
          </cell>
          <cell r="EH13">
            <v>117</v>
          </cell>
          <cell r="EI13">
            <v>34</v>
          </cell>
          <cell r="EJ13">
            <v>19</v>
          </cell>
          <cell r="EK13">
            <v>32</v>
          </cell>
          <cell r="EL13">
            <v>20</v>
          </cell>
          <cell r="EM13">
            <v>12</v>
          </cell>
          <cell r="EN13">
            <v>0</v>
          </cell>
          <cell r="EO13" t="str">
            <v xml:space="preserve">BALLISTIC FLEECE JACKET                                     </v>
          </cell>
        </row>
        <row r="14">
          <cell r="A14" t="str">
            <v>CN3EL6371010</v>
          </cell>
          <cell r="B14" t="str">
            <v>CN3</v>
          </cell>
          <cell r="C14" t="str">
            <v>EL6371</v>
          </cell>
          <cell r="D14">
            <v>10</v>
          </cell>
          <cell r="E14" t="str">
            <v xml:space="preserve">   </v>
          </cell>
          <cell r="F14">
            <v>80714</v>
          </cell>
          <cell r="G14">
            <v>80918</v>
          </cell>
          <cell r="H14">
            <v>0</v>
          </cell>
          <cell r="I14">
            <v>600</v>
          </cell>
          <cell r="J14">
            <v>600</v>
          </cell>
          <cell r="K14">
            <v>598</v>
          </cell>
          <cell r="L14">
            <v>524</v>
          </cell>
          <cell r="M14">
            <v>524</v>
          </cell>
          <cell r="N14">
            <v>5475600</v>
          </cell>
          <cell r="O14">
            <v>5894400</v>
          </cell>
          <cell r="P14">
            <v>5874752</v>
          </cell>
          <cell r="Q14">
            <v>5147776</v>
          </cell>
          <cell r="R14">
            <v>35841869</v>
          </cell>
          <cell r="S14" t="str">
            <v xml:space="preserve"> </v>
          </cell>
          <cell r="T14" t="str">
            <v xml:space="preserve"> </v>
          </cell>
          <cell r="U14">
            <v>600</v>
          </cell>
          <cell r="V14">
            <v>5894400</v>
          </cell>
          <cell r="W14">
            <v>524</v>
          </cell>
          <cell r="X14">
            <v>5147776</v>
          </cell>
          <cell r="Y14">
            <v>87.33</v>
          </cell>
          <cell r="Z14">
            <v>87.33</v>
          </cell>
          <cell r="AA14">
            <v>5147776</v>
          </cell>
          <cell r="AB14">
            <v>0</v>
          </cell>
          <cell r="AC14">
            <v>2</v>
          </cell>
          <cell r="AD14">
            <v>19648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74</v>
          </cell>
          <cell r="AN14">
            <v>1640608</v>
          </cell>
          <cell r="AO14">
            <v>9126</v>
          </cell>
          <cell r="AP14">
            <v>9824</v>
          </cell>
          <cell r="AQ14">
            <v>78000</v>
          </cell>
          <cell r="AR14">
            <v>0</v>
          </cell>
          <cell r="AS14">
            <v>7.94</v>
          </cell>
          <cell r="AT14">
            <v>46800000</v>
          </cell>
          <cell r="AU14">
            <v>6.96</v>
          </cell>
          <cell r="AV14">
            <v>35841869</v>
          </cell>
          <cell r="AW14">
            <v>0</v>
          </cell>
          <cell r="AX14">
            <v>0</v>
          </cell>
          <cell r="AY14">
            <v>87.33</v>
          </cell>
          <cell r="AZ14">
            <v>0</v>
          </cell>
          <cell r="BA14">
            <v>524</v>
          </cell>
          <cell r="BB14">
            <v>0</v>
          </cell>
          <cell r="BC14">
            <v>524</v>
          </cell>
          <cell r="BD14">
            <v>0</v>
          </cell>
          <cell r="BE14">
            <v>0</v>
          </cell>
          <cell r="BF14">
            <v>21</v>
          </cell>
          <cell r="BG14">
            <v>1</v>
          </cell>
          <cell r="BH14">
            <v>1</v>
          </cell>
          <cell r="BI14">
            <v>92</v>
          </cell>
          <cell r="BJ14">
            <v>15</v>
          </cell>
          <cell r="BK14">
            <v>25</v>
          </cell>
          <cell r="BL14">
            <v>33</v>
          </cell>
          <cell r="BM14">
            <v>7</v>
          </cell>
          <cell r="BN14">
            <v>12</v>
          </cell>
          <cell r="BO14">
            <v>0</v>
          </cell>
          <cell r="BP14">
            <v>17</v>
          </cell>
          <cell r="BQ14">
            <v>2</v>
          </cell>
          <cell r="BR14">
            <v>9</v>
          </cell>
          <cell r="BS14">
            <v>2</v>
          </cell>
          <cell r="BT14">
            <v>2</v>
          </cell>
          <cell r="BU14">
            <v>2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77</v>
          </cell>
          <cell r="DN14">
            <v>0</v>
          </cell>
          <cell r="DO14">
            <v>0</v>
          </cell>
          <cell r="DP14">
            <v>9</v>
          </cell>
          <cell r="DQ14">
            <v>60</v>
          </cell>
          <cell r="DR14">
            <v>8</v>
          </cell>
          <cell r="DS14">
            <v>0</v>
          </cell>
          <cell r="DT14">
            <v>111</v>
          </cell>
          <cell r="DU14">
            <v>16</v>
          </cell>
          <cell r="DV14">
            <v>19</v>
          </cell>
          <cell r="DW14">
            <v>31</v>
          </cell>
          <cell r="DX14">
            <v>30</v>
          </cell>
          <cell r="DY14">
            <v>15</v>
          </cell>
          <cell r="DZ14">
            <v>0</v>
          </cell>
          <cell r="EA14">
            <v>112</v>
          </cell>
          <cell r="EB14">
            <v>13</v>
          </cell>
          <cell r="EC14">
            <v>26</v>
          </cell>
          <cell r="ED14">
            <v>23</v>
          </cell>
          <cell r="EE14">
            <v>23</v>
          </cell>
          <cell r="EF14">
            <v>27</v>
          </cell>
          <cell r="EG14">
            <v>0</v>
          </cell>
          <cell r="EH14">
            <v>115</v>
          </cell>
          <cell r="EI14">
            <v>19</v>
          </cell>
          <cell r="EJ14">
            <v>21</v>
          </cell>
          <cell r="EK14">
            <v>20</v>
          </cell>
          <cell r="EL14">
            <v>40</v>
          </cell>
          <cell r="EM14">
            <v>15</v>
          </cell>
          <cell r="EN14">
            <v>0</v>
          </cell>
          <cell r="EO14" t="str">
            <v xml:space="preserve">SANDY SIREN HOODIE                                          </v>
          </cell>
        </row>
        <row r="15">
          <cell r="A15" t="str">
            <v>CN3EL6371666</v>
          </cell>
          <cell r="B15" t="str">
            <v>CN3</v>
          </cell>
          <cell r="C15" t="str">
            <v>EL6371</v>
          </cell>
          <cell r="D15">
            <v>666</v>
          </cell>
          <cell r="E15" t="str">
            <v xml:space="preserve">   </v>
          </cell>
          <cell r="F15">
            <v>80714</v>
          </cell>
          <cell r="G15">
            <v>80918</v>
          </cell>
          <cell r="H15">
            <v>0</v>
          </cell>
          <cell r="I15">
            <v>498</v>
          </cell>
          <cell r="J15">
            <v>498</v>
          </cell>
          <cell r="K15">
            <v>498</v>
          </cell>
          <cell r="L15">
            <v>340</v>
          </cell>
          <cell r="M15">
            <v>340</v>
          </cell>
          <cell r="N15">
            <v>4544748</v>
          </cell>
          <cell r="O15">
            <v>4892352</v>
          </cell>
          <cell r="P15">
            <v>4892352</v>
          </cell>
          <cell r="Q15">
            <v>3340160</v>
          </cell>
          <cell r="R15">
            <v>23258981</v>
          </cell>
          <cell r="S15" t="str">
            <v xml:space="preserve"> </v>
          </cell>
          <cell r="T15" t="str">
            <v xml:space="preserve"> </v>
          </cell>
          <cell r="U15">
            <v>498</v>
          </cell>
          <cell r="V15">
            <v>4892352</v>
          </cell>
          <cell r="W15">
            <v>340</v>
          </cell>
          <cell r="X15">
            <v>3340160</v>
          </cell>
          <cell r="Y15">
            <v>68.47</v>
          </cell>
          <cell r="Z15">
            <v>68.47</v>
          </cell>
          <cell r="AA15">
            <v>3340160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</v>
          </cell>
          <cell r="AL15">
            <v>9824</v>
          </cell>
          <cell r="AM15">
            <v>157</v>
          </cell>
          <cell r="AN15">
            <v>3330336</v>
          </cell>
          <cell r="AO15">
            <v>9126</v>
          </cell>
          <cell r="AP15">
            <v>9824</v>
          </cell>
          <cell r="AQ15">
            <v>78000</v>
          </cell>
          <cell r="AR15">
            <v>0</v>
          </cell>
          <cell r="AS15">
            <v>7.94</v>
          </cell>
          <cell r="AT15">
            <v>38844000</v>
          </cell>
          <cell r="AU15">
            <v>6.96</v>
          </cell>
          <cell r="AV15">
            <v>23258981</v>
          </cell>
          <cell r="AW15">
            <v>0</v>
          </cell>
          <cell r="AX15">
            <v>0</v>
          </cell>
          <cell r="AY15">
            <v>68.47</v>
          </cell>
          <cell r="AZ15">
            <v>0</v>
          </cell>
          <cell r="BA15">
            <v>340</v>
          </cell>
          <cell r="BB15">
            <v>0</v>
          </cell>
          <cell r="BC15">
            <v>340</v>
          </cell>
          <cell r="BD15">
            <v>0</v>
          </cell>
          <cell r="BE15">
            <v>0</v>
          </cell>
          <cell r="BF15">
            <v>36</v>
          </cell>
          <cell r="BG15">
            <v>0</v>
          </cell>
          <cell r="BH15">
            <v>1</v>
          </cell>
          <cell r="BI15">
            <v>61</v>
          </cell>
          <cell r="BJ15">
            <v>17</v>
          </cell>
          <cell r="BK15">
            <v>14</v>
          </cell>
          <cell r="BL15">
            <v>13</v>
          </cell>
          <cell r="BM15">
            <v>7</v>
          </cell>
          <cell r="BN15">
            <v>10</v>
          </cell>
          <cell r="BO15">
            <v>0</v>
          </cell>
          <cell r="BP15">
            <v>24</v>
          </cell>
          <cell r="BQ15">
            <v>2</v>
          </cell>
          <cell r="BR15">
            <v>7</v>
          </cell>
          <cell r="BS15">
            <v>4</v>
          </cell>
          <cell r="BT15">
            <v>4</v>
          </cell>
          <cell r="BU15">
            <v>7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45</v>
          </cell>
          <cell r="DN15">
            <v>0</v>
          </cell>
          <cell r="DO15">
            <v>0</v>
          </cell>
          <cell r="DP15">
            <v>5</v>
          </cell>
          <cell r="DQ15">
            <v>37</v>
          </cell>
          <cell r="DR15">
            <v>3</v>
          </cell>
          <cell r="DS15">
            <v>0</v>
          </cell>
          <cell r="DT15">
            <v>59</v>
          </cell>
          <cell r="DU15">
            <v>8</v>
          </cell>
          <cell r="DV15">
            <v>9</v>
          </cell>
          <cell r="DW15">
            <v>19</v>
          </cell>
          <cell r="DX15">
            <v>6</v>
          </cell>
          <cell r="DY15">
            <v>17</v>
          </cell>
          <cell r="DZ15">
            <v>0</v>
          </cell>
          <cell r="EA15">
            <v>77</v>
          </cell>
          <cell r="EB15">
            <v>10</v>
          </cell>
          <cell r="EC15">
            <v>21</v>
          </cell>
          <cell r="ED15">
            <v>19</v>
          </cell>
          <cell r="EE15">
            <v>13</v>
          </cell>
          <cell r="EF15">
            <v>14</v>
          </cell>
          <cell r="EG15">
            <v>0</v>
          </cell>
          <cell r="EH15">
            <v>74</v>
          </cell>
          <cell r="EI15">
            <v>11</v>
          </cell>
          <cell r="EJ15">
            <v>17</v>
          </cell>
          <cell r="EK15">
            <v>11</v>
          </cell>
          <cell r="EL15">
            <v>27</v>
          </cell>
          <cell r="EM15">
            <v>8</v>
          </cell>
          <cell r="EN15">
            <v>0</v>
          </cell>
          <cell r="EO15" t="str">
            <v xml:space="preserve">SANDY SIREN HOODIE                                          </v>
          </cell>
        </row>
        <row r="16">
          <cell r="A16" t="str">
            <v>CN3EL6372010</v>
          </cell>
          <cell r="B16" t="str">
            <v>CN3</v>
          </cell>
          <cell r="C16" t="str">
            <v>EL6372</v>
          </cell>
          <cell r="D16">
            <v>10</v>
          </cell>
          <cell r="E16" t="str">
            <v xml:space="preserve">   </v>
          </cell>
          <cell r="F16">
            <v>80714</v>
          </cell>
          <cell r="G16">
            <v>80919</v>
          </cell>
          <cell r="H16">
            <v>0</v>
          </cell>
          <cell r="I16">
            <v>600</v>
          </cell>
          <cell r="J16">
            <v>600</v>
          </cell>
          <cell r="K16">
            <v>600</v>
          </cell>
          <cell r="L16">
            <v>358</v>
          </cell>
          <cell r="M16">
            <v>358</v>
          </cell>
          <cell r="N16">
            <v>4879200</v>
          </cell>
          <cell r="O16">
            <v>5256000</v>
          </cell>
          <cell r="P16">
            <v>5256000</v>
          </cell>
          <cell r="Q16">
            <v>3136080</v>
          </cell>
          <cell r="R16">
            <v>20906514</v>
          </cell>
          <cell r="S16" t="str">
            <v xml:space="preserve"> </v>
          </cell>
          <cell r="T16" t="str">
            <v xml:space="preserve"> </v>
          </cell>
          <cell r="U16">
            <v>600</v>
          </cell>
          <cell r="V16">
            <v>5256000</v>
          </cell>
          <cell r="W16">
            <v>358</v>
          </cell>
          <cell r="X16">
            <v>3136080</v>
          </cell>
          <cell r="Y16">
            <v>59.67</v>
          </cell>
          <cell r="Z16">
            <v>59.67</v>
          </cell>
          <cell r="AA16">
            <v>3109800</v>
          </cell>
          <cell r="AB16">
            <v>26280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242</v>
          </cell>
          <cell r="AN16">
            <v>4415040</v>
          </cell>
          <cell r="AO16">
            <v>8132</v>
          </cell>
          <cell r="AP16">
            <v>8760</v>
          </cell>
          <cell r="AQ16">
            <v>68000</v>
          </cell>
          <cell r="AR16">
            <v>0</v>
          </cell>
          <cell r="AS16">
            <v>7.76</v>
          </cell>
          <cell r="AT16">
            <v>40800000</v>
          </cell>
          <cell r="AU16">
            <v>6.72</v>
          </cell>
          <cell r="AV16">
            <v>20885937</v>
          </cell>
          <cell r="AW16">
            <v>0.78</v>
          </cell>
          <cell r="AX16">
            <v>20577</v>
          </cell>
          <cell r="AY16">
            <v>59.67</v>
          </cell>
          <cell r="AZ16">
            <v>0</v>
          </cell>
          <cell r="BA16">
            <v>355</v>
          </cell>
          <cell r="BB16">
            <v>3</v>
          </cell>
          <cell r="BC16">
            <v>357</v>
          </cell>
          <cell r="BD16">
            <v>1</v>
          </cell>
          <cell r="BE16">
            <v>0</v>
          </cell>
          <cell r="BF16">
            <v>20</v>
          </cell>
          <cell r="BG16">
            <v>1</v>
          </cell>
          <cell r="BH16">
            <v>1</v>
          </cell>
          <cell r="BI16">
            <v>54</v>
          </cell>
          <cell r="BJ16">
            <v>11</v>
          </cell>
          <cell r="BK16">
            <v>18</v>
          </cell>
          <cell r="BL16">
            <v>6</v>
          </cell>
          <cell r="BM16">
            <v>7</v>
          </cell>
          <cell r="BN16">
            <v>12</v>
          </cell>
          <cell r="BO16">
            <v>0</v>
          </cell>
          <cell r="BP16">
            <v>20</v>
          </cell>
          <cell r="BQ16">
            <v>2</v>
          </cell>
          <cell r="BR16">
            <v>5</v>
          </cell>
          <cell r="BS16">
            <v>6</v>
          </cell>
          <cell r="BT16">
            <v>5</v>
          </cell>
          <cell r="BU16">
            <v>2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53</v>
          </cell>
          <cell r="DN16">
            <v>0</v>
          </cell>
          <cell r="DO16">
            <v>0</v>
          </cell>
          <cell r="DP16">
            <v>1</v>
          </cell>
          <cell r="DQ16">
            <v>47</v>
          </cell>
          <cell r="DR16">
            <v>5</v>
          </cell>
          <cell r="DS16">
            <v>0</v>
          </cell>
          <cell r="DT16">
            <v>82</v>
          </cell>
          <cell r="DU16">
            <v>13</v>
          </cell>
          <cell r="DV16">
            <v>20</v>
          </cell>
          <cell r="DW16">
            <v>15</v>
          </cell>
          <cell r="DX16">
            <v>26</v>
          </cell>
          <cell r="DY16">
            <v>8</v>
          </cell>
          <cell r="DZ16">
            <v>0</v>
          </cell>
          <cell r="EA16">
            <v>78</v>
          </cell>
          <cell r="EB16">
            <v>13</v>
          </cell>
          <cell r="EC16">
            <v>20</v>
          </cell>
          <cell r="ED16">
            <v>20</v>
          </cell>
          <cell r="EE16">
            <v>11</v>
          </cell>
          <cell r="EF16">
            <v>14</v>
          </cell>
          <cell r="EG16">
            <v>0</v>
          </cell>
          <cell r="EH16">
            <v>71</v>
          </cell>
          <cell r="EI16">
            <v>7</v>
          </cell>
          <cell r="EJ16">
            <v>15</v>
          </cell>
          <cell r="EK16">
            <v>13</v>
          </cell>
          <cell r="EL16">
            <v>27</v>
          </cell>
          <cell r="EM16">
            <v>9</v>
          </cell>
          <cell r="EN16">
            <v>0</v>
          </cell>
          <cell r="EO16" t="str">
            <v xml:space="preserve">FIREFLY SWIRL HOODIE                                        </v>
          </cell>
        </row>
        <row r="17">
          <cell r="A17" t="str">
            <v>CN3EL6372666</v>
          </cell>
          <cell r="B17" t="str">
            <v>CN3</v>
          </cell>
          <cell r="C17" t="str">
            <v>EL6372</v>
          </cell>
          <cell r="D17">
            <v>666</v>
          </cell>
          <cell r="E17" t="str">
            <v xml:space="preserve">   </v>
          </cell>
          <cell r="F17">
            <v>80714</v>
          </cell>
          <cell r="G17">
            <v>80919</v>
          </cell>
          <cell r="H17">
            <v>0</v>
          </cell>
          <cell r="I17">
            <v>498</v>
          </cell>
          <cell r="J17">
            <v>498</v>
          </cell>
          <cell r="K17">
            <v>498</v>
          </cell>
          <cell r="L17">
            <v>256</v>
          </cell>
          <cell r="M17">
            <v>256</v>
          </cell>
          <cell r="N17">
            <v>4049736</v>
          </cell>
          <cell r="O17">
            <v>4362480</v>
          </cell>
          <cell r="P17">
            <v>4362480</v>
          </cell>
          <cell r="Q17">
            <v>2242560</v>
          </cell>
          <cell r="R17">
            <v>15249800</v>
          </cell>
          <cell r="S17" t="str">
            <v xml:space="preserve"> </v>
          </cell>
          <cell r="T17" t="str">
            <v xml:space="preserve"> </v>
          </cell>
          <cell r="U17">
            <v>498</v>
          </cell>
          <cell r="V17">
            <v>4362480</v>
          </cell>
          <cell r="W17">
            <v>256</v>
          </cell>
          <cell r="X17">
            <v>2242560</v>
          </cell>
          <cell r="Y17">
            <v>51.41</v>
          </cell>
          <cell r="Z17">
            <v>51.41</v>
          </cell>
          <cell r="AA17">
            <v>2242560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242</v>
          </cell>
          <cell r="AN17">
            <v>4380000</v>
          </cell>
          <cell r="AO17">
            <v>8132</v>
          </cell>
          <cell r="AP17">
            <v>8760</v>
          </cell>
          <cell r="AQ17">
            <v>68000</v>
          </cell>
          <cell r="AR17">
            <v>0</v>
          </cell>
          <cell r="AS17">
            <v>7.76</v>
          </cell>
          <cell r="AT17">
            <v>33864000</v>
          </cell>
          <cell r="AU17">
            <v>6.8</v>
          </cell>
          <cell r="AV17">
            <v>15249800</v>
          </cell>
          <cell r="AW17">
            <v>0</v>
          </cell>
          <cell r="AX17">
            <v>0</v>
          </cell>
          <cell r="AY17">
            <v>51.41</v>
          </cell>
          <cell r="AZ17">
            <v>0</v>
          </cell>
          <cell r="BA17">
            <v>256</v>
          </cell>
          <cell r="BB17">
            <v>0</v>
          </cell>
          <cell r="BC17">
            <v>256</v>
          </cell>
          <cell r="BD17">
            <v>0</v>
          </cell>
          <cell r="BE17">
            <v>0</v>
          </cell>
          <cell r="BF17">
            <v>18</v>
          </cell>
          <cell r="BG17">
            <v>0</v>
          </cell>
          <cell r="BH17">
            <v>1</v>
          </cell>
          <cell r="BI17">
            <v>39</v>
          </cell>
          <cell r="BJ17">
            <v>7</v>
          </cell>
          <cell r="BK17">
            <v>9</v>
          </cell>
          <cell r="BL17">
            <v>9</v>
          </cell>
          <cell r="BM17">
            <v>6</v>
          </cell>
          <cell r="BN17">
            <v>8</v>
          </cell>
          <cell r="BO17">
            <v>0</v>
          </cell>
          <cell r="BP17">
            <v>16</v>
          </cell>
          <cell r="BQ17">
            <v>1</v>
          </cell>
          <cell r="BR17">
            <v>3</v>
          </cell>
          <cell r="BS17">
            <v>5</v>
          </cell>
          <cell r="BT17">
            <v>1</v>
          </cell>
          <cell r="BU17">
            <v>6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48</v>
          </cell>
          <cell r="DN17">
            <v>0</v>
          </cell>
          <cell r="DO17">
            <v>0</v>
          </cell>
          <cell r="DP17">
            <v>3</v>
          </cell>
          <cell r="DQ17">
            <v>42</v>
          </cell>
          <cell r="DR17">
            <v>3</v>
          </cell>
          <cell r="DS17">
            <v>0</v>
          </cell>
          <cell r="DT17">
            <v>63</v>
          </cell>
          <cell r="DU17">
            <v>15</v>
          </cell>
          <cell r="DV17">
            <v>12</v>
          </cell>
          <cell r="DW17">
            <v>11</v>
          </cell>
          <cell r="DX17">
            <v>17</v>
          </cell>
          <cell r="DY17">
            <v>8</v>
          </cell>
          <cell r="DZ17">
            <v>0</v>
          </cell>
          <cell r="EA17">
            <v>55</v>
          </cell>
          <cell r="EB17">
            <v>14</v>
          </cell>
          <cell r="EC17">
            <v>13</v>
          </cell>
          <cell r="ED17">
            <v>9</v>
          </cell>
          <cell r="EE17">
            <v>10</v>
          </cell>
          <cell r="EF17">
            <v>9</v>
          </cell>
          <cell r="EG17">
            <v>0</v>
          </cell>
          <cell r="EH17">
            <v>35</v>
          </cell>
          <cell r="EI17">
            <v>3</v>
          </cell>
          <cell r="EJ17">
            <v>6</v>
          </cell>
          <cell r="EK17">
            <v>6</v>
          </cell>
          <cell r="EL17">
            <v>13</v>
          </cell>
          <cell r="EM17">
            <v>7</v>
          </cell>
          <cell r="EN17">
            <v>0</v>
          </cell>
          <cell r="EO17" t="str">
            <v xml:space="preserve">FIREFLY SWIRL HOODIE                                        </v>
          </cell>
        </row>
        <row r="18">
          <cell r="A18" t="str">
            <v>CN3PL6586139</v>
          </cell>
          <cell r="B18" t="str">
            <v>CN3</v>
          </cell>
          <cell r="C18" t="str">
            <v>PL6586</v>
          </cell>
          <cell r="D18">
            <v>139</v>
          </cell>
          <cell r="E18" t="str">
            <v xml:space="preserve">   </v>
          </cell>
          <cell r="F18">
            <v>80909</v>
          </cell>
          <cell r="G18">
            <v>0</v>
          </cell>
          <cell r="H18">
            <v>0</v>
          </cell>
          <cell r="I18">
            <v>804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9218664</v>
          </cell>
          <cell r="O18">
            <v>12480</v>
          </cell>
          <cell r="P18">
            <v>0</v>
          </cell>
          <cell r="Q18">
            <v>0</v>
          </cell>
          <cell r="R18">
            <v>0</v>
          </cell>
          <cell r="S18" t="str">
            <v xml:space="preserve"> </v>
          </cell>
          <cell r="T18" t="str">
            <v xml:space="preserve"> </v>
          </cell>
          <cell r="U18">
            <v>1</v>
          </cell>
          <cell r="V18">
            <v>12480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24960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11466</v>
          </cell>
          <cell r="AP18">
            <v>12480</v>
          </cell>
          <cell r="AQ18">
            <v>89000</v>
          </cell>
          <cell r="AR18">
            <v>0</v>
          </cell>
          <cell r="AS18">
            <v>7.13</v>
          </cell>
          <cell r="AT18">
            <v>89000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1</v>
          </cell>
          <cell r="BH18">
            <v>1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-1</v>
          </cell>
          <cell r="DU18">
            <v>0</v>
          </cell>
          <cell r="DV18">
            <v>-1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1</v>
          </cell>
          <cell r="EB18">
            <v>0</v>
          </cell>
          <cell r="EC18">
            <v>1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 t="str">
            <v xml:space="preserve">BUCKEYE SPRINGS JACKET                                      </v>
          </cell>
        </row>
        <row r="19">
          <cell r="A19" t="str">
            <v>CN3PL6586693</v>
          </cell>
          <cell r="B19" t="str">
            <v>CN3</v>
          </cell>
          <cell r="C19" t="str">
            <v>PL6586</v>
          </cell>
          <cell r="D19">
            <v>693</v>
          </cell>
          <cell r="E19" t="str">
            <v xml:space="preserve">   </v>
          </cell>
          <cell r="F19">
            <v>80909</v>
          </cell>
          <cell r="G19">
            <v>80919</v>
          </cell>
          <cell r="H19">
            <v>0</v>
          </cell>
          <cell r="I19">
            <v>402</v>
          </cell>
          <cell r="J19">
            <v>380</v>
          </cell>
          <cell r="K19">
            <v>380</v>
          </cell>
          <cell r="L19">
            <v>327</v>
          </cell>
          <cell r="M19">
            <v>327</v>
          </cell>
          <cell r="N19">
            <v>4609332</v>
          </cell>
          <cell r="O19">
            <v>4742400</v>
          </cell>
          <cell r="P19">
            <v>4742400</v>
          </cell>
          <cell r="Q19">
            <v>4080960</v>
          </cell>
          <cell r="R19">
            <v>26271450</v>
          </cell>
          <cell r="S19" t="str">
            <v xml:space="preserve"> </v>
          </cell>
          <cell r="T19" t="str">
            <v xml:space="preserve"> </v>
          </cell>
          <cell r="U19">
            <v>380</v>
          </cell>
          <cell r="V19">
            <v>4742400</v>
          </cell>
          <cell r="W19">
            <v>327</v>
          </cell>
          <cell r="X19">
            <v>4080960</v>
          </cell>
          <cell r="Y19">
            <v>86.05</v>
          </cell>
          <cell r="Z19">
            <v>86.05</v>
          </cell>
          <cell r="AA19">
            <v>4080960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53</v>
          </cell>
          <cell r="AN19">
            <v>1472640</v>
          </cell>
          <cell r="AO19">
            <v>11466</v>
          </cell>
          <cell r="AP19">
            <v>12480</v>
          </cell>
          <cell r="AQ19">
            <v>89000</v>
          </cell>
          <cell r="AR19">
            <v>0</v>
          </cell>
          <cell r="AS19">
            <v>7.13</v>
          </cell>
          <cell r="AT19">
            <v>33820000</v>
          </cell>
          <cell r="AU19">
            <v>6.44</v>
          </cell>
          <cell r="AV19">
            <v>26271450</v>
          </cell>
          <cell r="AW19">
            <v>0</v>
          </cell>
          <cell r="AX19">
            <v>0</v>
          </cell>
          <cell r="AY19">
            <v>86.05</v>
          </cell>
          <cell r="AZ19">
            <v>0</v>
          </cell>
          <cell r="BA19">
            <v>327</v>
          </cell>
          <cell r="BB19">
            <v>0</v>
          </cell>
          <cell r="BC19">
            <v>327</v>
          </cell>
          <cell r="BD19">
            <v>0</v>
          </cell>
          <cell r="BE19">
            <v>0</v>
          </cell>
          <cell r="BF19">
            <v>22</v>
          </cell>
          <cell r="BG19">
            <v>0</v>
          </cell>
          <cell r="BH19">
            <v>1</v>
          </cell>
          <cell r="BI19">
            <v>38</v>
          </cell>
          <cell r="BJ19">
            <v>6</v>
          </cell>
          <cell r="BK19">
            <v>11</v>
          </cell>
          <cell r="BL19">
            <v>8</v>
          </cell>
          <cell r="BM19">
            <v>7</v>
          </cell>
          <cell r="BN19">
            <v>6</v>
          </cell>
          <cell r="BO19">
            <v>0</v>
          </cell>
          <cell r="BP19">
            <v>12</v>
          </cell>
          <cell r="BQ19">
            <v>0</v>
          </cell>
          <cell r="BR19">
            <v>3</v>
          </cell>
          <cell r="BS19">
            <v>3</v>
          </cell>
          <cell r="BT19">
            <v>4</v>
          </cell>
          <cell r="BU19">
            <v>2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75</v>
          </cell>
          <cell r="DN19">
            <v>0</v>
          </cell>
          <cell r="DO19">
            <v>0</v>
          </cell>
          <cell r="DP19">
            <v>1</v>
          </cell>
          <cell r="DQ19">
            <v>69</v>
          </cell>
          <cell r="DR19">
            <v>5</v>
          </cell>
          <cell r="DS19">
            <v>0</v>
          </cell>
          <cell r="DT19">
            <v>75</v>
          </cell>
          <cell r="DU19">
            <v>11</v>
          </cell>
          <cell r="DV19">
            <v>22</v>
          </cell>
          <cell r="DW19">
            <v>13</v>
          </cell>
          <cell r="DX19">
            <v>14</v>
          </cell>
          <cell r="DY19">
            <v>15</v>
          </cell>
          <cell r="DZ19">
            <v>0</v>
          </cell>
          <cell r="EA19">
            <v>85</v>
          </cell>
          <cell r="EB19">
            <v>9</v>
          </cell>
          <cell r="EC19">
            <v>32</v>
          </cell>
          <cell r="ED19">
            <v>8</v>
          </cell>
          <cell r="EE19">
            <v>18</v>
          </cell>
          <cell r="EF19">
            <v>18</v>
          </cell>
          <cell r="EG19">
            <v>0</v>
          </cell>
          <cell r="EH19">
            <v>42</v>
          </cell>
          <cell r="EI19">
            <v>13</v>
          </cell>
          <cell r="EJ19">
            <v>12</v>
          </cell>
          <cell r="EK19">
            <v>4</v>
          </cell>
          <cell r="EL19">
            <v>6</v>
          </cell>
          <cell r="EM19">
            <v>7</v>
          </cell>
          <cell r="EN19">
            <v>0</v>
          </cell>
          <cell r="EO19" t="str">
            <v xml:space="preserve">BUCKEYE SPRINGS JACKET                                      </v>
          </cell>
        </row>
        <row r="20">
          <cell r="A20" t="str">
            <v>CN3PL6586834</v>
          </cell>
          <cell r="B20" t="str">
            <v>CN3</v>
          </cell>
          <cell r="C20" t="str">
            <v>PL6586</v>
          </cell>
          <cell r="D20">
            <v>834</v>
          </cell>
          <cell r="E20" t="str">
            <v xml:space="preserve">   </v>
          </cell>
          <cell r="F20">
            <v>80909</v>
          </cell>
          <cell r="G20">
            <v>80919</v>
          </cell>
          <cell r="H20">
            <v>0</v>
          </cell>
          <cell r="I20">
            <v>402</v>
          </cell>
          <cell r="J20">
            <v>402</v>
          </cell>
          <cell r="K20">
            <v>402</v>
          </cell>
          <cell r="L20">
            <v>390</v>
          </cell>
          <cell r="M20">
            <v>390</v>
          </cell>
          <cell r="N20">
            <v>4609332</v>
          </cell>
          <cell r="O20">
            <v>5016960</v>
          </cell>
          <cell r="P20">
            <v>5016960</v>
          </cell>
          <cell r="Q20">
            <v>4867200</v>
          </cell>
          <cell r="R20">
            <v>30850950</v>
          </cell>
          <cell r="S20" t="str">
            <v xml:space="preserve"> </v>
          </cell>
          <cell r="T20" t="str">
            <v xml:space="preserve"> </v>
          </cell>
          <cell r="U20">
            <v>402</v>
          </cell>
          <cell r="V20">
            <v>5016960</v>
          </cell>
          <cell r="W20">
            <v>390</v>
          </cell>
          <cell r="X20">
            <v>4867200</v>
          </cell>
          <cell r="Y20">
            <v>97.01</v>
          </cell>
          <cell r="Z20">
            <v>97.01</v>
          </cell>
          <cell r="AA20">
            <v>4867200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12</v>
          </cell>
          <cell r="AN20">
            <v>336960</v>
          </cell>
          <cell r="AO20">
            <v>11466</v>
          </cell>
          <cell r="AP20">
            <v>12480</v>
          </cell>
          <cell r="AQ20">
            <v>89000</v>
          </cell>
          <cell r="AR20">
            <v>0</v>
          </cell>
          <cell r="AS20">
            <v>7.13</v>
          </cell>
          <cell r="AT20">
            <v>35778000</v>
          </cell>
          <cell r="AU20">
            <v>6.34</v>
          </cell>
          <cell r="AV20">
            <v>30850950</v>
          </cell>
          <cell r="AW20">
            <v>0</v>
          </cell>
          <cell r="AX20">
            <v>0</v>
          </cell>
          <cell r="AY20">
            <v>97.01</v>
          </cell>
          <cell r="AZ20">
            <v>0</v>
          </cell>
          <cell r="BA20">
            <v>390</v>
          </cell>
          <cell r="BB20">
            <v>0</v>
          </cell>
          <cell r="BC20">
            <v>390</v>
          </cell>
          <cell r="BD20">
            <v>0</v>
          </cell>
          <cell r="BE20">
            <v>0</v>
          </cell>
          <cell r="BF20">
            <v>7</v>
          </cell>
          <cell r="BG20">
            <v>0</v>
          </cell>
          <cell r="BH20">
            <v>1</v>
          </cell>
          <cell r="BI20">
            <v>7</v>
          </cell>
          <cell r="BJ20">
            <v>2</v>
          </cell>
          <cell r="BK20">
            <v>2</v>
          </cell>
          <cell r="BL20">
            <v>2</v>
          </cell>
          <cell r="BM20">
            <v>-1</v>
          </cell>
          <cell r="BN20">
            <v>2</v>
          </cell>
          <cell r="BO20">
            <v>0</v>
          </cell>
          <cell r="BP20">
            <v>3</v>
          </cell>
          <cell r="BQ20">
            <v>1</v>
          </cell>
          <cell r="BR20">
            <v>0</v>
          </cell>
          <cell r="BS20">
            <v>0</v>
          </cell>
          <cell r="BT20">
            <v>0</v>
          </cell>
          <cell r="BU20">
            <v>2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130</v>
          </cell>
          <cell r="DN20">
            <v>0</v>
          </cell>
          <cell r="DO20">
            <v>0</v>
          </cell>
          <cell r="DP20">
            <v>10</v>
          </cell>
          <cell r="DQ20">
            <v>115</v>
          </cell>
          <cell r="DR20">
            <v>5</v>
          </cell>
          <cell r="DS20">
            <v>0</v>
          </cell>
          <cell r="DT20">
            <v>158</v>
          </cell>
          <cell r="DU20">
            <v>29</v>
          </cell>
          <cell r="DV20">
            <v>49</v>
          </cell>
          <cell r="DW20">
            <v>21</v>
          </cell>
          <cell r="DX20">
            <v>32</v>
          </cell>
          <cell r="DY20">
            <v>27</v>
          </cell>
          <cell r="DZ20">
            <v>0</v>
          </cell>
          <cell r="EA20">
            <v>69</v>
          </cell>
          <cell r="EB20">
            <v>13</v>
          </cell>
          <cell r="EC20">
            <v>24</v>
          </cell>
          <cell r="ED20">
            <v>10</v>
          </cell>
          <cell r="EE20">
            <v>10</v>
          </cell>
          <cell r="EF20">
            <v>12</v>
          </cell>
          <cell r="EG20">
            <v>0</v>
          </cell>
          <cell r="EH20">
            <v>23</v>
          </cell>
          <cell r="EI20">
            <v>4</v>
          </cell>
          <cell r="EJ20">
            <v>7</v>
          </cell>
          <cell r="EK20">
            <v>5</v>
          </cell>
          <cell r="EL20">
            <v>5</v>
          </cell>
          <cell r="EM20">
            <v>2</v>
          </cell>
          <cell r="EN20">
            <v>0</v>
          </cell>
          <cell r="EO20" t="str">
            <v xml:space="preserve">BUCKEYE SPRINGS JACKET                                      </v>
          </cell>
        </row>
        <row r="21">
          <cell r="A21" t="str">
            <v>CN3PL7127375</v>
          </cell>
          <cell r="B21" t="str">
            <v>CN3</v>
          </cell>
          <cell r="C21" t="str">
            <v>PL7127</v>
          </cell>
          <cell r="D21">
            <v>375</v>
          </cell>
          <cell r="E21" t="str">
            <v xml:space="preserve">   </v>
          </cell>
          <cell r="F21">
            <v>80804</v>
          </cell>
          <cell r="G21">
            <v>80903</v>
          </cell>
          <cell r="H21">
            <v>0</v>
          </cell>
          <cell r="I21">
            <v>402</v>
          </cell>
          <cell r="J21">
            <v>400</v>
          </cell>
          <cell r="K21">
            <v>400</v>
          </cell>
          <cell r="L21">
            <v>122</v>
          </cell>
          <cell r="M21">
            <v>122</v>
          </cell>
          <cell r="N21">
            <v>7031784</v>
          </cell>
          <cell r="O21">
            <v>6981600</v>
          </cell>
          <cell r="P21">
            <v>6981600</v>
          </cell>
          <cell r="Q21">
            <v>2129388</v>
          </cell>
          <cell r="R21">
            <v>10804759</v>
          </cell>
          <cell r="S21" t="str">
            <v xml:space="preserve"> </v>
          </cell>
          <cell r="T21" t="str">
            <v xml:space="preserve"> </v>
          </cell>
          <cell r="U21">
            <v>400</v>
          </cell>
          <cell r="V21">
            <v>6981600</v>
          </cell>
          <cell r="W21">
            <v>122</v>
          </cell>
          <cell r="X21">
            <v>2129388</v>
          </cell>
          <cell r="Y21">
            <v>30.5</v>
          </cell>
          <cell r="Z21">
            <v>30.5</v>
          </cell>
          <cell r="AA21">
            <v>2111934</v>
          </cell>
          <cell r="AB21">
            <v>17454</v>
          </cell>
          <cell r="AC21">
            <v>0</v>
          </cell>
          <cell r="AD21">
            <v>17454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278</v>
          </cell>
          <cell r="AN21">
            <v>9826602</v>
          </cell>
          <cell r="AO21">
            <v>17492</v>
          </cell>
          <cell r="AP21">
            <v>17454</v>
          </cell>
          <cell r="AQ21">
            <v>98000</v>
          </cell>
          <cell r="AR21">
            <v>0</v>
          </cell>
          <cell r="AS21">
            <v>5.61</v>
          </cell>
          <cell r="AT21">
            <v>39200000</v>
          </cell>
          <cell r="AU21">
            <v>5.1100000000000003</v>
          </cell>
          <cell r="AV21">
            <v>10797900</v>
          </cell>
          <cell r="AW21">
            <v>0.39</v>
          </cell>
          <cell r="AX21">
            <v>6859</v>
          </cell>
          <cell r="AY21">
            <v>30.5</v>
          </cell>
          <cell r="AZ21">
            <v>0</v>
          </cell>
          <cell r="BA21">
            <v>121</v>
          </cell>
          <cell r="BB21">
            <v>1</v>
          </cell>
          <cell r="BC21">
            <v>122</v>
          </cell>
          <cell r="BD21">
            <v>0</v>
          </cell>
          <cell r="BE21">
            <v>0</v>
          </cell>
          <cell r="BF21">
            <v>8</v>
          </cell>
          <cell r="BG21">
            <v>1</v>
          </cell>
          <cell r="BH21">
            <v>1</v>
          </cell>
          <cell r="BI21">
            <v>9</v>
          </cell>
          <cell r="BJ21">
            <v>3</v>
          </cell>
          <cell r="BK21">
            <v>2</v>
          </cell>
          <cell r="BL21">
            <v>1</v>
          </cell>
          <cell r="BM21">
            <v>1</v>
          </cell>
          <cell r="BN21">
            <v>2</v>
          </cell>
          <cell r="BO21">
            <v>0</v>
          </cell>
          <cell r="BP21">
            <v>8</v>
          </cell>
          <cell r="BQ21">
            <v>0</v>
          </cell>
          <cell r="BR21">
            <v>3</v>
          </cell>
          <cell r="BS21">
            <v>3</v>
          </cell>
          <cell r="BT21">
            <v>2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41</v>
          </cell>
          <cell r="DN21">
            <v>2</v>
          </cell>
          <cell r="DO21">
            <v>4</v>
          </cell>
          <cell r="DP21">
            <v>6</v>
          </cell>
          <cell r="DQ21">
            <v>29</v>
          </cell>
          <cell r="DR21">
            <v>0</v>
          </cell>
          <cell r="DS21">
            <v>0</v>
          </cell>
          <cell r="DT21">
            <v>37</v>
          </cell>
          <cell r="DU21">
            <v>10</v>
          </cell>
          <cell r="DV21">
            <v>6</v>
          </cell>
          <cell r="DW21">
            <v>11</v>
          </cell>
          <cell r="DX21">
            <v>6</v>
          </cell>
          <cell r="DY21">
            <v>4</v>
          </cell>
          <cell r="DZ21">
            <v>0</v>
          </cell>
          <cell r="EA21">
            <v>15</v>
          </cell>
          <cell r="EB21">
            <v>4</v>
          </cell>
          <cell r="EC21">
            <v>5</v>
          </cell>
          <cell r="ED21">
            <v>2</v>
          </cell>
          <cell r="EE21">
            <v>2</v>
          </cell>
          <cell r="EF21">
            <v>2</v>
          </cell>
          <cell r="EG21">
            <v>0</v>
          </cell>
          <cell r="EH21">
            <v>12</v>
          </cell>
          <cell r="EI21">
            <v>1</v>
          </cell>
          <cell r="EJ21">
            <v>5</v>
          </cell>
          <cell r="EK21">
            <v>1</v>
          </cell>
          <cell r="EL21">
            <v>3</v>
          </cell>
          <cell r="EM21">
            <v>2</v>
          </cell>
          <cell r="EN21">
            <v>0</v>
          </cell>
          <cell r="EO21" t="str">
            <v xml:space="preserve">PYLAMID PEAK SHIRTS                                         </v>
          </cell>
        </row>
        <row r="22">
          <cell r="A22" t="str">
            <v>CN3PL7127610</v>
          </cell>
          <cell r="B22" t="str">
            <v>CN3</v>
          </cell>
          <cell r="C22" t="str">
            <v>PL7127</v>
          </cell>
          <cell r="D22">
            <v>610</v>
          </cell>
          <cell r="E22" t="str">
            <v xml:space="preserve">   </v>
          </cell>
          <cell r="F22">
            <v>80804</v>
          </cell>
          <cell r="G22">
            <v>80903</v>
          </cell>
          <cell r="H22">
            <v>0</v>
          </cell>
          <cell r="I22">
            <v>402</v>
          </cell>
          <cell r="J22">
            <v>402</v>
          </cell>
          <cell r="K22">
            <v>402</v>
          </cell>
          <cell r="L22">
            <v>123</v>
          </cell>
          <cell r="M22">
            <v>123</v>
          </cell>
          <cell r="N22">
            <v>7031784</v>
          </cell>
          <cell r="O22">
            <v>7016508</v>
          </cell>
          <cell r="P22">
            <v>7016508</v>
          </cell>
          <cell r="Q22">
            <v>2146842</v>
          </cell>
          <cell r="R22">
            <v>10784500</v>
          </cell>
          <cell r="S22" t="str">
            <v xml:space="preserve"> </v>
          </cell>
          <cell r="T22" t="str">
            <v xml:space="preserve"> </v>
          </cell>
          <cell r="U22">
            <v>402</v>
          </cell>
          <cell r="V22">
            <v>7016508</v>
          </cell>
          <cell r="W22">
            <v>123</v>
          </cell>
          <cell r="X22">
            <v>2146842</v>
          </cell>
          <cell r="Y22">
            <v>30.6</v>
          </cell>
          <cell r="Z22">
            <v>30.6</v>
          </cell>
          <cell r="AA22">
            <v>2146842</v>
          </cell>
          <cell r="AB22">
            <v>0</v>
          </cell>
          <cell r="AC22">
            <v>0</v>
          </cell>
          <cell r="AD22">
            <v>17454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279</v>
          </cell>
          <cell r="AN22">
            <v>9878964</v>
          </cell>
          <cell r="AO22">
            <v>17492</v>
          </cell>
          <cell r="AP22">
            <v>17454</v>
          </cell>
          <cell r="AQ22">
            <v>98000</v>
          </cell>
          <cell r="AR22">
            <v>0</v>
          </cell>
          <cell r="AS22">
            <v>5.61</v>
          </cell>
          <cell r="AT22">
            <v>39396000</v>
          </cell>
          <cell r="AU22">
            <v>5.0199999999999996</v>
          </cell>
          <cell r="AV22">
            <v>10784500</v>
          </cell>
          <cell r="AW22">
            <v>0</v>
          </cell>
          <cell r="AX22">
            <v>0</v>
          </cell>
          <cell r="AY22">
            <v>30.6</v>
          </cell>
          <cell r="AZ22">
            <v>0</v>
          </cell>
          <cell r="BA22">
            <v>123</v>
          </cell>
          <cell r="BB22">
            <v>0</v>
          </cell>
          <cell r="BC22">
            <v>123</v>
          </cell>
          <cell r="BD22">
            <v>0</v>
          </cell>
          <cell r="BE22">
            <v>0</v>
          </cell>
          <cell r="BF22">
            <v>15</v>
          </cell>
          <cell r="BG22">
            <v>0</v>
          </cell>
          <cell r="BH22">
            <v>1</v>
          </cell>
          <cell r="BI22">
            <v>9</v>
          </cell>
          <cell r="BJ22">
            <v>2</v>
          </cell>
          <cell r="BK22">
            <v>4</v>
          </cell>
          <cell r="BL22">
            <v>-1</v>
          </cell>
          <cell r="BM22">
            <v>2</v>
          </cell>
          <cell r="BN22">
            <v>2</v>
          </cell>
          <cell r="BO22">
            <v>0</v>
          </cell>
          <cell r="BP22">
            <v>9</v>
          </cell>
          <cell r="BQ22">
            <v>0</v>
          </cell>
          <cell r="BR22">
            <v>2</v>
          </cell>
          <cell r="BS22">
            <v>2</v>
          </cell>
          <cell r="BT22">
            <v>2</v>
          </cell>
          <cell r="BU22">
            <v>3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42</v>
          </cell>
          <cell r="DN22">
            <v>5</v>
          </cell>
          <cell r="DO22">
            <v>2</v>
          </cell>
          <cell r="DP22">
            <v>5</v>
          </cell>
          <cell r="DQ22">
            <v>28</v>
          </cell>
          <cell r="DR22">
            <v>2</v>
          </cell>
          <cell r="DS22">
            <v>0</v>
          </cell>
          <cell r="DT22">
            <v>35</v>
          </cell>
          <cell r="DU22">
            <v>4</v>
          </cell>
          <cell r="DV22">
            <v>11</v>
          </cell>
          <cell r="DW22">
            <v>6</v>
          </cell>
          <cell r="DX22">
            <v>6</v>
          </cell>
          <cell r="DY22">
            <v>8</v>
          </cell>
          <cell r="DZ22">
            <v>0</v>
          </cell>
          <cell r="EA22">
            <v>17</v>
          </cell>
          <cell r="EB22">
            <v>1</v>
          </cell>
          <cell r="EC22">
            <v>11</v>
          </cell>
          <cell r="ED22">
            <v>1</v>
          </cell>
          <cell r="EE22">
            <v>2</v>
          </cell>
          <cell r="EF22">
            <v>2</v>
          </cell>
          <cell r="EG22">
            <v>0</v>
          </cell>
          <cell r="EH22">
            <v>11</v>
          </cell>
          <cell r="EI22">
            <v>1</v>
          </cell>
          <cell r="EJ22">
            <v>1</v>
          </cell>
          <cell r="EK22">
            <v>6</v>
          </cell>
          <cell r="EL22">
            <v>4</v>
          </cell>
          <cell r="EM22">
            <v>-1</v>
          </cell>
          <cell r="EN22">
            <v>0</v>
          </cell>
          <cell r="EO22" t="str">
            <v xml:space="preserve">PYLAMID PEAK SHIRTS                                         </v>
          </cell>
        </row>
        <row r="23">
          <cell r="A23" t="str">
            <v>CN3PM2122010</v>
          </cell>
          <cell r="B23" t="str">
            <v>CN3</v>
          </cell>
          <cell r="C23" t="str">
            <v>PM2122</v>
          </cell>
          <cell r="D23">
            <v>10</v>
          </cell>
          <cell r="E23" t="str">
            <v xml:space="preserve">   </v>
          </cell>
          <cell r="F23">
            <v>80807</v>
          </cell>
          <cell r="G23">
            <v>80905</v>
          </cell>
          <cell r="H23">
            <v>0</v>
          </cell>
          <cell r="I23">
            <v>0</v>
          </cell>
          <cell r="J23">
            <v>55</v>
          </cell>
          <cell r="K23">
            <v>54</v>
          </cell>
          <cell r="L23">
            <v>4</v>
          </cell>
          <cell r="M23">
            <v>4</v>
          </cell>
          <cell r="N23">
            <v>0</v>
          </cell>
          <cell r="O23">
            <v>2061015</v>
          </cell>
          <cell r="P23">
            <v>2023542</v>
          </cell>
          <cell r="Q23">
            <v>149892</v>
          </cell>
          <cell r="R23">
            <v>806600</v>
          </cell>
          <cell r="S23" t="str">
            <v xml:space="preserve"> </v>
          </cell>
          <cell r="T23" t="str">
            <v>C</v>
          </cell>
          <cell r="U23">
            <v>55</v>
          </cell>
          <cell r="V23">
            <v>2061015</v>
          </cell>
          <cell r="W23">
            <v>4</v>
          </cell>
          <cell r="X23">
            <v>149892</v>
          </cell>
          <cell r="Y23">
            <v>5.45</v>
          </cell>
          <cell r="Z23">
            <v>3.64</v>
          </cell>
          <cell r="AA23">
            <v>149892</v>
          </cell>
          <cell r="AB23">
            <v>0</v>
          </cell>
          <cell r="AC23">
            <v>1</v>
          </cell>
          <cell r="AD23">
            <v>187365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-1</v>
          </cell>
          <cell r="AL23">
            <v>-74946</v>
          </cell>
          <cell r="AM23">
            <v>51</v>
          </cell>
          <cell r="AN23">
            <v>3747300</v>
          </cell>
          <cell r="AO23">
            <v>41184</v>
          </cell>
          <cell r="AP23">
            <v>37473</v>
          </cell>
          <cell r="AQ23">
            <v>218000</v>
          </cell>
          <cell r="AR23">
            <v>0</v>
          </cell>
          <cell r="AS23">
            <v>5.82</v>
          </cell>
          <cell r="AT23">
            <v>11990000</v>
          </cell>
          <cell r="AU23">
            <v>5.38</v>
          </cell>
          <cell r="AV23">
            <v>806600</v>
          </cell>
          <cell r="AW23">
            <v>0</v>
          </cell>
          <cell r="AX23">
            <v>0</v>
          </cell>
          <cell r="AY23">
            <v>5.45</v>
          </cell>
          <cell r="AZ23">
            <v>0</v>
          </cell>
          <cell r="BA23">
            <v>4</v>
          </cell>
          <cell r="BB23">
            <v>0</v>
          </cell>
          <cell r="BC23">
            <v>4</v>
          </cell>
          <cell r="BD23">
            <v>0</v>
          </cell>
          <cell r="BE23">
            <v>0</v>
          </cell>
          <cell r="BF23">
            <v>1</v>
          </cell>
          <cell r="BG23">
            <v>1</v>
          </cell>
          <cell r="BH23">
            <v>1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1</v>
          </cell>
          <cell r="BQ23">
            <v>1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1</v>
          </cell>
          <cell r="DN23">
            <v>0</v>
          </cell>
          <cell r="DO23">
            <v>0</v>
          </cell>
          <cell r="DP23">
            <v>0</v>
          </cell>
          <cell r="DQ23">
            <v>1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1</v>
          </cell>
          <cell r="EB23">
            <v>0</v>
          </cell>
          <cell r="EC23">
            <v>1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1</v>
          </cell>
          <cell r="EI23">
            <v>0</v>
          </cell>
          <cell r="EJ23">
            <v>0</v>
          </cell>
          <cell r="EK23">
            <v>1</v>
          </cell>
          <cell r="EL23">
            <v>0</v>
          </cell>
          <cell r="EM23">
            <v>0</v>
          </cell>
          <cell r="EN23">
            <v>0</v>
          </cell>
          <cell r="EO23" t="str">
            <v xml:space="preserve">SYNTEX SHELL                                                </v>
          </cell>
        </row>
        <row r="24">
          <cell r="A24" t="str">
            <v>CN3PM2122254</v>
          </cell>
          <cell r="B24" t="str">
            <v>CN3</v>
          </cell>
          <cell r="C24" t="str">
            <v>PM2122</v>
          </cell>
          <cell r="D24">
            <v>254</v>
          </cell>
          <cell r="E24" t="str">
            <v xml:space="preserve">   </v>
          </cell>
          <cell r="F24">
            <v>80807</v>
          </cell>
          <cell r="G24">
            <v>81017</v>
          </cell>
          <cell r="H24">
            <v>0</v>
          </cell>
          <cell r="I24">
            <v>0</v>
          </cell>
          <cell r="J24">
            <v>4</v>
          </cell>
          <cell r="K24">
            <v>4</v>
          </cell>
          <cell r="L24">
            <v>0</v>
          </cell>
          <cell r="M24">
            <v>0</v>
          </cell>
          <cell r="N24">
            <v>0</v>
          </cell>
          <cell r="O24">
            <v>149892</v>
          </cell>
          <cell r="P24">
            <v>149892</v>
          </cell>
          <cell r="Q24">
            <v>0</v>
          </cell>
          <cell r="R24">
            <v>-211141</v>
          </cell>
          <cell r="S24" t="str">
            <v xml:space="preserve"> </v>
          </cell>
          <cell r="T24" t="str">
            <v>C</v>
          </cell>
          <cell r="U24">
            <v>4</v>
          </cell>
          <cell r="V24">
            <v>149892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-37473</v>
          </cell>
          <cell r="AB24">
            <v>37473</v>
          </cell>
          <cell r="AC24">
            <v>0</v>
          </cell>
          <cell r="AD24">
            <v>37473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4</v>
          </cell>
          <cell r="AN24">
            <v>262311</v>
          </cell>
          <cell r="AO24">
            <v>41184</v>
          </cell>
          <cell r="AP24">
            <v>37473</v>
          </cell>
          <cell r="AQ24">
            <v>218000</v>
          </cell>
          <cell r="AR24">
            <v>0</v>
          </cell>
          <cell r="AS24">
            <v>5.82</v>
          </cell>
          <cell r="AT24">
            <v>872000</v>
          </cell>
          <cell r="AU24">
            <v>5.82</v>
          </cell>
          <cell r="AV24">
            <v>-218000</v>
          </cell>
          <cell r="AW24">
            <v>0.18</v>
          </cell>
          <cell r="AX24">
            <v>6859</v>
          </cell>
          <cell r="AY24">
            <v>0</v>
          </cell>
          <cell r="AZ24">
            <v>0</v>
          </cell>
          <cell r="BA24">
            <v>-1</v>
          </cell>
          <cell r="BB24">
            <v>1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-1</v>
          </cell>
          <cell r="DG24">
            <v>0</v>
          </cell>
          <cell r="DH24">
            <v>-1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1</v>
          </cell>
          <cell r="EI24">
            <v>0</v>
          </cell>
          <cell r="EJ24">
            <v>1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 t="str">
            <v xml:space="preserve">SYNTEX SHELL                                                </v>
          </cell>
        </row>
        <row r="25">
          <cell r="A25" t="str">
            <v>CN3PM2122425</v>
          </cell>
          <cell r="B25" t="str">
            <v>CN3</v>
          </cell>
          <cell r="C25" t="str">
            <v>PM2122</v>
          </cell>
          <cell r="D25">
            <v>425</v>
          </cell>
          <cell r="E25" t="str">
            <v xml:space="preserve">   </v>
          </cell>
          <cell r="F25">
            <v>80807</v>
          </cell>
          <cell r="G25">
            <v>80918</v>
          </cell>
          <cell r="H25">
            <v>0</v>
          </cell>
          <cell r="I25">
            <v>0</v>
          </cell>
          <cell r="J25">
            <v>246</v>
          </cell>
          <cell r="K25">
            <v>226</v>
          </cell>
          <cell r="L25">
            <v>12</v>
          </cell>
          <cell r="M25">
            <v>12</v>
          </cell>
          <cell r="N25">
            <v>0</v>
          </cell>
          <cell r="O25">
            <v>9218358</v>
          </cell>
          <cell r="P25">
            <v>8468898</v>
          </cell>
          <cell r="Q25">
            <v>449676</v>
          </cell>
          <cell r="R25">
            <v>2507000</v>
          </cell>
          <cell r="S25" t="str">
            <v xml:space="preserve"> </v>
          </cell>
          <cell r="T25" t="str">
            <v>C</v>
          </cell>
          <cell r="U25">
            <v>246</v>
          </cell>
          <cell r="V25">
            <v>9218358</v>
          </cell>
          <cell r="W25">
            <v>12</v>
          </cell>
          <cell r="X25">
            <v>449676</v>
          </cell>
          <cell r="Y25">
            <v>5.28</v>
          </cell>
          <cell r="Z25">
            <v>5.69</v>
          </cell>
          <cell r="AA25">
            <v>449676</v>
          </cell>
          <cell r="AB25">
            <v>0</v>
          </cell>
          <cell r="AC25">
            <v>20</v>
          </cell>
          <cell r="AD25">
            <v>1573866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</v>
          </cell>
          <cell r="AL25">
            <v>74946</v>
          </cell>
          <cell r="AM25">
            <v>213</v>
          </cell>
          <cell r="AN25">
            <v>16075917</v>
          </cell>
          <cell r="AO25">
            <v>41184</v>
          </cell>
          <cell r="AP25">
            <v>37473</v>
          </cell>
          <cell r="AQ25">
            <v>218000</v>
          </cell>
          <cell r="AR25">
            <v>0</v>
          </cell>
          <cell r="AS25">
            <v>5.82</v>
          </cell>
          <cell r="AT25">
            <v>53628000</v>
          </cell>
          <cell r="AU25">
            <v>5.58</v>
          </cell>
          <cell r="AV25">
            <v>2507000</v>
          </cell>
          <cell r="AW25">
            <v>0</v>
          </cell>
          <cell r="AX25">
            <v>0</v>
          </cell>
          <cell r="AY25">
            <v>5.28</v>
          </cell>
          <cell r="AZ25">
            <v>0</v>
          </cell>
          <cell r="BA25">
            <v>12</v>
          </cell>
          <cell r="BB25">
            <v>0</v>
          </cell>
          <cell r="BC25">
            <v>12</v>
          </cell>
          <cell r="BD25">
            <v>0</v>
          </cell>
          <cell r="BE25">
            <v>0</v>
          </cell>
          <cell r="BF25">
            <v>4</v>
          </cell>
          <cell r="BG25">
            <v>0</v>
          </cell>
          <cell r="BH25">
            <v>1</v>
          </cell>
          <cell r="BI25">
            <v>0</v>
          </cell>
          <cell r="BJ25">
            <v>0</v>
          </cell>
          <cell r="BK25">
            <v>1</v>
          </cell>
          <cell r="BL25">
            <v>-1</v>
          </cell>
          <cell r="BM25">
            <v>0</v>
          </cell>
          <cell r="BN25">
            <v>0</v>
          </cell>
          <cell r="BO25">
            <v>0</v>
          </cell>
          <cell r="BP25">
            <v>5</v>
          </cell>
          <cell r="BQ25">
            <v>1</v>
          </cell>
          <cell r="BR25">
            <v>0</v>
          </cell>
          <cell r="BS25">
            <v>2</v>
          </cell>
          <cell r="BT25">
            <v>1</v>
          </cell>
          <cell r="BU25">
            <v>1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1</v>
          </cell>
          <cell r="DN25">
            <v>0</v>
          </cell>
          <cell r="DO25">
            <v>0</v>
          </cell>
          <cell r="DP25">
            <v>1</v>
          </cell>
          <cell r="DQ25">
            <v>0</v>
          </cell>
          <cell r="DR25">
            <v>0</v>
          </cell>
          <cell r="DS25">
            <v>0</v>
          </cell>
          <cell r="DT25">
            <v>3</v>
          </cell>
          <cell r="DU25">
            <v>0</v>
          </cell>
          <cell r="DV25">
            <v>0</v>
          </cell>
          <cell r="DW25">
            <v>1</v>
          </cell>
          <cell r="DX25">
            <v>1</v>
          </cell>
          <cell r="DY25">
            <v>1</v>
          </cell>
          <cell r="DZ25">
            <v>0</v>
          </cell>
          <cell r="EA25">
            <v>2</v>
          </cell>
          <cell r="EB25">
            <v>0</v>
          </cell>
          <cell r="EC25">
            <v>1</v>
          </cell>
          <cell r="ED25">
            <v>0</v>
          </cell>
          <cell r="EE25">
            <v>1</v>
          </cell>
          <cell r="EF25">
            <v>0</v>
          </cell>
          <cell r="EG25">
            <v>0</v>
          </cell>
          <cell r="EH25">
            <v>1</v>
          </cell>
          <cell r="EI25">
            <v>1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 t="str">
            <v xml:space="preserve">SYNTEX SHELL                                                </v>
          </cell>
        </row>
        <row r="26">
          <cell r="A26" t="str">
            <v>CN3PM6429425</v>
          </cell>
          <cell r="B26" t="str">
            <v>CN3</v>
          </cell>
          <cell r="C26" t="str">
            <v>PM6429</v>
          </cell>
          <cell r="D26">
            <v>425</v>
          </cell>
          <cell r="E26" t="str">
            <v xml:space="preserve">   </v>
          </cell>
          <cell r="F26">
            <v>80827</v>
          </cell>
          <cell r="G26">
            <v>80903</v>
          </cell>
          <cell r="H26">
            <v>0</v>
          </cell>
          <cell r="I26">
            <v>402</v>
          </cell>
          <cell r="J26">
            <v>402</v>
          </cell>
          <cell r="K26">
            <v>402</v>
          </cell>
          <cell r="L26">
            <v>264</v>
          </cell>
          <cell r="M26">
            <v>264</v>
          </cell>
          <cell r="N26">
            <v>2680938</v>
          </cell>
          <cell r="O26">
            <v>2777418</v>
          </cell>
          <cell r="P26">
            <v>2777418</v>
          </cell>
          <cell r="Q26">
            <v>1823976</v>
          </cell>
          <cell r="R26">
            <v>10798200</v>
          </cell>
          <cell r="S26" t="str">
            <v xml:space="preserve"> </v>
          </cell>
          <cell r="T26" t="str">
            <v xml:space="preserve"> </v>
          </cell>
          <cell r="U26">
            <v>402</v>
          </cell>
          <cell r="V26">
            <v>2777418</v>
          </cell>
          <cell r="W26">
            <v>264</v>
          </cell>
          <cell r="X26">
            <v>1823976</v>
          </cell>
          <cell r="Y26">
            <v>65.92</v>
          </cell>
          <cell r="Z26">
            <v>66.17</v>
          </cell>
          <cell r="AA26">
            <v>1823976</v>
          </cell>
          <cell r="AB26">
            <v>0</v>
          </cell>
          <cell r="AC26">
            <v>0</v>
          </cell>
          <cell r="AD26">
            <v>20727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1</v>
          </cell>
          <cell r="AL26">
            <v>13818</v>
          </cell>
          <cell r="AM26">
            <v>137</v>
          </cell>
          <cell r="AN26">
            <v>1975974</v>
          </cell>
          <cell r="AO26">
            <v>6669</v>
          </cell>
          <cell r="AP26">
            <v>6909</v>
          </cell>
          <cell r="AQ26">
            <v>45000</v>
          </cell>
          <cell r="AR26">
            <v>0</v>
          </cell>
          <cell r="AS26">
            <v>6.51</v>
          </cell>
          <cell r="AT26">
            <v>18090000</v>
          </cell>
          <cell r="AU26">
            <v>5.92</v>
          </cell>
          <cell r="AV26">
            <v>10798200</v>
          </cell>
          <cell r="AW26">
            <v>0</v>
          </cell>
          <cell r="AX26">
            <v>0</v>
          </cell>
          <cell r="AY26">
            <v>65.92</v>
          </cell>
          <cell r="AZ26">
            <v>0</v>
          </cell>
          <cell r="BA26">
            <v>264</v>
          </cell>
          <cell r="BB26">
            <v>0</v>
          </cell>
          <cell r="BC26">
            <v>263</v>
          </cell>
          <cell r="BD26">
            <v>1</v>
          </cell>
          <cell r="BE26">
            <v>0</v>
          </cell>
          <cell r="BF26">
            <v>25</v>
          </cell>
          <cell r="BG26">
            <v>1</v>
          </cell>
          <cell r="BH26">
            <v>1</v>
          </cell>
          <cell r="BI26">
            <v>37</v>
          </cell>
          <cell r="BJ26">
            <v>13</v>
          </cell>
          <cell r="BK26">
            <v>5</v>
          </cell>
          <cell r="BL26">
            <v>5</v>
          </cell>
          <cell r="BM26">
            <v>8</v>
          </cell>
          <cell r="BN26">
            <v>6</v>
          </cell>
          <cell r="BO26">
            <v>0</v>
          </cell>
          <cell r="BP26">
            <v>15</v>
          </cell>
          <cell r="BQ26">
            <v>2</v>
          </cell>
          <cell r="BR26">
            <v>1</v>
          </cell>
          <cell r="BS26">
            <v>6</v>
          </cell>
          <cell r="BT26">
            <v>0</v>
          </cell>
          <cell r="BU26">
            <v>6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82</v>
          </cell>
          <cell r="DN26">
            <v>13</v>
          </cell>
          <cell r="DO26">
            <v>12</v>
          </cell>
          <cell r="DP26">
            <v>14</v>
          </cell>
          <cell r="DQ26">
            <v>37</v>
          </cell>
          <cell r="DR26">
            <v>6</v>
          </cell>
          <cell r="DS26">
            <v>0</v>
          </cell>
          <cell r="DT26">
            <v>60</v>
          </cell>
          <cell r="DU26">
            <v>15</v>
          </cell>
          <cell r="DV26">
            <v>17</v>
          </cell>
          <cell r="DW26">
            <v>12</v>
          </cell>
          <cell r="DX26">
            <v>13</v>
          </cell>
          <cell r="DY26">
            <v>3</v>
          </cell>
          <cell r="DZ26">
            <v>0</v>
          </cell>
          <cell r="EA26">
            <v>41</v>
          </cell>
          <cell r="EB26">
            <v>4</v>
          </cell>
          <cell r="EC26">
            <v>11</v>
          </cell>
          <cell r="ED26">
            <v>14</v>
          </cell>
          <cell r="EE26">
            <v>6</v>
          </cell>
          <cell r="EF26">
            <v>6</v>
          </cell>
          <cell r="EG26">
            <v>0</v>
          </cell>
          <cell r="EH26">
            <v>29</v>
          </cell>
          <cell r="EI26">
            <v>1</v>
          </cell>
          <cell r="EJ26">
            <v>10</v>
          </cell>
          <cell r="EK26">
            <v>8</v>
          </cell>
          <cell r="EL26">
            <v>6</v>
          </cell>
          <cell r="EM26">
            <v>4</v>
          </cell>
          <cell r="EN26">
            <v>0</v>
          </cell>
          <cell r="EO26" t="str">
            <v xml:space="preserve">TIGER GETAWAY TEE                                           </v>
          </cell>
        </row>
        <row r="27">
          <cell r="A27" t="str">
            <v>CN3PM6429529</v>
          </cell>
          <cell r="B27" t="str">
            <v>CN3</v>
          </cell>
          <cell r="C27" t="str">
            <v>PM6429</v>
          </cell>
          <cell r="D27">
            <v>529</v>
          </cell>
          <cell r="E27" t="str">
            <v xml:space="preserve">   </v>
          </cell>
          <cell r="F27">
            <v>80827</v>
          </cell>
          <cell r="G27">
            <v>80903</v>
          </cell>
          <cell r="H27">
            <v>0</v>
          </cell>
          <cell r="I27">
            <v>402</v>
          </cell>
          <cell r="J27">
            <v>402</v>
          </cell>
          <cell r="K27">
            <v>402</v>
          </cell>
          <cell r="L27">
            <v>160</v>
          </cell>
          <cell r="M27">
            <v>160</v>
          </cell>
          <cell r="N27">
            <v>2680938</v>
          </cell>
          <cell r="O27">
            <v>2777418</v>
          </cell>
          <cell r="P27">
            <v>2777418</v>
          </cell>
          <cell r="Q27">
            <v>1105440</v>
          </cell>
          <cell r="R27">
            <v>6162427</v>
          </cell>
          <cell r="S27" t="str">
            <v xml:space="preserve"> </v>
          </cell>
          <cell r="T27" t="str">
            <v xml:space="preserve"> </v>
          </cell>
          <cell r="U27">
            <v>402</v>
          </cell>
          <cell r="V27">
            <v>2777418</v>
          </cell>
          <cell r="W27">
            <v>160</v>
          </cell>
          <cell r="X27">
            <v>1105440</v>
          </cell>
          <cell r="Y27">
            <v>39.049999999999997</v>
          </cell>
          <cell r="Z27">
            <v>38.31</v>
          </cell>
          <cell r="AA27">
            <v>1084713</v>
          </cell>
          <cell r="AB27">
            <v>20727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-3</v>
          </cell>
          <cell r="AL27">
            <v>-41454</v>
          </cell>
          <cell r="AM27">
            <v>245</v>
          </cell>
          <cell r="AN27">
            <v>3482136</v>
          </cell>
          <cell r="AO27">
            <v>6669</v>
          </cell>
          <cell r="AP27">
            <v>6909</v>
          </cell>
          <cell r="AQ27">
            <v>45000</v>
          </cell>
          <cell r="AR27">
            <v>0</v>
          </cell>
          <cell r="AS27">
            <v>6.51</v>
          </cell>
          <cell r="AT27">
            <v>18090000</v>
          </cell>
          <cell r="AU27">
            <v>5.66</v>
          </cell>
          <cell r="AV27">
            <v>6141850</v>
          </cell>
          <cell r="AW27">
            <v>0.99</v>
          </cell>
          <cell r="AX27">
            <v>20577</v>
          </cell>
          <cell r="AY27">
            <v>39.049999999999997</v>
          </cell>
          <cell r="AZ27">
            <v>0</v>
          </cell>
          <cell r="BA27">
            <v>157</v>
          </cell>
          <cell r="BB27">
            <v>3</v>
          </cell>
          <cell r="BC27">
            <v>160</v>
          </cell>
          <cell r="BD27">
            <v>0</v>
          </cell>
          <cell r="BE27">
            <v>0</v>
          </cell>
          <cell r="BF27">
            <v>18</v>
          </cell>
          <cell r="BG27">
            <v>0</v>
          </cell>
          <cell r="BH27">
            <v>1</v>
          </cell>
          <cell r="BI27">
            <v>18</v>
          </cell>
          <cell r="BJ27">
            <v>2</v>
          </cell>
          <cell r="BK27">
            <v>9</v>
          </cell>
          <cell r="BL27">
            <v>6</v>
          </cell>
          <cell r="BM27">
            <v>0</v>
          </cell>
          <cell r="BN27">
            <v>1</v>
          </cell>
          <cell r="BO27">
            <v>0</v>
          </cell>
          <cell r="BP27">
            <v>14</v>
          </cell>
          <cell r="BQ27">
            <v>2</v>
          </cell>
          <cell r="BR27">
            <v>5</v>
          </cell>
          <cell r="BS27">
            <v>1</v>
          </cell>
          <cell r="BT27">
            <v>5</v>
          </cell>
          <cell r="BU27">
            <v>1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43</v>
          </cell>
          <cell r="DN27">
            <v>3</v>
          </cell>
          <cell r="DO27">
            <v>4</v>
          </cell>
          <cell r="DP27">
            <v>8</v>
          </cell>
          <cell r="DQ27">
            <v>24</v>
          </cell>
          <cell r="DR27">
            <v>4</v>
          </cell>
          <cell r="DS27">
            <v>0</v>
          </cell>
          <cell r="DT27">
            <v>43</v>
          </cell>
          <cell r="DU27">
            <v>6</v>
          </cell>
          <cell r="DV27">
            <v>11</v>
          </cell>
          <cell r="DW27">
            <v>12</v>
          </cell>
          <cell r="DX27">
            <v>11</v>
          </cell>
          <cell r="DY27">
            <v>3</v>
          </cell>
          <cell r="DZ27">
            <v>0</v>
          </cell>
          <cell r="EA27">
            <v>25</v>
          </cell>
          <cell r="EB27">
            <v>4</v>
          </cell>
          <cell r="EC27">
            <v>8</v>
          </cell>
          <cell r="ED27">
            <v>6</v>
          </cell>
          <cell r="EE27">
            <v>6</v>
          </cell>
          <cell r="EF27">
            <v>1</v>
          </cell>
          <cell r="EG27">
            <v>0</v>
          </cell>
          <cell r="EH27">
            <v>17</v>
          </cell>
          <cell r="EI27">
            <v>1</v>
          </cell>
          <cell r="EJ27">
            <v>7</v>
          </cell>
          <cell r="EK27">
            <v>2</v>
          </cell>
          <cell r="EL27">
            <v>3</v>
          </cell>
          <cell r="EM27">
            <v>4</v>
          </cell>
          <cell r="EN27">
            <v>0</v>
          </cell>
          <cell r="EO27" t="str">
            <v xml:space="preserve">TIGER GETAWAY TEE                                           </v>
          </cell>
        </row>
        <row r="28">
          <cell r="A28" t="str">
            <v>CN3PM6582010</v>
          </cell>
          <cell r="B28" t="str">
            <v>CN3</v>
          </cell>
          <cell r="C28" t="str">
            <v>PM6582</v>
          </cell>
          <cell r="D28">
            <v>10</v>
          </cell>
          <cell r="E28" t="str">
            <v xml:space="preserve">   </v>
          </cell>
          <cell r="F28">
            <v>80827</v>
          </cell>
          <cell r="G28">
            <v>0</v>
          </cell>
          <cell r="H28">
            <v>0</v>
          </cell>
          <cell r="I28">
            <v>534</v>
          </cell>
          <cell r="J28">
            <v>-4</v>
          </cell>
          <cell r="K28">
            <v>-4</v>
          </cell>
          <cell r="L28">
            <v>0</v>
          </cell>
          <cell r="M28">
            <v>0</v>
          </cell>
          <cell r="N28">
            <v>5916720</v>
          </cell>
          <cell r="O28">
            <v>-44276</v>
          </cell>
          <cell r="P28">
            <v>-44276</v>
          </cell>
          <cell r="Q28">
            <v>0</v>
          </cell>
          <cell r="R28">
            <v>0</v>
          </cell>
          <cell r="S28" t="str">
            <v xml:space="preserve"> </v>
          </cell>
          <cell r="T28" t="str">
            <v xml:space="preserve"> </v>
          </cell>
          <cell r="U28">
            <v>-4</v>
          </cell>
          <cell r="V28">
            <v>-44276</v>
          </cell>
          <cell r="W28">
            <v>0</v>
          </cell>
          <cell r="X28">
            <v>0</v>
          </cell>
          <cell r="Y28">
            <v>100</v>
          </cell>
          <cell r="Z28">
            <v>200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-4</v>
          </cell>
          <cell r="AL28">
            <v>-88552</v>
          </cell>
          <cell r="AM28">
            <v>0</v>
          </cell>
          <cell r="AN28">
            <v>0</v>
          </cell>
          <cell r="AO28">
            <v>11080</v>
          </cell>
          <cell r="AP28">
            <v>11069</v>
          </cell>
          <cell r="AQ28">
            <v>89000</v>
          </cell>
          <cell r="AR28">
            <v>0</v>
          </cell>
          <cell r="AS28">
            <v>8.0399999999999991</v>
          </cell>
          <cell r="AT28">
            <v>-356000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100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1</v>
          </cell>
          <cell r="BH28">
            <v>1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 t="str">
            <v xml:space="preserve">BUCKEYE SPRINGS JACKET                                      </v>
          </cell>
        </row>
        <row r="29">
          <cell r="A29" t="str">
            <v>CN3PM6582213</v>
          </cell>
          <cell r="B29" t="str">
            <v>CN3</v>
          </cell>
          <cell r="C29" t="str">
            <v>PM6582</v>
          </cell>
          <cell r="D29">
            <v>213</v>
          </cell>
          <cell r="E29" t="str">
            <v xml:space="preserve">   </v>
          </cell>
          <cell r="F29">
            <v>80827</v>
          </cell>
          <cell r="G29">
            <v>80919</v>
          </cell>
          <cell r="H29">
            <v>0</v>
          </cell>
          <cell r="I29">
            <v>402</v>
          </cell>
          <cell r="J29">
            <v>402</v>
          </cell>
          <cell r="K29">
            <v>402</v>
          </cell>
          <cell r="L29">
            <v>329</v>
          </cell>
          <cell r="M29">
            <v>329</v>
          </cell>
          <cell r="N29">
            <v>4454160</v>
          </cell>
          <cell r="O29">
            <v>4449738</v>
          </cell>
          <cell r="P29">
            <v>4449738</v>
          </cell>
          <cell r="Q29">
            <v>3641701</v>
          </cell>
          <cell r="R29">
            <v>26897868</v>
          </cell>
          <cell r="S29" t="str">
            <v xml:space="preserve"> </v>
          </cell>
          <cell r="T29" t="str">
            <v xml:space="preserve"> </v>
          </cell>
          <cell r="U29">
            <v>402</v>
          </cell>
          <cell r="V29">
            <v>4449738</v>
          </cell>
          <cell r="W29">
            <v>329</v>
          </cell>
          <cell r="X29">
            <v>3641701</v>
          </cell>
          <cell r="Y29">
            <v>82.84</v>
          </cell>
          <cell r="Z29">
            <v>83.83</v>
          </cell>
          <cell r="AA29">
            <v>3619563</v>
          </cell>
          <cell r="AB29">
            <v>22138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4</v>
          </cell>
          <cell r="AL29">
            <v>88552</v>
          </cell>
          <cell r="AM29">
            <v>69</v>
          </cell>
          <cell r="AN29">
            <v>1715695</v>
          </cell>
          <cell r="AO29">
            <v>11080</v>
          </cell>
          <cell r="AP29">
            <v>11069</v>
          </cell>
          <cell r="AQ29">
            <v>89000</v>
          </cell>
          <cell r="AR29">
            <v>0</v>
          </cell>
          <cell r="AS29">
            <v>8.0399999999999991</v>
          </cell>
          <cell r="AT29">
            <v>35778000</v>
          </cell>
          <cell r="AU29">
            <v>7.43</v>
          </cell>
          <cell r="AV29">
            <v>26884150</v>
          </cell>
          <cell r="AW29">
            <v>0.62</v>
          </cell>
          <cell r="AX29">
            <v>13718</v>
          </cell>
          <cell r="AY29">
            <v>82.84</v>
          </cell>
          <cell r="AZ29">
            <v>0</v>
          </cell>
          <cell r="BA29">
            <v>327</v>
          </cell>
          <cell r="BB29">
            <v>2</v>
          </cell>
          <cell r="BC29">
            <v>329</v>
          </cell>
          <cell r="BD29">
            <v>0</v>
          </cell>
          <cell r="BE29">
            <v>0</v>
          </cell>
          <cell r="BF29">
            <v>21</v>
          </cell>
          <cell r="BG29">
            <v>0</v>
          </cell>
          <cell r="BH29">
            <v>1</v>
          </cell>
          <cell r="BI29">
            <v>38</v>
          </cell>
          <cell r="BJ29">
            <v>11</v>
          </cell>
          <cell r="BK29">
            <v>8</v>
          </cell>
          <cell r="BL29">
            <v>8</v>
          </cell>
          <cell r="BM29">
            <v>5</v>
          </cell>
          <cell r="BN29">
            <v>6</v>
          </cell>
          <cell r="BO29">
            <v>0</v>
          </cell>
          <cell r="BP29">
            <v>17</v>
          </cell>
          <cell r="BQ29">
            <v>0</v>
          </cell>
          <cell r="BR29">
            <v>4</v>
          </cell>
          <cell r="BS29">
            <v>4</v>
          </cell>
          <cell r="BT29">
            <v>5</v>
          </cell>
          <cell r="BU29">
            <v>4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45</v>
          </cell>
          <cell r="DN29">
            <v>0</v>
          </cell>
          <cell r="DO29">
            <v>0</v>
          </cell>
          <cell r="DP29">
            <v>4</v>
          </cell>
          <cell r="DQ29">
            <v>39</v>
          </cell>
          <cell r="DR29">
            <v>2</v>
          </cell>
          <cell r="DS29">
            <v>0</v>
          </cell>
          <cell r="DT29">
            <v>74</v>
          </cell>
          <cell r="DU29">
            <v>8</v>
          </cell>
          <cell r="DV29">
            <v>16</v>
          </cell>
          <cell r="DW29">
            <v>13</v>
          </cell>
          <cell r="DX29">
            <v>14</v>
          </cell>
          <cell r="DY29">
            <v>23</v>
          </cell>
          <cell r="DZ29">
            <v>0</v>
          </cell>
          <cell r="EA29">
            <v>99</v>
          </cell>
          <cell r="EB29">
            <v>13</v>
          </cell>
          <cell r="EC29">
            <v>26</v>
          </cell>
          <cell r="ED29">
            <v>17</v>
          </cell>
          <cell r="EE29">
            <v>30</v>
          </cell>
          <cell r="EF29">
            <v>13</v>
          </cell>
          <cell r="EG29">
            <v>0</v>
          </cell>
          <cell r="EH29">
            <v>56</v>
          </cell>
          <cell r="EI29">
            <v>18</v>
          </cell>
          <cell r="EJ29">
            <v>7</v>
          </cell>
          <cell r="EK29">
            <v>13</v>
          </cell>
          <cell r="EL29">
            <v>14</v>
          </cell>
          <cell r="EM29">
            <v>4</v>
          </cell>
          <cell r="EN29">
            <v>0</v>
          </cell>
          <cell r="EO29" t="str">
            <v xml:space="preserve">BUCKEYE SPRINGS JACKET                                      </v>
          </cell>
        </row>
        <row r="30">
          <cell r="A30" t="str">
            <v>CN3PM6582249</v>
          </cell>
          <cell r="B30" t="str">
            <v>CN3</v>
          </cell>
          <cell r="C30" t="str">
            <v>PM6582</v>
          </cell>
          <cell r="D30">
            <v>249</v>
          </cell>
          <cell r="E30" t="str">
            <v xml:space="preserve">   </v>
          </cell>
          <cell r="F30">
            <v>80827</v>
          </cell>
          <cell r="G30">
            <v>80919</v>
          </cell>
          <cell r="H30">
            <v>0</v>
          </cell>
          <cell r="I30">
            <v>402</v>
          </cell>
          <cell r="J30">
            <v>402</v>
          </cell>
          <cell r="K30">
            <v>402</v>
          </cell>
          <cell r="L30">
            <v>400</v>
          </cell>
          <cell r="M30">
            <v>400</v>
          </cell>
          <cell r="N30">
            <v>4454160</v>
          </cell>
          <cell r="O30">
            <v>4449738</v>
          </cell>
          <cell r="P30">
            <v>4449738</v>
          </cell>
          <cell r="Q30">
            <v>4427600</v>
          </cell>
          <cell r="R30">
            <v>32104659</v>
          </cell>
          <cell r="S30" t="str">
            <v xml:space="preserve"> </v>
          </cell>
          <cell r="T30" t="str">
            <v xml:space="preserve"> </v>
          </cell>
          <cell r="U30">
            <v>402</v>
          </cell>
          <cell r="V30">
            <v>4449738</v>
          </cell>
          <cell r="W30">
            <v>400</v>
          </cell>
          <cell r="X30">
            <v>4427600</v>
          </cell>
          <cell r="Y30">
            <v>99.5</v>
          </cell>
          <cell r="Z30">
            <v>99.5</v>
          </cell>
          <cell r="AA30">
            <v>4416531</v>
          </cell>
          <cell r="AB30">
            <v>11069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2</v>
          </cell>
          <cell r="AN30">
            <v>22138</v>
          </cell>
          <cell r="AO30">
            <v>11080</v>
          </cell>
          <cell r="AP30">
            <v>11069</v>
          </cell>
          <cell r="AQ30">
            <v>89000</v>
          </cell>
          <cell r="AR30">
            <v>0</v>
          </cell>
          <cell r="AS30">
            <v>8.0399999999999991</v>
          </cell>
          <cell r="AT30">
            <v>35778000</v>
          </cell>
          <cell r="AU30">
            <v>7.27</v>
          </cell>
          <cell r="AV30">
            <v>32097800</v>
          </cell>
          <cell r="AW30">
            <v>0.62</v>
          </cell>
          <cell r="AX30">
            <v>6859</v>
          </cell>
          <cell r="AY30">
            <v>99.5</v>
          </cell>
          <cell r="AZ30">
            <v>0</v>
          </cell>
          <cell r="BA30">
            <v>399</v>
          </cell>
          <cell r="BB30">
            <v>1</v>
          </cell>
          <cell r="BC30">
            <v>400</v>
          </cell>
          <cell r="BD30">
            <v>0</v>
          </cell>
          <cell r="BE30">
            <v>0</v>
          </cell>
          <cell r="BF30">
            <v>4</v>
          </cell>
          <cell r="BG30">
            <v>0</v>
          </cell>
          <cell r="BH30">
            <v>1</v>
          </cell>
          <cell r="BI30">
            <v>12</v>
          </cell>
          <cell r="BJ30">
            <v>5</v>
          </cell>
          <cell r="BK30">
            <v>3</v>
          </cell>
          <cell r="BL30">
            <v>2</v>
          </cell>
          <cell r="BM30">
            <v>0</v>
          </cell>
          <cell r="BN30">
            <v>2</v>
          </cell>
          <cell r="BO30">
            <v>0</v>
          </cell>
          <cell r="BP30">
            <v>-2</v>
          </cell>
          <cell r="BQ30">
            <v>0</v>
          </cell>
          <cell r="BR30">
            <v>0</v>
          </cell>
          <cell r="BS30">
            <v>1</v>
          </cell>
          <cell r="BT30">
            <v>-1</v>
          </cell>
          <cell r="BU30">
            <v>-2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119</v>
          </cell>
          <cell r="DN30">
            <v>0</v>
          </cell>
          <cell r="DO30">
            <v>0</v>
          </cell>
          <cell r="DP30">
            <v>13</v>
          </cell>
          <cell r="DQ30">
            <v>103</v>
          </cell>
          <cell r="DR30">
            <v>3</v>
          </cell>
          <cell r="DS30">
            <v>0</v>
          </cell>
          <cell r="DT30">
            <v>166</v>
          </cell>
          <cell r="DU30">
            <v>31</v>
          </cell>
          <cell r="DV30">
            <v>34</v>
          </cell>
          <cell r="DW30">
            <v>44</v>
          </cell>
          <cell r="DX30">
            <v>27</v>
          </cell>
          <cell r="DY30">
            <v>30</v>
          </cell>
          <cell r="DZ30">
            <v>0</v>
          </cell>
          <cell r="EA30">
            <v>89</v>
          </cell>
          <cell r="EB30">
            <v>21</v>
          </cell>
          <cell r="EC30">
            <v>36</v>
          </cell>
          <cell r="ED30">
            <v>8</v>
          </cell>
          <cell r="EE30">
            <v>12</v>
          </cell>
          <cell r="EF30">
            <v>12</v>
          </cell>
          <cell r="EG30">
            <v>0</v>
          </cell>
          <cell r="EH30">
            <v>16</v>
          </cell>
          <cell r="EI30">
            <v>7</v>
          </cell>
          <cell r="EJ30">
            <v>4</v>
          </cell>
          <cell r="EK30">
            <v>4</v>
          </cell>
          <cell r="EL30">
            <v>0</v>
          </cell>
          <cell r="EM30">
            <v>1</v>
          </cell>
          <cell r="EN30">
            <v>0</v>
          </cell>
          <cell r="EO30" t="str">
            <v xml:space="preserve">BUCKEYE SPRINGS JACKET                                      </v>
          </cell>
        </row>
        <row r="31">
          <cell r="A31" t="str">
            <v>CN3PM6718010</v>
          </cell>
          <cell r="B31" t="str">
            <v>CN3</v>
          </cell>
          <cell r="C31" t="str">
            <v>PM6718</v>
          </cell>
          <cell r="D31">
            <v>10</v>
          </cell>
          <cell r="E31" t="str">
            <v xml:space="preserve">   </v>
          </cell>
          <cell r="F31">
            <v>80827</v>
          </cell>
          <cell r="G31">
            <v>80904</v>
          </cell>
          <cell r="H31">
            <v>0</v>
          </cell>
          <cell r="I31">
            <v>402</v>
          </cell>
          <cell r="J31">
            <v>402</v>
          </cell>
          <cell r="K31">
            <v>402</v>
          </cell>
          <cell r="L31">
            <v>260</v>
          </cell>
          <cell r="M31">
            <v>260</v>
          </cell>
          <cell r="N31">
            <v>2492802</v>
          </cell>
          <cell r="O31">
            <v>2584458</v>
          </cell>
          <cell r="P31">
            <v>2584458</v>
          </cell>
          <cell r="Q31">
            <v>1671540</v>
          </cell>
          <cell r="R31">
            <v>8583030</v>
          </cell>
          <cell r="S31" t="str">
            <v xml:space="preserve"> </v>
          </cell>
          <cell r="T31" t="str">
            <v xml:space="preserve"> </v>
          </cell>
          <cell r="U31">
            <v>402</v>
          </cell>
          <cell r="V31">
            <v>2584458</v>
          </cell>
          <cell r="W31">
            <v>260</v>
          </cell>
          <cell r="X31">
            <v>1671540</v>
          </cell>
          <cell r="Y31">
            <v>64.680000000000007</v>
          </cell>
          <cell r="Z31">
            <v>64.680000000000007</v>
          </cell>
          <cell r="AA31">
            <v>1665111</v>
          </cell>
          <cell r="AB31">
            <v>6429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142</v>
          </cell>
          <cell r="AN31">
            <v>1902984</v>
          </cell>
          <cell r="AO31">
            <v>6201</v>
          </cell>
          <cell r="AP31">
            <v>6429</v>
          </cell>
          <cell r="AQ31">
            <v>38000</v>
          </cell>
          <cell r="AR31">
            <v>0</v>
          </cell>
          <cell r="AS31">
            <v>5.91</v>
          </cell>
          <cell r="AT31">
            <v>15276000</v>
          </cell>
          <cell r="AU31">
            <v>5.15</v>
          </cell>
          <cell r="AV31">
            <v>8576171</v>
          </cell>
          <cell r="AW31">
            <v>1.07</v>
          </cell>
          <cell r="AX31">
            <v>6859</v>
          </cell>
          <cell r="AY31">
            <v>64.680000000000007</v>
          </cell>
          <cell r="AZ31">
            <v>0</v>
          </cell>
          <cell r="BA31">
            <v>259</v>
          </cell>
          <cell r="BB31">
            <v>1</v>
          </cell>
          <cell r="BC31">
            <v>260</v>
          </cell>
          <cell r="BD31">
            <v>0</v>
          </cell>
          <cell r="BE31">
            <v>0</v>
          </cell>
          <cell r="BF31">
            <v>16</v>
          </cell>
          <cell r="BG31">
            <v>1</v>
          </cell>
          <cell r="BH31">
            <v>1</v>
          </cell>
          <cell r="BI31">
            <v>21</v>
          </cell>
          <cell r="BJ31">
            <v>7</v>
          </cell>
          <cell r="BK31">
            <v>2</v>
          </cell>
          <cell r="BL31">
            <v>5</v>
          </cell>
          <cell r="BM31">
            <v>4</v>
          </cell>
          <cell r="BN31">
            <v>3</v>
          </cell>
          <cell r="BO31">
            <v>0</v>
          </cell>
          <cell r="BP31">
            <v>12</v>
          </cell>
          <cell r="BQ31">
            <v>1</v>
          </cell>
          <cell r="BR31">
            <v>5</v>
          </cell>
          <cell r="BS31">
            <v>2</v>
          </cell>
          <cell r="BT31">
            <v>1</v>
          </cell>
          <cell r="BU31">
            <v>3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81</v>
          </cell>
          <cell r="DN31">
            <v>6</v>
          </cell>
          <cell r="DO31">
            <v>7</v>
          </cell>
          <cell r="DP31">
            <v>14</v>
          </cell>
          <cell r="DQ31">
            <v>50</v>
          </cell>
          <cell r="DR31">
            <v>4</v>
          </cell>
          <cell r="DS31">
            <v>0</v>
          </cell>
          <cell r="DT31">
            <v>81</v>
          </cell>
          <cell r="DU31">
            <v>20</v>
          </cell>
          <cell r="DV31">
            <v>20</v>
          </cell>
          <cell r="DW31">
            <v>16</v>
          </cell>
          <cell r="DX31">
            <v>14</v>
          </cell>
          <cell r="DY31">
            <v>11</v>
          </cell>
          <cell r="DZ31">
            <v>0</v>
          </cell>
          <cell r="EA31">
            <v>39</v>
          </cell>
          <cell r="EB31">
            <v>3</v>
          </cell>
          <cell r="EC31">
            <v>14</v>
          </cell>
          <cell r="ED31">
            <v>2</v>
          </cell>
          <cell r="EE31">
            <v>8</v>
          </cell>
          <cell r="EF31">
            <v>12</v>
          </cell>
          <cell r="EG31">
            <v>0</v>
          </cell>
          <cell r="EH31">
            <v>26</v>
          </cell>
          <cell r="EI31">
            <v>5</v>
          </cell>
          <cell r="EJ31">
            <v>9</v>
          </cell>
          <cell r="EK31">
            <v>2</v>
          </cell>
          <cell r="EL31">
            <v>8</v>
          </cell>
          <cell r="EM31">
            <v>2</v>
          </cell>
          <cell r="EN31">
            <v>0</v>
          </cell>
          <cell r="EO31" t="str">
            <v xml:space="preserve">MT CSC PEAK L/S TEE                                         </v>
          </cell>
        </row>
        <row r="32">
          <cell r="A32" t="str">
            <v>CN3PM6718100</v>
          </cell>
          <cell r="B32" t="str">
            <v>CN3</v>
          </cell>
          <cell r="C32" t="str">
            <v>PM6718</v>
          </cell>
          <cell r="D32">
            <v>100</v>
          </cell>
          <cell r="E32" t="str">
            <v xml:space="preserve">   </v>
          </cell>
          <cell r="F32">
            <v>80827</v>
          </cell>
          <cell r="G32">
            <v>80904</v>
          </cell>
          <cell r="H32">
            <v>0</v>
          </cell>
          <cell r="I32">
            <v>402</v>
          </cell>
          <cell r="J32">
            <v>402</v>
          </cell>
          <cell r="K32">
            <v>402</v>
          </cell>
          <cell r="L32">
            <v>228</v>
          </cell>
          <cell r="M32">
            <v>228</v>
          </cell>
          <cell r="N32">
            <v>2492802</v>
          </cell>
          <cell r="O32">
            <v>2584458</v>
          </cell>
          <cell r="P32">
            <v>2584458</v>
          </cell>
          <cell r="Q32">
            <v>1465812</v>
          </cell>
          <cell r="R32">
            <v>7581900</v>
          </cell>
          <cell r="S32" t="str">
            <v xml:space="preserve"> </v>
          </cell>
          <cell r="T32" t="str">
            <v xml:space="preserve"> </v>
          </cell>
          <cell r="U32">
            <v>402</v>
          </cell>
          <cell r="V32">
            <v>2584458</v>
          </cell>
          <cell r="W32">
            <v>228</v>
          </cell>
          <cell r="X32">
            <v>1465812</v>
          </cell>
          <cell r="Y32">
            <v>57.21</v>
          </cell>
          <cell r="Z32">
            <v>57.71</v>
          </cell>
          <cell r="AA32">
            <v>1459383</v>
          </cell>
          <cell r="AB32">
            <v>6429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2</v>
          </cell>
          <cell r="AL32">
            <v>25716</v>
          </cell>
          <cell r="AM32">
            <v>172</v>
          </cell>
          <cell r="AN32">
            <v>2346585</v>
          </cell>
          <cell r="AO32">
            <v>6201</v>
          </cell>
          <cell r="AP32">
            <v>6429</v>
          </cell>
          <cell r="AQ32">
            <v>38000</v>
          </cell>
          <cell r="AR32">
            <v>0</v>
          </cell>
          <cell r="AS32">
            <v>5.91</v>
          </cell>
          <cell r="AT32">
            <v>15276000</v>
          </cell>
          <cell r="AU32">
            <v>5.19</v>
          </cell>
          <cell r="AV32">
            <v>7575041</v>
          </cell>
          <cell r="AW32">
            <v>1.07</v>
          </cell>
          <cell r="AX32">
            <v>6859</v>
          </cell>
          <cell r="AY32">
            <v>57.21</v>
          </cell>
          <cell r="AZ32">
            <v>0</v>
          </cell>
          <cell r="BA32">
            <v>227</v>
          </cell>
          <cell r="BB32">
            <v>1</v>
          </cell>
          <cell r="BC32">
            <v>228</v>
          </cell>
          <cell r="BD32">
            <v>0</v>
          </cell>
          <cell r="BE32">
            <v>0</v>
          </cell>
          <cell r="BF32">
            <v>25</v>
          </cell>
          <cell r="BG32">
            <v>0</v>
          </cell>
          <cell r="BH32">
            <v>1</v>
          </cell>
          <cell r="BI32">
            <v>13</v>
          </cell>
          <cell r="BJ32">
            <v>-1</v>
          </cell>
          <cell r="BK32">
            <v>5</v>
          </cell>
          <cell r="BL32">
            <v>3</v>
          </cell>
          <cell r="BM32">
            <v>3</v>
          </cell>
          <cell r="BN32">
            <v>3</v>
          </cell>
          <cell r="BO32">
            <v>0</v>
          </cell>
          <cell r="BP32">
            <v>21</v>
          </cell>
          <cell r="BQ32">
            <v>2</v>
          </cell>
          <cell r="BR32">
            <v>5</v>
          </cell>
          <cell r="BS32">
            <v>6</v>
          </cell>
          <cell r="BT32">
            <v>4</v>
          </cell>
          <cell r="BU32">
            <v>4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63</v>
          </cell>
          <cell r="DN32">
            <v>10</v>
          </cell>
          <cell r="DO32">
            <v>15</v>
          </cell>
          <cell r="DP32">
            <v>10</v>
          </cell>
          <cell r="DQ32">
            <v>26</v>
          </cell>
          <cell r="DR32">
            <v>2</v>
          </cell>
          <cell r="DS32">
            <v>0</v>
          </cell>
          <cell r="DT32">
            <v>65</v>
          </cell>
          <cell r="DU32">
            <v>18</v>
          </cell>
          <cell r="DV32">
            <v>14</v>
          </cell>
          <cell r="DW32">
            <v>12</v>
          </cell>
          <cell r="DX32">
            <v>10</v>
          </cell>
          <cell r="DY32">
            <v>11</v>
          </cell>
          <cell r="DZ32">
            <v>0</v>
          </cell>
          <cell r="EA32">
            <v>39</v>
          </cell>
          <cell r="EB32">
            <v>7</v>
          </cell>
          <cell r="EC32">
            <v>12</v>
          </cell>
          <cell r="ED32">
            <v>9</v>
          </cell>
          <cell r="EE32">
            <v>7</v>
          </cell>
          <cell r="EF32">
            <v>4</v>
          </cell>
          <cell r="EG32">
            <v>0</v>
          </cell>
          <cell r="EH32">
            <v>27</v>
          </cell>
          <cell r="EI32">
            <v>4</v>
          </cell>
          <cell r="EJ32">
            <v>7</v>
          </cell>
          <cell r="EK32">
            <v>5</v>
          </cell>
          <cell r="EL32">
            <v>7</v>
          </cell>
          <cell r="EM32">
            <v>4</v>
          </cell>
          <cell r="EN32">
            <v>0</v>
          </cell>
          <cell r="EO32" t="str">
            <v xml:space="preserve">MT CSC PEAK L/S TEE                                         </v>
          </cell>
        </row>
        <row r="33">
          <cell r="A33" t="str">
            <v>CN3PM6735010</v>
          </cell>
          <cell r="B33" t="str">
            <v>CN3</v>
          </cell>
          <cell r="C33" t="str">
            <v>PM6735</v>
          </cell>
          <cell r="D33">
            <v>10</v>
          </cell>
          <cell r="E33" t="str">
            <v xml:space="preserve">   </v>
          </cell>
          <cell r="F33">
            <v>80827</v>
          </cell>
          <cell r="G33">
            <v>80904</v>
          </cell>
          <cell r="H33">
            <v>0</v>
          </cell>
          <cell r="I33">
            <v>804</v>
          </cell>
          <cell r="J33">
            <v>804</v>
          </cell>
          <cell r="K33">
            <v>800</v>
          </cell>
          <cell r="L33">
            <v>515</v>
          </cell>
          <cell r="M33">
            <v>515</v>
          </cell>
          <cell r="N33">
            <v>3386448</v>
          </cell>
          <cell r="O33">
            <v>3527148</v>
          </cell>
          <cell r="P33">
            <v>3509600</v>
          </cell>
          <cell r="Q33">
            <v>2259305</v>
          </cell>
          <cell r="R33">
            <v>26118000</v>
          </cell>
          <cell r="S33" t="str">
            <v xml:space="preserve"> </v>
          </cell>
          <cell r="T33" t="str">
            <v xml:space="preserve"> </v>
          </cell>
          <cell r="U33">
            <v>804</v>
          </cell>
          <cell r="V33">
            <v>3527148</v>
          </cell>
          <cell r="W33">
            <v>515</v>
          </cell>
          <cell r="X33">
            <v>2259305</v>
          </cell>
          <cell r="Y33">
            <v>63.93</v>
          </cell>
          <cell r="Z33">
            <v>63.81</v>
          </cell>
          <cell r="AA33">
            <v>2259305</v>
          </cell>
          <cell r="AB33">
            <v>0</v>
          </cell>
          <cell r="AC33">
            <v>4</v>
          </cell>
          <cell r="AD33">
            <v>30709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-1</v>
          </cell>
          <cell r="AL33">
            <v>-8774</v>
          </cell>
          <cell r="AM33">
            <v>286</v>
          </cell>
          <cell r="AN33">
            <v>2693618</v>
          </cell>
          <cell r="AO33">
            <v>4212</v>
          </cell>
          <cell r="AP33">
            <v>4387</v>
          </cell>
          <cell r="AQ33">
            <v>55000</v>
          </cell>
          <cell r="AR33">
            <v>0</v>
          </cell>
          <cell r="AS33">
            <v>12.54</v>
          </cell>
          <cell r="AT33">
            <v>44220000</v>
          </cell>
          <cell r="AU33">
            <v>11.56</v>
          </cell>
          <cell r="AV33">
            <v>26118000</v>
          </cell>
          <cell r="AW33">
            <v>0</v>
          </cell>
          <cell r="AX33">
            <v>0</v>
          </cell>
          <cell r="AY33">
            <v>63.93</v>
          </cell>
          <cell r="AZ33">
            <v>0</v>
          </cell>
          <cell r="BA33">
            <v>515</v>
          </cell>
          <cell r="BB33">
            <v>0</v>
          </cell>
          <cell r="BC33">
            <v>515</v>
          </cell>
          <cell r="BD33">
            <v>0</v>
          </cell>
          <cell r="BE33">
            <v>0</v>
          </cell>
          <cell r="BF33">
            <v>49</v>
          </cell>
          <cell r="BG33">
            <v>1</v>
          </cell>
          <cell r="BH33">
            <v>1</v>
          </cell>
          <cell r="BI33">
            <v>70</v>
          </cell>
          <cell r="BJ33">
            <v>10</v>
          </cell>
          <cell r="BK33">
            <v>14</v>
          </cell>
          <cell r="BL33">
            <v>19</v>
          </cell>
          <cell r="BM33">
            <v>18</v>
          </cell>
          <cell r="BN33">
            <v>9</v>
          </cell>
          <cell r="BO33">
            <v>0</v>
          </cell>
          <cell r="BP33">
            <v>41</v>
          </cell>
          <cell r="BQ33">
            <v>0</v>
          </cell>
          <cell r="BR33">
            <v>9</v>
          </cell>
          <cell r="BS33">
            <v>5</v>
          </cell>
          <cell r="BT33">
            <v>24</v>
          </cell>
          <cell r="BU33">
            <v>3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66</v>
          </cell>
          <cell r="DN33">
            <v>5</v>
          </cell>
          <cell r="DO33">
            <v>5</v>
          </cell>
          <cell r="DP33">
            <v>8</v>
          </cell>
          <cell r="DQ33">
            <v>44</v>
          </cell>
          <cell r="DR33">
            <v>4</v>
          </cell>
          <cell r="DS33">
            <v>0</v>
          </cell>
          <cell r="DT33">
            <v>102</v>
          </cell>
          <cell r="DU33">
            <v>19</v>
          </cell>
          <cell r="DV33">
            <v>27</v>
          </cell>
          <cell r="DW33">
            <v>18</v>
          </cell>
          <cell r="DX33">
            <v>22</v>
          </cell>
          <cell r="DY33">
            <v>16</v>
          </cell>
          <cell r="DZ33">
            <v>0</v>
          </cell>
          <cell r="EA33">
            <v>131</v>
          </cell>
          <cell r="EB33">
            <v>18</v>
          </cell>
          <cell r="EC33">
            <v>34</v>
          </cell>
          <cell r="ED33">
            <v>23</v>
          </cell>
          <cell r="EE33">
            <v>26</v>
          </cell>
          <cell r="EF33">
            <v>30</v>
          </cell>
          <cell r="EG33">
            <v>0</v>
          </cell>
          <cell r="EH33">
            <v>105</v>
          </cell>
          <cell r="EI33">
            <v>29</v>
          </cell>
          <cell r="EJ33">
            <v>19</v>
          </cell>
          <cell r="EK33">
            <v>27</v>
          </cell>
          <cell r="EL33">
            <v>28</v>
          </cell>
          <cell r="EM33">
            <v>2</v>
          </cell>
          <cell r="EN33">
            <v>0</v>
          </cell>
          <cell r="EO33" t="str">
            <v xml:space="preserve">GLACIAL HIGH CREW                                           </v>
          </cell>
        </row>
        <row r="34">
          <cell r="A34" t="str">
            <v>CN3PM6735049</v>
          </cell>
          <cell r="B34" t="str">
            <v>CN3</v>
          </cell>
          <cell r="C34" t="str">
            <v>PM6735</v>
          </cell>
          <cell r="D34">
            <v>49</v>
          </cell>
          <cell r="E34" t="str">
            <v xml:space="preserve">   </v>
          </cell>
          <cell r="F34">
            <v>80827</v>
          </cell>
          <cell r="G34">
            <v>80904</v>
          </cell>
          <cell r="H34">
            <v>0</v>
          </cell>
          <cell r="I34">
            <v>504</v>
          </cell>
          <cell r="J34">
            <v>504</v>
          </cell>
          <cell r="K34">
            <v>502</v>
          </cell>
          <cell r="L34">
            <v>251</v>
          </cell>
          <cell r="M34">
            <v>251</v>
          </cell>
          <cell r="N34">
            <v>2122848</v>
          </cell>
          <cell r="O34">
            <v>2211048</v>
          </cell>
          <cell r="P34">
            <v>2202274</v>
          </cell>
          <cell r="Q34">
            <v>1101137</v>
          </cell>
          <cell r="R34">
            <v>12792129</v>
          </cell>
          <cell r="S34" t="str">
            <v xml:space="preserve"> </v>
          </cell>
          <cell r="T34" t="str">
            <v xml:space="preserve"> </v>
          </cell>
          <cell r="U34">
            <v>504</v>
          </cell>
          <cell r="V34">
            <v>2211048</v>
          </cell>
          <cell r="W34">
            <v>251</v>
          </cell>
          <cell r="X34">
            <v>1101137</v>
          </cell>
          <cell r="Y34">
            <v>50</v>
          </cell>
          <cell r="Z34">
            <v>50.2</v>
          </cell>
          <cell r="AA34">
            <v>1101137</v>
          </cell>
          <cell r="AB34">
            <v>0</v>
          </cell>
          <cell r="AC34">
            <v>2</v>
          </cell>
          <cell r="AD34">
            <v>21935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1</v>
          </cell>
          <cell r="AL34">
            <v>8774</v>
          </cell>
          <cell r="AM34">
            <v>250</v>
          </cell>
          <cell r="AN34">
            <v>2254918</v>
          </cell>
          <cell r="AO34">
            <v>4212</v>
          </cell>
          <cell r="AP34">
            <v>4387</v>
          </cell>
          <cell r="AQ34">
            <v>55000</v>
          </cell>
          <cell r="AR34">
            <v>0</v>
          </cell>
          <cell r="AS34">
            <v>12.54</v>
          </cell>
          <cell r="AT34">
            <v>27720000</v>
          </cell>
          <cell r="AU34">
            <v>11.62</v>
          </cell>
          <cell r="AV34">
            <v>12792129</v>
          </cell>
          <cell r="AW34">
            <v>0</v>
          </cell>
          <cell r="AX34">
            <v>0</v>
          </cell>
          <cell r="AY34">
            <v>50</v>
          </cell>
          <cell r="AZ34">
            <v>0</v>
          </cell>
          <cell r="BA34">
            <v>251</v>
          </cell>
          <cell r="BB34">
            <v>0</v>
          </cell>
          <cell r="BC34">
            <v>251</v>
          </cell>
          <cell r="BD34">
            <v>0</v>
          </cell>
          <cell r="BE34">
            <v>0</v>
          </cell>
          <cell r="BF34">
            <v>19</v>
          </cell>
          <cell r="BG34">
            <v>0</v>
          </cell>
          <cell r="BH34">
            <v>1</v>
          </cell>
          <cell r="BI34">
            <v>27</v>
          </cell>
          <cell r="BJ34">
            <v>5</v>
          </cell>
          <cell r="BK34">
            <v>6</v>
          </cell>
          <cell r="BL34">
            <v>7</v>
          </cell>
          <cell r="BM34">
            <v>6</v>
          </cell>
          <cell r="BN34">
            <v>3</v>
          </cell>
          <cell r="BO34">
            <v>0</v>
          </cell>
          <cell r="BP34">
            <v>15</v>
          </cell>
          <cell r="BQ34">
            <v>0</v>
          </cell>
          <cell r="BR34">
            <v>4</v>
          </cell>
          <cell r="BS34">
            <v>1</v>
          </cell>
          <cell r="BT34">
            <v>4</v>
          </cell>
          <cell r="BU34">
            <v>6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47</v>
          </cell>
          <cell r="DN34">
            <v>5</v>
          </cell>
          <cell r="DO34">
            <v>9</v>
          </cell>
          <cell r="DP34">
            <v>3</v>
          </cell>
          <cell r="DQ34">
            <v>28</v>
          </cell>
          <cell r="DR34">
            <v>2</v>
          </cell>
          <cell r="DS34">
            <v>0</v>
          </cell>
          <cell r="DT34">
            <v>44</v>
          </cell>
          <cell r="DU34">
            <v>10</v>
          </cell>
          <cell r="DV34">
            <v>11</v>
          </cell>
          <cell r="DW34">
            <v>6</v>
          </cell>
          <cell r="DX34">
            <v>10</v>
          </cell>
          <cell r="DY34">
            <v>7</v>
          </cell>
          <cell r="DZ34">
            <v>0</v>
          </cell>
          <cell r="EA34">
            <v>60</v>
          </cell>
          <cell r="EB34">
            <v>4</v>
          </cell>
          <cell r="EC34">
            <v>13</v>
          </cell>
          <cell r="ED34">
            <v>14</v>
          </cell>
          <cell r="EE34">
            <v>13</v>
          </cell>
          <cell r="EF34">
            <v>16</v>
          </cell>
          <cell r="EG34">
            <v>0</v>
          </cell>
          <cell r="EH34">
            <v>58</v>
          </cell>
          <cell r="EI34">
            <v>16</v>
          </cell>
          <cell r="EJ34">
            <v>5</v>
          </cell>
          <cell r="EK34">
            <v>15</v>
          </cell>
          <cell r="EL34">
            <v>18</v>
          </cell>
          <cell r="EM34">
            <v>4</v>
          </cell>
          <cell r="EN34">
            <v>0</v>
          </cell>
          <cell r="EO34" t="str">
            <v xml:space="preserve">GLACIAL HIGH CREW                                           </v>
          </cell>
        </row>
        <row r="35">
          <cell r="A35" t="str">
            <v>CN3PM6735249</v>
          </cell>
          <cell r="B35" t="str">
            <v>CN3</v>
          </cell>
          <cell r="C35" t="str">
            <v>PM6735</v>
          </cell>
          <cell r="D35">
            <v>249</v>
          </cell>
          <cell r="E35" t="str">
            <v xml:space="preserve">   </v>
          </cell>
          <cell r="F35">
            <v>80827</v>
          </cell>
          <cell r="G35">
            <v>80904</v>
          </cell>
          <cell r="H35">
            <v>0</v>
          </cell>
          <cell r="I35">
            <v>402</v>
          </cell>
          <cell r="J35">
            <v>402</v>
          </cell>
          <cell r="K35">
            <v>401</v>
          </cell>
          <cell r="L35">
            <v>153</v>
          </cell>
          <cell r="M35">
            <v>153</v>
          </cell>
          <cell r="N35">
            <v>1693224</v>
          </cell>
          <cell r="O35">
            <v>1763574</v>
          </cell>
          <cell r="P35">
            <v>1759187</v>
          </cell>
          <cell r="Q35">
            <v>671211</v>
          </cell>
          <cell r="R35">
            <v>7785500</v>
          </cell>
          <cell r="S35" t="str">
            <v xml:space="preserve"> </v>
          </cell>
          <cell r="T35" t="str">
            <v xml:space="preserve"> </v>
          </cell>
          <cell r="U35">
            <v>402</v>
          </cell>
          <cell r="V35">
            <v>1763574</v>
          </cell>
          <cell r="W35">
            <v>153</v>
          </cell>
          <cell r="X35">
            <v>671211</v>
          </cell>
          <cell r="Y35">
            <v>38.06</v>
          </cell>
          <cell r="Z35">
            <v>38.06</v>
          </cell>
          <cell r="AA35">
            <v>671211</v>
          </cell>
          <cell r="AB35">
            <v>0</v>
          </cell>
          <cell r="AC35">
            <v>1</v>
          </cell>
          <cell r="AD35">
            <v>26322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248</v>
          </cell>
          <cell r="AN35">
            <v>2276853</v>
          </cell>
          <cell r="AO35">
            <v>4212</v>
          </cell>
          <cell r="AP35">
            <v>4387</v>
          </cell>
          <cell r="AQ35">
            <v>55000</v>
          </cell>
          <cell r="AR35">
            <v>0</v>
          </cell>
          <cell r="AS35">
            <v>12.54</v>
          </cell>
          <cell r="AT35">
            <v>22110000</v>
          </cell>
          <cell r="AU35">
            <v>11.6</v>
          </cell>
          <cell r="AV35">
            <v>7785500</v>
          </cell>
          <cell r="AW35">
            <v>0</v>
          </cell>
          <cell r="AX35">
            <v>0</v>
          </cell>
          <cell r="AY35">
            <v>38.06</v>
          </cell>
          <cell r="AZ35">
            <v>0</v>
          </cell>
          <cell r="BA35">
            <v>153</v>
          </cell>
          <cell r="BB35">
            <v>0</v>
          </cell>
          <cell r="BC35">
            <v>153</v>
          </cell>
          <cell r="BD35">
            <v>0</v>
          </cell>
          <cell r="BE35">
            <v>0</v>
          </cell>
          <cell r="BF35">
            <v>31</v>
          </cell>
          <cell r="BG35">
            <v>0</v>
          </cell>
          <cell r="BH35">
            <v>1</v>
          </cell>
          <cell r="BI35">
            <v>25</v>
          </cell>
          <cell r="BJ35">
            <v>6</v>
          </cell>
          <cell r="BK35">
            <v>7</v>
          </cell>
          <cell r="BL35">
            <v>4</v>
          </cell>
          <cell r="BM35">
            <v>5</v>
          </cell>
          <cell r="BN35">
            <v>3</v>
          </cell>
          <cell r="BO35">
            <v>0</v>
          </cell>
          <cell r="BP35">
            <v>27</v>
          </cell>
          <cell r="BQ35">
            <v>2</v>
          </cell>
          <cell r="BR35">
            <v>5</v>
          </cell>
          <cell r="BS35">
            <v>4</v>
          </cell>
          <cell r="BT35">
            <v>14</v>
          </cell>
          <cell r="BU35">
            <v>2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22</v>
          </cell>
          <cell r="DN35">
            <v>0</v>
          </cell>
          <cell r="DO35">
            <v>3</v>
          </cell>
          <cell r="DP35">
            <v>3</v>
          </cell>
          <cell r="DQ35">
            <v>14</v>
          </cell>
          <cell r="DR35">
            <v>2</v>
          </cell>
          <cell r="DS35">
            <v>0</v>
          </cell>
          <cell r="DT35">
            <v>15</v>
          </cell>
          <cell r="DU35">
            <v>1</v>
          </cell>
          <cell r="DV35">
            <v>6</v>
          </cell>
          <cell r="DW35">
            <v>0</v>
          </cell>
          <cell r="DX35">
            <v>5</v>
          </cell>
          <cell r="DY35">
            <v>3</v>
          </cell>
          <cell r="DZ35">
            <v>0</v>
          </cell>
          <cell r="EA35">
            <v>29</v>
          </cell>
          <cell r="EB35">
            <v>1</v>
          </cell>
          <cell r="EC35">
            <v>9</v>
          </cell>
          <cell r="ED35">
            <v>6</v>
          </cell>
          <cell r="EE35">
            <v>10</v>
          </cell>
          <cell r="EF35">
            <v>3</v>
          </cell>
          <cell r="EG35">
            <v>0</v>
          </cell>
          <cell r="EH35">
            <v>35</v>
          </cell>
          <cell r="EI35">
            <v>5</v>
          </cell>
          <cell r="EJ35">
            <v>9</v>
          </cell>
          <cell r="EK35">
            <v>8</v>
          </cell>
          <cell r="EL35">
            <v>11</v>
          </cell>
          <cell r="EM35">
            <v>2</v>
          </cell>
          <cell r="EN35">
            <v>0</v>
          </cell>
          <cell r="EO35" t="str">
            <v xml:space="preserve">GLACIAL HIGH CREW                                           </v>
          </cell>
        </row>
        <row r="36">
          <cell r="A36" t="str">
            <v>CN3PM6735824</v>
          </cell>
          <cell r="B36" t="str">
            <v>CN3</v>
          </cell>
          <cell r="C36" t="str">
            <v>PM6735</v>
          </cell>
          <cell r="D36">
            <v>824</v>
          </cell>
          <cell r="E36" t="str">
            <v xml:space="preserve">   </v>
          </cell>
          <cell r="F36">
            <v>80827</v>
          </cell>
          <cell r="G36">
            <v>80904</v>
          </cell>
          <cell r="H36">
            <v>0</v>
          </cell>
          <cell r="I36">
            <v>402</v>
          </cell>
          <cell r="J36">
            <v>402</v>
          </cell>
          <cell r="K36">
            <v>387</v>
          </cell>
          <cell r="L36">
            <v>178</v>
          </cell>
          <cell r="M36">
            <v>178</v>
          </cell>
          <cell r="N36">
            <v>1693224</v>
          </cell>
          <cell r="O36">
            <v>1763574</v>
          </cell>
          <cell r="P36">
            <v>1697769</v>
          </cell>
          <cell r="Q36">
            <v>780886</v>
          </cell>
          <cell r="R36">
            <v>9021500</v>
          </cell>
          <cell r="S36" t="str">
            <v xml:space="preserve"> </v>
          </cell>
          <cell r="T36" t="str">
            <v xml:space="preserve"> </v>
          </cell>
          <cell r="U36">
            <v>402</v>
          </cell>
          <cell r="V36">
            <v>1763574</v>
          </cell>
          <cell r="W36">
            <v>178</v>
          </cell>
          <cell r="X36">
            <v>780886</v>
          </cell>
          <cell r="Y36">
            <v>44.28</v>
          </cell>
          <cell r="Z36">
            <v>44.28</v>
          </cell>
          <cell r="AA36">
            <v>780886</v>
          </cell>
          <cell r="AB36">
            <v>0</v>
          </cell>
          <cell r="AC36">
            <v>15</v>
          </cell>
          <cell r="AD36">
            <v>74579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209</v>
          </cell>
          <cell r="AN36">
            <v>1956602</v>
          </cell>
          <cell r="AO36">
            <v>4212</v>
          </cell>
          <cell r="AP36">
            <v>4387</v>
          </cell>
          <cell r="AQ36">
            <v>55000</v>
          </cell>
          <cell r="AR36">
            <v>0</v>
          </cell>
          <cell r="AS36">
            <v>12.54</v>
          </cell>
          <cell r="AT36">
            <v>22110000</v>
          </cell>
          <cell r="AU36">
            <v>11.55</v>
          </cell>
          <cell r="AV36">
            <v>9021500</v>
          </cell>
          <cell r="AW36">
            <v>0</v>
          </cell>
          <cell r="AX36">
            <v>0</v>
          </cell>
          <cell r="AY36">
            <v>44.28</v>
          </cell>
          <cell r="AZ36">
            <v>0</v>
          </cell>
          <cell r="BA36">
            <v>178</v>
          </cell>
          <cell r="BB36">
            <v>0</v>
          </cell>
          <cell r="BC36">
            <v>178</v>
          </cell>
          <cell r="BD36">
            <v>0</v>
          </cell>
          <cell r="BE36">
            <v>0</v>
          </cell>
          <cell r="BF36">
            <v>15</v>
          </cell>
          <cell r="BG36">
            <v>0</v>
          </cell>
          <cell r="BH36">
            <v>1</v>
          </cell>
          <cell r="BI36">
            <v>32</v>
          </cell>
          <cell r="BJ36">
            <v>5</v>
          </cell>
          <cell r="BK36">
            <v>8</v>
          </cell>
          <cell r="BL36">
            <v>6</v>
          </cell>
          <cell r="BM36">
            <v>7</v>
          </cell>
          <cell r="BN36">
            <v>6</v>
          </cell>
          <cell r="BO36">
            <v>0</v>
          </cell>
          <cell r="BP36">
            <v>15</v>
          </cell>
          <cell r="BQ36">
            <v>0</v>
          </cell>
          <cell r="BR36">
            <v>7</v>
          </cell>
          <cell r="BS36">
            <v>2</v>
          </cell>
          <cell r="BT36">
            <v>4</v>
          </cell>
          <cell r="BU36">
            <v>2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40</v>
          </cell>
          <cell r="DN36">
            <v>2</v>
          </cell>
          <cell r="DO36">
            <v>6</v>
          </cell>
          <cell r="DP36">
            <v>5</v>
          </cell>
          <cell r="DQ36">
            <v>26</v>
          </cell>
          <cell r="DR36">
            <v>1</v>
          </cell>
          <cell r="DS36">
            <v>0</v>
          </cell>
          <cell r="DT36">
            <v>32</v>
          </cell>
          <cell r="DU36">
            <v>7</v>
          </cell>
          <cell r="DV36">
            <v>5</v>
          </cell>
          <cell r="DW36">
            <v>9</v>
          </cell>
          <cell r="DX36">
            <v>8</v>
          </cell>
          <cell r="DY36">
            <v>3</v>
          </cell>
          <cell r="DZ36">
            <v>0</v>
          </cell>
          <cell r="EA36">
            <v>25</v>
          </cell>
          <cell r="EB36">
            <v>0</v>
          </cell>
          <cell r="EC36">
            <v>12</v>
          </cell>
          <cell r="ED36">
            <v>3</v>
          </cell>
          <cell r="EE36">
            <v>4</v>
          </cell>
          <cell r="EF36">
            <v>6</v>
          </cell>
          <cell r="EG36">
            <v>0</v>
          </cell>
          <cell r="EH36">
            <v>34</v>
          </cell>
          <cell r="EI36">
            <v>4</v>
          </cell>
          <cell r="EJ36">
            <v>11</v>
          </cell>
          <cell r="EK36">
            <v>10</v>
          </cell>
          <cell r="EL36">
            <v>7</v>
          </cell>
          <cell r="EM36">
            <v>2</v>
          </cell>
          <cell r="EN36">
            <v>0</v>
          </cell>
          <cell r="EO36" t="str">
            <v xml:space="preserve">GLACIAL HIGH CREW                                           </v>
          </cell>
        </row>
        <row r="37">
          <cell r="A37" t="str">
            <v>CN3PM8114239</v>
          </cell>
          <cell r="B37" t="str">
            <v>CN3</v>
          </cell>
          <cell r="C37" t="str">
            <v>PM8114</v>
          </cell>
          <cell r="D37">
            <v>239</v>
          </cell>
          <cell r="E37" t="str">
            <v xml:space="preserve">   </v>
          </cell>
          <cell r="F37">
            <v>80725</v>
          </cell>
          <cell r="G37">
            <v>80904</v>
          </cell>
          <cell r="H37">
            <v>0</v>
          </cell>
          <cell r="I37">
            <v>594</v>
          </cell>
          <cell r="J37">
            <v>594</v>
          </cell>
          <cell r="K37">
            <v>594</v>
          </cell>
          <cell r="L37">
            <v>405</v>
          </cell>
          <cell r="M37">
            <v>405</v>
          </cell>
          <cell r="N37">
            <v>7227792</v>
          </cell>
          <cell r="O37">
            <v>7723782</v>
          </cell>
          <cell r="P37">
            <v>7723782</v>
          </cell>
          <cell r="Q37">
            <v>5266215</v>
          </cell>
          <cell r="R37">
            <v>25588120</v>
          </cell>
          <cell r="S37" t="str">
            <v xml:space="preserve"> </v>
          </cell>
          <cell r="T37" t="str">
            <v xml:space="preserve"> </v>
          </cell>
          <cell r="U37">
            <v>594</v>
          </cell>
          <cell r="V37">
            <v>7723782</v>
          </cell>
          <cell r="W37">
            <v>405</v>
          </cell>
          <cell r="X37">
            <v>5266215</v>
          </cell>
          <cell r="Y37">
            <v>68.180000000000007</v>
          </cell>
          <cell r="Z37">
            <v>68.180000000000007</v>
          </cell>
          <cell r="AA37">
            <v>5214203</v>
          </cell>
          <cell r="AB37">
            <v>52012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189</v>
          </cell>
          <cell r="AN37">
            <v>5188197</v>
          </cell>
          <cell r="AO37">
            <v>12168</v>
          </cell>
          <cell r="AP37">
            <v>13003</v>
          </cell>
          <cell r="AQ37">
            <v>68000</v>
          </cell>
          <cell r="AR37">
            <v>0</v>
          </cell>
          <cell r="AS37">
            <v>5.23</v>
          </cell>
          <cell r="AT37">
            <v>40392000</v>
          </cell>
          <cell r="AU37">
            <v>4.9000000000000004</v>
          </cell>
          <cell r="AV37">
            <v>25560684</v>
          </cell>
          <cell r="AW37">
            <v>0.53</v>
          </cell>
          <cell r="AX37">
            <v>27436</v>
          </cell>
          <cell r="AY37">
            <v>68.180000000000007</v>
          </cell>
          <cell r="AZ37">
            <v>0</v>
          </cell>
          <cell r="BA37">
            <v>401</v>
          </cell>
          <cell r="BB37">
            <v>4</v>
          </cell>
          <cell r="BC37">
            <v>405</v>
          </cell>
          <cell r="BD37">
            <v>0</v>
          </cell>
          <cell r="BE37">
            <v>0</v>
          </cell>
          <cell r="BF37">
            <v>21</v>
          </cell>
          <cell r="BG37">
            <v>1</v>
          </cell>
          <cell r="BH37">
            <v>1</v>
          </cell>
          <cell r="BI37">
            <v>39</v>
          </cell>
          <cell r="BJ37">
            <v>10</v>
          </cell>
          <cell r="BK37">
            <v>5</v>
          </cell>
          <cell r="BL37">
            <v>8</v>
          </cell>
          <cell r="BM37">
            <v>11</v>
          </cell>
          <cell r="BN37">
            <v>5</v>
          </cell>
          <cell r="BO37">
            <v>0</v>
          </cell>
          <cell r="BP37">
            <v>21</v>
          </cell>
          <cell r="BQ37">
            <v>1</v>
          </cell>
          <cell r="BR37">
            <v>6</v>
          </cell>
          <cell r="BS37">
            <v>3</v>
          </cell>
          <cell r="BT37">
            <v>9</v>
          </cell>
          <cell r="BU37">
            <v>2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87</v>
          </cell>
          <cell r="DN37">
            <v>10</v>
          </cell>
          <cell r="DO37">
            <v>12</v>
          </cell>
          <cell r="DP37">
            <v>16</v>
          </cell>
          <cell r="DQ37">
            <v>42</v>
          </cell>
          <cell r="DR37">
            <v>7</v>
          </cell>
          <cell r="DS37">
            <v>0</v>
          </cell>
          <cell r="DT37">
            <v>121</v>
          </cell>
          <cell r="DU37">
            <v>27</v>
          </cell>
          <cell r="DV37">
            <v>38</v>
          </cell>
          <cell r="DW37">
            <v>16</v>
          </cell>
          <cell r="DX37">
            <v>28</v>
          </cell>
          <cell r="DY37">
            <v>12</v>
          </cell>
          <cell r="DZ37">
            <v>0</v>
          </cell>
          <cell r="EA37">
            <v>69</v>
          </cell>
          <cell r="EB37">
            <v>11</v>
          </cell>
          <cell r="EC37">
            <v>11</v>
          </cell>
          <cell r="ED37">
            <v>13</v>
          </cell>
          <cell r="EE37">
            <v>23</v>
          </cell>
          <cell r="EF37">
            <v>11</v>
          </cell>
          <cell r="EG37">
            <v>0</v>
          </cell>
          <cell r="EH37">
            <v>68</v>
          </cell>
          <cell r="EI37">
            <v>15</v>
          </cell>
          <cell r="EJ37">
            <v>13</v>
          </cell>
          <cell r="EK37">
            <v>20</v>
          </cell>
          <cell r="EL37">
            <v>13</v>
          </cell>
          <cell r="EM37">
            <v>7</v>
          </cell>
          <cell r="EN37">
            <v>0</v>
          </cell>
          <cell r="EO37" t="str">
            <v xml:space="preserve">TRAIL PASS PANT                                             </v>
          </cell>
        </row>
        <row r="38">
          <cell r="A38" t="str">
            <v>CN3PM8114327</v>
          </cell>
          <cell r="B38" t="str">
            <v>CN3</v>
          </cell>
          <cell r="C38" t="str">
            <v>PM8114</v>
          </cell>
          <cell r="D38">
            <v>327</v>
          </cell>
          <cell r="E38" t="str">
            <v xml:space="preserve">   </v>
          </cell>
          <cell r="F38">
            <v>80725</v>
          </cell>
          <cell r="G38">
            <v>80904</v>
          </cell>
          <cell r="H38">
            <v>0</v>
          </cell>
          <cell r="I38">
            <v>702</v>
          </cell>
          <cell r="J38">
            <v>702</v>
          </cell>
          <cell r="K38">
            <v>701</v>
          </cell>
          <cell r="L38">
            <v>286</v>
          </cell>
          <cell r="M38">
            <v>286</v>
          </cell>
          <cell r="N38">
            <v>8541936</v>
          </cell>
          <cell r="O38">
            <v>9128106</v>
          </cell>
          <cell r="P38">
            <v>9115103</v>
          </cell>
          <cell r="Q38">
            <v>3718858</v>
          </cell>
          <cell r="R38">
            <v>17611411</v>
          </cell>
          <cell r="S38" t="str">
            <v xml:space="preserve"> </v>
          </cell>
          <cell r="T38" t="str">
            <v xml:space="preserve"> </v>
          </cell>
          <cell r="U38">
            <v>702</v>
          </cell>
          <cell r="V38">
            <v>9128106</v>
          </cell>
          <cell r="W38">
            <v>286</v>
          </cell>
          <cell r="X38">
            <v>3718858</v>
          </cell>
          <cell r="Y38">
            <v>40.6</v>
          </cell>
          <cell r="Z38">
            <v>40.46</v>
          </cell>
          <cell r="AA38">
            <v>3653843</v>
          </cell>
          <cell r="AB38">
            <v>65015</v>
          </cell>
          <cell r="AC38">
            <v>1</v>
          </cell>
          <cell r="AD38">
            <v>26006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-1</v>
          </cell>
          <cell r="AL38">
            <v>-26006</v>
          </cell>
          <cell r="AM38">
            <v>416</v>
          </cell>
          <cell r="AN38">
            <v>11065553</v>
          </cell>
          <cell r="AO38">
            <v>12168</v>
          </cell>
          <cell r="AP38">
            <v>13003</v>
          </cell>
          <cell r="AQ38">
            <v>68000</v>
          </cell>
          <cell r="AR38">
            <v>0</v>
          </cell>
          <cell r="AS38">
            <v>5.23</v>
          </cell>
          <cell r="AT38">
            <v>47736000</v>
          </cell>
          <cell r="AU38">
            <v>4.8099999999999996</v>
          </cell>
          <cell r="AV38">
            <v>17577116</v>
          </cell>
          <cell r="AW38">
            <v>0.53</v>
          </cell>
          <cell r="AX38">
            <v>34295</v>
          </cell>
          <cell r="AY38">
            <v>40.6</v>
          </cell>
          <cell r="AZ38">
            <v>0</v>
          </cell>
          <cell r="BA38">
            <v>281</v>
          </cell>
          <cell r="BB38">
            <v>5</v>
          </cell>
          <cell r="BC38">
            <v>286</v>
          </cell>
          <cell r="BD38">
            <v>0</v>
          </cell>
          <cell r="BE38">
            <v>0</v>
          </cell>
          <cell r="BF38">
            <v>19</v>
          </cell>
          <cell r="BG38">
            <v>0</v>
          </cell>
          <cell r="BH38">
            <v>1</v>
          </cell>
          <cell r="BI38">
            <v>41</v>
          </cell>
          <cell r="BJ38">
            <v>10</v>
          </cell>
          <cell r="BK38">
            <v>10</v>
          </cell>
          <cell r="BL38">
            <v>11</v>
          </cell>
          <cell r="BM38">
            <v>5</v>
          </cell>
          <cell r="BN38">
            <v>5</v>
          </cell>
          <cell r="BO38">
            <v>0</v>
          </cell>
          <cell r="BP38">
            <v>19</v>
          </cell>
          <cell r="BQ38">
            <v>3</v>
          </cell>
          <cell r="BR38">
            <v>6</v>
          </cell>
          <cell r="BS38">
            <v>2</v>
          </cell>
          <cell r="BT38">
            <v>8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48</v>
          </cell>
          <cell r="DN38">
            <v>7</v>
          </cell>
          <cell r="DO38">
            <v>6</v>
          </cell>
          <cell r="DP38">
            <v>9</v>
          </cell>
          <cell r="DQ38">
            <v>23</v>
          </cell>
          <cell r="DR38">
            <v>3</v>
          </cell>
          <cell r="DS38">
            <v>0</v>
          </cell>
          <cell r="DT38">
            <v>76</v>
          </cell>
          <cell r="DU38">
            <v>15</v>
          </cell>
          <cell r="DV38">
            <v>19</v>
          </cell>
          <cell r="DW38">
            <v>8</v>
          </cell>
          <cell r="DX38">
            <v>21</v>
          </cell>
          <cell r="DY38">
            <v>13</v>
          </cell>
          <cell r="DZ38">
            <v>0</v>
          </cell>
          <cell r="EA38">
            <v>57</v>
          </cell>
          <cell r="EB38">
            <v>5</v>
          </cell>
          <cell r="EC38">
            <v>14</v>
          </cell>
          <cell r="ED38">
            <v>11</v>
          </cell>
          <cell r="EE38">
            <v>13</v>
          </cell>
          <cell r="EF38">
            <v>14</v>
          </cell>
          <cell r="EG38">
            <v>0</v>
          </cell>
          <cell r="EH38">
            <v>45</v>
          </cell>
          <cell r="EI38">
            <v>9</v>
          </cell>
          <cell r="EJ38">
            <v>15</v>
          </cell>
          <cell r="EK38">
            <v>6</v>
          </cell>
          <cell r="EL38">
            <v>13</v>
          </cell>
          <cell r="EM38">
            <v>2</v>
          </cell>
          <cell r="EN38">
            <v>0</v>
          </cell>
          <cell r="EO38" t="str">
            <v xml:space="preserve">TRAIL PASS PANT                                             </v>
          </cell>
        </row>
        <row r="39">
          <cell r="A39" t="str">
            <v>CN3TE6714010</v>
          </cell>
          <cell r="B39" t="str">
            <v>CN3</v>
          </cell>
          <cell r="C39" t="str">
            <v>TE6714</v>
          </cell>
          <cell r="D39">
            <v>10</v>
          </cell>
          <cell r="E39" t="str">
            <v xml:space="preserve">   </v>
          </cell>
          <cell r="F39">
            <v>80820</v>
          </cell>
          <cell r="G39">
            <v>80903</v>
          </cell>
          <cell r="H39">
            <v>81120</v>
          </cell>
          <cell r="I39">
            <v>600</v>
          </cell>
          <cell r="J39">
            <v>590</v>
          </cell>
          <cell r="K39">
            <v>576</v>
          </cell>
          <cell r="L39">
            <v>133</v>
          </cell>
          <cell r="M39">
            <v>133</v>
          </cell>
          <cell r="N39">
            <v>7300800</v>
          </cell>
          <cell r="O39">
            <v>7703040</v>
          </cell>
          <cell r="P39">
            <v>7520256</v>
          </cell>
          <cell r="Q39">
            <v>1736448</v>
          </cell>
          <cell r="R39">
            <v>7201495</v>
          </cell>
          <cell r="S39" t="str">
            <v>*</v>
          </cell>
          <cell r="T39" t="str">
            <v xml:space="preserve"> </v>
          </cell>
          <cell r="U39">
            <v>590</v>
          </cell>
          <cell r="V39">
            <v>7703040</v>
          </cell>
          <cell r="W39">
            <v>133</v>
          </cell>
          <cell r="X39">
            <v>1736448</v>
          </cell>
          <cell r="Y39">
            <v>22.88</v>
          </cell>
          <cell r="Z39">
            <v>23.22</v>
          </cell>
          <cell r="AA39">
            <v>665856</v>
          </cell>
          <cell r="AB39">
            <v>1070592</v>
          </cell>
          <cell r="AC39">
            <v>14</v>
          </cell>
          <cell r="AD39">
            <v>561408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2</v>
          </cell>
          <cell r="AL39">
            <v>52224</v>
          </cell>
          <cell r="AM39">
            <v>441</v>
          </cell>
          <cell r="AN39">
            <v>11541504</v>
          </cell>
          <cell r="AO39">
            <v>12168</v>
          </cell>
          <cell r="AP39">
            <v>13056</v>
          </cell>
          <cell r="AQ39">
            <v>78000</v>
          </cell>
          <cell r="AR39">
            <v>47000</v>
          </cell>
          <cell r="AS39">
            <v>5.97</v>
          </cell>
          <cell r="AT39">
            <v>46020000</v>
          </cell>
          <cell r="AU39">
            <v>5.33</v>
          </cell>
          <cell r="AV39">
            <v>3548200</v>
          </cell>
          <cell r="AW39">
            <v>3.41</v>
          </cell>
          <cell r="AX39">
            <v>3653295</v>
          </cell>
          <cell r="AY39">
            <v>22.88</v>
          </cell>
          <cell r="AZ39">
            <v>0</v>
          </cell>
          <cell r="BA39">
            <v>51</v>
          </cell>
          <cell r="BB39">
            <v>82</v>
          </cell>
          <cell r="BC39">
            <v>133</v>
          </cell>
          <cell r="BD39">
            <v>0</v>
          </cell>
          <cell r="BE39">
            <v>0</v>
          </cell>
          <cell r="BF39">
            <v>33</v>
          </cell>
          <cell r="BG39">
            <v>1</v>
          </cell>
          <cell r="BH39">
            <v>1</v>
          </cell>
          <cell r="BI39">
            <v>9</v>
          </cell>
          <cell r="BJ39">
            <v>1</v>
          </cell>
          <cell r="BK39">
            <v>1</v>
          </cell>
          <cell r="BL39">
            <v>5</v>
          </cell>
          <cell r="BM39">
            <v>3</v>
          </cell>
          <cell r="BN39">
            <v>-1</v>
          </cell>
          <cell r="BO39">
            <v>0</v>
          </cell>
          <cell r="BP39">
            <v>17</v>
          </cell>
          <cell r="BQ39">
            <v>0</v>
          </cell>
          <cell r="BR39">
            <v>0</v>
          </cell>
          <cell r="BS39">
            <v>3</v>
          </cell>
          <cell r="BT39">
            <v>9</v>
          </cell>
          <cell r="BU39">
            <v>5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29</v>
          </cell>
          <cell r="DN39">
            <v>8</v>
          </cell>
          <cell r="DO39">
            <v>4</v>
          </cell>
          <cell r="DP39">
            <v>1</v>
          </cell>
          <cell r="DQ39">
            <v>14</v>
          </cell>
          <cell r="DR39">
            <v>2</v>
          </cell>
          <cell r="DS39">
            <v>0</v>
          </cell>
          <cell r="DT39">
            <v>19</v>
          </cell>
          <cell r="DU39">
            <v>5</v>
          </cell>
          <cell r="DV39">
            <v>5</v>
          </cell>
          <cell r="DW39">
            <v>4</v>
          </cell>
          <cell r="DX39">
            <v>4</v>
          </cell>
          <cell r="DY39">
            <v>1</v>
          </cell>
          <cell r="DZ39">
            <v>0</v>
          </cell>
          <cell r="EA39">
            <v>22</v>
          </cell>
          <cell r="EB39">
            <v>1</v>
          </cell>
          <cell r="EC39">
            <v>1</v>
          </cell>
          <cell r="ED39">
            <v>-3</v>
          </cell>
          <cell r="EE39">
            <v>8</v>
          </cell>
          <cell r="EF39">
            <v>15</v>
          </cell>
          <cell r="EG39">
            <v>0</v>
          </cell>
          <cell r="EH39">
            <v>37</v>
          </cell>
          <cell r="EI39">
            <v>5</v>
          </cell>
          <cell r="EJ39">
            <v>11</v>
          </cell>
          <cell r="EK39">
            <v>14</v>
          </cell>
          <cell r="EL39">
            <v>6</v>
          </cell>
          <cell r="EM39">
            <v>1</v>
          </cell>
          <cell r="EN39">
            <v>0</v>
          </cell>
          <cell r="EO39" t="str">
            <v xml:space="preserve">FALSE SUMMIT ZIP POLO                                       </v>
          </cell>
        </row>
        <row r="40">
          <cell r="A40" t="str">
            <v>CN3TE6714017</v>
          </cell>
          <cell r="B40" t="str">
            <v>CN3</v>
          </cell>
          <cell r="C40" t="str">
            <v>TE6714</v>
          </cell>
          <cell r="D40">
            <v>17</v>
          </cell>
          <cell r="E40" t="str">
            <v xml:space="preserve">   </v>
          </cell>
          <cell r="F40">
            <v>80820</v>
          </cell>
          <cell r="G40">
            <v>80903</v>
          </cell>
          <cell r="H40">
            <v>81120</v>
          </cell>
          <cell r="I40">
            <v>504</v>
          </cell>
          <cell r="J40">
            <v>500</v>
          </cell>
          <cell r="K40">
            <v>477</v>
          </cell>
          <cell r="L40">
            <v>29</v>
          </cell>
          <cell r="M40">
            <v>29</v>
          </cell>
          <cell r="N40">
            <v>6132672</v>
          </cell>
          <cell r="O40">
            <v>6528000</v>
          </cell>
          <cell r="P40">
            <v>6227712</v>
          </cell>
          <cell r="Q40">
            <v>378624</v>
          </cell>
          <cell r="R40">
            <v>1485318</v>
          </cell>
          <cell r="S40" t="str">
            <v>*</v>
          </cell>
          <cell r="T40" t="str">
            <v xml:space="preserve"> </v>
          </cell>
          <cell r="U40">
            <v>500</v>
          </cell>
          <cell r="V40">
            <v>6528000</v>
          </cell>
          <cell r="W40">
            <v>29</v>
          </cell>
          <cell r="X40">
            <v>378624</v>
          </cell>
          <cell r="Y40">
            <v>5.8</v>
          </cell>
          <cell r="Z40">
            <v>5.8</v>
          </cell>
          <cell r="AA40">
            <v>169728</v>
          </cell>
          <cell r="AB40">
            <v>208896</v>
          </cell>
          <cell r="AC40">
            <v>23</v>
          </cell>
          <cell r="AD40">
            <v>744192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448</v>
          </cell>
          <cell r="AN40">
            <v>11567616</v>
          </cell>
          <cell r="AO40">
            <v>12168</v>
          </cell>
          <cell r="AP40">
            <v>13056</v>
          </cell>
          <cell r="AQ40">
            <v>78000</v>
          </cell>
          <cell r="AR40">
            <v>47000</v>
          </cell>
          <cell r="AS40">
            <v>5.97</v>
          </cell>
          <cell r="AT40">
            <v>39000000</v>
          </cell>
          <cell r="AU40">
            <v>4.79</v>
          </cell>
          <cell r="AV40">
            <v>813600</v>
          </cell>
          <cell r="AW40">
            <v>3.22</v>
          </cell>
          <cell r="AX40">
            <v>671718</v>
          </cell>
          <cell r="AY40">
            <v>5.8</v>
          </cell>
          <cell r="AZ40">
            <v>0</v>
          </cell>
          <cell r="BA40">
            <v>13</v>
          </cell>
          <cell r="BB40">
            <v>16</v>
          </cell>
          <cell r="BC40">
            <v>29</v>
          </cell>
          <cell r="BD40">
            <v>0</v>
          </cell>
          <cell r="BE40">
            <v>0</v>
          </cell>
          <cell r="BF40">
            <v>11</v>
          </cell>
          <cell r="BG40">
            <v>0</v>
          </cell>
          <cell r="BH40">
            <v>1</v>
          </cell>
          <cell r="BI40">
            <v>3</v>
          </cell>
          <cell r="BJ40">
            <v>0</v>
          </cell>
          <cell r="BK40">
            <v>-1</v>
          </cell>
          <cell r="BL40">
            <v>1</v>
          </cell>
          <cell r="BM40">
            <v>0</v>
          </cell>
          <cell r="BN40">
            <v>3</v>
          </cell>
          <cell r="BO40">
            <v>0</v>
          </cell>
          <cell r="BP40">
            <v>1</v>
          </cell>
          <cell r="BQ40">
            <v>0</v>
          </cell>
          <cell r="BR40">
            <v>1</v>
          </cell>
          <cell r="BS40">
            <v>3</v>
          </cell>
          <cell r="BT40">
            <v>-1</v>
          </cell>
          <cell r="BU40">
            <v>-2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12</v>
          </cell>
          <cell r="DN40">
            <v>3</v>
          </cell>
          <cell r="DO40">
            <v>0</v>
          </cell>
          <cell r="DP40">
            <v>1</v>
          </cell>
          <cell r="DQ40">
            <v>6</v>
          </cell>
          <cell r="DR40">
            <v>2</v>
          </cell>
          <cell r="DS40">
            <v>0</v>
          </cell>
          <cell r="DT40">
            <v>4</v>
          </cell>
          <cell r="DU40">
            <v>-1</v>
          </cell>
          <cell r="DV40">
            <v>1</v>
          </cell>
          <cell r="DW40">
            <v>1</v>
          </cell>
          <cell r="DX40">
            <v>2</v>
          </cell>
          <cell r="DY40">
            <v>1</v>
          </cell>
          <cell r="DZ40">
            <v>0</v>
          </cell>
          <cell r="EA40">
            <v>-3</v>
          </cell>
          <cell r="EB40">
            <v>-1</v>
          </cell>
          <cell r="EC40">
            <v>-2</v>
          </cell>
          <cell r="ED40">
            <v>-3</v>
          </cell>
          <cell r="EE40">
            <v>3</v>
          </cell>
          <cell r="EF40">
            <v>0</v>
          </cell>
          <cell r="EG40">
            <v>0</v>
          </cell>
          <cell r="EH40">
            <v>12</v>
          </cell>
          <cell r="EI40">
            <v>6</v>
          </cell>
          <cell r="EJ40">
            <v>5</v>
          </cell>
          <cell r="EK40">
            <v>1</v>
          </cell>
          <cell r="EL40">
            <v>0</v>
          </cell>
          <cell r="EM40">
            <v>0</v>
          </cell>
          <cell r="EN40">
            <v>0</v>
          </cell>
          <cell r="EO40" t="str">
            <v xml:space="preserve">FALSE SUMMIT ZIP POLO                                       </v>
          </cell>
        </row>
        <row r="41">
          <cell r="A41" t="str">
            <v>CN3TE6714837</v>
          </cell>
          <cell r="B41" t="str">
            <v>CN3</v>
          </cell>
          <cell r="C41" t="str">
            <v>TE6714</v>
          </cell>
          <cell r="D41">
            <v>837</v>
          </cell>
          <cell r="E41" t="str">
            <v xml:space="preserve">   </v>
          </cell>
          <cell r="F41">
            <v>80820</v>
          </cell>
          <cell r="G41">
            <v>80903</v>
          </cell>
          <cell r="H41">
            <v>81120</v>
          </cell>
          <cell r="I41">
            <v>402</v>
          </cell>
          <cell r="J41">
            <v>399</v>
          </cell>
          <cell r="K41">
            <v>387</v>
          </cell>
          <cell r="L41">
            <v>23</v>
          </cell>
          <cell r="M41">
            <v>23</v>
          </cell>
          <cell r="N41">
            <v>4891536</v>
          </cell>
          <cell r="O41">
            <v>5209344</v>
          </cell>
          <cell r="P41">
            <v>5052672</v>
          </cell>
          <cell r="Q41">
            <v>300288</v>
          </cell>
          <cell r="R41">
            <v>1195659</v>
          </cell>
          <cell r="S41" t="str">
            <v>*</v>
          </cell>
          <cell r="T41" t="str">
            <v xml:space="preserve"> </v>
          </cell>
          <cell r="U41">
            <v>399</v>
          </cell>
          <cell r="V41">
            <v>5209344</v>
          </cell>
          <cell r="W41">
            <v>23</v>
          </cell>
          <cell r="X41">
            <v>300288</v>
          </cell>
          <cell r="Y41">
            <v>5.51</v>
          </cell>
          <cell r="Z41">
            <v>5.26</v>
          </cell>
          <cell r="AA41">
            <v>78336</v>
          </cell>
          <cell r="AB41">
            <v>221952</v>
          </cell>
          <cell r="AC41">
            <v>12</v>
          </cell>
          <cell r="AD41">
            <v>443904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-1</v>
          </cell>
          <cell r="AL41">
            <v>-26112</v>
          </cell>
          <cell r="AM41">
            <v>365</v>
          </cell>
          <cell r="AN41">
            <v>9439488</v>
          </cell>
          <cell r="AO41">
            <v>12168</v>
          </cell>
          <cell r="AP41">
            <v>13056</v>
          </cell>
          <cell r="AQ41">
            <v>78000</v>
          </cell>
          <cell r="AR41">
            <v>47000</v>
          </cell>
          <cell r="AS41">
            <v>5.97</v>
          </cell>
          <cell r="AT41">
            <v>31122000</v>
          </cell>
          <cell r="AU41">
            <v>5.58</v>
          </cell>
          <cell r="AV41">
            <v>436800</v>
          </cell>
          <cell r="AW41">
            <v>3.42</v>
          </cell>
          <cell r="AX41">
            <v>758859</v>
          </cell>
          <cell r="AY41">
            <v>5.51</v>
          </cell>
          <cell r="AZ41">
            <v>0</v>
          </cell>
          <cell r="BA41">
            <v>6</v>
          </cell>
          <cell r="BB41">
            <v>17</v>
          </cell>
          <cell r="BC41">
            <v>23</v>
          </cell>
          <cell r="BD41">
            <v>0</v>
          </cell>
          <cell r="BE41">
            <v>0</v>
          </cell>
          <cell r="BF41">
            <v>5</v>
          </cell>
          <cell r="BG41">
            <v>0</v>
          </cell>
          <cell r="BH41">
            <v>1</v>
          </cell>
          <cell r="BI41">
            <v>4</v>
          </cell>
          <cell r="BJ41">
            <v>0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0</v>
          </cell>
          <cell r="BP41">
            <v>3</v>
          </cell>
          <cell r="BQ41">
            <v>0</v>
          </cell>
          <cell r="BR41">
            <v>1</v>
          </cell>
          <cell r="BS41">
            <v>1</v>
          </cell>
          <cell r="BT41">
            <v>1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6</v>
          </cell>
          <cell r="DN41">
            <v>1</v>
          </cell>
          <cell r="DO41">
            <v>2</v>
          </cell>
          <cell r="DP41">
            <v>0</v>
          </cell>
          <cell r="DQ41">
            <v>2</v>
          </cell>
          <cell r="DR41">
            <v>1</v>
          </cell>
          <cell r="DS41">
            <v>0</v>
          </cell>
          <cell r="DT41">
            <v>0</v>
          </cell>
          <cell r="DU41">
            <v>-1</v>
          </cell>
          <cell r="DV41">
            <v>0</v>
          </cell>
          <cell r="DW41">
            <v>2</v>
          </cell>
          <cell r="DX41">
            <v>-1</v>
          </cell>
          <cell r="DY41">
            <v>0</v>
          </cell>
          <cell r="DZ41">
            <v>0</v>
          </cell>
          <cell r="EA41">
            <v>4</v>
          </cell>
          <cell r="EB41">
            <v>0</v>
          </cell>
          <cell r="EC41">
            <v>1</v>
          </cell>
          <cell r="ED41">
            <v>0</v>
          </cell>
          <cell r="EE41">
            <v>0</v>
          </cell>
          <cell r="EF41">
            <v>3</v>
          </cell>
          <cell r="EG41">
            <v>0</v>
          </cell>
          <cell r="EH41">
            <v>6</v>
          </cell>
          <cell r="EI41">
            <v>0</v>
          </cell>
          <cell r="EJ41">
            <v>2</v>
          </cell>
          <cell r="EK41">
            <v>5</v>
          </cell>
          <cell r="EL41">
            <v>-1</v>
          </cell>
          <cell r="EM41">
            <v>0</v>
          </cell>
          <cell r="EN41">
            <v>0</v>
          </cell>
          <cell r="EO41" t="str">
            <v xml:space="preserve">FALSE SUMMIT ZIP POLO                                       </v>
          </cell>
        </row>
        <row r="42">
          <cell r="A42" t="str">
            <v>CN3TE6719049</v>
          </cell>
          <cell r="B42" t="str">
            <v>CN3</v>
          </cell>
          <cell r="C42" t="str">
            <v>TE6719</v>
          </cell>
          <cell r="D42">
            <v>49</v>
          </cell>
          <cell r="E42" t="str">
            <v xml:space="preserve">   </v>
          </cell>
          <cell r="F42">
            <v>80725</v>
          </cell>
          <cell r="G42">
            <v>80904</v>
          </cell>
          <cell r="H42">
            <v>0</v>
          </cell>
          <cell r="I42">
            <v>600</v>
          </cell>
          <cell r="J42">
            <v>600</v>
          </cell>
          <cell r="K42">
            <v>573</v>
          </cell>
          <cell r="L42">
            <v>64</v>
          </cell>
          <cell r="M42">
            <v>64</v>
          </cell>
          <cell r="N42">
            <v>8389200</v>
          </cell>
          <cell r="O42">
            <v>8442000</v>
          </cell>
          <cell r="P42">
            <v>8062110</v>
          </cell>
          <cell r="Q42">
            <v>900480</v>
          </cell>
          <cell r="R42">
            <v>5844500</v>
          </cell>
          <cell r="S42" t="str">
            <v xml:space="preserve"> </v>
          </cell>
          <cell r="T42" t="str">
            <v xml:space="preserve"> </v>
          </cell>
          <cell r="U42">
            <v>600</v>
          </cell>
          <cell r="V42">
            <v>8442000</v>
          </cell>
          <cell r="W42">
            <v>64</v>
          </cell>
          <cell r="X42">
            <v>900480</v>
          </cell>
          <cell r="Y42">
            <v>10.67</v>
          </cell>
          <cell r="Z42">
            <v>10.67</v>
          </cell>
          <cell r="AA42">
            <v>900480</v>
          </cell>
          <cell r="AB42">
            <v>0</v>
          </cell>
          <cell r="AC42">
            <v>27</v>
          </cell>
          <cell r="AD42">
            <v>816060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509</v>
          </cell>
          <cell r="AN42">
            <v>14295120</v>
          </cell>
          <cell r="AO42">
            <v>13982</v>
          </cell>
          <cell r="AP42">
            <v>14070</v>
          </cell>
          <cell r="AQ42">
            <v>98000</v>
          </cell>
          <cell r="AR42">
            <v>0</v>
          </cell>
          <cell r="AS42">
            <v>6.97</v>
          </cell>
          <cell r="AT42">
            <v>58800000</v>
          </cell>
          <cell r="AU42">
            <v>6.49</v>
          </cell>
          <cell r="AV42">
            <v>5844500</v>
          </cell>
          <cell r="AW42">
            <v>0</v>
          </cell>
          <cell r="AX42">
            <v>0</v>
          </cell>
          <cell r="AY42">
            <v>10.67</v>
          </cell>
          <cell r="AZ42">
            <v>0</v>
          </cell>
          <cell r="BA42">
            <v>64</v>
          </cell>
          <cell r="BB42">
            <v>0</v>
          </cell>
          <cell r="BC42">
            <v>64</v>
          </cell>
          <cell r="BD42">
            <v>0</v>
          </cell>
          <cell r="BE42">
            <v>0</v>
          </cell>
          <cell r="BF42">
            <v>4</v>
          </cell>
          <cell r="BG42">
            <v>1</v>
          </cell>
          <cell r="BH42">
            <v>1</v>
          </cell>
          <cell r="BI42">
            <v>7</v>
          </cell>
          <cell r="BJ42">
            <v>1</v>
          </cell>
          <cell r="BK42">
            <v>4</v>
          </cell>
          <cell r="BL42">
            <v>1</v>
          </cell>
          <cell r="BM42">
            <v>0</v>
          </cell>
          <cell r="BN42">
            <v>1</v>
          </cell>
          <cell r="BO42">
            <v>0</v>
          </cell>
          <cell r="BP42">
            <v>2</v>
          </cell>
          <cell r="BQ42">
            <v>0</v>
          </cell>
          <cell r="BR42">
            <v>1</v>
          </cell>
          <cell r="BS42">
            <v>1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22</v>
          </cell>
          <cell r="DN42">
            <v>2</v>
          </cell>
          <cell r="DO42">
            <v>6</v>
          </cell>
          <cell r="DP42">
            <v>4</v>
          </cell>
          <cell r="DQ42">
            <v>7</v>
          </cell>
          <cell r="DR42">
            <v>3</v>
          </cell>
          <cell r="DS42">
            <v>0</v>
          </cell>
          <cell r="DT42">
            <v>8</v>
          </cell>
          <cell r="DU42">
            <v>3</v>
          </cell>
          <cell r="DV42">
            <v>1</v>
          </cell>
          <cell r="DW42">
            <v>2</v>
          </cell>
          <cell r="DX42">
            <v>0</v>
          </cell>
          <cell r="DY42">
            <v>2</v>
          </cell>
          <cell r="DZ42">
            <v>0</v>
          </cell>
          <cell r="EA42">
            <v>8</v>
          </cell>
          <cell r="EB42">
            <v>1</v>
          </cell>
          <cell r="EC42">
            <v>1</v>
          </cell>
          <cell r="ED42">
            <v>2</v>
          </cell>
          <cell r="EE42">
            <v>3</v>
          </cell>
          <cell r="EF42">
            <v>1</v>
          </cell>
          <cell r="EG42">
            <v>0</v>
          </cell>
          <cell r="EH42">
            <v>17</v>
          </cell>
          <cell r="EI42">
            <v>5</v>
          </cell>
          <cell r="EJ42">
            <v>4</v>
          </cell>
          <cell r="EK42">
            <v>2</v>
          </cell>
          <cell r="EL42">
            <v>3</v>
          </cell>
          <cell r="EM42">
            <v>3</v>
          </cell>
          <cell r="EN42">
            <v>0</v>
          </cell>
          <cell r="EO42" t="str">
            <v xml:space="preserve">HILL WARRIOR OVER SHIRT                                     </v>
          </cell>
        </row>
        <row r="43">
          <cell r="A43" t="str">
            <v>CN3TE6719978</v>
          </cell>
          <cell r="B43" t="str">
            <v>CN3</v>
          </cell>
          <cell r="C43" t="str">
            <v>TE6719</v>
          </cell>
          <cell r="D43">
            <v>978</v>
          </cell>
          <cell r="E43" t="str">
            <v xml:space="preserve">   </v>
          </cell>
          <cell r="F43">
            <v>80725</v>
          </cell>
          <cell r="G43">
            <v>80904</v>
          </cell>
          <cell r="H43">
            <v>0</v>
          </cell>
          <cell r="I43">
            <v>504</v>
          </cell>
          <cell r="J43">
            <v>504</v>
          </cell>
          <cell r="K43">
            <v>490</v>
          </cell>
          <cell r="L43">
            <v>67</v>
          </cell>
          <cell r="M43">
            <v>67</v>
          </cell>
          <cell r="N43">
            <v>7046928</v>
          </cell>
          <cell r="O43">
            <v>7091280</v>
          </cell>
          <cell r="P43">
            <v>6894300</v>
          </cell>
          <cell r="Q43">
            <v>942690</v>
          </cell>
          <cell r="R43">
            <v>5898359</v>
          </cell>
          <cell r="S43" t="str">
            <v xml:space="preserve"> </v>
          </cell>
          <cell r="T43" t="str">
            <v xml:space="preserve"> </v>
          </cell>
          <cell r="U43">
            <v>504</v>
          </cell>
          <cell r="V43">
            <v>7091280</v>
          </cell>
          <cell r="W43">
            <v>67</v>
          </cell>
          <cell r="X43">
            <v>942690</v>
          </cell>
          <cell r="Y43">
            <v>13.29</v>
          </cell>
          <cell r="Z43">
            <v>13.29</v>
          </cell>
          <cell r="AA43">
            <v>928620</v>
          </cell>
          <cell r="AB43">
            <v>14070</v>
          </cell>
          <cell r="AC43">
            <v>14</v>
          </cell>
          <cell r="AD43">
            <v>464310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423</v>
          </cell>
          <cell r="AN43">
            <v>11889150</v>
          </cell>
          <cell r="AO43">
            <v>13982</v>
          </cell>
          <cell r="AP43">
            <v>14070</v>
          </cell>
          <cell r="AQ43">
            <v>98000</v>
          </cell>
          <cell r="AR43">
            <v>0</v>
          </cell>
          <cell r="AS43">
            <v>6.97</v>
          </cell>
          <cell r="AT43">
            <v>49392000</v>
          </cell>
          <cell r="AU43">
            <v>6.34</v>
          </cell>
          <cell r="AV43">
            <v>5891500</v>
          </cell>
          <cell r="AW43">
            <v>0.49</v>
          </cell>
          <cell r="AX43">
            <v>6859</v>
          </cell>
          <cell r="AY43">
            <v>13.29</v>
          </cell>
          <cell r="AZ43">
            <v>0</v>
          </cell>
          <cell r="BA43">
            <v>66</v>
          </cell>
          <cell r="BB43">
            <v>1</v>
          </cell>
          <cell r="BC43">
            <v>67</v>
          </cell>
          <cell r="BD43">
            <v>0</v>
          </cell>
          <cell r="BE43">
            <v>0</v>
          </cell>
          <cell r="BF43">
            <v>6</v>
          </cell>
          <cell r="BG43">
            <v>0</v>
          </cell>
          <cell r="BH43">
            <v>1</v>
          </cell>
          <cell r="BI43">
            <v>9</v>
          </cell>
          <cell r="BJ43">
            <v>2</v>
          </cell>
          <cell r="BK43">
            <v>3</v>
          </cell>
          <cell r="BL43">
            <v>1</v>
          </cell>
          <cell r="BM43">
            <v>1</v>
          </cell>
          <cell r="BN43">
            <v>2</v>
          </cell>
          <cell r="BO43">
            <v>0</v>
          </cell>
          <cell r="BP43">
            <v>4</v>
          </cell>
          <cell r="BQ43">
            <v>0</v>
          </cell>
          <cell r="BR43">
            <v>1</v>
          </cell>
          <cell r="BS43">
            <v>2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17</v>
          </cell>
          <cell r="DN43">
            <v>1</v>
          </cell>
          <cell r="DO43">
            <v>1</v>
          </cell>
          <cell r="DP43">
            <v>1</v>
          </cell>
          <cell r="DQ43">
            <v>12</v>
          </cell>
          <cell r="DR43">
            <v>2</v>
          </cell>
          <cell r="DS43">
            <v>0</v>
          </cell>
          <cell r="DT43">
            <v>12</v>
          </cell>
          <cell r="DU43">
            <v>1</v>
          </cell>
          <cell r="DV43">
            <v>3</v>
          </cell>
          <cell r="DW43">
            <v>4</v>
          </cell>
          <cell r="DX43">
            <v>2</v>
          </cell>
          <cell r="DY43">
            <v>2</v>
          </cell>
          <cell r="DZ43">
            <v>0</v>
          </cell>
          <cell r="EA43">
            <v>16</v>
          </cell>
          <cell r="EB43">
            <v>0</v>
          </cell>
          <cell r="EC43">
            <v>2</v>
          </cell>
          <cell r="ED43">
            <v>3</v>
          </cell>
          <cell r="EE43">
            <v>7</v>
          </cell>
          <cell r="EF43">
            <v>4</v>
          </cell>
          <cell r="EG43">
            <v>0</v>
          </cell>
          <cell r="EH43">
            <v>9</v>
          </cell>
          <cell r="EI43">
            <v>1</v>
          </cell>
          <cell r="EJ43">
            <v>3</v>
          </cell>
          <cell r="EK43">
            <v>2</v>
          </cell>
          <cell r="EL43">
            <v>1</v>
          </cell>
          <cell r="EM43">
            <v>2</v>
          </cell>
          <cell r="EN43">
            <v>0</v>
          </cell>
          <cell r="EO43" t="str">
            <v xml:space="preserve">HILL WARRIOR OVER SHIRT                                     </v>
          </cell>
        </row>
        <row r="44">
          <cell r="A44" t="str">
            <v>CN3TE7215007</v>
          </cell>
          <cell r="B44" t="str">
            <v>CN3</v>
          </cell>
          <cell r="C44" t="str">
            <v>TE7215</v>
          </cell>
          <cell r="D44">
            <v>7</v>
          </cell>
          <cell r="E44" t="str">
            <v xml:space="preserve">   </v>
          </cell>
          <cell r="F44">
            <v>80710</v>
          </cell>
          <cell r="G44">
            <v>80717</v>
          </cell>
          <cell r="H44">
            <v>0</v>
          </cell>
          <cell r="I44">
            <v>900</v>
          </cell>
          <cell r="J44">
            <v>888</v>
          </cell>
          <cell r="K44">
            <v>884</v>
          </cell>
          <cell r="L44">
            <v>511</v>
          </cell>
          <cell r="M44">
            <v>511</v>
          </cell>
          <cell r="N44">
            <v>10899000</v>
          </cell>
          <cell r="O44">
            <v>11031624</v>
          </cell>
          <cell r="P44">
            <v>10981932</v>
          </cell>
          <cell r="Q44">
            <v>6348153</v>
          </cell>
          <cell r="R44">
            <v>34975444</v>
          </cell>
          <cell r="S44" t="str">
            <v xml:space="preserve"> </v>
          </cell>
          <cell r="T44" t="str">
            <v xml:space="preserve"> </v>
          </cell>
          <cell r="U44">
            <v>888</v>
          </cell>
          <cell r="V44">
            <v>11031624</v>
          </cell>
          <cell r="W44">
            <v>511</v>
          </cell>
          <cell r="X44">
            <v>6348153</v>
          </cell>
          <cell r="Y44">
            <v>57.55</v>
          </cell>
          <cell r="Z44">
            <v>57.55</v>
          </cell>
          <cell r="AA44">
            <v>6149385</v>
          </cell>
          <cell r="AB44">
            <v>198768</v>
          </cell>
          <cell r="AC44">
            <v>4</v>
          </cell>
          <cell r="AD44">
            <v>149076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373</v>
          </cell>
          <cell r="AN44">
            <v>9540864</v>
          </cell>
          <cell r="AO44">
            <v>12110</v>
          </cell>
          <cell r="AP44">
            <v>12423</v>
          </cell>
          <cell r="AQ44">
            <v>78000</v>
          </cell>
          <cell r="AR44">
            <v>0</v>
          </cell>
          <cell r="AS44">
            <v>6.28</v>
          </cell>
          <cell r="AT44">
            <v>69264000</v>
          </cell>
          <cell r="AU44">
            <v>5.67</v>
          </cell>
          <cell r="AV44">
            <v>34865700</v>
          </cell>
          <cell r="AW44">
            <v>0.55000000000000004</v>
          </cell>
          <cell r="AX44">
            <v>109744</v>
          </cell>
          <cell r="AY44">
            <v>57.55</v>
          </cell>
          <cell r="AZ44">
            <v>0</v>
          </cell>
          <cell r="BA44">
            <v>495</v>
          </cell>
          <cell r="BB44">
            <v>16</v>
          </cell>
          <cell r="BC44">
            <v>511</v>
          </cell>
          <cell r="BD44">
            <v>0</v>
          </cell>
          <cell r="BE44">
            <v>0</v>
          </cell>
          <cell r="BF44">
            <v>68</v>
          </cell>
          <cell r="BG44">
            <v>1</v>
          </cell>
          <cell r="BH44">
            <v>1</v>
          </cell>
          <cell r="BI44">
            <v>5</v>
          </cell>
          <cell r="BJ44">
            <v>2</v>
          </cell>
          <cell r="BK44">
            <v>0</v>
          </cell>
          <cell r="BL44">
            <v>0</v>
          </cell>
          <cell r="BM44">
            <v>2</v>
          </cell>
          <cell r="BN44">
            <v>1</v>
          </cell>
          <cell r="BO44">
            <v>0</v>
          </cell>
          <cell r="BP44">
            <v>26</v>
          </cell>
          <cell r="BQ44">
            <v>0</v>
          </cell>
          <cell r="BR44">
            <v>28</v>
          </cell>
          <cell r="BS44">
            <v>-6</v>
          </cell>
          <cell r="BT44">
            <v>4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40</v>
          </cell>
          <cell r="CZ44">
            <v>0</v>
          </cell>
          <cell r="DA44">
            <v>0</v>
          </cell>
          <cell r="DB44">
            <v>17</v>
          </cell>
          <cell r="DC44">
            <v>17</v>
          </cell>
          <cell r="DD44">
            <v>6</v>
          </cell>
          <cell r="DE44">
            <v>0</v>
          </cell>
          <cell r="DF44">
            <v>91</v>
          </cell>
          <cell r="DG44">
            <v>7</v>
          </cell>
          <cell r="DH44">
            <v>13</v>
          </cell>
          <cell r="DI44">
            <v>25</v>
          </cell>
          <cell r="DJ44">
            <v>20</v>
          </cell>
          <cell r="DK44">
            <v>26</v>
          </cell>
          <cell r="DL44">
            <v>0</v>
          </cell>
          <cell r="DM44">
            <v>239</v>
          </cell>
          <cell r="DN44">
            <v>44</v>
          </cell>
          <cell r="DO44">
            <v>36</v>
          </cell>
          <cell r="DP44">
            <v>45</v>
          </cell>
          <cell r="DQ44">
            <v>108</v>
          </cell>
          <cell r="DR44">
            <v>6</v>
          </cell>
          <cell r="DS44">
            <v>0</v>
          </cell>
          <cell r="DT44">
            <v>80</v>
          </cell>
          <cell r="DU44">
            <v>31</v>
          </cell>
          <cell r="DV44">
            <v>26</v>
          </cell>
          <cell r="DW44">
            <v>13</v>
          </cell>
          <cell r="DX44">
            <v>6</v>
          </cell>
          <cell r="DY44">
            <v>4</v>
          </cell>
          <cell r="DZ44">
            <v>0</v>
          </cell>
          <cell r="EA44">
            <v>6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2</v>
          </cell>
          <cell r="EG44">
            <v>0</v>
          </cell>
          <cell r="EH44">
            <v>24</v>
          </cell>
          <cell r="EI44">
            <v>1</v>
          </cell>
          <cell r="EJ44">
            <v>16</v>
          </cell>
          <cell r="EK44">
            <v>5</v>
          </cell>
          <cell r="EL44">
            <v>2</v>
          </cell>
          <cell r="EM44">
            <v>0</v>
          </cell>
          <cell r="EN44">
            <v>0</v>
          </cell>
          <cell r="EO44" t="str">
            <v xml:space="preserve">OMNI DRY SILVER RIDGE PLAID SHIRT                           </v>
          </cell>
        </row>
        <row r="45">
          <cell r="A45" t="str">
            <v>CN3TE7215219</v>
          </cell>
          <cell r="B45" t="str">
            <v>CN3</v>
          </cell>
          <cell r="C45" t="str">
            <v>TE7215</v>
          </cell>
          <cell r="D45">
            <v>219</v>
          </cell>
          <cell r="E45" t="str">
            <v xml:space="preserve">   </v>
          </cell>
          <cell r="F45">
            <v>80710</v>
          </cell>
          <cell r="G45">
            <v>80717</v>
          </cell>
          <cell r="H45">
            <v>0</v>
          </cell>
          <cell r="I45">
            <v>498</v>
          </cell>
          <cell r="J45">
            <v>494</v>
          </cell>
          <cell r="K45">
            <v>494</v>
          </cell>
          <cell r="L45">
            <v>250</v>
          </cell>
          <cell r="M45">
            <v>250</v>
          </cell>
          <cell r="N45">
            <v>6030780</v>
          </cell>
          <cell r="O45">
            <v>6136962</v>
          </cell>
          <cell r="P45">
            <v>6136962</v>
          </cell>
          <cell r="Q45">
            <v>3105750</v>
          </cell>
          <cell r="R45">
            <v>17234367</v>
          </cell>
          <cell r="S45" t="str">
            <v xml:space="preserve"> </v>
          </cell>
          <cell r="T45" t="str">
            <v xml:space="preserve"> </v>
          </cell>
          <cell r="U45">
            <v>494</v>
          </cell>
          <cell r="V45">
            <v>6136962</v>
          </cell>
          <cell r="W45">
            <v>250</v>
          </cell>
          <cell r="X45">
            <v>3105750</v>
          </cell>
          <cell r="Y45">
            <v>50.61</v>
          </cell>
          <cell r="Z45">
            <v>50.61</v>
          </cell>
          <cell r="AA45">
            <v>2944251</v>
          </cell>
          <cell r="AB45">
            <v>161499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244</v>
          </cell>
          <cell r="AN45">
            <v>6348153</v>
          </cell>
          <cell r="AO45">
            <v>12110</v>
          </cell>
          <cell r="AP45">
            <v>12423</v>
          </cell>
          <cell r="AQ45">
            <v>78000</v>
          </cell>
          <cell r="AR45">
            <v>0</v>
          </cell>
          <cell r="AS45">
            <v>6.28</v>
          </cell>
          <cell r="AT45">
            <v>38532000</v>
          </cell>
          <cell r="AU45">
            <v>5.82</v>
          </cell>
          <cell r="AV45">
            <v>17145200</v>
          </cell>
          <cell r="AW45">
            <v>0.55000000000000004</v>
          </cell>
          <cell r="AX45">
            <v>89167</v>
          </cell>
          <cell r="AY45">
            <v>50.61</v>
          </cell>
          <cell r="AZ45">
            <v>0</v>
          </cell>
          <cell r="BA45">
            <v>237</v>
          </cell>
          <cell r="BB45">
            <v>13</v>
          </cell>
          <cell r="BC45">
            <v>250</v>
          </cell>
          <cell r="BD45">
            <v>0</v>
          </cell>
          <cell r="BE45">
            <v>0</v>
          </cell>
          <cell r="BF45">
            <v>25</v>
          </cell>
          <cell r="BG45">
            <v>0</v>
          </cell>
          <cell r="BH45">
            <v>1</v>
          </cell>
          <cell r="BI45">
            <v>3</v>
          </cell>
          <cell r="BJ45">
            <v>0</v>
          </cell>
          <cell r="BK45">
            <v>1</v>
          </cell>
          <cell r="BL45">
            <v>0</v>
          </cell>
          <cell r="BM45">
            <v>2</v>
          </cell>
          <cell r="BN45">
            <v>0</v>
          </cell>
          <cell r="BO45">
            <v>0</v>
          </cell>
          <cell r="BP45">
            <v>23</v>
          </cell>
          <cell r="BQ45">
            <v>1</v>
          </cell>
          <cell r="BR45">
            <v>16</v>
          </cell>
          <cell r="BS45">
            <v>2</v>
          </cell>
          <cell r="BT45">
            <v>1</v>
          </cell>
          <cell r="BU45">
            <v>3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21</v>
          </cell>
          <cell r="CZ45">
            <v>0</v>
          </cell>
          <cell r="DA45">
            <v>0</v>
          </cell>
          <cell r="DB45">
            <v>6</v>
          </cell>
          <cell r="DC45">
            <v>8</v>
          </cell>
          <cell r="DD45">
            <v>7</v>
          </cell>
          <cell r="DE45">
            <v>0</v>
          </cell>
          <cell r="DF45">
            <v>56</v>
          </cell>
          <cell r="DG45">
            <v>6</v>
          </cell>
          <cell r="DH45">
            <v>5</v>
          </cell>
          <cell r="DI45">
            <v>16</v>
          </cell>
          <cell r="DJ45">
            <v>10</v>
          </cell>
          <cell r="DK45">
            <v>19</v>
          </cell>
          <cell r="DL45">
            <v>0</v>
          </cell>
          <cell r="DM45">
            <v>88</v>
          </cell>
          <cell r="DN45">
            <v>23</v>
          </cell>
          <cell r="DO45">
            <v>14</v>
          </cell>
          <cell r="DP45">
            <v>16</v>
          </cell>
          <cell r="DQ45">
            <v>32</v>
          </cell>
          <cell r="DR45">
            <v>3</v>
          </cell>
          <cell r="DS45">
            <v>0</v>
          </cell>
          <cell r="DT45">
            <v>39</v>
          </cell>
          <cell r="DU45">
            <v>11</v>
          </cell>
          <cell r="DV45">
            <v>18</v>
          </cell>
          <cell r="DW45">
            <v>4</v>
          </cell>
          <cell r="DX45">
            <v>5</v>
          </cell>
          <cell r="DY45">
            <v>1</v>
          </cell>
          <cell r="DZ45">
            <v>0</v>
          </cell>
          <cell r="EA45">
            <v>2</v>
          </cell>
          <cell r="EB45">
            <v>0</v>
          </cell>
          <cell r="EC45">
            <v>-1</v>
          </cell>
          <cell r="ED45">
            <v>0</v>
          </cell>
          <cell r="EE45">
            <v>3</v>
          </cell>
          <cell r="EF45">
            <v>0</v>
          </cell>
          <cell r="EG45">
            <v>0</v>
          </cell>
          <cell r="EH45">
            <v>18</v>
          </cell>
          <cell r="EI45">
            <v>0</v>
          </cell>
          <cell r="EJ45">
            <v>14</v>
          </cell>
          <cell r="EK45">
            <v>2</v>
          </cell>
          <cell r="EL45">
            <v>2</v>
          </cell>
          <cell r="EM45">
            <v>0</v>
          </cell>
          <cell r="EN45">
            <v>0</v>
          </cell>
          <cell r="EO45" t="str">
            <v xml:space="preserve">OMNI DRY SILVER RIDGE PLAID SHIRT                           </v>
          </cell>
        </row>
        <row r="46">
          <cell r="A46" t="str">
            <v>CN3VM6054010</v>
          </cell>
          <cell r="B46" t="str">
            <v>CN3</v>
          </cell>
          <cell r="C46" t="str">
            <v>VM6054</v>
          </cell>
          <cell r="D46">
            <v>10</v>
          </cell>
          <cell r="E46" t="str">
            <v xml:space="preserve">   </v>
          </cell>
          <cell r="F46">
            <v>80813</v>
          </cell>
          <cell r="G46">
            <v>80919</v>
          </cell>
          <cell r="H46">
            <v>0</v>
          </cell>
          <cell r="I46">
            <v>504</v>
          </cell>
          <cell r="J46">
            <v>504</v>
          </cell>
          <cell r="K46">
            <v>478</v>
          </cell>
          <cell r="L46">
            <v>63</v>
          </cell>
          <cell r="M46">
            <v>63</v>
          </cell>
          <cell r="N46">
            <v>8485344</v>
          </cell>
          <cell r="O46">
            <v>8740872</v>
          </cell>
          <cell r="P46">
            <v>8289954</v>
          </cell>
          <cell r="Q46">
            <v>1092609</v>
          </cell>
          <cell r="R46">
            <v>5900859</v>
          </cell>
          <cell r="S46" t="str">
            <v xml:space="preserve"> </v>
          </cell>
          <cell r="T46" t="str">
            <v xml:space="preserve"> </v>
          </cell>
          <cell r="U46">
            <v>504</v>
          </cell>
          <cell r="V46">
            <v>8740872</v>
          </cell>
          <cell r="W46">
            <v>63</v>
          </cell>
          <cell r="X46">
            <v>1092609</v>
          </cell>
          <cell r="Y46">
            <v>13.69</v>
          </cell>
          <cell r="Z46">
            <v>14.88</v>
          </cell>
          <cell r="AA46">
            <v>1075266</v>
          </cell>
          <cell r="AB46">
            <v>17343</v>
          </cell>
          <cell r="AC46">
            <v>26</v>
          </cell>
          <cell r="AD46">
            <v>1023237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6</v>
          </cell>
          <cell r="AL46">
            <v>208116</v>
          </cell>
          <cell r="AM46">
            <v>409</v>
          </cell>
          <cell r="AN46">
            <v>14238603</v>
          </cell>
          <cell r="AO46">
            <v>16836</v>
          </cell>
          <cell r="AP46">
            <v>17343</v>
          </cell>
          <cell r="AQ46">
            <v>108000</v>
          </cell>
          <cell r="AR46">
            <v>0</v>
          </cell>
          <cell r="AS46">
            <v>6.23</v>
          </cell>
          <cell r="AT46">
            <v>54432000</v>
          </cell>
          <cell r="AU46">
            <v>5.48</v>
          </cell>
          <cell r="AV46">
            <v>5894000</v>
          </cell>
          <cell r="AW46">
            <v>0.4</v>
          </cell>
          <cell r="AX46">
            <v>6859</v>
          </cell>
          <cell r="AY46">
            <v>13.69</v>
          </cell>
          <cell r="AZ46">
            <v>0</v>
          </cell>
          <cell r="BA46">
            <v>62</v>
          </cell>
          <cell r="BB46">
            <v>1</v>
          </cell>
          <cell r="BC46">
            <v>63</v>
          </cell>
          <cell r="BD46">
            <v>0</v>
          </cell>
          <cell r="BE46">
            <v>0</v>
          </cell>
          <cell r="BF46">
            <v>12</v>
          </cell>
          <cell r="BG46">
            <v>1</v>
          </cell>
          <cell r="BH46">
            <v>1</v>
          </cell>
          <cell r="BI46">
            <v>10</v>
          </cell>
          <cell r="BJ46">
            <v>1</v>
          </cell>
          <cell r="BK46">
            <v>3</v>
          </cell>
          <cell r="BL46">
            <v>5</v>
          </cell>
          <cell r="BM46">
            <v>0</v>
          </cell>
          <cell r="BN46">
            <v>1</v>
          </cell>
          <cell r="BO46">
            <v>0</v>
          </cell>
          <cell r="BP46">
            <v>10</v>
          </cell>
          <cell r="BQ46">
            <v>0</v>
          </cell>
          <cell r="BR46">
            <v>2</v>
          </cell>
          <cell r="BS46">
            <v>2</v>
          </cell>
          <cell r="BT46">
            <v>4</v>
          </cell>
          <cell r="BU46">
            <v>2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11</v>
          </cell>
          <cell r="DN46">
            <v>0</v>
          </cell>
          <cell r="DO46">
            <v>0</v>
          </cell>
          <cell r="DP46">
            <v>2</v>
          </cell>
          <cell r="DQ46">
            <v>9</v>
          </cell>
          <cell r="DR46">
            <v>0</v>
          </cell>
          <cell r="DS46">
            <v>0</v>
          </cell>
          <cell r="DT46">
            <v>18</v>
          </cell>
          <cell r="DU46">
            <v>5</v>
          </cell>
          <cell r="DV46">
            <v>8</v>
          </cell>
          <cell r="DW46">
            <v>3</v>
          </cell>
          <cell r="DX46">
            <v>4</v>
          </cell>
          <cell r="DY46">
            <v>-2</v>
          </cell>
          <cell r="DZ46">
            <v>0</v>
          </cell>
          <cell r="EA46">
            <v>7</v>
          </cell>
          <cell r="EB46">
            <v>2</v>
          </cell>
          <cell r="EC46">
            <v>4</v>
          </cell>
          <cell r="ED46">
            <v>-1</v>
          </cell>
          <cell r="EE46">
            <v>2</v>
          </cell>
          <cell r="EF46">
            <v>0</v>
          </cell>
          <cell r="EG46">
            <v>0</v>
          </cell>
          <cell r="EH46">
            <v>7</v>
          </cell>
          <cell r="EI46">
            <v>0</v>
          </cell>
          <cell r="EJ46">
            <v>2</v>
          </cell>
          <cell r="EK46">
            <v>1</v>
          </cell>
          <cell r="EL46">
            <v>2</v>
          </cell>
          <cell r="EM46">
            <v>2</v>
          </cell>
          <cell r="EN46">
            <v>0</v>
          </cell>
          <cell r="EO46" t="str">
            <v xml:space="preserve">AFTERBURNNER HOODIE                                         </v>
          </cell>
        </row>
        <row r="47">
          <cell r="A47" t="str">
            <v>CN3VM6054287</v>
          </cell>
          <cell r="B47" t="str">
            <v>CN3</v>
          </cell>
          <cell r="C47" t="str">
            <v>VM6054</v>
          </cell>
          <cell r="D47">
            <v>287</v>
          </cell>
          <cell r="E47" t="str">
            <v xml:space="preserve">   </v>
          </cell>
          <cell r="F47">
            <v>80813</v>
          </cell>
          <cell r="G47">
            <v>80919</v>
          </cell>
          <cell r="H47">
            <v>0</v>
          </cell>
          <cell r="I47">
            <v>402</v>
          </cell>
          <cell r="J47">
            <v>402</v>
          </cell>
          <cell r="K47">
            <v>377</v>
          </cell>
          <cell r="L47">
            <v>39</v>
          </cell>
          <cell r="M47">
            <v>39</v>
          </cell>
          <cell r="N47">
            <v>6768072</v>
          </cell>
          <cell r="O47">
            <v>6971886</v>
          </cell>
          <cell r="P47">
            <v>6538311</v>
          </cell>
          <cell r="Q47">
            <v>676377</v>
          </cell>
          <cell r="R47">
            <v>3700000</v>
          </cell>
          <cell r="S47" t="str">
            <v xml:space="preserve"> </v>
          </cell>
          <cell r="T47" t="str">
            <v xml:space="preserve"> </v>
          </cell>
          <cell r="U47">
            <v>402</v>
          </cell>
          <cell r="V47">
            <v>6971886</v>
          </cell>
          <cell r="W47">
            <v>39</v>
          </cell>
          <cell r="X47">
            <v>676377</v>
          </cell>
          <cell r="Y47">
            <v>9.4499999999999993</v>
          </cell>
          <cell r="Z47">
            <v>9.1999999999999993</v>
          </cell>
          <cell r="AA47">
            <v>676377</v>
          </cell>
          <cell r="AB47">
            <v>0</v>
          </cell>
          <cell r="AC47">
            <v>25</v>
          </cell>
          <cell r="AD47">
            <v>849807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-1</v>
          </cell>
          <cell r="AL47">
            <v>-34686</v>
          </cell>
          <cell r="AM47">
            <v>339</v>
          </cell>
          <cell r="AN47">
            <v>11897298</v>
          </cell>
          <cell r="AO47">
            <v>16836</v>
          </cell>
          <cell r="AP47">
            <v>17343</v>
          </cell>
          <cell r="AQ47">
            <v>108000</v>
          </cell>
          <cell r="AR47">
            <v>0</v>
          </cell>
          <cell r="AS47">
            <v>6.23</v>
          </cell>
          <cell r="AT47">
            <v>43416000</v>
          </cell>
          <cell r="AU47">
            <v>5.47</v>
          </cell>
          <cell r="AV47">
            <v>3700000</v>
          </cell>
          <cell r="AW47">
            <v>0</v>
          </cell>
          <cell r="AX47">
            <v>0</v>
          </cell>
          <cell r="AY47">
            <v>9.4499999999999993</v>
          </cell>
          <cell r="AZ47">
            <v>0</v>
          </cell>
          <cell r="BA47">
            <v>39</v>
          </cell>
          <cell r="BB47">
            <v>0</v>
          </cell>
          <cell r="BC47">
            <v>38</v>
          </cell>
          <cell r="BD47">
            <v>1</v>
          </cell>
          <cell r="BE47">
            <v>0</v>
          </cell>
          <cell r="BF47">
            <v>9</v>
          </cell>
          <cell r="BG47">
            <v>0</v>
          </cell>
          <cell r="BH47">
            <v>1</v>
          </cell>
          <cell r="BI47">
            <v>2</v>
          </cell>
          <cell r="BJ47">
            <v>0</v>
          </cell>
          <cell r="BK47">
            <v>0</v>
          </cell>
          <cell r="BL47">
            <v>2</v>
          </cell>
          <cell r="BM47">
            <v>0</v>
          </cell>
          <cell r="BN47">
            <v>0</v>
          </cell>
          <cell r="BO47">
            <v>0</v>
          </cell>
          <cell r="BP47">
            <v>7</v>
          </cell>
          <cell r="BQ47">
            <v>0</v>
          </cell>
          <cell r="BR47">
            <v>2</v>
          </cell>
          <cell r="BS47">
            <v>3</v>
          </cell>
          <cell r="BT47">
            <v>1</v>
          </cell>
          <cell r="BU47">
            <v>1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10</v>
          </cell>
          <cell r="DN47">
            <v>0</v>
          </cell>
          <cell r="DO47">
            <v>0</v>
          </cell>
          <cell r="DP47">
            <v>2</v>
          </cell>
          <cell r="DQ47">
            <v>7</v>
          </cell>
          <cell r="DR47">
            <v>1</v>
          </cell>
          <cell r="DS47">
            <v>0</v>
          </cell>
          <cell r="DT47">
            <v>6</v>
          </cell>
          <cell r="DU47">
            <v>3</v>
          </cell>
          <cell r="DV47">
            <v>1</v>
          </cell>
          <cell r="DW47">
            <v>1</v>
          </cell>
          <cell r="DX47">
            <v>0</v>
          </cell>
          <cell r="DY47">
            <v>1</v>
          </cell>
          <cell r="DZ47">
            <v>0</v>
          </cell>
          <cell r="EA47">
            <v>8</v>
          </cell>
          <cell r="EB47">
            <v>4</v>
          </cell>
          <cell r="EC47">
            <v>3</v>
          </cell>
          <cell r="ED47">
            <v>1</v>
          </cell>
          <cell r="EE47">
            <v>0</v>
          </cell>
          <cell r="EF47">
            <v>0</v>
          </cell>
          <cell r="EG47">
            <v>0</v>
          </cell>
          <cell r="EH47">
            <v>6</v>
          </cell>
          <cell r="EI47">
            <v>0</v>
          </cell>
          <cell r="EJ47">
            <v>0</v>
          </cell>
          <cell r="EK47">
            <v>0</v>
          </cell>
          <cell r="EL47">
            <v>6</v>
          </cell>
          <cell r="EM47">
            <v>0</v>
          </cell>
          <cell r="EN47">
            <v>0</v>
          </cell>
          <cell r="EO47" t="str">
            <v xml:space="preserve">AFTERBURNNER HOODIE                                         </v>
          </cell>
        </row>
        <row r="48">
          <cell r="A48" t="str">
            <v>CN3WB6588061</v>
          </cell>
          <cell r="B48" t="str">
            <v>CN3</v>
          </cell>
          <cell r="C48" t="str">
            <v>WB6588</v>
          </cell>
          <cell r="D48">
            <v>61</v>
          </cell>
          <cell r="E48" t="str">
            <v xml:space="preserve">   </v>
          </cell>
          <cell r="F48">
            <v>81103</v>
          </cell>
          <cell r="G48">
            <v>81106</v>
          </cell>
          <cell r="H48">
            <v>0</v>
          </cell>
          <cell r="I48">
            <v>402</v>
          </cell>
          <cell r="J48">
            <v>402</v>
          </cell>
          <cell r="K48">
            <v>402</v>
          </cell>
          <cell r="L48">
            <v>175</v>
          </cell>
          <cell r="M48">
            <v>175</v>
          </cell>
          <cell r="N48">
            <v>2633904</v>
          </cell>
          <cell r="O48">
            <v>3769956</v>
          </cell>
          <cell r="P48">
            <v>3769956</v>
          </cell>
          <cell r="Q48">
            <v>1641150</v>
          </cell>
          <cell r="R48">
            <v>9051471</v>
          </cell>
          <cell r="S48" t="str">
            <v xml:space="preserve"> </v>
          </cell>
          <cell r="T48" t="str">
            <v xml:space="preserve"> </v>
          </cell>
          <cell r="U48">
            <v>402</v>
          </cell>
          <cell r="V48">
            <v>3769956</v>
          </cell>
          <cell r="W48">
            <v>175</v>
          </cell>
          <cell r="X48">
            <v>1641150</v>
          </cell>
          <cell r="Y48">
            <v>43.53</v>
          </cell>
          <cell r="Z48">
            <v>43.53</v>
          </cell>
          <cell r="AA48">
            <v>1641150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227</v>
          </cell>
          <cell r="AN48">
            <v>4342014</v>
          </cell>
          <cell r="AO48">
            <v>6552</v>
          </cell>
          <cell r="AP48">
            <v>9378</v>
          </cell>
          <cell r="AQ48">
            <v>55000</v>
          </cell>
          <cell r="AR48">
            <v>0</v>
          </cell>
          <cell r="AS48">
            <v>5.86</v>
          </cell>
          <cell r="AT48">
            <v>22110000</v>
          </cell>
          <cell r="AU48">
            <v>5.52</v>
          </cell>
          <cell r="AV48">
            <v>9051471</v>
          </cell>
          <cell r="AW48">
            <v>0</v>
          </cell>
          <cell r="AX48">
            <v>0</v>
          </cell>
          <cell r="AY48">
            <v>43.53</v>
          </cell>
          <cell r="AZ48">
            <v>0</v>
          </cell>
          <cell r="BA48">
            <v>175</v>
          </cell>
          <cell r="BB48">
            <v>0</v>
          </cell>
          <cell r="BC48">
            <v>175</v>
          </cell>
          <cell r="BD48">
            <v>0</v>
          </cell>
          <cell r="BE48">
            <v>0</v>
          </cell>
          <cell r="BF48">
            <v>15</v>
          </cell>
          <cell r="BG48">
            <v>1</v>
          </cell>
          <cell r="BH48">
            <v>1</v>
          </cell>
          <cell r="BI48">
            <v>58</v>
          </cell>
          <cell r="BJ48">
            <v>16</v>
          </cell>
          <cell r="BK48">
            <v>10</v>
          </cell>
          <cell r="BL48">
            <v>14</v>
          </cell>
          <cell r="BM48">
            <v>10</v>
          </cell>
          <cell r="BN48">
            <v>8</v>
          </cell>
          <cell r="BO48">
            <v>0</v>
          </cell>
          <cell r="BP48">
            <v>9</v>
          </cell>
          <cell r="BQ48">
            <v>1</v>
          </cell>
          <cell r="BR48">
            <v>3</v>
          </cell>
          <cell r="BS48">
            <v>2</v>
          </cell>
          <cell r="BT48">
            <v>2</v>
          </cell>
          <cell r="BU48">
            <v>1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50</v>
          </cell>
          <cell r="EB48">
            <v>0</v>
          </cell>
          <cell r="EC48">
            <v>8</v>
          </cell>
          <cell r="ED48">
            <v>10</v>
          </cell>
          <cell r="EE48">
            <v>20</v>
          </cell>
          <cell r="EF48">
            <v>12</v>
          </cell>
          <cell r="EG48">
            <v>0</v>
          </cell>
          <cell r="EH48">
            <v>58</v>
          </cell>
          <cell r="EI48">
            <v>8</v>
          </cell>
          <cell r="EJ48">
            <v>8</v>
          </cell>
          <cell r="EK48">
            <v>12</v>
          </cell>
          <cell r="EL48">
            <v>19</v>
          </cell>
          <cell r="EM48">
            <v>11</v>
          </cell>
          <cell r="EN48">
            <v>0</v>
          </cell>
          <cell r="EO48" t="str">
            <v xml:space="preserve">STEENS MOUNTAIN SWEATER GRP                                 </v>
          </cell>
        </row>
        <row r="49">
          <cell r="A49" t="str">
            <v>CN3WB6588986</v>
          </cell>
          <cell r="B49" t="str">
            <v>CN3</v>
          </cell>
          <cell r="C49" t="str">
            <v>WB6588</v>
          </cell>
          <cell r="D49">
            <v>986</v>
          </cell>
          <cell r="E49" t="str">
            <v xml:space="preserve">   </v>
          </cell>
          <cell r="F49">
            <v>81103</v>
          </cell>
          <cell r="G49">
            <v>81106</v>
          </cell>
          <cell r="H49">
            <v>0</v>
          </cell>
          <cell r="I49">
            <v>306</v>
          </cell>
          <cell r="J49">
            <v>306</v>
          </cell>
          <cell r="K49">
            <v>306</v>
          </cell>
          <cell r="L49">
            <v>221</v>
          </cell>
          <cell r="M49">
            <v>221</v>
          </cell>
          <cell r="N49">
            <v>2004912</v>
          </cell>
          <cell r="O49">
            <v>2869668</v>
          </cell>
          <cell r="P49">
            <v>2869668</v>
          </cell>
          <cell r="Q49">
            <v>2072538</v>
          </cell>
          <cell r="R49">
            <v>11407874</v>
          </cell>
          <cell r="S49" t="str">
            <v xml:space="preserve"> </v>
          </cell>
          <cell r="T49" t="str">
            <v xml:space="preserve"> </v>
          </cell>
          <cell r="U49">
            <v>306</v>
          </cell>
          <cell r="V49">
            <v>2869668</v>
          </cell>
          <cell r="W49">
            <v>221</v>
          </cell>
          <cell r="X49">
            <v>2072538</v>
          </cell>
          <cell r="Y49">
            <v>72.22</v>
          </cell>
          <cell r="Z49">
            <v>72.22</v>
          </cell>
          <cell r="AA49">
            <v>2072538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85</v>
          </cell>
          <cell r="AN49">
            <v>1734930</v>
          </cell>
          <cell r="AO49">
            <v>6552</v>
          </cell>
          <cell r="AP49">
            <v>9378</v>
          </cell>
          <cell r="AQ49">
            <v>55000</v>
          </cell>
          <cell r="AR49">
            <v>0</v>
          </cell>
          <cell r="AS49">
            <v>5.86</v>
          </cell>
          <cell r="AT49">
            <v>16830000</v>
          </cell>
          <cell r="AU49">
            <v>5.5</v>
          </cell>
          <cell r="AV49">
            <v>11407874</v>
          </cell>
          <cell r="AW49">
            <v>0</v>
          </cell>
          <cell r="AX49">
            <v>0</v>
          </cell>
          <cell r="AY49">
            <v>72.22</v>
          </cell>
          <cell r="AZ49">
            <v>0</v>
          </cell>
          <cell r="BA49">
            <v>221</v>
          </cell>
          <cell r="BB49">
            <v>0</v>
          </cell>
          <cell r="BC49">
            <v>221</v>
          </cell>
          <cell r="BD49">
            <v>0</v>
          </cell>
          <cell r="BE49">
            <v>0</v>
          </cell>
          <cell r="BF49">
            <v>15</v>
          </cell>
          <cell r="BG49">
            <v>0</v>
          </cell>
          <cell r="BH49">
            <v>1</v>
          </cell>
          <cell r="BI49">
            <v>41</v>
          </cell>
          <cell r="BJ49">
            <v>10</v>
          </cell>
          <cell r="BK49">
            <v>13</v>
          </cell>
          <cell r="BL49">
            <v>11</v>
          </cell>
          <cell r="BM49">
            <v>5</v>
          </cell>
          <cell r="BN49">
            <v>2</v>
          </cell>
          <cell r="BO49">
            <v>0</v>
          </cell>
          <cell r="BP49">
            <v>15</v>
          </cell>
          <cell r="BQ49">
            <v>4</v>
          </cell>
          <cell r="BR49">
            <v>3</v>
          </cell>
          <cell r="BS49">
            <v>2</v>
          </cell>
          <cell r="BT49">
            <v>5</v>
          </cell>
          <cell r="BU49">
            <v>1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84</v>
          </cell>
          <cell r="EB49">
            <v>0</v>
          </cell>
          <cell r="EC49">
            <v>16</v>
          </cell>
          <cell r="ED49">
            <v>26</v>
          </cell>
          <cell r="EE49">
            <v>21</v>
          </cell>
          <cell r="EF49">
            <v>21</v>
          </cell>
          <cell r="EG49">
            <v>0</v>
          </cell>
          <cell r="EH49">
            <v>81</v>
          </cell>
          <cell r="EI49">
            <v>16</v>
          </cell>
          <cell r="EJ49">
            <v>20</v>
          </cell>
          <cell r="EK49">
            <v>17</v>
          </cell>
          <cell r="EL49">
            <v>20</v>
          </cell>
          <cell r="EM49">
            <v>8</v>
          </cell>
          <cell r="EN49">
            <v>0</v>
          </cell>
          <cell r="EO49" t="str">
            <v xml:space="preserve">STEENS MOUNTAIN SWEATER GRP                                 </v>
          </cell>
        </row>
        <row r="50">
          <cell r="A50" t="str">
            <v>CN3WG6590637</v>
          </cell>
          <cell r="B50" t="str">
            <v>CN3</v>
          </cell>
          <cell r="C50" t="str">
            <v>WG6590</v>
          </cell>
          <cell r="D50">
            <v>637</v>
          </cell>
          <cell r="E50" t="str">
            <v xml:space="preserve">   </v>
          </cell>
          <cell r="F50">
            <v>80725</v>
          </cell>
          <cell r="G50">
            <v>81006</v>
          </cell>
          <cell r="H50">
            <v>0</v>
          </cell>
          <cell r="I50">
            <v>306</v>
          </cell>
          <cell r="J50">
            <v>304</v>
          </cell>
          <cell r="K50">
            <v>303</v>
          </cell>
          <cell r="L50">
            <v>120</v>
          </cell>
          <cell r="M50">
            <v>120</v>
          </cell>
          <cell r="N50">
            <v>1922598</v>
          </cell>
          <cell r="O50">
            <v>1932068</v>
          </cell>
          <cell r="P50">
            <v>1949502</v>
          </cell>
          <cell r="Q50">
            <v>772080</v>
          </cell>
          <cell r="R50">
            <v>6005000</v>
          </cell>
          <cell r="S50" t="str">
            <v xml:space="preserve"> </v>
          </cell>
          <cell r="T50" t="str">
            <v xml:space="preserve"> </v>
          </cell>
          <cell r="U50">
            <v>304</v>
          </cell>
          <cell r="V50">
            <v>1932068</v>
          </cell>
          <cell r="W50">
            <v>120</v>
          </cell>
          <cell r="X50">
            <v>772080</v>
          </cell>
          <cell r="Y50">
            <v>39.47</v>
          </cell>
          <cell r="Z50">
            <v>39.96</v>
          </cell>
          <cell r="AA50">
            <v>772080</v>
          </cell>
          <cell r="AB50">
            <v>0</v>
          </cell>
          <cell r="AC50">
            <v>1</v>
          </cell>
          <cell r="AD50">
            <v>12868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183</v>
          </cell>
          <cell r="AN50">
            <v>2387014</v>
          </cell>
          <cell r="AO50">
            <v>6283</v>
          </cell>
          <cell r="AP50">
            <v>6434</v>
          </cell>
          <cell r="AQ50">
            <v>55000</v>
          </cell>
          <cell r="AR50">
            <v>0</v>
          </cell>
          <cell r="AS50">
            <v>8.65</v>
          </cell>
          <cell r="AT50">
            <v>16720000</v>
          </cell>
          <cell r="AU50">
            <v>7.78</v>
          </cell>
          <cell r="AV50">
            <v>6005000</v>
          </cell>
          <cell r="AW50">
            <v>0</v>
          </cell>
          <cell r="AX50">
            <v>0</v>
          </cell>
          <cell r="AY50">
            <v>39.47</v>
          </cell>
          <cell r="AZ50">
            <v>0</v>
          </cell>
          <cell r="BA50">
            <v>120</v>
          </cell>
          <cell r="BB50">
            <v>0</v>
          </cell>
          <cell r="BC50">
            <v>120</v>
          </cell>
          <cell r="BD50">
            <v>0</v>
          </cell>
          <cell r="BE50">
            <v>0</v>
          </cell>
          <cell r="BF50">
            <v>7</v>
          </cell>
          <cell r="BG50">
            <v>1</v>
          </cell>
          <cell r="BH50">
            <v>1</v>
          </cell>
          <cell r="BI50">
            <v>25</v>
          </cell>
          <cell r="BJ50">
            <v>8</v>
          </cell>
          <cell r="BK50">
            <v>7</v>
          </cell>
          <cell r="BL50">
            <v>3</v>
          </cell>
          <cell r="BM50">
            <v>4</v>
          </cell>
          <cell r="BN50">
            <v>3</v>
          </cell>
          <cell r="BO50">
            <v>0</v>
          </cell>
          <cell r="BP50">
            <v>5</v>
          </cell>
          <cell r="BQ50">
            <v>0</v>
          </cell>
          <cell r="BR50">
            <v>2</v>
          </cell>
          <cell r="BS50">
            <v>0</v>
          </cell>
          <cell r="BT50">
            <v>1</v>
          </cell>
          <cell r="BU50">
            <v>2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26</v>
          </cell>
          <cell r="DU50">
            <v>0</v>
          </cell>
          <cell r="DV50">
            <v>8</v>
          </cell>
          <cell r="DW50">
            <v>5</v>
          </cell>
          <cell r="DX50">
            <v>11</v>
          </cell>
          <cell r="DY50">
            <v>2</v>
          </cell>
          <cell r="DZ50">
            <v>0</v>
          </cell>
          <cell r="EA50">
            <v>31</v>
          </cell>
          <cell r="EB50">
            <v>3</v>
          </cell>
          <cell r="EC50">
            <v>12</v>
          </cell>
          <cell r="ED50">
            <v>3</v>
          </cell>
          <cell r="EE50">
            <v>3</v>
          </cell>
          <cell r="EF50">
            <v>10</v>
          </cell>
          <cell r="EG50">
            <v>0</v>
          </cell>
          <cell r="EH50">
            <v>33</v>
          </cell>
          <cell r="EI50">
            <v>4</v>
          </cell>
          <cell r="EJ50">
            <v>12</v>
          </cell>
          <cell r="EK50">
            <v>3</v>
          </cell>
          <cell r="EL50">
            <v>13</v>
          </cell>
          <cell r="EM50">
            <v>1</v>
          </cell>
          <cell r="EN50">
            <v>0</v>
          </cell>
          <cell r="EO50" t="str">
            <v xml:space="preserve">BENTON SPRINGS SWEATER GRP                                  </v>
          </cell>
        </row>
        <row r="51">
          <cell r="A51" t="str">
            <v>CN3WG6590685</v>
          </cell>
          <cell r="B51" t="str">
            <v>CN3</v>
          </cell>
          <cell r="C51" t="str">
            <v>WG6590</v>
          </cell>
          <cell r="D51">
            <v>685</v>
          </cell>
          <cell r="E51" t="str">
            <v xml:space="preserve">   </v>
          </cell>
          <cell r="F51">
            <v>80813</v>
          </cell>
          <cell r="G51">
            <v>81006</v>
          </cell>
          <cell r="H51">
            <v>0</v>
          </cell>
          <cell r="I51">
            <v>306</v>
          </cell>
          <cell r="J51">
            <v>303</v>
          </cell>
          <cell r="K51">
            <v>302</v>
          </cell>
          <cell r="L51">
            <v>124</v>
          </cell>
          <cell r="M51">
            <v>124</v>
          </cell>
          <cell r="N51">
            <v>1922598</v>
          </cell>
          <cell r="O51">
            <v>1949502</v>
          </cell>
          <cell r="P51">
            <v>1943068</v>
          </cell>
          <cell r="Q51">
            <v>797816</v>
          </cell>
          <cell r="R51">
            <v>6371500</v>
          </cell>
          <cell r="S51" t="str">
            <v xml:space="preserve"> </v>
          </cell>
          <cell r="T51" t="str">
            <v xml:space="preserve"> </v>
          </cell>
          <cell r="U51">
            <v>303</v>
          </cell>
          <cell r="V51">
            <v>1949502</v>
          </cell>
          <cell r="W51">
            <v>124</v>
          </cell>
          <cell r="X51">
            <v>797816</v>
          </cell>
          <cell r="Y51">
            <v>40.590000000000003</v>
          </cell>
          <cell r="Z51">
            <v>40.26</v>
          </cell>
          <cell r="AA51">
            <v>797816</v>
          </cell>
          <cell r="AB51">
            <v>0</v>
          </cell>
          <cell r="AC51">
            <v>1</v>
          </cell>
          <cell r="AD51">
            <v>6434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-1</v>
          </cell>
          <cell r="AL51">
            <v>-12868</v>
          </cell>
          <cell r="AM51">
            <v>179</v>
          </cell>
          <cell r="AN51">
            <v>2329108</v>
          </cell>
          <cell r="AO51">
            <v>6283</v>
          </cell>
          <cell r="AP51">
            <v>6434</v>
          </cell>
          <cell r="AQ51">
            <v>55000</v>
          </cell>
          <cell r="AR51">
            <v>0</v>
          </cell>
          <cell r="AS51">
            <v>8.5500000000000007</v>
          </cell>
          <cell r="AT51">
            <v>16665000</v>
          </cell>
          <cell r="AU51">
            <v>7.99</v>
          </cell>
          <cell r="AV51">
            <v>6371500</v>
          </cell>
          <cell r="AW51">
            <v>0</v>
          </cell>
          <cell r="AX51">
            <v>0</v>
          </cell>
          <cell r="AY51">
            <v>40.590000000000003</v>
          </cell>
          <cell r="AZ51">
            <v>0</v>
          </cell>
          <cell r="BA51">
            <v>124</v>
          </cell>
          <cell r="BB51">
            <v>0</v>
          </cell>
          <cell r="BC51">
            <v>124</v>
          </cell>
          <cell r="BD51">
            <v>0</v>
          </cell>
          <cell r="BE51">
            <v>0</v>
          </cell>
          <cell r="BF51">
            <v>9</v>
          </cell>
          <cell r="BG51">
            <v>0</v>
          </cell>
          <cell r="BH51">
            <v>1</v>
          </cell>
          <cell r="BI51">
            <v>31</v>
          </cell>
          <cell r="BJ51">
            <v>9</v>
          </cell>
          <cell r="BK51">
            <v>7</v>
          </cell>
          <cell r="BL51">
            <v>3</v>
          </cell>
          <cell r="BM51">
            <v>8</v>
          </cell>
          <cell r="BN51">
            <v>4</v>
          </cell>
          <cell r="BO51">
            <v>0</v>
          </cell>
          <cell r="BP51">
            <v>3</v>
          </cell>
          <cell r="BQ51">
            <v>1</v>
          </cell>
          <cell r="BR51">
            <v>0</v>
          </cell>
          <cell r="BS51">
            <v>0</v>
          </cell>
          <cell r="BT51">
            <v>1</v>
          </cell>
          <cell r="BU51">
            <v>1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26</v>
          </cell>
          <cell r="DU51">
            <v>0</v>
          </cell>
          <cell r="DV51">
            <v>9</v>
          </cell>
          <cell r="DW51">
            <v>5</v>
          </cell>
          <cell r="DX51">
            <v>5</v>
          </cell>
          <cell r="DY51">
            <v>7</v>
          </cell>
          <cell r="DZ51">
            <v>0</v>
          </cell>
          <cell r="EA51">
            <v>38</v>
          </cell>
          <cell r="EB51">
            <v>6</v>
          </cell>
          <cell r="EC51">
            <v>12</v>
          </cell>
          <cell r="ED51">
            <v>4</v>
          </cell>
          <cell r="EE51">
            <v>10</v>
          </cell>
          <cell r="EF51">
            <v>6</v>
          </cell>
          <cell r="EG51">
            <v>0</v>
          </cell>
          <cell r="EH51">
            <v>26</v>
          </cell>
          <cell r="EI51">
            <v>6</v>
          </cell>
          <cell r="EJ51">
            <v>6</v>
          </cell>
          <cell r="EK51">
            <v>9</v>
          </cell>
          <cell r="EL51">
            <v>4</v>
          </cell>
          <cell r="EM51">
            <v>1</v>
          </cell>
          <cell r="EN51">
            <v>0</v>
          </cell>
          <cell r="EO51" t="str">
            <v xml:space="preserve">BENTON SPRINGS SWEATER GRP                                  </v>
          </cell>
        </row>
        <row r="52">
          <cell r="A52" t="str">
            <v>CN3WL6015010</v>
          </cell>
          <cell r="B52" t="str">
            <v>CN3</v>
          </cell>
          <cell r="C52" t="str">
            <v>WL6015</v>
          </cell>
          <cell r="D52">
            <v>10</v>
          </cell>
          <cell r="E52" t="str">
            <v xml:space="preserve">   </v>
          </cell>
          <cell r="F52">
            <v>80725</v>
          </cell>
          <cell r="G52">
            <v>80909</v>
          </cell>
          <cell r="H52">
            <v>0</v>
          </cell>
          <cell r="I52">
            <v>804</v>
          </cell>
          <cell r="J52">
            <v>804</v>
          </cell>
          <cell r="K52">
            <v>802</v>
          </cell>
          <cell r="L52">
            <v>581</v>
          </cell>
          <cell r="M52">
            <v>581</v>
          </cell>
          <cell r="N52">
            <v>11852568</v>
          </cell>
          <cell r="O52">
            <v>11953068</v>
          </cell>
          <cell r="P52">
            <v>11923334</v>
          </cell>
          <cell r="Q52">
            <v>8637727</v>
          </cell>
          <cell r="R52">
            <v>63057092</v>
          </cell>
          <cell r="S52" t="str">
            <v xml:space="preserve"> </v>
          </cell>
          <cell r="T52" t="str">
            <v xml:space="preserve"> </v>
          </cell>
          <cell r="U52">
            <v>804</v>
          </cell>
          <cell r="V52">
            <v>11953068</v>
          </cell>
          <cell r="W52">
            <v>581</v>
          </cell>
          <cell r="X52">
            <v>8637727</v>
          </cell>
          <cell r="Y52">
            <v>72.260000000000005</v>
          </cell>
          <cell r="Z52">
            <v>72.260000000000005</v>
          </cell>
          <cell r="AA52">
            <v>8622860</v>
          </cell>
          <cell r="AB52">
            <v>14867</v>
          </cell>
          <cell r="AC52">
            <v>2</v>
          </cell>
          <cell r="AD52">
            <v>89202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1</v>
          </cell>
          <cell r="AJ52">
            <v>14867</v>
          </cell>
          <cell r="AK52">
            <v>0</v>
          </cell>
          <cell r="AL52">
            <v>0</v>
          </cell>
          <cell r="AM52">
            <v>220</v>
          </cell>
          <cell r="AN52">
            <v>7136160</v>
          </cell>
          <cell r="AO52">
            <v>14742</v>
          </cell>
          <cell r="AP52">
            <v>14867</v>
          </cell>
          <cell r="AQ52">
            <v>118000</v>
          </cell>
          <cell r="AR52">
            <v>0</v>
          </cell>
          <cell r="AS52">
            <v>7.94</v>
          </cell>
          <cell r="AT52">
            <v>94872000</v>
          </cell>
          <cell r="AU52">
            <v>7.31</v>
          </cell>
          <cell r="AV52">
            <v>63050233</v>
          </cell>
          <cell r="AW52">
            <v>0.46</v>
          </cell>
          <cell r="AX52">
            <v>6859</v>
          </cell>
          <cell r="AY52">
            <v>72.260000000000005</v>
          </cell>
          <cell r="AZ52">
            <v>0</v>
          </cell>
          <cell r="BA52">
            <v>580</v>
          </cell>
          <cell r="BB52">
            <v>1</v>
          </cell>
          <cell r="BC52">
            <v>580</v>
          </cell>
          <cell r="BD52">
            <v>1</v>
          </cell>
          <cell r="BE52">
            <v>0</v>
          </cell>
          <cell r="BF52">
            <v>51</v>
          </cell>
          <cell r="BG52">
            <v>1</v>
          </cell>
          <cell r="BH52">
            <v>1</v>
          </cell>
          <cell r="BI52">
            <v>109</v>
          </cell>
          <cell r="BJ52">
            <v>17</v>
          </cell>
          <cell r="BK52">
            <v>37</v>
          </cell>
          <cell r="BL52">
            <v>25</v>
          </cell>
          <cell r="BM52">
            <v>13</v>
          </cell>
          <cell r="BN52">
            <v>17</v>
          </cell>
          <cell r="BO52">
            <v>0</v>
          </cell>
          <cell r="BP52">
            <v>41</v>
          </cell>
          <cell r="BQ52">
            <v>5</v>
          </cell>
          <cell r="BR52">
            <v>16</v>
          </cell>
          <cell r="BS52">
            <v>7</v>
          </cell>
          <cell r="BT52">
            <v>6</v>
          </cell>
          <cell r="BU52">
            <v>7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61</v>
          </cell>
          <cell r="DN52">
            <v>0</v>
          </cell>
          <cell r="DO52">
            <v>9</v>
          </cell>
          <cell r="DP52">
            <v>5</v>
          </cell>
          <cell r="DQ52">
            <v>46</v>
          </cell>
          <cell r="DR52">
            <v>1</v>
          </cell>
          <cell r="DS52">
            <v>0</v>
          </cell>
          <cell r="DT52">
            <v>77</v>
          </cell>
          <cell r="DU52">
            <v>11</v>
          </cell>
          <cell r="DV52">
            <v>4</v>
          </cell>
          <cell r="DW52">
            <v>18</v>
          </cell>
          <cell r="DX52">
            <v>24</v>
          </cell>
          <cell r="DY52">
            <v>20</v>
          </cell>
          <cell r="DZ52">
            <v>0</v>
          </cell>
          <cell r="EA52">
            <v>161</v>
          </cell>
          <cell r="EB52">
            <v>9</v>
          </cell>
          <cell r="EC52">
            <v>39</v>
          </cell>
          <cell r="ED52">
            <v>37</v>
          </cell>
          <cell r="EE52">
            <v>36</v>
          </cell>
          <cell r="EF52">
            <v>40</v>
          </cell>
          <cell r="EG52">
            <v>0</v>
          </cell>
          <cell r="EH52">
            <v>132</v>
          </cell>
          <cell r="EI52">
            <v>28</v>
          </cell>
          <cell r="EJ52">
            <v>31</v>
          </cell>
          <cell r="EK52">
            <v>26</v>
          </cell>
          <cell r="EL52">
            <v>37</v>
          </cell>
          <cell r="EM52">
            <v>10</v>
          </cell>
          <cell r="EN52">
            <v>0</v>
          </cell>
          <cell r="EO52" t="str">
            <v xml:space="preserve">LUXURIOUS FLEECE JACKET                                     </v>
          </cell>
        </row>
        <row r="53">
          <cell r="A53" t="str">
            <v>CN3WL6015485</v>
          </cell>
          <cell r="B53" t="str">
            <v>CN3</v>
          </cell>
          <cell r="C53" t="str">
            <v>WL6015</v>
          </cell>
          <cell r="D53">
            <v>485</v>
          </cell>
          <cell r="E53" t="str">
            <v xml:space="preserve">   </v>
          </cell>
          <cell r="F53">
            <v>80725</v>
          </cell>
          <cell r="G53">
            <v>80909</v>
          </cell>
          <cell r="H53">
            <v>0</v>
          </cell>
          <cell r="I53">
            <v>504</v>
          </cell>
          <cell r="J53">
            <v>504</v>
          </cell>
          <cell r="K53">
            <v>500</v>
          </cell>
          <cell r="L53">
            <v>95</v>
          </cell>
          <cell r="M53">
            <v>95</v>
          </cell>
          <cell r="N53">
            <v>7429968</v>
          </cell>
          <cell r="O53">
            <v>7492968</v>
          </cell>
          <cell r="P53">
            <v>7433500</v>
          </cell>
          <cell r="Q53">
            <v>1412365</v>
          </cell>
          <cell r="R53">
            <v>10256622</v>
          </cell>
          <cell r="S53" t="str">
            <v xml:space="preserve"> </v>
          </cell>
          <cell r="T53" t="str">
            <v xml:space="preserve"> </v>
          </cell>
          <cell r="U53">
            <v>504</v>
          </cell>
          <cell r="V53">
            <v>7492968</v>
          </cell>
          <cell r="W53">
            <v>95</v>
          </cell>
          <cell r="X53">
            <v>1412365</v>
          </cell>
          <cell r="Y53">
            <v>19.84</v>
          </cell>
          <cell r="Z53">
            <v>20.83</v>
          </cell>
          <cell r="AA53">
            <v>1382631</v>
          </cell>
          <cell r="AB53">
            <v>29734</v>
          </cell>
          <cell r="AC53">
            <v>4</v>
          </cell>
          <cell r="AD53">
            <v>148670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5</v>
          </cell>
          <cell r="AL53">
            <v>148670</v>
          </cell>
          <cell r="AM53">
            <v>400</v>
          </cell>
          <cell r="AN53">
            <v>11938201</v>
          </cell>
          <cell r="AO53">
            <v>14742</v>
          </cell>
          <cell r="AP53">
            <v>14867</v>
          </cell>
          <cell r="AQ53">
            <v>118000</v>
          </cell>
          <cell r="AR53">
            <v>0</v>
          </cell>
          <cell r="AS53">
            <v>7.94</v>
          </cell>
          <cell r="AT53">
            <v>59472000</v>
          </cell>
          <cell r="AU53">
            <v>7.41</v>
          </cell>
          <cell r="AV53">
            <v>10242904</v>
          </cell>
          <cell r="AW53">
            <v>0.46</v>
          </cell>
          <cell r="AX53">
            <v>13718</v>
          </cell>
          <cell r="AY53">
            <v>19.84</v>
          </cell>
          <cell r="AZ53">
            <v>0</v>
          </cell>
          <cell r="BA53">
            <v>93</v>
          </cell>
          <cell r="BB53">
            <v>2</v>
          </cell>
          <cell r="BC53">
            <v>95</v>
          </cell>
          <cell r="BD53">
            <v>0</v>
          </cell>
          <cell r="BE53">
            <v>0</v>
          </cell>
          <cell r="BF53">
            <v>11</v>
          </cell>
          <cell r="BG53">
            <v>0</v>
          </cell>
          <cell r="BH53">
            <v>1</v>
          </cell>
          <cell r="BI53">
            <v>27</v>
          </cell>
          <cell r="BJ53">
            <v>8</v>
          </cell>
          <cell r="BK53">
            <v>7</v>
          </cell>
          <cell r="BL53">
            <v>2</v>
          </cell>
          <cell r="BM53">
            <v>6</v>
          </cell>
          <cell r="BN53">
            <v>4</v>
          </cell>
          <cell r="BO53">
            <v>0</v>
          </cell>
          <cell r="BP53">
            <v>5</v>
          </cell>
          <cell r="BQ53">
            <v>0</v>
          </cell>
          <cell r="BR53">
            <v>2</v>
          </cell>
          <cell r="BS53">
            <v>2</v>
          </cell>
          <cell r="BT53">
            <v>-1</v>
          </cell>
          <cell r="BU53">
            <v>2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5</v>
          </cell>
          <cell r="DN53">
            <v>0</v>
          </cell>
          <cell r="DO53">
            <v>1</v>
          </cell>
          <cell r="DP53">
            <v>1</v>
          </cell>
          <cell r="DQ53">
            <v>3</v>
          </cell>
          <cell r="DR53">
            <v>0</v>
          </cell>
          <cell r="DS53">
            <v>0</v>
          </cell>
          <cell r="DT53">
            <v>14</v>
          </cell>
          <cell r="DU53">
            <v>1</v>
          </cell>
          <cell r="DV53">
            <v>1</v>
          </cell>
          <cell r="DW53">
            <v>2</v>
          </cell>
          <cell r="DX53">
            <v>7</v>
          </cell>
          <cell r="DY53">
            <v>3</v>
          </cell>
          <cell r="DZ53">
            <v>0</v>
          </cell>
          <cell r="EA53">
            <v>26</v>
          </cell>
          <cell r="EB53">
            <v>2</v>
          </cell>
          <cell r="EC53">
            <v>7</v>
          </cell>
          <cell r="ED53">
            <v>4</v>
          </cell>
          <cell r="EE53">
            <v>5</v>
          </cell>
          <cell r="EF53">
            <v>8</v>
          </cell>
          <cell r="EG53">
            <v>0</v>
          </cell>
          <cell r="EH53">
            <v>18</v>
          </cell>
          <cell r="EI53">
            <v>2</v>
          </cell>
          <cell r="EJ53">
            <v>5</v>
          </cell>
          <cell r="EK53">
            <v>0</v>
          </cell>
          <cell r="EL53">
            <v>5</v>
          </cell>
          <cell r="EM53">
            <v>6</v>
          </cell>
          <cell r="EN53">
            <v>0</v>
          </cell>
          <cell r="EO53" t="str">
            <v xml:space="preserve">LUXURIOUS FLEECE JACKET                                     </v>
          </cell>
        </row>
        <row r="54">
          <cell r="A54" t="str">
            <v>CN3WL6015552</v>
          </cell>
          <cell r="B54" t="str">
            <v>CN3</v>
          </cell>
          <cell r="C54" t="str">
            <v>WL6015</v>
          </cell>
          <cell r="D54">
            <v>552</v>
          </cell>
          <cell r="E54" t="str">
            <v xml:space="preserve">   </v>
          </cell>
          <cell r="F54">
            <v>80725</v>
          </cell>
          <cell r="G54">
            <v>80909</v>
          </cell>
          <cell r="H54">
            <v>0</v>
          </cell>
          <cell r="I54">
            <v>600</v>
          </cell>
          <cell r="J54">
            <v>600</v>
          </cell>
          <cell r="K54">
            <v>598</v>
          </cell>
          <cell r="L54">
            <v>255</v>
          </cell>
          <cell r="M54">
            <v>255</v>
          </cell>
          <cell r="N54">
            <v>8845200</v>
          </cell>
          <cell r="O54">
            <v>8920200</v>
          </cell>
          <cell r="P54">
            <v>8890466</v>
          </cell>
          <cell r="Q54">
            <v>3791085</v>
          </cell>
          <cell r="R54">
            <v>27217514</v>
          </cell>
          <cell r="S54" t="str">
            <v xml:space="preserve"> </v>
          </cell>
          <cell r="T54" t="str">
            <v xml:space="preserve"> </v>
          </cell>
          <cell r="U54">
            <v>600</v>
          </cell>
          <cell r="V54">
            <v>8920200</v>
          </cell>
          <cell r="W54">
            <v>255</v>
          </cell>
          <cell r="X54">
            <v>3791085</v>
          </cell>
          <cell r="Y54">
            <v>42.5</v>
          </cell>
          <cell r="Z54">
            <v>42.33</v>
          </cell>
          <cell r="AA54">
            <v>3761351</v>
          </cell>
          <cell r="AB54">
            <v>29734</v>
          </cell>
          <cell r="AC54">
            <v>2</v>
          </cell>
          <cell r="AD54">
            <v>104069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-14867</v>
          </cell>
          <cell r="AM54">
            <v>343</v>
          </cell>
          <cell r="AN54">
            <v>10362299</v>
          </cell>
          <cell r="AO54">
            <v>14742</v>
          </cell>
          <cell r="AP54">
            <v>14867</v>
          </cell>
          <cell r="AQ54">
            <v>118000</v>
          </cell>
          <cell r="AR54">
            <v>0</v>
          </cell>
          <cell r="AS54">
            <v>7.94</v>
          </cell>
          <cell r="AT54">
            <v>70800000</v>
          </cell>
          <cell r="AU54">
            <v>7.23</v>
          </cell>
          <cell r="AV54">
            <v>27203796</v>
          </cell>
          <cell r="AW54">
            <v>0.46</v>
          </cell>
          <cell r="AX54">
            <v>13718</v>
          </cell>
          <cell r="AY54">
            <v>42.5</v>
          </cell>
          <cell r="AZ54">
            <v>0</v>
          </cell>
          <cell r="BA54">
            <v>253</v>
          </cell>
          <cell r="BB54">
            <v>2</v>
          </cell>
          <cell r="BC54">
            <v>255</v>
          </cell>
          <cell r="BD54">
            <v>0</v>
          </cell>
          <cell r="BE54">
            <v>0</v>
          </cell>
          <cell r="BF54">
            <v>31</v>
          </cell>
          <cell r="BG54">
            <v>0</v>
          </cell>
          <cell r="BH54">
            <v>1</v>
          </cell>
          <cell r="BI54">
            <v>48</v>
          </cell>
          <cell r="BJ54">
            <v>13</v>
          </cell>
          <cell r="BK54">
            <v>12</v>
          </cell>
          <cell r="BL54">
            <v>10</v>
          </cell>
          <cell r="BM54">
            <v>9</v>
          </cell>
          <cell r="BN54">
            <v>4</v>
          </cell>
          <cell r="BO54">
            <v>0</v>
          </cell>
          <cell r="BP54">
            <v>13</v>
          </cell>
          <cell r="BQ54">
            <v>0</v>
          </cell>
          <cell r="BR54">
            <v>6</v>
          </cell>
          <cell r="BS54">
            <v>2</v>
          </cell>
          <cell r="BT54">
            <v>4</v>
          </cell>
          <cell r="BU54">
            <v>1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32</v>
          </cell>
          <cell r="DN54">
            <v>0</v>
          </cell>
          <cell r="DO54">
            <v>3</v>
          </cell>
          <cell r="DP54">
            <v>3</v>
          </cell>
          <cell r="DQ54">
            <v>25</v>
          </cell>
          <cell r="DR54">
            <v>1</v>
          </cell>
          <cell r="DS54">
            <v>0</v>
          </cell>
          <cell r="DT54">
            <v>40</v>
          </cell>
          <cell r="DU54">
            <v>0</v>
          </cell>
          <cell r="DV54">
            <v>5</v>
          </cell>
          <cell r="DW54">
            <v>9</v>
          </cell>
          <cell r="DX54">
            <v>16</v>
          </cell>
          <cell r="DY54">
            <v>10</v>
          </cell>
          <cell r="DZ54">
            <v>0</v>
          </cell>
          <cell r="EA54">
            <v>68</v>
          </cell>
          <cell r="EB54">
            <v>7</v>
          </cell>
          <cell r="EC54">
            <v>15</v>
          </cell>
          <cell r="ED54">
            <v>18</v>
          </cell>
          <cell r="EE54">
            <v>15</v>
          </cell>
          <cell r="EF54">
            <v>13</v>
          </cell>
          <cell r="EG54">
            <v>0</v>
          </cell>
          <cell r="EH54">
            <v>54</v>
          </cell>
          <cell r="EI54">
            <v>13</v>
          </cell>
          <cell r="EJ54">
            <v>24</v>
          </cell>
          <cell r="EK54">
            <v>5</v>
          </cell>
          <cell r="EL54">
            <v>6</v>
          </cell>
          <cell r="EM54">
            <v>6</v>
          </cell>
          <cell r="EN54">
            <v>0</v>
          </cell>
          <cell r="EO54" t="str">
            <v xml:space="preserve">LUXURIOUS FLEECE JACKET                                     </v>
          </cell>
        </row>
        <row r="55">
          <cell r="A55" t="str">
            <v>CN3WM6597010</v>
          </cell>
          <cell r="B55" t="str">
            <v>CN3</v>
          </cell>
          <cell r="C55" t="str">
            <v>WM6597</v>
          </cell>
          <cell r="D55">
            <v>10</v>
          </cell>
          <cell r="E55" t="str">
            <v xml:space="preserve">   </v>
          </cell>
          <cell r="F55">
            <v>80813</v>
          </cell>
          <cell r="G55">
            <v>81020</v>
          </cell>
          <cell r="H55">
            <v>0</v>
          </cell>
          <cell r="I55">
            <v>804</v>
          </cell>
          <cell r="J55">
            <v>30</v>
          </cell>
          <cell r="K55">
            <v>1</v>
          </cell>
          <cell r="L55">
            <v>1</v>
          </cell>
          <cell r="M55">
            <v>1</v>
          </cell>
          <cell r="N55">
            <v>10159344</v>
          </cell>
          <cell r="O55">
            <v>389640</v>
          </cell>
          <cell r="P55">
            <v>12988</v>
          </cell>
          <cell r="Q55">
            <v>12988</v>
          </cell>
          <cell r="R55">
            <v>6859</v>
          </cell>
          <cell r="S55" t="str">
            <v xml:space="preserve"> </v>
          </cell>
          <cell r="T55" t="str">
            <v xml:space="preserve"> </v>
          </cell>
          <cell r="U55">
            <v>30</v>
          </cell>
          <cell r="V55">
            <v>389640</v>
          </cell>
          <cell r="W55">
            <v>1</v>
          </cell>
          <cell r="X55">
            <v>12988</v>
          </cell>
          <cell r="Y55">
            <v>3.33</v>
          </cell>
          <cell r="Z55">
            <v>3.33</v>
          </cell>
          <cell r="AA55">
            <v>0</v>
          </cell>
          <cell r="AB55">
            <v>12988</v>
          </cell>
          <cell r="AC55">
            <v>29</v>
          </cell>
          <cell r="AD55">
            <v>753304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12636</v>
          </cell>
          <cell r="AP55">
            <v>12988</v>
          </cell>
          <cell r="AQ55">
            <v>108000</v>
          </cell>
          <cell r="AR55">
            <v>0</v>
          </cell>
          <cell r="AS55">
            <v>8.32</v>
          </cell>
          <cell r="AT55">
            <v>3240000</v>
          </cell>
          <cell r="AU55">
            <v>0</v>
          </cell>
          <cell r="AV55">
            <v>0</v>
          </cell>
          <cell r="AW55">
            <v>0.53</v>
          </cell>
          <cell r="AX55">
            <v>6859</v>
          </cell>
          <cell r="AY55">
            <v>3.33</v>
          </cell>
          <cell r="AZ55">
            <v>0</v>
          </cell>
          <cell r="BA55">
            <v>0</v>
          </cell>
          <cell r="BB55">
            <v>1</v>
          </cell>
          <cell r="BC55">
            <v>1</v>
          </cell>
          <cell r="BD55">
            <v>0</v>
          </cell>
          <cell r="BE55">
            <v>0</v>
          </cell>
          <cell r="BF55">
            <v>0</v>
          </cell>
          <cell r="BG55">
            <v>1</v>
          </cell>
          <cell r="BH55">
            <v>1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1</v>
          </cell>
          <cell r="EI55">
            <v>0</v>
          </cell>
          <cell r="EJ55">
            <v>1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 t="str">
            <v xml:space="preserve">WAYPOINT FLEECE JACKET                                      </v>
          </cell>
        </row>
        <row r="56">
          <cell r="A56" t="str">
            <v>CN3YL1853452</v>
          </cell>
          <cell r="B56" t="str">
            <v>CN3</v>
          </cell>
          <cell r="C56" t="str">
            <v>YL1853</v>
          </cell>
          <cell r="D56">
            <v>452</v>
          </cell>
          <cell r="E56" t="str">
            <v xml:space="preserve">   </v>
          </cell>
          <cell r="F56">
            <v>80923</v>
          </cell>
          <cell r="G56">
            <v>80924</v>
          </cell>
          <cell r="H56">
            <v>0</v>
          </cell>
          <cell r="I56">
            <v>400</v>
          </cell>
          <cell r="J56">
            <v>497</v>
          </cell>
          <cell r="K56">
            <v>495</v>
          </cell>
          <cell r="L56">
            <v>195</v>
          </cell>
          <cell r="M56">
            <v>195</v>
          </cell>
          <cell r="N56">
            <v>10460000</v>
          </cell>
          <cell r="O56">
            <v>13004502</v>
          </cell>
          <cell r="P56">
            <v>12952170</v>
          </cell>
          <cell r="Q56">
            <v>5102370</v>
          </cell>
          <cell r="R56">
            <v>24514665</v>
          </cell>
          <cell r="S56" t="str">
            <v xml:space="preserve"> </v>
          </cell>
          <cell r="T56" t="str">
            <v xml:space="preserve"> </v>
          </cell>
          <cell r="U56">
            <v>497</v>
          </cell>
          <cell r="V56">
            <v>13004502</v>
          </cell>
          <cell r="W56">
            <v>195</v>
          </cell>
          <cell r="X56">
            <v>5102370</v>
          </cell>
          <cell r="Y56">
            <v>39.24</v>
          </cell>
          <cell r="Z56">
            <v>39.24</v>
          </cell>
          <cell r="AA56">
            <v>5076204</v>
          </cell>
          <cell r="AB56">
            <v>26166</v>
          </cell>
          <cell r="AC56">
            <v>2</v>
          </cell>
          <cell r="AD56">
            <v>52332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300</v>
          </cell>
          <cell r="AN56">
            <v>16144422</v>
          </cell>
          <cell r="AO56">
            <v>26150</v>
          </cell>
          <cell r="AP56">
            <v>26166</v>
          </cell>
          <cell r="AQ56">
            <v>138000</v>
          </cell>
          <cell r="AR56">
            <v>0</v>
          </cell>
          <cell r="AS56">
            <v>5.27</v>
          </cell>
          <cell r="AT56">
            <v>68586000</v>
          </cell>
          <cell r="AU56">
            <v>4.83</v>
          </cell>
          <cell r="AV56">
            <v>24507806</v>
          </cell>
          <cell r="AW56">
            <v>0.26</v>
          </cell>
          <cell r="AX56">
            <v>6859</v>
          </cell>
          <cell r="AY56">
            <v>39.24</v>
          </cell>
          <cell r="AZ56">
            <v>0</v>
          </cell>
          <cell r="BA56">
            <v>194</v>
          </cell>
          <cell r="BB56">
            <v>1</v>
          </cell>
          <cell r="BC56">
            <v>195</v>
          </cell>
          <cell r="BD56">
            <v>0</v>
          </cell>
          <cell r="BE56">
            <v>0</v>
          </cell>
          <cell r="BF56">
            <v>17</v>
          </cell>
          <cell r="BG56">
            <v>1</v>
          </cell>
          <cell r="BH56">
            <v>1</v>
          </cell>
          <cell r="BI56">
            <v>23</v>
          </cell>
          <cell r="BJ56">
            <v>1</v>
          </cell>
          <cell r="BK56">
            <v>8</v>
          </cell>
          <cell r="BL56">
            <v>6</v>
          </cell>
          <cell r="BM56">
            <v>3</v>
          </cell>
          <cell r="BN56">
            <v>5</v>
          </cell>
          <cell r="BO56">
            <v>0</v>
          </cell>
          <cell r="BP56">
            <v>15</v>
          </cell>
          <cell r="BQ56">
            <v>1</v>
          </cell>
          <cell r="BR56">
            <v>5</v>
          </cell>
          <cell r="BS56">
            <v>4</v>
          </cell>
          <cell r="BT56">
            <v>1</v>
          </cell>
          <cell r="BU56">
            <v>4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19</v>
          </cell>
          <cell r="DN56">
            <v>0</v>
          </cell>
          <cell r="DO56">
            <v>0</v>
          </cell>
          <cell r="DP56">
            <v>0</v>
          </cell>
          <cell r="DQ56">
            <v>19</v>
          </cell>
          <cell r="DR56">
            <v>0</v>
          </cell>
          <cell r="DS56">
            <v>0</v>
          </cell>
          <cell r="DT56">
            <v>43</v>
          </cell>
          <cell r="DU56">
            <v>10</v>
          </cell>
          <cell r="DV56">
            <v>8</v>
          </cell>
          <cell r="DW56">
            <v>10</v>
          </cell>
          <cell r="DX56">
            <v>7</v>
          </cell>
          <cell r="DY56">
            <v>8</v>
          </cell>
          <cell r="DZ56">
            <v>0</v>
          </cell>
          <cell r="EA56">
            <v>63</v>
          </cell>
          <cell r="EB56">
            <v>4</v>
          </cell>
          <cell r="EC56">
            <v>14</v>
          </cell>
          <cell r="ED56">
            <v>16</v>
          </cell>
          <cell r="EE56">
            <v>19</v>
          </cell>
          <cell r="EF56">
            <v>10</v>
          </cell>
          <cell r="EG56">
            <v>0</v>
          </cell>
          <cell r="EH56">
            <v>32</v>
          </cell>
          <cell r="EI56">
            <v>4</v>
          </cell>
          <cell r="EJ56">
            <v>10</v>
          </cell>
          <cell r="EK56">
            <v>8</v>
          </cell>
          <cell r="EL56">
            <v>11</v>
          </cell>
          <cell r="EM56">
            <v>-1</v>
          </cell>
          <cell r="EN56">
            <v>0</v>
          </cell>
          <cell r="EO56" t="str">
            <v xml:space="preserve"> WOMENS METHUEN VEST                                        </v>
          </cell>
        </row>
        <row r="57">
          <cell r="A57" t="str">
            <v>CN3YL1853552</v>
          </cell>
          <cell r="B57" t="str">
            <v>CN3</v>
          </cell>
          <cell r="C57" t="str">
            <v>YL1853</v>
          </cell>
          <cell r="D57">
            <v>552</v>
          </cell>
          <cell r="E57" t="str">
            <v xml:space="preserve">   </v>
          </cell>
          <cell r="F57">
            <v>80923</v>
          </cell>
          <cell r="G57">
            <v>80924</v>
          </cell>
          <cell r="H57">
            <v>0</v>
          </cell>
          <cell r="I57">
            <v>600</v>
          </cell>
          <cell r="J57">
            <v>731</v>
          </cell>
          <cell r="K57">
            <v>731</v>
          </cell>
          <cell r="L57">
            <v>522</v>
          </cell>
          <cell r="M57">
            <v>522</v>
          </cell>
          <cell r="N57">
            <v>15690000</v>
          </cell>
          <cell r="O57">
            <v>19127346</v>
          </cell>
          <cell r="P57">
            <v>19127346</v>
          </cell>
          <cell r="Q57">
            <v>13658652</v>
          </cell>
          <cell r="R57">
            <v>65762824</v>
          </cell>
          <cell r="S57" t="str">
            <v xml:space="preserve"> </v>
          </cell>
          <cell r="T57" t="str">
            <v xml:space="preserve"> </v>
          </cell>
          <cell r="U57">
            <v>731</v>
          </cell>
          <cell r="V57">
            <v>19127346</v>
          </cell>
          <cell r="W57">
            <v>522</v>
          </cell>
          <cell r="X57">
            <v>13658652</v>
          </cell>
          <cell r="Y57">
            <v>71.41</v>
          </cell>
          <cell r="Z57">
            <v>71.41</v>
          </cell>
          <cell r="AA57">
            <v>13632486</v>
          </cell>
          <cell r="AB57">
            <v>26166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209</v>
          </cell>
          <cell r="AN57">
            <v>11303712</v>
          </cell>
          <cell r="AO57">
            <v>26150</v>
          </cell>
          <cell r="AP57">
            <v>26166</v>
          </cell>
          <cell r="AQ57">
            <v>138000</v>
          </cell>
          <cell r="AR57">
            <v>0</v>
          </cell>
          <cell r="AS57">
            <v>5.27</v>
          </cell>
          <cell r="AT57">
            <v>100878000</v>
          </cell>
          <cell r="AU57">
            <v>4.82</v>
          </cell>
          <cell r="AV57">
            <v>65755965</v>
          </cell>
          <cell r="AW57">
            <v>0.26</v>
          </cell>
          <cell r="AX57">
            <v>6859</v>
          </cell>
          <cell r="AY57">
            <v>71.41</v>
          </cell>
          <cell r="AZ57">
            <v>0</v>
          </cell>
          <cell r="BA57">
            <v>521</v>
          </cell>
          <cell r="BB57">
            <v>1</v>
          </cell>
          <cell r="BC57">
            <v>522</v>
          </cell>
          <cell r="BD57">
            <v>0</v>
          </cell>
          <cell r="BE57">
            <v>0</v>
          </cell>
          <cell r="BF57">
            <v>26</v>
          </cell>
          <cell r="BG57">
            <v>0</v>
          </cell>
          <cell r="BH57">
            <v>1</v>
          </cell>
          <cell r="BI57">
            <v>50</v>
          </cell>
          <cell r="BJ57">
            <v>9</v>
          </cell>
          <cell r="BK57">
            <v>13</v>
          </cell>
          <cell r="BL57">
            <v>13</v>
          </cell>
          <cell r="BM57">
            <v>9</v>
          </cell>
          <cell r="BN57">
            <v>6</v>
          </cell>
          <cell r="BO57">
            <v>0</v>
          </cell>
          <cell r="BP57">
            <v>14</v>
          </cell>
          <cell r="BQ57">
            <v>-1</v>
          </cell>
          <cell r="BR57">
            <v>4</v>
          </cell>
          <cell r="BS57">
            <v>2</v>
          </cell>
          <cell r="BT57">
            <v>5</v>
          </cell>
          <cell r="BU57">
            <v>4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82</v>
          </cell>
          <cell r="DN57">
            <v>0</v>
          </cell>
          <cell r="DO57">
            <v>0</v>
          </cell>
          <cell r="DP57">
            <v>0</v>
          </cell>
          <cell r="DQ57">
            <v>78</v>
          </cell>
          <cell r="DR57">
            <v>4</v>
          </cell>
          <cell r="DS57">
            <v>0</v>
          </cell>
          <cell r="DT57">
            <v>147</v>
          </cell>
          <cell r="DU57">
            <v>19</v>
          </cell>
          <cell r="DV57">
            <v>37</v>
          </cell>
          <cell r="DW57">
            <v>33</v>
          </cell>
          <cell r="DX57">
            <v>31</v>
          </cell>
          <cell r="DY57">
            <v>27</v>
          </cell>
          <cell r="DZ57">
            <v>0</v>
          </cell>
          <cell r="EA57">
            <v>159</v>
          </cell>
          <cell r="EB57">
            <v>33</v>
          </cell>
          <cell r="EC57">
            <v>41</v>
          </cell>
          <cell r="ED57">
            <v>39</v>
          </cell>
          <cell r="EE57">
            <v>25</v>
          </cell>
          <cell r="EF57">
            <v>21</v>
          </cell>
          <cell r="EG57">
            <v>0</v>
          </cell>
          <cell r="EH57">
            <v>70</v>
          </cell>
          <cell r="EI57">
            <v>18</v>
          </cell>
          <cell r="EJ57">
            <v>14</v>
          </cell>
          <cell r="EK57">
            <v>19</v>
          </cell>
          <cell r="EL57">
            <v>9</v>
          </cell>
          <cell r="EM57">
            <v>10</v>
          </cell>
          <cell r="EN57">
            <v>0</v>
          </cell>
          <cell r="EO57" t="str">
            <v xml:space="preserve"> WOMENS METHUEN VEST                                        </v>
          </cell>
        </row>
        <row r="58">
          <cell r="A58" t="str">
            <v>CN3YL1854053</v>
          </cell>
          <cell r="B58" t="str">
            <v>CN3</v>
          </cell>
          <cell r="C58" t="str">
            <v>YL1854</v>
          </cell>
          <cell r="D58">
            <v>53</v>
          </cell>
          <cell r="E58" t="str">
            <v xml:space="preserve">   </v>
          </cell>
          <cell r="F58">
            <v>80926</v>
          </cell>
          <cell r="G58">
            <v>80926</v>
          </cell>
          <cell r="H58">
            <v>90107</v>
          </cell>
          <cell r="I58">
            <v>600</v>
          </cell>
          <cell r="J58">
            <v>599</v>
          </cell>
          <cell r="K58">
            <v>578</v>
          </cell>
          <cell r="L58">
            <v>233</v>
          </cell>
          <cell r="M58">
            <v>233</v>
          </cell>
          <cell r="N58">
            <v>15570000</v>
          </cell>
          <cell r="O58">
            <v>15528476</v>
          </cell>
          <cell r="P58">
            <v>14984072</v>
          </cell>
          <cell r="Q58">
            <v>6040292</v>
          </cell>
          <cell r="R58">
            <v>21300633</v>
          </cell>
          <cell r="S58" t="str">
            <v>*</v>
          </cell>
          <cell r="T58" t="str">
            <v xml:space="preserve"> </v>
          </cell>
          <cell r="U58">
            <v>599</v>
          </cell>
          <cell r="V58">
            <v>15528476</v>
          </cell>
          <cell r="W58">
            <v>233</v>
          </cell>
          <cell r="X58">
            <v>6040292</v>
          </cell>
          <cell r="Y58">
            <v>39.07</v>
          </cell>
          <cell r="Z58">
            <v>39.229999999999997</v>
          </cell>
          <cell r="AA58">
            <v>3499740</v>
          </cell>
          <cell r="AB58">
            <v>2540552</v>
          </cell>
          <cell r="AC58">
            <v>21</v>
          </cell>
          <cell r="AD58">
            <v>1270276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1</v>
          </cell>
          <cell r="AL58">
            <v>51848</v>
          </cell>
          <cell r="AM58">
            <v>344</v>
          </cell>
          <cell r="AN58">
            <v>18846748</v>
          </cell>
          <cell r="AO58">
            <v>25950</v>
          </cell>
          <cell r="AP58">
            <v>25924</v>
          </cell>
          <cell r="AQ58">
            <v>118000</v>
          </cell>
          <cell r="AR58">
            <v>70000</v>
          </cell>
          <cell r="AS58">
            <v>4.55</v>
          </cell>
          <cell r="AT58">
            <v>70682000</v>
          </cell>
          <cell r="AU58">
            <v>4.13</v>
          </cell>
          <cell r="AV58">
            <v>14440633</v>
          </cell>
          <cell r="AW58">
            <v>2.7</v>
          </cell>
          <cell r="AX58">
            <v>6860000</v>
          </cell>
          <cell r="AY58">
            <v>39.07</v>
          </cell>
          <cell r="AZ58">
            <v>0</v>
          </cell>
          <cell r="BA58">
            <v>135</v>
          </cell>
          <cell r="BB58">
            <v>98</v>
          </cell>
          <cell r="BC58">
            <v>233</v>
          </cell>
          <cell r="BD58">
            <v>0</v>
          </cell>
          <cell r="BE58">
            <v>0</v>
          </cell>
          <cell r="BF58">
            <v>62</v>
          </cell>
          <cell r="BG58">
            <v>1</v>
          </cell>
          <cell r="BH58">
            <v>1</v>
          </cell>
          <cell r="BI58">
            <v>52</v>
          </cell>
          <cell r="BJ58">
            <v>1</v>
          </cell>
          <cell r="BK58">
            <v>14</v>
          </cell>
          <cell r="BL58">
            <v>14</v>
          </cell>
          <cell r="BM58">
            <v>14</v>
          </cell>
          <cell r="BN58">
            <v>9</v>
          </cell>
          <cell r="BO58">
            <v>0</v>
          </cell>
          <cell r="BP58">
            <v>46</v>
          </cell>
          <cell r="BQ58">
            <v>1</v>
          </cell>
          <cell r="BR58">
            <v>15</v>
          </cell>
          <cell r="BS58">
            <v>12</v>
          </cell>
          <cell r="BT58">
            <v>14</v>
          </cell>
          <cell r="BU58">
            <v>4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24</v>
          </cell>
          <cell r="DN58">
            <v>0</v>
          </cell>
          <cell r="DO58">
            <v>0</v>
          </cell>
          <cell r="DP58">
            <v>0</v>
          </cell>
          <cell r="DQ58">
            <v>19</v>
          </cell>
          <cell r="DR58">
            <v>5</v>
          </cell>
          <cell r="DS58">
            <v>0</v>
          </cell>
          <cell r="DT58">
            <v>54</v>
          </cell>
          <cell r="DU58">
            <v>12</v>
          </cell>
          <cell r="DV58">
            <v>17</v>
          </cell>
          <cell r="DW58">
            <v>5</v>
          </cell>
          <cell r="DX58">
            <v>10</v>
          </cell>
          <cell r="DY58">
            <v>10</v>
          </cell>
          <cell r="DZ58">
            <v>0</v>
          </cell>
          <cell r="EA58">
            <v>35</v>
          </cell>
          <cell r="EB58">
            <v>3</v>
          </cell>
          <cell r="EC58">
            <v>18</v>
          </cell>
          <cell r="ED58">
            <v>8</v>
          </cell>
          <cell r="EE58">
            <v>4</v>
          </cell>
          <cell r="EF58">
            <v>2</v>
          </cell>
          <cell r="EG58">
            <v>0</v>
          </cell>
          <cell r="EH58">
            <v>22</v>
          </cell>
          <cell r="EI58">
            <v>2</v>
          </cell>
          <cell r="EJ58">
            <v>5</v>
          </cell>
          <cell r="EK58">
            <v>5</v>
          </cell>
          <cell r="EL58">
            <v>7</v>
          </cell>
          <cell r="EM58">
            <v>3</v>
          </cell>
          <cell r="EN58">
            <v>0</v>
          </cell>
          <cell r="EO58" t="str">
            <v xml:space="preserve">Womans Neskowin Vest                                        </v>
          </cell>
        </row>
        <row r="59">
          <cell r="A59" t="str">
            <v>CN3YL1856010</v>
          </cell>
          <cell r="B59" t="str">
            <v>CN3</v>
          </cell>
          <cell r="C59" t="str">
            <v>YL1856</v>
          </cell>
          <cell r="D59">
            <v>10</v>
          </cell>
          <cell r="E59" t="str">
            <v xml:space="preserve">   </v>
          </cell>
          <cell r="F59">
            <v>80911</v>
          </cell>
          <cell r="G59">
            <v>80911</v>
          </cell>
          <cell r="H59">
            <v>90130</v>
          </cell>
          <cell r="I59">
            <v>400</v>
          </cell>
          <cell r="J59">
            <v>399</v>
          </cell>
          <cell r="K59">
            <v>399</v>
          </cell>
          <cell r="L59">
            <v>173</v>
          </cell>
          <cell r="M59">
            <v>173</v>
          </cell>
          <cell r="N59">
            <v>8910000</v>
          </cell>
          <cell r="O59">
            <v>8855406</v>
          </cell>
          <cell r="P59">
            <v>8855406</v>
          </cell>
          <cell r="Q59">
            <v>3839562</v>
          </cell>
          <cell r="R59">
            <v>14552977</v>
          </cell>
          <cell r="S59" t="str">
            <v>*</v>
          </cell>
          <cell r="T59" t="str">
            <v xml:space="preserve"> </v>
          </cell>
          <cell r="U59">
            <v>399</v>
          </cell>
          <cell r="V59">
            <v>8855406</v>
          </cell>
          <cell r="W59">
            <v>173</v>
          </cell>
          <cell r="X59">
            <v>3839562</v>
          </cell>
          <cell r="Y59">
            <v>43.11</v>
          </cell>
          <cell r="Z59">
            <v>42.86</v>
          </cell>
          <cell r="AA59">
            <v>2374758</v>
          </cell>
          <cell r="AB59">
            <v>1464804</v>
          </cell>
          <cell r="AC59">
            <v>0</v>
          </cell>
          <cell r="AD59">
            <v>133164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-1</v>
          </cell>
          <cell r="AL59">
            <v>-44388</v>
          </cell>
          <cell r="AM59">
            <v>227</v>
          </cell>
          <cell r="AN59">
            <v>11296746</v>
          </cell>
          <cell r="AO59">
            <v>22275</v>
          </cell>
          <cell r="AP59">
            <v>22194</v>
          </cell>
          <cell r="AQ59">
            <v>108000</v>
          </cell>
          <cell r="AR59">
            <v>65000</v>
          </cell>
          <cell r="AS59">
            <v>4.87</v>
          </cell>
          <cell r="AT59">
            <v>43092000</v>
          </cell>
          <cell r="AU59">
            <v>4.4000000000000004</v>
          </cell>
          <cell r="AV59">
            <v>10437400</v>
          </cell>
          <cell r="AW59">
            <v>2.81</v>
          </cell>
          <cell r="AX59">
            <v>4115577</v>
          </cell>
          <cell r="AY59">
            <v>43.11</v>
          </cell>
          <cell r="AZ59">
            <v>0</v>
          </cell>
          <cell r="BA59">
            <v>107</v>
          </cell>
          <cell r="BB59">
            <v>66</v>
          </cell>
          <cell r="BC59">
            <v>173</v>
          </cell>
          <cell r="BD59">
            <v>0</v>
          </cell>
          <cell r="BE59">
            <v>0</v>
          </cell>
          <cell r="BF59">
            <v>83</v>
          </cell>
          <cell r="BG59">
            <v>1</v>
          </cell>
          <cell r="BH59">
            <v>1</v>
          </cell>
          <cell r="BI59">
            <v>7</v>
          </cell>
          <cell r="BJ59">
            <v>4</v>
          </cell>
          <cell r="BK59">
            <v>-4</v>
          </cell>
          <cell r="BL59">
            <v>0</v>
          </cell>
          <cell r="BM59">
            <v>8</v>
          </cell>
          <cell r="BN59">
            <v>-1</v>
          </cell>
          <cell r="BO59">
            <v>0</v>
          </cell>
          <cell r="BP59">
            <v>61</v>
          </cell>
          <cell r="BQ59">
            <v>2</v>
          </cell>
          <cell r="BR59">
            <v>19</v>
          </cell>
          <cell r="BS59">
            <v>19</v>
          </cell>
          <cell r="BT59">
            <v>13</v>
          </cell>
          <cell r="BU59">
            <v>8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19</v>
          </cell>
          <cell r="DN59">
            <v>0</v>
          </cell>
          <cell r="DO59">
            <v>1</v>
          </cell>
          <cell r="DP59">
            <v>2</v>
          </cell>
          <cell r="DQ59">
            <v>14</v>
          </cell>
          <cell r="DR59">
            <v>2</v>
          </cell>
          <cell r="DS59">
            <v>0</v>
          </cell>
          <cell r="DT59">
            <v>19</v>
          </cell>
          <cell r="DU59">
            <v>4</v>
          </cell>
          <cell r="DV59">
            <v>0</v>
          </cell>
          <cell r="DW59">
            <v>5</v>
          </cell>
          <cell r="DX59">
            <v>3</v>
          </cell>
          <cell r="DY59">
            <v>7</v>
          </cell>
          <cell r="DZ59">
            <v>0</v>
          </cell>
          <cell r="EA59">
            <v>35</v>
          </cell>
          <cell r="EB59">
            <v>10</v>
          </cell>
          <cell r="EC59">
            <v>9</v>
          </cell>
          <cell r="ED59">
            <v>9</v>
          </cell>
          <cell r="EE59">
            <v>4</v>
          </cell>
          <cell r="EF59">
            <v>3</v>
          </cell>
          <cell r="EG59">
            <v>0</v>
          </cell>
          <cell r="EH59">
            <v>32</v>
          </cell>
          <cell r="EI59">
            <v>5</v>
          </cell>
          <cell r="EJ59">
            <v>12</v>
          </cell>
          <cell r="EK59">
            <v>5</v>
          </cell>
          <cell r="EL59">
            <v>8</v>
          </cell>
          <cell r="EM59">
            <v>2</v>
          </cell>
          <cell r="EN59">
            <v>0</v>
          </cell>
          <cell r="EO59" t="str">
            <v xml:space="preserve"> WOMENS VERBENA VEST                                        </v>
          </cell>
        </row>
        <row r="60">
          <cell r="A60" t="str">
            <v>CN3YL1856588</v>
          </cell>
          <cell r="B60" t="str">
            <v>CN3</v>
          </cell>
          <cell r="C60" t="str">
            <v>YL1856</v>
          </cell>
          <cell r="D60">
            <v>588</v>
          </cell>
          <cell r="E60" t="str">
            <v xml:space="preserve">   </v>
          </cell>
          <cell r="F60">
            <v>80911</v>
          </cell>
          <cell r="G60">
            <v>80911</v>
          </cell>
          <cell r="H60">
            <v>90130</v>
          </cell>
          <cell r="I60">
            <v>600</v>
          </cell>
          <cell r="J60">
            <v>604</v>
          </cell>
          <cell r="K60">
            <v>601</v>
          </cell>
          <cell r="L60">
            <v>270</v>
          </cell>
          <cell r="M60">
            <v>270</v>
          </cell>
          <cell r="N60">
            <v>13365000</v>
          </cell>
          <cell r="O60">
            <v>13405176</v>
          </cell>
          <cell r="P60">
            <v>13338594</v>
          </cell>
          <cell r="Q60">
            <v>5992380</v>
          </cell>
          <cell r="R60">
            <v>24193059</v>
          </cell>
          <cell r="S60" t="str">
            <v>*</v>
          </cell>
          <cell r="T60" t="str">
            <v xml:space="preserve"> </v>
          </cell>
          <cell r="U60">
            <v>604</v>
          </cell>
          <cell r="V60">
            <v>13405176</v>
          </cell>
          <cell r="W60">
            <v>270</v>
          </cell>
          <cell r="X60">
            <v>5992380</v>
          </cell>
          <cell r="Y60">
            <v>45.03</v>
          </cell>
          <cell r="Z60">
            <v>45.36</v>
          </cell>
          <cell r="AA60">
            <v>4261248</v>
          </cell>
          <cell r="AB60">
            <v>1731132</v>
          </cell>
          <cell r="AC60">
            <v>3</v>
          </cell>
          <cell r="AD60">
            <v>177552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2</v>
          </cell>
          <cell r="AL60">
            <v>88776</v>
          </cell>
          <cell r="AM60">
            <v>329</v>
          </cell>
          <cell r="AN60">
            <v>15979680</v>
          </cell>
          <cell r="AO60">
            <v>22275</v>
          </cell>
          <cell r="AP60">
            <v>22194</v>
          </cell>
          <cell r="AQ60">
            <v>108000</v>
          </cell>
          <cell r="AR60">
            <v>65000</v>
          </cell>
          <cell r="AS60">
            <v>4.87</v>
          </cell>
          <cell r="AT60">
            <v>65232000</v>
          </cell>
          <cell r="AU60">
            <v>4.5</v>
          </cell>
          <cell r="AV60">
            <v>19181200</v>
          </cell>
          <cell r="AW60">
            <v>2.9</v>
          </cell>
          <cell r="AX60">
            <v>5011859</v>
          </cell>
          <cell r="AY60">
            <v>45.03</v>
          </cell>
          <cell r="AZ60">
            <v>0</v>
          </cell>
          <cell r="BA60">
            <v>192</v>
          </cell>
          <cell r="BB60">
            <v>78</v>
          </cell>
          <cell r="BC60">
            <v>270</v>
          </cell>
          <cell r="BD60">
            <v>0</v>
          </cell>
          <cell r="BE60">
            <v>0</v>
          </cell>
          <cell r="BF60">
            <v>96</v>
          </cell>
          <cell r="BG60">
            <v>0</v>
          </cell>
          <cell r="BH60">
            <v>1</v>
          </cell>
          <cell r="BI60">
            <v>27</v>
          </cell>
          <cell r="BJ60">
            <v>2</v>
          </cell>
          <cell r="BK60">
            <v>1</v>
          </cell>
          <cell r="BL60">
            <v>6</v>
          </cell>
          <cell r="BM60">
            <v>11</v>
          </cell>
          <cell r="BN60">
            <v>7</v>
          </cell>
          <cell r="BO60">
            <v>0</v>
          </cell>
          <cell r="BP60">
            <v>64</v>
          </cell>
          <cell r="BQ60">
            <v>7</v>
          </cell>
          <cell r="BR60">
            <v>18</v>
          </cell>
          <cell r="BS60">
            <v>17</v>
          </cell>
          <cell r="BT60">
            <v>14</v>
          </cell>
          <cell r="BU60">
            <v>8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37</v>
          </cell>
          <cell r="DN60">
            <v>0</v>
          </cell>
          <cell r="DO60">
            <v>2</v>
          </cell>
          <cell r="DP60">
            <v>2</v>
          </cell>
          <cell r="DQ60">
            <v>30</v>
          </cell>
          <cell r="DR60">
            <v>3</v>
          </cell>
          <cell r="DS60">
            <v>0</v>
          </cell>
          <cell r="DT60">
            <v>42</v>
          </cell>
          <cell r="DU60">
            <v>6</v>
          </cell>
          <cell r="DV60">
            <v>13</v>
          </cell>
          <cell r="DW60">
            <v>6</v>
          </cell>
          <cell r="DX60">
            <v>11</v>
          </cell>
          <cell r="DY60">
            <v>6</v>
          </cell>
          <cell r="DZ60">
            <v>0</v>
          </cell>
          <cell r="EA60">
            <v>54</v>
          </cell>
          <cell r="EB60">
            <v>9</v>
          </cell>
          <cell r="EC60">
            <v>17</v>
          </cell>
          <cell r="ED60">
            <v>10</v>
          </cell>
          <cell r="EE60">
            <v>7</v>
          </cell>
          <cell r="EF60">
            <v>11</v>
          </cell>
          <cell r="EG60">
            <v>0</v>
          </cell>
          <cell r="EH60">
            <v>46</v>
          </cell>
          <cell r="EI60">
            <v>6</v>
          </cell>
          <cell r="EJ60">
            <v>12</v>
          </cell>
          <cell r="EK60">
            <v>8</v>
          </cell>
          <cell r="EL60">
            <v>15</v>
          </cell>
          <cell r="EM60">
            <v>5</v>
          </cell>
          <cell r="EN60">
            <v>0</v>
          </cell>
          <cell r="EO60" t="str">
            <v xml:space="preserve"> WOMENS VERBENA VEST                                        </v>
          </cell>
        </row>
        <row r="61">
          <cell r="A61" t="str">
            <v>CN3YL3766010</v>
          </cell>
          <cell r="B61" t="str">
            <v>CN3</v>
          </cell>
          <cell r="C61" t="str">
            <v>YL3766</v>
          </cell>
          <cell r="D61">
            <v>10</v>
          </cell>
          <cell r="E61" t="str">
            <v xml:space="preserve">   </v>
          </cell>
          <cell r="F61">
            <v>80813</v>
          </cell>
          <cell r="G61">
            <v>80816</v>
          </cell>
          <cell r="H61">
            <v>80808</v>
          </cell>
          <cell r="I61">
            <v>150</v>
          </cell>
          <cell r="J61">
            <v>152</v>
          </cell>
          <cell r="K61">
            <v>127</v>
          </cell>
          <cell r="L61">
            <v>58</v>
          </cell>
          <cell r="M61">
            <v>58</v>
          </cell>
          <cell r="N61">
            <v>19199250</v>
          </cell>
          <cell r="O61">
            <v>19458128</v>
          </cell>
          <cell r="P61">
            <v>16242178</v>
          </cell>
          <cell r="Q61">
            <v>7465372</v>
          </cell>
          <cell r="R61">
            <v>20629100</v>
          </cell>
          <cell r="S61" t="str">
            <v>*</v>
          </cell>
          <cell r="T61" t="str">
            <v>C</v>
          </cell>
          <cell r="U61">
            <v>152</v>
          </cell>
          <cell r="V61">
            <v>19458128</v>
          </cell>
          <cell r="W61">
            <v>58</v>
          </cell>
          <cell r="X61">
            <v>7465372</v>
          </cell>
          <cell r="Y61">
            <v>41.45</v>
          </cell>
          <cell r="Z61">
            <v>44.99</v>
          </cell>
          <cell r="AA61">
            <v>2060704</v>
          </cell>
          <cell r="AB61">
            <v>5404668</v>
          </cell>
          <cell r="AC61">
            <v>25</v>
          </cell>
          <cell r="AD61">
            <v>3219850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5</v>
          </cell>
          <cell r="AL61">
            <v>1287940</v>
          </cell>
          <cell r="AM61">
            <v>64</v>
          </cell>
          <cell r="AN61">
            <v>21379804</v>
          </cell>
          <cell r="AO61">
            <v>127995</v>
          </cell>
          <cell r="AP61">
            <v>128794</v>
          </cell>
          <cell r="AQ61">
            <v>538000</v>
          </cell>
          <cell r="AR61">
            <v>377000</v>
          </cell>
          <cell r="AS61">
            <v>4.2</v>
          </cell>
          <cell r="AT61">
            <v>81776000</v>
          </cell>
          <cell r="AU61">
            <v>2.33</v>
          </cell>
          <cell r="AV61">
            <v>4795100</v>
          </cell>
          <cell r="AW61">
            <v>2.93</v>
          </cell>
          <cell r="AX61">
            <v>15834000</v>
          </cell>
          <cell r="AY61">
            <v>41.45</v>
          </cell>
          <cell r="AZ61">
            <v>0</v>
          </cell>
          <cell r="BA61">
            <v>16</v>
          </cell>
          <cell r="BB61">
            <v>42</v>
          </cell>
          <cell r="BC61">
            <v>58</v>
          </cell>
          <cell r="BD61">
            <v>0</v>
          </cell>
          <cell r="BE61">
            <v>0</v>
          </cell>
          <cell r="BF61">
            <v>-71</v>
          </cell>
          <cell r="BG61">
            <v>1</v>
          </cell>
          <cell r="BH61">
            <v>1</v>
          </cell>
          <cell r="BI61">
            <v>-13</v>
          </cell>
          <cell r="BJ61">
            <v>0</v>
          </cell>
          <cell r="BK61">
            <v>4</v>
          </cell>
          <cell r="BL61">
            <v>-8</v>
          </cell>
          <cell r="BM61">
            <v>1</v>
          </cell>
          <cell r="BN61">
            <v>-10</v>
          </cell>
          <cell r="BO61">
            <v>0</v>
          </cell>
          <cell r="BP61">
            <v>13</v>
          </cell>
          <cell r="BQ61">
            <v>9</v>
          </cell>
          <cell r="BR61">
            <v>1</v>
          </cell>
          <cell r="BS61">
            <v>1</v>
          </cell>
          <cell r="BT61">
            <v>1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6</v>
          </cell>
          <cell r="DG61">
            <v>0</v>
          </cell>
          <cell r="DH61">
            <v>0</v>
          </cell>
          <cell r="DI61">
            <v>0</v>
          </cell>
          <cell r="DJ61">
            <v>3</v>
          </cell>
          <cell r="DK61">
            <v>3</v>
          </cell>
          <cell r="DL61">
            <v>0</v>
          </cell>
          <cell r="DM61">
            <v>16</v>
          </cell>
          <cell r="DN61">
            <v>10</v>
          </cell>
          <cell r="DO61">
            <v>1</v>
          </cell>
          <cell r="DP61">
            <v>3</v>
          </cell>
          <cell r="DQ61">
            <v>2</v>
          </cell>
          <cell r="DR61">
            <v>0</v>
          </cell>
          <cell r="DS61">
            <v>0</v>
          </cell>
          <cell r="DT61">
            <v>16</v>
          </cell>
          <cell r="DU61">
            <v>5</v>
          </cell>
          <cell r="DV61">
            <v>4</v>
          </cell>
          <cell r="DW61">
            <v>1</v>
          </cell>
          <cell r="DX61">
            <v>3</v>
          </cell>
          <cell r="DY61">
            <v>3</v>
          </cell>
          <cell r="DZ61">
            <v>0</v>
          </cell>
          <cell r="EA61">
            <v>9</v>
          </cell>
          <cell r="EB61">
            <v>3</v>
          </cell>
          <cell r="EC61">
            <v>1</v>
          </cell>
          <cell r="ED61">
            <v>4</v>
          </cell>
          <cell r="EE61">
            <v>0</v>
          </cell>
          <cell r="EF61">
            <v>1</v>
          </cell>
          <cell r="EG61">
            <v>0</v>
          </cell>
          <cell r="EH61">
            <v>11</v>
          </cell>
          <cell r="EI61">
            <v>0</v>
          </cell>
          <cell r="EJ61">
            <v>1</v>
          </cell>
          <cell r="EK61">
            <v>0</v>
          </cell>
          <cell r="EL61">
            <v>10</v>
          </cell>
          <cell r="EM61">
            <v>0</v>
          </cell>
          <cell r="EN61">
            <v>0</v>
          </cell>
          <cell r="EO61" t="str">
            <v xml:space="preserve">JENNY LAKE JACKET                                           </v>
          </cell>
        </row>
        <row r="62">
          <cell r="A62" t="str">
            <v>CN3YL3766552</v>
          </cell>
          <cell r="B62" t="str">
            <v>CN3</v>
          </cell>
          <cell r="C62" t="str">
            <v>YL3766</v>
          </cell>
          <cell r="D62">
            <v>552</v>
          </cell>
          <cell r="E62" t="str">
            <v xml:space="preserve">   </v>
          </cell>
          <cell r="F62">
            <v>80813</v>
          </cell>
          <cell r="G62">
            <v>80816</v>
          </cell>
          <cell r="H62">
            <v>80808</v>
          </cell>
          <cell r="I62">
            <v>350</v>
          </cell>
          <cell r="J62">
            <v>154</v>
          </cell>
          <cell r="K62">
            <v>121</v>
          </cell>
          <cell r="L62">
            <v>-14</v>
          </cell>
          <cell r="M62">
            <v>-14</v>
          </cell>
          <cell r="N62">
            <v>44798250</v>
          </cell>
          <cell r="O62">
            <v>19748476</v>
          </cell>
          <cell r="P62">
            <v>15523234</v>
          </cell>
          <cell r="Q62">
            <v>-1804676</v>
          </cell>
          <cell r="R62">
            <v>-34206900</v>
          </cell>
          <cell r="S62" t="str">
            <v>*</v>
          </cell>
          <cell r="T62" t="str">
            <v>C</v>
          </cell>
          <cell r="U62">
            <v>154</v>
          </cell>
          <cell r="V62">
            <v>19748476</v>
          </cell>
          <cell r="W62">
            <v>-14</v>
          </cell>
          <cell r="X62">
            <v>-1804676</v>
          </cell>
          <cell r="Y62">
            <v>-12.34</v>
          </cell>
          <cell r="Z62">
            <v>-15.66</v>
          </cell>
          <cell r="AA62">
            <v>-20091864</v>
          </cell>
          <cell r="AB62">
            <v>18287188</v>
          </cell>
          <cell r="AC62">
            <v>33</v>
          </cell>
          <cell r="AD62">
            <v>4636584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-5</v>
          </cell>
          <cell r="AL62">
            <v>-1287940</v>
          </cell>
          <cell r="AM62">
            <v>140</v>
          </cell>
          <cell r="AN62">
            <v>40698904</v>
          </cell>
          <cell r="AO62">
            <v>127995</v>
          </cell>
          <cell r="AP62">
            <v>128794</v>
          </cell>
          <cell r="AQ62">
            <v>538000</v>
          </cell>
          <cell r="AR62">
            <v>377000</v>
          </cell>
          <cell r="AS62">
            <v>4.2</v>
          </cell>
          <cell r="AT62">
            <v>82852000</v>
          </cell>
          <cell r="AU62">
            <v>4.37</v>
          </cell>
          <cell r="AV62">
            <v>-87740900</v>
          </cell>
          <cell r="AW62">
            <v>2.93</v>
          </cell>
          <cell r="AX62">
            <v>53534000</v>
          </cell>
          <cell r="AY62">
            <v>-12.34</v>
          </cell>
          <cell r="AZ62">
            <v>0</v>
          </cell>
          <cell r="BA62">
            <v>-156</v>
          </cell>
          <cell r="BB62">
            <v>142</v>
          </cell>
          <cell r="BC62">
            <v>-14</v>
          </cell>
          <cell r="BD62">
            <v>0</v>
          </cell>
          <cell r="BE62">
            <v>0</v>
          </cell>
          <cell r="BF62">
            <v>12</v>
          </cell>
          <cell r="BG62">
            <v>0</v>
          </cell>
          <cell r="BH62">
            <v>1</v>
          </cell>
          <cell r="BI62">
            <v>1</v>
          </cell>
          <cell r="BJ62">
            <v>1</v>
          </cell>
          <cell r="BK62">
            <v>0</v>
          </cell>
          <cell r="BL62">
            <v>-1</v>
          </cell>
          <cell r="BM62">
            <v>1</v>
          </cell>
          <cell r="BN62">
            <v>0</v>
          </cell>
          <cell r="BO62">
            <v>0</v>
          </cell>
          <cell r="BP62">
            <v>6</v>
          </cell>
          <cell r="BQ62">
            <v>0</v>
          </cell>
          <cell r="BR62">
            <v>1</v>
          </cell>
          <cell r="BS62">
            <v>2</v>
          </cell>
          <cell r="BT62">
            <v>1</v>
          </cell>
          <cell r="BU62">
            <v>2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2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2</v>
          </cell>
          <cell r="DL62">
            <v>0</v>
          </cell>
          <cell r="DM62">
            <v>-131</v>
          </cell>
          <cell r="DN62">
            <v>-157</v>
          </cell>
          <cell r="DO62">
            <v>7</v>
          </cell>
          <cell r="DP62">
            <v>11</v>
          </cell>
          <cell r="DQ62">
            <v>6</v>
          </cell>
          <cell r="DR62">
            <v>2</v>
          </cell>
          <cell r="DS62">
            <v>0</v>
          </cell>
          <cell r="DT62">
            <v>52</v>
          </cell>
          <cell r="DU62">
            <v>14</v>
          </cell>
          <cell r="DV62">
            <v>5</v>
          </cell>
          <cell r="DW62">
            <v>14</v>
          </cell>
          <cell r="DX62">
            <v>12</v>
          </cell>
          <cell r="DY62">
            <v>7</v>
          </cell>
          <cell r="DZ62">
            <v>0</v>
          </cell>
          <cell r="EA62">
            <v>39</v>
          </cell>
          <cell r="EB62">
            <v>15</v>
          </cell>
          <cell r="EC62">
            <v>10</v>
          </cell>
          <cell r="ED62">
            <v>3</v>
          </cell>
          <cell r="EE62">
            <v>7</v>
          </cell>
          <cell r="EF62">
            <v>4</v>
          </cell>
          <cell r="EG62">
            <v>0</v>
          </cell>
          <cell r="EH62">
            <v>17</v>
          </cell>
          <cell r="EI62">
            <v>3</v>
          </cell>
          <cell r="EJ62">
            <v>2</v>
          </cell>
          <cell r="EK62">
            <v>0</v>
          </cell>
          <cell r="EL62">
            <v>12</v>
          </cell>
          <cell r="EM62">
            <v>0</v>
          </cell>
          <cell r="EN62">
            <v>0</v>
          </cell>
          <cell r="EO62" t="str">
            <v xml:space="preserve">JENNY LAKE JACKET                                           </v>
          </cell>
        </row>
        <row r="63">
          <cell r="A63" t="str">
            <v>CN3YL3770010</v>
          </cell>
          <cell r="B63" t="str">
            <v>CN3</v>
          </cell>
          <cell r="C63" t="str">
            <v>YL3770</v>
          </cell>
          <cell r="D63">
            <v>10</v>
          </cell>
          <cell r="E63" t="str">
            <v xml:space="preserve">   </v>
          </cell>
          <cell r="F63">
            <v>80424</v>
          </cell>
          <cell r="G63">
            <v>80426</v>
          </cell>
          <cell r="H63">
            <v>0</v>
          </cell>
          <cell r="I63">
            <v>500</v>
          </cell>
          <cell r="J63">
            <v>497</v>
          </cell>
          <cell r="K63">
            <v>459</v>
          </cell>
          <cell r="L63">
            <v>409</v>
          </cell>
          <cell r="M63">
            <v>567</v>
          </cell>
          <cell r="N63">
            <v>14637500</v>
          </cell>
          <cell r="O63">
            <v>14764379</v>
          </cell>
          <cell r="P63">
            <v>13633801</v>
          </cell>
          <cell r="Q63">
            <v>12098803</v>
          </cell>
          <cell r="R63">
            <v>63810428</v>
          </cell>
          <cell r="S63" t="str">
            <v xml:space="preserve"> </v>
          </cell>
          <cell r="T63" t="str">
            <v>C</v>
          </cell>
          <cell r="U63">
            <v>497</v>
          </cell>
          <cell r="V63">
            <v>14764379</v>
          </cell>
          <cell r="W63">
            <v>409</v>
          </cell>
          <cell r="X63">
            <v>12098803</v>
          </cell>
          <cell r="Y63">
            <v>82.7</v>
          </cell>
          <cell r="Z63">
            <v>82.75</v>
          </cell>
          <cell r="AA63">
            <v>12039603</v>
          </cell>
          <cell r="AB63">
            <v>59200</v>
          </cell>
          <cell r="AC63">
            <v>38</v>
          </cell>
          <cell r="AD63">
            <v>4232800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2</v>
          </cell>
          <cell r="AL63">
            <v>118400</v>
          </cell>
          <cell r="AM63">
            <v>48</v>
          </cell>
          <cell r="AN63">
            <v>1095200</v>
          </cell>
          <cell r="AO63">
            <v>29275</v>
          </cell>
          <cell r="AP63">
            <v>29600</v>
          </cell>
          <cell r="AQ63">
            <v>128000</v>
          </cell>
          <cell r="AR63">
            <v>0</v>
          </cell>
          <cell r="AS63">
            <v>4.3099999999999996</v>
          </cell>
          <cell r="AT63">
            <v>63616000</v>
          </cell>
          <cell r="AU63">
            <v>3.61</v>
          </cell>
          <cell r="AV63">
            <v>43470310</v>
          </cell>
          <cell r="AW63">
            <v>0.23</v>
          </cell>
          <cell r="AX63">
            <v>13718</v>
          </cell>
          <cell r="AY63">
            <v>82.7</v>
          </cell>
          <cell r="AZ63">
            <v>0</v>
          </cell>
          <cell r="BA63">
            <v>407</v>
          </cell>
          <cell r="BB63">
            <v>2</v>
          </cell>
          <cell r="BC63">
            <v>409</v>
          </cell>
          <cell r="BD63">
            <v>0</v>
          </cell>
          <cell r="BE63">
            <v>0</v>
          </cell>
          <cell r="BF63">
            <v>14</v>
          </cell>
          <cell r="BG63">
            <v>1</v>
          </cell>
          <cell r="BH63">
            <v>1</v>
          </cell>
          <cell r="BI63">
            <v>-24</v>
          </cell>
          <cell r="BJ63">
            <v>0</v>
          </cell>
          <cell r="BK63">
            <v>-24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8</v>
          </cell>
          <cell r="BQ63">
            <v>0</v>
          </cell>
          <cell r="BR63">
            <v>1</v>
          </cell>
          <cell r="BS63">
            <v>2</v>
          </cell>
          <cell r="BT63">
            <v>3</v>
          </cell>
          <cell r="BU63">
            <v>2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87</v>
          </cell>
          <cell r="CL63">
            <v>17</v>
          </cell>
          <cell r="CM63">
            <v>15</v>
          </cell>
          <cell r="CN63">
            <v>25</v>
          </cell>
          <cell r="CO63">
            <v>21</v>
          </cell>
          <cell r="CP63">
            <v>9</v>
          </cell>
          <cell r="CQ63">
            <v>0</v>
          </cell>
          <cell r="CR63">
            <v>31</v>
          </cell>
          <cell r="CS63">
            <v>1</v>
          </cell>
          <cell r="CT63">
            <v>19</v>
          </cell>
          <cell r="CU63">
            <v>8</v>
          </cell>
          <cell r="CV63">
            <v>0</v>
          </cell>
          <cell r="CW63">
            <v>3</v>
          </cell>
          <cell r="CX63">
            <v>0</v>
          </cell>
          <cell r="CY63">
            <v>28</v>
          </cell>
          <cell r="CZ63">
            <v>6</v>
          </cell>
          <cell r="DA63">
            <v>7</v>
          </cell>
          <cell r="DB63">
            <v>7</v>
          </cell>
          <cell r="DC63">
            <v>7</v>
          </cell>
          <cell r="DD63">
            <v>1</v>
          </cell>
          <cell r="DE63">
            <v>0</v>
          </cell>
          <cell r="DF63">
            <v>42</v>
          </cell>
          <cell r="DG63">
            <v>3</v>
          </cell>
          <cell r="DH63">
            <v>2</v>
          </cell>
          <cell r="DI63">
            <v>10</v>
          </cell>
          <cell r="DJ63">
            <v>12</v>
          </cell>
          <cell r="DK63">
            <v>15</v>
          </cell>
          <cell r="DL63">
            <v>0</v>
          </cell>
          <cell r="DM63">
            <v>152</v>
          </cell>
          <cell r="DN63">
            <v>20</v>
          </cell>
          <cell r="DO63">
            <v>5</v>
          </cell>
          <cell r="DP63">
            <v>33</v>
          </cell>
          <cell r="DQ63">
            <v>82</v>
          </cell>
          <cell r="DR63">
            <v>12</v>
          </cell>
          <cell r="DS63">
            <v>0</v>
          </cell>
          <cell r="DT63">
            <v>252</v>
          </cell>
          <cell r="DU63">
            <v>21</v>
          </cell>
          <cell r="DV63">
            <v>172</v>
          </cell>
          <cell r="DW63">
            <v>32</v>
          </cell>
          <cell r="DX63">
            <v>21</v>
          </cell>
          <cell r="DY63">
            <v>6</v>
          </cell>
          <cell r="DZ63">
            <v>0</v>
          </cell>
          <cell r="EA63">
            <v>-12</v>
          </cell>
          <cell r="EB63">
            <v>0</v>
          </cell>
          <cell r="EC63">
            <v>-6</v>
          </cell>
          <cell r="ED63">
            <v>-4</v>
          </cell>
          <cell r="EE63">
            <v>0</v>
          </cell>
          <cell r="EF63">
            <v>-2</v>
          </cell>
          <cell r="EG63">
            <v>0</v>
          </cell>
          <cell r="EH63">
            <v>3</v>
          </cell>
          <cell r="EI63">
            <v>1</v>
          </cell>
          <cell r="EJ63">
            <v>3</v>
          </cell>
          <cell r="EK63">
            <v>-2</v>
          </cell>
          <cell r="EL63">
            <v>0</v>
          </cell>
          <cell r="EM63">
            <v>1</v>
          </cell>
          <cell r="EN63">
            <v>0</v>
          </cell>
          <cell r="EO63" t="str">
            <v xml:space="preserve">RAIN OFF JACKET                                             </v>
          </cell>
        </row>
        <row r="64">
          <cell r="A64" t="str">
            <v>CN3YL3770346</v>
          </cell>
          <cell r="B64" t="str">
            <v>CN3</v>
          </cell>
          <cell r="C64" t="str">
            <v>YL3770</v>
          </cell>
          <cell r="D64">
            <v>346</v>
          </cell>
          <cell r="E64" t="str">
            <v xml:space="preserve">   </v>
          </cell>
          <cell r="F64">
            <v>80424</v>
          </cell>
          <cell r="G64">
            <v>80424</v>
          </cell>
          <cell r="H64">
            <v>0</v>
          </cell>
          <cell r="I64">
            <v>700</v>
          </cell>
          <cell r="J64">
            <v>709</v>
          </cell>
          <cell r="K64">
            <v>664</v>
          </cell>
          <cell r="L64">
            <v>402</v>
          </cell>
          <cell r="M64">
            <v>346</v>
          </cell>
          <cell r="N64">
            <v>20492500</v>
          </cell>
          <cell r="O64">
            <v>21024706</v>
          </cell>
          <cell r="P64">
            <v>19692385</v>
          </cell>
          <cell r="Q64">
            <v>11920814</v>
          </cell>
          <cell r="R64">
            <v>40830337</v>
          </cell>
          <cell r="S64" t="str">
            <v xml:space="preserve"> </v>
          </cell>
          <cell r="T64" t="str">
            <v xml:space="preserve"> </v>
          </cell>
          <cell r="U64">
            <v>709</v>
          </cell>
          <cell r="V64">
            <v>21024706</v>
          </cell>
          <cell r="W64">
            <v>402</v>
          </cell>
          <cell r="X64">
            <v>11920814</v>
          </cell>
          <cell r="Y64">
            <v>56.56</v>
          </cell>
          <cell r="Z64">
            <v>56.42</v>
          </cell>
          <cell r="AA64">
            <v>11861614</v>
          </cell>
          <cell r="AB64">
            <v>59200</v>
          </cell>
          <cell r="AC64">
            <v>45</v>
          </cell>
          <cell r="AD64">
            <v>10478400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-1</v>
          </cell>
          <cell r="AL64">
            <v>-59200</v>
          </cell>
          <cell r="AM64">
            <v>263</v>
          </cell>
          <cell r="AN64">
            <v>8347200</v>
          </cell>
          <cell r="AO64">
            <v>29275</v>
          </cell>
          <cell r="AP64">
            <v>29600</v>
          </cell>
          <cell r="AQ64">
            <v>128000</v>
          </cell>
          <cell r="AR64">
            <v>0</v>
          </cell>
          <cell r="AS64">
            <v>4.32</v>
          </cell>
          <cell r="AT64">
            <v>90752000</v>
          </cell>
          <cell r="AU64">
            <v>4.0199999999999996</v>
          </cell>
          <cell r="AV64">
            <v>47675019</v>
          </cell>
          <cell r="AW64">
            <v>0.23</v>
          </cell>
          <cell r="AX64">
            <v>13718</v>
          </cell>
          <cell r="AY64">
            <v>56.56</v>
          </cell>
          <cell r="AZ64">
            <v>0</v>
          </cell>
          <cell r="BA64">
            <v>400</v>
          </cell>
          <cell r="BB64">
            <v>2</v>
          </cell>
          <cell r="BC64">
            <v>402</v>
          </cell>
          <cell r="BD64">
            <v>0</v>
          </cell>
          <cell r="BE64">
            <v>0</v>
          </cell>
          <cell r="BF64">
            <v>22</v>
          </cell>
          <cell r="BG64">
            <v>0</v>
          </cell>
          <cell r="BH64">
            <v>1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20</v>
          </cell>
          <cell r="BQ64">
            <v>0</v>
          </cell>
          <cell r="BR64">
            <v>-1</v>
          </cell>
          <cell r="BS64">
            <v>2</v>
          </cell>
          <cell r="BT64">
            <v>6</v>
          </cell>
          <cell r="BU64">
            <v>13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146</v>
          </cell>
          <cell r="CL64">
            <v>28</v>
          </cell>
          <cell r="CM64">
            <v>48</v>
          </cell>
          <cell r="CN64">
            <v>39</v>
          </cell>
          <cell r="CO64">
            <v>21</v>
          </cell>
          <cell r="CP64">
            <v>10</v>
          </cell>
          <cell r="CQ64">
            <v>0</v>
          </cell>
          <cell r="CR64">
            <v>33</v>
          </cell>
          <cell r="CS64">
            <v>2</v>
          </cell>
          <cell r="CT64">
            <v>10</v>
          </cell>
          <cell r="CU64">
            <v>7</v>
          </cell>
          <cell r="CV64">
            <v>7</v>
          </cell>
          <cell r="CW64">
            <v>7</v>
          </cell>
          <cell r="CX64">
            <v>0</v>
          </cell>
          <cell r="CY64">
            <v>13</v>
          </cell>
          <cell r="CZ64">
            <v>4</v>
          </cell>
          <cell r="DA64">
            <v>5</v>
          </cell>
          <cell r="DB64">
            <v>1</v>
          </cell>
          <cell r="DC64">
            <v>1</v>
          </cell>
          <cell r="DD64">
            <v>2</v>
          </cell>
          <cell r="DE64">
            <v>0</v>
          </cell>
          <cell r="DF64">
            <v>31</v>
          </cell>
          <cell r="DG64">
            <v>4</v>
          </cell>
          <cell r="DH64">
            <v>13</v>
          </cell>
          <cell r="DI64">
            <v>3</v>
          </cell>
          <cell r="DJ64">
            <v>8</v>
          </cell>
          <cell r="DK64">
            <v>3</v>
          </cell>
          <cell r="DL64">
            <v>0</v>
          </cell>
          <cell r="DM64">
            <v>57</v>
          </cell>
          <cell r="DN64">
            <v>13</v>
          </cell>
          <cell r="DO64">
            <v>6</v>
          </cell>
          <cell r="DP64">
            <v>8</v>
          </cell>
          <cell r="DQ64">
            <v>30</v>
          </cell>
          <cell r="DR64">
            <v>0</v>
          </cell>
          <cell r="DS64">
            <v>0</v>
          </cell>
          <cell r="DT64">
            <v>32</v>
          </cell>
          <cell r="DU64">
            <v>6</v>
          </cell>
          <cell r="DV64">
            <v>14</v>
          </cell>
          <cell r="DW64">
            <v>8</v>
          </cell>
          <cell r="DX64">
            <v>5</v>
          </cell>
          <cell r="DY64">
            <v>-1</v>
          </cell>
          <cell r="DZ64">
            <v>0</v>
          </cell>
          <cell r="EA64">
            <v>11</v>
          </cell>
          <cell r="EB64">
            <v>0</v>
          </cell>
          <cell r="EC64">
            <v>5</v>
          </cell>
          <cell r="ED64">
            <v>1</v>
          </cell>
          <cell r="EE64">
            <v>2</v>
          </cell>
          <cell r="EF64">
            <v>3</v>
          </cell>
          <cell r="EG64">
            <v>0</v>
          </cell>
          <cell r="EH64">
            <v>3</v>
          </cell>
          <cell r="EI64">
            <v>-2</v>
          </cell>
          <cell r="EJ64">
            <v>2</v>
          </cell>
          <cell r="EK64">
            <v>2</v>
          </cell>
          <cell r="EL64">
            <v>0</v>
          </cell>
          <cell r="EM64">
            <v>1</v>
          </cell>
          <cell r="EN64">
            <v>0</v>
          </cell>
          <cell r="EO64" t="str">
            <v xml:space="preserve">RAIN OFF JACKET                                             </v>
          </cell>
        </row>
        <row r="65">
          <cell r="A65" t="str">
            <v>CN3YL3801501</v>
          </cell>
          <cell r="B65" t="str">
            <v>CN3</v>
          </cell>
          <cell r="C65" t="str">
            <v>YL3801</v>
          </cell>
          <cell r="D65">
            <v>501</v>
          </cell>
          <cell r="E65" t="str">
            <v xml:space="preserve">   </v>
          </cell>
          <cell r="F65">
            <v>80708</v>
          </cell>
          <cell r="G65">
            <v>80807</v>
          </cell>
          <cell r="H65">
            <v>0</v>
          </cell>
          <cell r="I65">
            <v>1200</v>
          </cell>
          <cell r="J65">
            <v>1204</v>
          </cell>
          <cell r="K65">
            <v>1204</v>
          </cell>
          <cell r="L65">
            <v>1025</v>
          </cell>
          <cell r="M65">
            <v>1025</v>
          </cell>
          <cell r="N65">
            <v>80440800</v>
          </cell>
          <cell r="O65">
            <v>87387524</v>
          </cell>
          <cell r="P65">
            <v>87387524</v>
          </cell>
          <cell r="Q65">
            <v>74395525</v>
          </cell>
          <cell r="R65">
            <v>261072971</v>
          </cell>
          <cell r="S65" t="str">
            <v xml:space="preserve"> </v>
          </cell>
          <cell r="T65" t="str">
            <v xml:space="preserve"> </v>
          </cell>
          <cell r="U65">
            <v>1204</v>
          </cell>
          <cell r="V65">
            <v>87387524</v>
          </cell>
          <cell r="W65">
            <v>1025</v>
          </cell>
          <cell r="X65">
            <v>74395525</v>
          </cell>
          <cell r="Y65">
            <v>84.97</v>
          </cell>
          <cell r="Z65">
            <v>84.8</v>
          </cell>
          <cell r="AA65">
            <v>74395525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-2</v>
          </cell>
          <cell r="AL65">
            <v>-290324</v>
          </cell>
          <cell r="AM65">
            <v>181</v>
          </cell>
          <cell r="AN65">
            <v>30556601</v>
          </cell>
          <cell r="AO65">
            <v>67034</v>
          </cell>
          <cell r="AP65">
            <v>72581</v>
          </cell>
          <cell r="AQ65">
            <v>278000</v>
          </cell>
          <cell r="AR65">
            <v>0</v>
          </cell>
          <cell r="AS65">
            <v>3.83</v>
          </cell>
          <cell r="AT65">
            <v>334712000</v>
          </cell>
          <cell r="AU65">
            <v>3.51</v>
          </cell>
          <cell r="AV65">
            <v>261072971</v>
          </cell>
          <cell r="AW65">
            <v>0</v>
          </cell>
          <cell r="AX65">
            <v>0</v>
          </cell>
          <cell r="AY65">
            <v>84.97</v>
          </cell>
          <cell r="AZ65">
            <v>0</v>
          </cell>
          <cell r="BA65">
            <v>1025</v>
          </cell>
          <cell r="BB65">
            <v>0</v>
          </cell>
          <cell r="BC65">
            <v>1025</v>
          </cell>
          <cell r="BD65">
            <v>0</v>
          </cell>
          <cell r="BE65">
            <v>0</v>
          </cell>
          <cell r="BF65">
            <v>97</v>
          </cell>
          <cell r="BG65">
            <v>1</v>
          </cell>
          <cell r="BH65">
            <v>1</v>
          </cell>
          <cell r="BI65">
            <v>104</v>
          </cell>
          <cell r="BJ65">
            <v>14</v>
          </cell>
          <cell r="BK65">
            <v>40</v>
          </cell>
          <cell r="BL65">
            <v>30</v>
          </cell>
          <cell r="BM65">
            <v>7</v>
          </cell>
          <cell r="BN65">
            <v>13</v>
          </cell>
          <cell r="BO65">
            <v>0</v>
          </cell>
          <cell r="BP65">
            <v>59</v>
          </cell>
          <cell r="BQ65">
            <v>1</v>
          </cell>
          <cell r="BR65">
            <v>20</v>
          </cell>
          <cell r="BS65">
            <v>8</v>
          </cell>
          <cell r="BT65">
            <v>23</v>
          </cell>
          <cell r="BU65">
            <v>7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17</v>
          </cell>
          <cell r="DG65">
            <v>0</v>
          </cell>
          <cell r="DH65">
            <v>2</v>
          </cell>
          <cell r="DI65">
            <v>4</v>
          </cell>
          <cell r="DJ65">
            <v>2</v>
          </cell>
          <cell r="DK65">
            <v>9</v>
          </cell>
          <cell r="DL65">
            <v>0</v>
          </cell>
          <cell r="DM65">
            <v>204</v>
          </cell>
          <cell r="DN65">
            <v>22</v>
          </cell>
          <cell r="DO65">
            <v>13</v>
          </cell>
          <cell r="DP65">
            <v>27</v>
          </cell>
          <cell r="DQ65">
            <v>137</v>
          </cell>
          <cell r="DR65">
            <v>5</v>
          </cell>
          <cell r="DS65">
            <v>0</v>
          </cell>
          <cell r="DT65">
            <v>268</v>
          </cell>
          <cell r="DU65">
            <v>47</v>
          </cell>
          <cell r="DV65">
            <v>54</v>
          </cell>
          <cell r="DW65">
            <v>44</v>
          </cell>
          <cell r="DX65">
            <v>83</v>
          </cell>
          <cell r="DY65">
            <v>40</v>
          </cell>
          <cell r="DZ65">
            <v>0</v>
          </cell>
          <cell r="EA65">
            <v>291</v>
          </cell>
          <cell r="EB65">
            <v>59</v>
          </cell>
          <cell r="EC65">
            <v>84</v>
          </cell>
          <cell r="ED65">
            <v>49</v>
          </cell>
          <cell r="EE65">
            <v>42</v>
          </cell>
          <cell r="EF65">
            <v>57</v>
          </cell>
          <cell r="EG65">
            <v>0</v>
          </cell>
          <cell r="EH65">
            <v>82</v>
          </cell>
          <cell r="EI65">
            <v>13</v>
          </cell>
          <cell r="EJ65">
            <v>22</v>
          </cell>
          <cell r="EK65">
            <v>21</v>
          </cell>
          <cell r="EL65">
            <v>21</v>
          </cell>
          <cell r="EM65">
            <v>5</v>
          </cell>
          <cell r="EN65">
            <v>0</v>
          </cell>
          <cell r="EO65" t="str">
            <v xml:space="preserve">BISHOP CREEK JACKET                                         </v>
          </cell>
        </row>
        <row r="66">
          <cell r="A66" t="str">
            <v>CN3YL3801564</v>
          </cell>
          <cell r="B66" t="str">
            <v>CN3</v>
          </cell>
          <cell r="C66" t="str">
            <v>YL3801</v>
          </cell>
          <cell r="D66">
            <v>564</v>
          </cell>
          <cell r="E66" t="str">
            <v xml:space="preserve">   </v>
          </cell>
          <cell r="F66">
            <v>80708</v>
          </cell>
          <cell r="G66">
            <v>80807</v>
          </cell>
          <cell r="H66">
            <v>0</v>
          </cell>
          <cell r="I66">
            <v>600</v>
          </cell>
          <cell r="J66">
            <v>602</v>
          </cell>
          <cell r="K66">
            <v>602</v>
          </cell>
          <cell r="L66">
            <v>585</v>
          </cell>
          <cell r="M66">
            <v>585</v>
          </cell>
          <cell r="N66">
            <v>40220400</v>
          </cell>
          <cell r="O66">
            <v>43693762</v>
          </cell>
          <cell r="P66">
            <v>43693762</v>
          </cell>
          <cell r="Q66">
            <v>42459885</v>
          </cell>
          <cell r="R66">
            <v>146027737</v>
          </cell>
          <cell r="S66" t="str">
            <v xml:space="preserve"> </v>
          </cell>
          <cell r="T66" t="str">
            <v xml:space="preserve"> </v>
          </cell>
          <cell r="U66">
            <v>602</v>
          </cell>
          <cell r="V66">
            <v>43693762</v>
          </cell>
          <cell r="W66">
            <v>585</v>
          </cell>
          <cell r="X66">
            <v>42459885</v>
          </cell>
          <cell r="Y66">
            <v>97.18</v>
          </cell>
          <cell r="Z66">
            <v>97.18</v>
          </cell>
          <cell r="AA66">
            <v>42459885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17</v>
          </cell>
          <cell r="AN66">
            <v>2685497</v>
          </cell>
          <cell r="AO66">
            <v>67034</v>
          </cell>
          <cell r="AP66">
            <v>72581</v>
          </cell>
          <cell r="AQ66">
            <v>278000</v>
          </cell>
          <cell r="AR66">
            <v>0</v>
          </cell>
          <cell r="AS66">
            <v>3.83</v>
          </cell>
          <cell r="AT66">
            <v>167356000</v>
          </cell>
          <cell r="AU66">
            <v>3.44</v>
          </cell>
          <cell r="AV66">
            <v>146027737</v>
          </cell>
          <cell r="AW66">
            <v>0</v>
          </cell>
          <cell r="AX66">
            <v>0</v>
          </cell>
          <cell r="AY66">
            <v>97.18</v>
          </cell>
          <cell r="AZ66">
            <v>0</v>
          </cell>
          <cell r="BA66">
            <v>585</v>
          </cell>
          <cell r="BB66">
            <v>0</v>
          </cell>
          <cell r="BC66">
            <v>585</v>
          </cell>
          <cell r="BD66">
            <v>0</v>
          </cell>
          <cell r="BE66">
            <v>0</v>
          </cell>
          <cell r="BF66">
            <v>17</v>
          </cell>
          <cell r="BG66">
            <v>0</v>
          </cell>
          <cell r="BH66">
            <v>1</v>
          </cell>
          <cell r="BI66">
            <v>7</v>
          </cell>
          <cell r="BJ66">
            <v>1</v>
          </cell>
          <cell r="BK66">
            <v>2</v>
          </cell>
          <cell r="BL66">
            <v>0</v>
          </cell>
          <cell r="BM66">
            <v>2</v>
          </cell>
          <cell r="BN66">
            <v>2</v>
          </cell>
          <cell r="BO66">
            <v>0</v>
          </cell>
          <cell r="BP66">
            <v>3</v>
          </cell>
          <cell r="BQ66">
            <v>1</v>
          </cell>
          <cell r="BR66">
            <v>2</v>
          </cell>
          <cell r="BS66">
            <v>1</v>
          </cell>
          <cell r="BT66">
            <v>1</v>
          </cell>
          <cell r="BU66">
            <v>-2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35</v>
          </cell>
          <cell r="DG66">
            <v>0</v>
          </cell>
          <cell r="DH66">
            <v>6</v>
          </cell>
          <cell r="DI66">
            <v>8</v>
          </cell>
          <cell r="DJ66">
            <v>8</v>
          </cell>
          <cell r="DK66">
            <v>13</v>
          </cell>
          <cell r="DL66">
            <v>0</v>
          </cell>
          <cell r="DM66">
            <v>176</v>
          </cell>
          <cell r="DN66">
            <v>28</v>
          </cell>
          <cell r="DO66">
            <v>11</v>
          </cell>
          <cell r="DP66">
            <v>26</v>
          </cell>
          <cell r="DQ66">
            <v>103</v>
          </cell>
          <cell r="DR66">
            <v>8</v>
          </cell>
          <cell r="DS66">
            <v>0</v>
          </cell>
          <cell r="DT66">
            <v>186</v>
          </cell>
          <cell r="DU66">
            <v>23</v>
          </cell>
          <cell r="DV66">
            <v>49</v>
          </cell>
          <cell r="DW66">
            <v>32</v>
          </cell>
          <cell r="DX66">
            <v>48</v>
          </cell>
          <cell r="DY66">
            <v>34</v>
          </cell>
          <cell r="DZ66">
            <v>0</v>
          </cell>
          <cell r="EA66">
            <v>140</v>
          </cell>
          <cell r="EB66">
            <v>23</v>
          </cell>
          <cell r="EC66">
            <v>50</v>
          </cell>
          <cell r="ED66">
            <v>21</v>
          </cell>
          <cell r="EE66">
            <v>16</v>
          </cell>
          <cell r="EF66">
            <v>30</v>
          </cell>
          <cell r="EG66">
            <v>0</v>
          </cell>
          <cell r="EH66">
            <v>38</v>
          </cell>
          <cell r="EI66">
            <v>25</v>
          </cell>
          <cell r="EJ66">
            <v>-1</v>
          </cell>
          <cell r="EK66">
            <v>5</v>
          </cell>
          <cell r="EL66">
            <v>7</v>
          </cell>
          <cell r="EM66">
            <v>2</v>
          </cell>
          <cell r="EN66">
            <v>0</v>
          </cell>
          <cell r="EO66" t="str">
            <v xml:space="preserve">BISHOP CREEK JACKET                                         </v>
          </cell>
        </row>
        <row r="67">
          <cell r="A67" t="str">
            <v>CN3YL3801666</v>
          </cell>
          <cell r="B67" t="str">
            <v>CN3</v>
          </cell>
          <cell r="C67" t="str">
            <v>YL3801</v>
          </cell>
          <cell r="D67">
            <v>666</v>
          </cell>
          <cell r="E67" t="str">
            <v xml:space="preserve">   </v>
          </cell>
          <cell r="F67">
            <v>80708</v>
          </cell>
          <cell r="G67">
            <v>80807</v>
          </cell>
          <cell r="H67">
            <v>0</v>
          </cell>
          <cell r="I67">
            <v>1200</v>
          </cell>
          <cell r="J67">
            <v>1210</v>
          </cell>
          <cell r="K67">
            <v>1179</v>
          </cell>
          <cell r="L67">
            <v>520</v>
          </cell>
          <cell r="M67">
            <v>520</v>
          </cell>
          <cell r="N67">
            <v>80440800</v>
          </cell>
          <cell r="O67">
            <v>87823010</v>
          </cell>
          <cell r="P67">
            <v>85572999</v>
          </cell>
          <cell r="Q67">
            <v>37742120</v>
          </cell>
          <cell r="R67">
            <v>131779785</v>
          </cell>
          <cell r="S67" t="str">
            <v xml:space="preserve"> </v>
          </cell>
          <cell r="T67" t="str">
            <v xml:space="preserve"> </v>
          </cell>
          <cell r="U67">
            <v>1210</v>
          </cell>
          <cell r="V67">
            <v>87823010</v>
          </cell>
          <cell r="W67">
            <v>520</v>
          </cell>
          <cell r="X67">
            <v>37742120</v>
          </cell>
          <cell r="Y67">
            <v>43.39</v>
          </cell>
          <cell r="Z67">
            <v>43.72</v>
          </cell>
          <cell r="AA67">
            <v>37669539</v>
          </cell>
          <cell r="AB67">
            <v>72581</v>
          </cell>
          <cell r="AC67">
            <v>31</v>
          </cell>
          <cell r="AD67">
            <v>5951642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5</v>
          </cell>
          <cell r="AL67">
            <v>653229</v>
          </cell>
          <cell r="AM67">
            <v>654</v>
          </cell>
          <cell r="AN67">
            <v>96677892</v>
          </cell>
          <cell r="AO67">
            <v>67034</v>
          </cell>
          <cell r="AP67">
            <v>72581</v>
          </cell>
          <cell r="AQ67">
            <v>278000</v>
          </cell>
          <cell r="AR67">
            <v>0</v>
          </cell>
          <cell r="AS67">
            <v>3.83</v>
          </cell>
          <cell r="AT67">
            <v>336380000</v>
          </cell>
          <cell r="AU67">
            <v>3.5</v>
          </cell>
          <cell r="AV67">
            <v>131772926</v>
          </cell>
          <cell r="AW67">
            <v>0.09</v>
          </cell>
          <cell r="AX67">
            <v>6859</v>
          </cell>
          <cell r="AY67">
            <v>43.39</v>
          </cell>
          <cell r="AZ67">
            <v>0</v>
          </cell>
          <cell r="BA67">
            <v>519</v>
          </cell>
          <cell r="BB67">
            <v>1</v>
          </cell>
          <cell r="BC67">
            <v>520</v>
          </cell>
          <cell r="BD67">
            <v>0</v>
          </cell>
          <cell r="BE67">
            <v>0</v>
          </cell>
          <cell r="BF67">
            <v>59</v>
          </cell>
          <cell r="BG67">
            <v>0</v>
          </cell>
          <cell r="BH67">
            <v>1</v>
          </cell>
          <cell r="BI67">
            <v>46</v>
          </cell>
          <cell r="BJ67">
            <v>6</v>
          </cell>
          <cell r="BK67">
            <v>10</v>
          </cell>
          <cell r="BL67">
            <v>13</v>
          </cell>
          <cell r="BM67">
            <v>12</v>
          </cell>
          <cell r="BN67">
            <v>5</v>
          </cell>
          <cell r="BO67">
            <v>0</v>
          </cell>
          <cell r="BP67">
            <v>43</v>
          </cell>
          <cell r="BQ67">
            <v>2</v>
          </cell>
          <cell r="BR67">
            <v>8</v>
          </cell>
          <cell r="BS67">
            <v>8</v>
          </cell>
          <cell r="BT67">
            <v>14</v>
          </cell>
          <cell r="BU67">
            <v>11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26</v>
          </cell>
          <cell r="DG67">
            <v>0</v>
          </cell>
          <cell r="DH67">
            <v>3</v>
          </cell>
          <cell r="DI67">
            <v>6</v>
          </cell>
          <cell r="DJ67">
            <v>8</v>
          </cell>
          <cell r="DK67">
            <v>9</v>
          </cell>
          <cell r="DL67">
            <v>0</v>
          </cell>
          <cell r="DM67">
            <v>113</v>
          </cell>
          <cell r="DN67">
            <v>10</v>
          </cell>
          <cell r="DO67">
            <v>16</v>
          </cell>
          <cell r="DP67">
            <v>11</v>
          </cell>
          <cell r="DQ67">
            <v>69</v>
          </cell>
          <cell r="DR67">
            <v>7</v>
          </cell>
          <cell r="DS67">
            <v>0</v>
          </cell>
          <cell r="DT67">
            <v>127</v>
          </cell>
          <cell r="DU67">
            <v>34</v>
          </cell>
          <cell r="DV67">
            <v>25</v>
          </cell>
          <cell r="DW67">
            <v>25</v>
          </cell>
          <cell r="DX67">
            <v>30</v>
          </cell>
          <cell r="DY67">
            <v>13</v>
          </cell>
          <cell r="DZ67">
            <v>0</v>
          </cell>
          <cell r="EA67">
            <v>123</v>
          </cell>
          <cell r="EB67">
            <v>14</v>
          </cell>
          <cell r="EC67">
            <v>52</v>
          </cell>
          <cell r="ED67">
            <v>34</v>
          </cell>
          <cell r="EE67">
            <v>4</v>
          </cell>
          <cell r="EF67">
            <v>19</v>
          </cell>
          <cell r="EG67">
            <v>0</v>
          </cell>
          <cell r="EH67">
            <v>42</v>
          </cell>
          <cell r="EI67">
            <v>0</v>
          </cell>
          <cell r="EJ67">
            <v>6</v>
          </cell>
          <cell r="EK67">
            <v>17</v>
          </cell>
          <cell r="EL67">
            <v>17</v>
          </cell>
          <cell r="EM67">
            <v>2</v>
          </cell>
          <cell r="EN67">
            <v>0</v>
          </cell>
          <cell r="EO67" t="str">
            <v xml:space="preserve">BISHOP CREEK JACKET                                         </v>
          </cell>
        </row>
        <row r="68">
          <cell r="A68" t="str">
            <v>CN3YL3813139</v>
          </cell>
          <cell r="B68" t="str">
            <v>CN3</v>
          </cell>
          <cell r="C68" t="str">
            <v>YL3813</v>
          </cell>
          <cell r="D68">
            <v>139</v>
          </cell>
          <cell r="E68" t="str">
            <v xml:space="preserve">   </v>
          </cell>
          <cell r="F68">
            <v>80718</v>
          </cell>
          <cell r="G68">
            <v>80718</v>
          </cell>
          <cell r="H68">
            <v>0</v>
          </cell>
          <cell r="I68">
            <v>400</v>
          </cell>
          <cell r="J68">
            <v>152</v>
          </cell>
          <cell r="K68">
            <v>152</v>
          </cell>
          <cell r="L68">
            <v>152</v>
          </cell>
          <cell r="M68">
            <v>152</v>
          </cell>
          <cell r="N68">
            <v>11120000</v>
          </cell>
          <cell r="O68">
            <v>4316734</v>
          </cell>
          <cell r="P68">
            <v>4315513</v>
          </cell>
          <cell r="Q68">
            <v>4194634</v>
          </cell>
          <cell r="R68">
            <v>16303584</v>
          </cell>
          <cell r="S68" t="str">
            <v xml:space="preserve"> </v>
          </cell>
          <cell r="T68" t="str">
            <v>C</v>
          </cell>
          <cell r="U68">
            <v>152</v>
          </cell>
          <cell r="V68">
            <v>4316734</v>
          </cell>
          <cell r="W68">
            <v>152</v>
          </cell>
          <cell r="X68">
            <v>4194634</v>
          </cell>
          <cell r="Y68">
            <v>100</v>
          </cell>
          <cell r="Z68">
            <v>97.17</v>
          </cell>
          <cell r="AA68">
            <v>4194634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27800</v>
          </cell>
          <cell r="AP68">
            <v>27366</v>
          </cell>
          <cell r="AQ68">
            <v>118000</v>
          </cell>
          <cell r="AR68">
            <v>0</v>
          </cell>
          <cell r="AS68">
            <v>4.1500000000000004</v>
          </cell>
          <cell r="AT68">
            <v>17936000</v>
          </cell>
          <cell r="AU68">
            <v>3.89</v>
          </cell>
          <cell r="AV68">
            <v>16303584</v>
          </cell>
          <cell r="AW68">
            <v>0</v>
          </cell>
          <cell r="AX68">
            <v>0</v>
          </cell>
          <cell r="AY68">
            <v>100</v>
          </cell>
          <cell r="AZ68">
            <v>0</v>
          </cell>
          <cell r="BA68">
            <v>152</v>
          </cell>
          <cell r="BB68">
            <v>0</v>
          </cell>
          <cell r="BC68">
            <v>152</v>
          </cell>
          <cell r="BD68">
            <v>0</v>
          </cell>
          <cell r="BE68">
            <v>0</v>
          </cell>
          <cell r="BF68">
            <v>0</v>
          </cell>
          <cell r="BG68">
            <v>1</v>
          </cell>
          <cell r="BH68">
            <v>1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33</v>
          </cell>
          <cell r="CZ68">
            <v>0</v>
          </cell>
          <cell r="DA68">
            <v>0</v>
          </cell>
          <cell r="DB68">
            <v>-1</v>
          </cell>
          <cell r="DC68">
            <v>22</v>
          </cell>
          <cell r="DD68">
            <v>12</v>
          </cell>
          <cell r="DE68">
            <v>0</v>
          </cell>
          <cell r="DF68">
            <v>53</v>
          </cell>
          <cell r="DG68">
            <v>9</v>
          </cell>
          <cell r="DH68">
            <v>17</v>
          </cell>
          <cell r="DI68">
            <v>11</v>
          </cell>
          <cell r="DJ68">
            <v>12</v>
          </cell>
          <cell r="DK68">
            <v>4</v>
          </cell>
          <cell r="DL68">
            <v>0</v>
          </cell>
          <cell r="DM68">
            <v>41</v>
          </cell>
          <cell r="DN68">
            <v>7</v>
          </cell>
          <cell r="DO68">
            <v>6</v>
          </cell>
          <cell r="DP68">
            <v>11</v>
          </cell>
          <cell r="DQ68">
            <v>17</v>
          </cell>
          <cell r="DR68">
            <v>0</v>
          </cell>
          <cell r="DS68">
            <v>0</v>
          </cell>
          <cell r="DT68">
            <v>10</v>
          </cell>
          <cell r="DU68">
            <v>0</v>
          </cell>
          <cell r="DV68">
            <v>6</v>
          </cell>
          <cell r="DW68">
            <v>4</v>
          </cell>
          <cell r="DX68">
            <v>1</v>
          </cell>
          <cell r="DY68">
            <v>-1</v>
          </cell>
          <cell r="DZ68">
            <v>0</v>
          </cell>
          <cell r="EA68">
            <v>15</v>
          </cell>
          <cell r="EB68">
            <v>0</v>
          </cell>
          <cell r="EC68">
            <v>1</v>
          </cell>
          <cell r="ED68">
            <v>0</v>
          </cell>
          <cell r="EE68">
            <v>-1</v>
          </cell>
          <cell r="EF68">
            <v>15</v>
          </cell>
          <cell r="EG68">
            <v>0</v>
          </cell>
          <cell r="EH68">
            <v>0</v>
          </cell>
          <cell r="EI68">
            <v>-3</v>
          </cell>
          <cell r="EJ68">
            <v>4</v>
          </cell>
          <cell r="EK68">
            <v>-1</v>
          </cell>
          <cell r="EL68">
            <v>0</v>
          </cell>
          <cell r="EM68">
            <v>0</v>
          </cell>
          <cell r="EN68">
            <v>0</v>
          </cell>
          <cell r="EO68" t="str">
            <v xml:space="preserve">HIDDEN CANYON JACKET                                        </v>
          </cell>
        </row>
        <row r="69">
          <cell r="A69" t="str">
            <v>CN3YL3813425</v>
          </cell>
          <cell r="B69" t="str">
            <v>CN3</v>
          </cell>
          <cell r="C69" t="str">
            <v>YL3813</v>
          </cell>
          <cell r="D69">
            <v>425</v>
          </cell>
          <cell r="E69" t="str">
            <v xml:space="preserve">   </v>
          </cell>
          <cell r="F69">
            <v>80711</v>
          </cell>
          <cell r="G69">
            <v>80718</v>
          </cell>
          <cell r="H69">
            <v>0</v>
          </cell>
          <cell r="I69">
            <v>400</v>
          </cell>
          <cell r="J69">
            <v>164</v>
          </cell>
          <cell r="K69">
            <v>164</v>
          </cell>
          <cell r="L69">
            <v>164</v>
          </cell>
          <cell r="M69">
            <v>164</v>
          </cell>
          <cell r="N69">
            <v>11120000</v>
          </cell>
          <cell r="O69">
            <v>4612159</v>
          </cell>
          <cell r="P69">
            <v>4609717</v>
          </cell>
          <cell r="Q69">
            <v>4446567</v>
          </cell>
          <cell r="R69">
            <v>15692396</v>
          </cell>
          <cell r="S69" t="str">
            <v xml:space="preserve"> </v>
          </cell>
          <cell r="T69" t="str">
            <v>C</v>
          </cell>
          <cell r="U69">
            <v>164</v>
          </cell>
          <cell r="V69">
            <v>4612159</v>
          </cell>
          <cell r="W69">
            <v>164</v>
          </cell>
          <cell r="X69">
            <v>4446567</v>
          </cell>
          <cell r="Y69">
            <v>100</v>
          </cell>
          <cell r="Z69">
            <v>96.41</v>
          </cell>
          <cell r="AA69">
            <v>4446567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27800</v>
          </cell>
          <cell r="AP69">
            <v>27366</v>
          </cell>
          <cell r="AQ69">
            <v>118000</v>
          </cell>
          <cell r="AR69">
            <v>0</v>
          </cell>
          <cell r="AS69">
            <v>4.2</v>
          </cell>
          <cell r="AT69">
            <v>19352000</v>
          </cell>
          <cell r="AU69">
            <v>3.53</v>
          </cell>
          <cell r="AV69">
            <v>15692396</v>
          </cell>
          <cell r="AW69">
            <v>0</v>
          </cell>
          <cell r="AX69">
            <v>0</v>
          </cell>
          <cell r="AY69">
            <v>100</v>
          </cell>
          <cell r="AZ69">
            <v>0</v>
          </cell>
          <cell r="BA69">
            <v>164</v>
          </cell>
          <cell r="BB69">
            <v>0</v>
          </cell>
          <cell r="BC69">
            <v>164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1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-1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-1</v>
          </cell>
          <cell r="CX69">
            <v>0</v>
          </cell>
          <cell r="CY69">
            <v>-169</v>
          </cell>
          <cell r="CZ69">
            <v>0</v>
          </cell>
          <cell r="DA69">
            <v>-1</v>
          </cell>
          <cell r="DB69">
            <v>-181</v>
          </cell>
          <cell r="DC69">
            <v>11</v>
          </cell>
          <cell r="DD69">
            <v>2</v>
          </cell>
          <cell r="DE69">
            <v>0</v>
          </cell>
          <cell r="DF69">
            <v>68</v>
          </cell>
          <cell r="DG69">
            <v>4</v>
          </cell>
          <cell r="DH69">
            <v>10</v>
          </cell>
          <cell r="DI69">
            <v>18</v>
          </cell>
          <cell r="DJ69">
            <v>20</v>
          </cell>
          <cell r="DK69">
            <v>16</v>
          </cell>
          <cell r="DL69">
            <v>0</v>
          </cell>
          <cell r="DM69">
            <v>134</v>
          </cell>
          <cell r="DN69">
            <v>22</v>
          </cell>
          <cell r="DO69">
            <v>10</v>
          </cell>
          <cell r="DP69">
            <v>24</v>
          </cell>
          <cell r="DQ69">
            <v>75</v>
          </cell>
          <cell r="DR69">
            <v>3</v>
          </cell>
          <cell r="DS69">
            <v>0</v>
          </cell>
          <cell r="DT69">
            <v>109</v>
          </cell>
          <cell r="DU69">
            <v>33</v>
          </cell>
          <cell r="DV69">
            <v>26</v>
          </cell>
          <cell r="DW69">
            <v>12</v>
          </cell>
          <cell r="DX69">
            <v>35</v>
          </cell>
          <cell r="DY69">
            <v>3</v>
          </cell>
          <cell r="DZ69">
            <v>0</v>
          </cell>
          <cell r="EA69">
            <v>24</v>
          </cell>
          <cell r="EB69">
            <v>0</v>
          </cell>
          <cell r="EC69">
            <v>-10</v>
          </cell>
          <cell r="ED69">
            <v>-3</v>
          </cell>
          <cell r="EE69">
            <v>0</v>
          </cell>
          <cell r="EF69">
            <v>37</v>
          </cell>
          <cell r="EG69">
            <v>0</v>
          </cell>
          <cell r="EH69">
            <v>-1</v>
          </cell>
          <cell r="EI69">
            <v>-1</v>
          </cell>
          <cell r="EJ69">
            <v>1</v>
          </cell>
          <cell r="EK69">
            <v>-1</v>
          </cell>
          <cell r="EL69">
            <v>0</v>
          </cell>
          <cell r="EM69">
            <v>0</v>
          </cell>
          <cell r="EN69">
            <v>0</v>
          </cell>
          <cell r="EO69" t="str">
            <v xml:space="preserve">HIDDEN CANYON JACKET                                        </v>
          </cell>
        </row>
        <row r="70">
          <cell r="A70" t="str">
            <v>CN3YL3813465</v>
          </cell>
          <cell r="B70" t="str">
            <v>CN3</v>
          </cell>
          <cell r="C70" t="str">
            <v>YL3813</v>
          </cell>
          <cell r="D70">
            <v>465</v>
          </cell>
          <cell r="E70" t="str">
            <v xml:space="preserve">   </v>
          </cell>
          <cell r="F70">
            <v>80711</v>
          </cell>
          <cell r="G70">
            <v>80718</v>
          </cell>
          <cell r="H70">
            <v>0</v>
          </cell>
          <cell r="I70">
            <v>400</v>
          </cell>
          <cell r="J70">
            <v>75</v>
          </cell>
          <cell r="K70">
            <v>75</v>
          </cell>
          <cell r="L70">
            <v>75</v>
          </cell>
          <cell r="M70">
            <v>75</v>
          </cell>
          <cell r="N70">
            <v>11120000</v>
          </cell>
          <cell r="O70">
            <v>2155014</v>
          </cell>
          <cell r="P70">
            <v>2151758</v>
          </cell>
          <cell r="Q70">
            <v>2053671</v>
          </cell>
          <cell r="R70">
            <v>7493830</v>
          </cell>
          <cell r="S70" t="str">
            <v xml:space="preserve"> </v>
          </cell>
          <cell r="T70" t="str">
            <v>C</v>
          </cell>
          <cell r="U70">
            <v>75</v>
          </cell>
          <cell r="V70">
            <v>2155014</v>
          </cell>
          <cell r="W70">
            <v>75</v>
          </cell>
          <cell r="X70">
            <v>2053671</v>
          </cell>
          <cell r="Y70">
            <v>100</v>
          </cell>
          <cell r="Z70">
            <v>95.3</v>
          </cell>
          <cell r="AA70">
            <v>2053671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27800</v>
          </cell>
          <cell r="AP70">
            <v>27366</v>
          </cell>
          <cell r="AQ70">
            <v>118000</v>
          </cell>
          <cell r="AR70">
            <v>0</v>
          </cell>
          <cell r="AS70">
            <v>4.1100000000000003</v>
          </cell>
          <cell r="AT70">
            <v>8850000</v>
          </cell>
          <cell r="AU70">
            <v>3.65</v>
          </cell>
          <cell r="AV70">
            <v>7493830</v>
          </cell>
          <cell r="AW70">
            <v>0</v>
          </cell>
          <cell r="AX70">
            <v>0</v>
          </cell>
          <cell r="AY70">
            <v>100</v>
          </cell>
          <cell r="AZ70">
            <v>0</v>
          </cell>
          <cell r="BA70">
            <v>75</v>
          </cell>
          <cell r="BB70">
            <v>0</v>
          </cell>
          <cell r="BC70">
            <v>75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1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-13</v>
          </cell>
          <cell r="CZ70">
            <v>0</v>
          </cell>
          <cell r="DA70">
            <v>0</v>
          </cell>
          <cell r="DB70">
            <v>-20</v>
          </cell>
          <cell r="DC70">
            <v>2</v>
          </cell>
          <cell r="DD70">
            <v>5</v>
          </cell>
          <cell r="DE70">
            <v>0</v>
          </cell>
          <cell r="DF70">
            <v>16</v>
          </cell>
          <cell r="DG70">
            <v>5</v>
          </cell>
          <cell r="DH70">
            <v>3</v>
          </cell>
          <cell r="DI70">
            <v>8</v>
          </cell>
          <cell r="DJ70">
            <v>4</v>
          </cell>
          <cell r="DK70">
            <v>-4</v>
          </cell>
          <cell r="DL70">
            <v>0</v>
          </cell>
          <cell r="DM70">
            <v>33</v>
          </cell>
          <cell r="DN70">
            <v>11</v>
          </cell>
          <cell r="DO70">
            <v>0</v>
          </cell>
          <cell r="DP70">
            <v>6</v>
          </cell>
          <cell r="DQ70">
            <v>16</v>
          </cell>
          <cell r="DR70">
            <v>0</v>
          </cell>
          <cell r="DS70">
            <v>0</v>
          </cell>
          <cell r="DT70">
            <v>10</v>
          </cell>
          <cell r="DU70">
            <v>-1</v>
          </cell>
          <cell r="DV70">
            <v>8</v>
          </cell>
          <cell r="DW70">
            <v>0</v>
          </cell>
          <cell r="DX70">
            <v>0</v>
          </cell>
          <cell r="DY70">
            <v>3</v>
          </cell>
          <cell r="DZ70">
            <v>0</v>
          </cell>
          <cell r="EA70">
            <v>29</v>
          </cell>
          <cell r="EB70">
            <v>0</v>
          </cell>
          <cell r="EC70">
            <v>-1</v>
          </cell>
          <cell r="ED70">
            <v>-1</v>
          </cell>
          <cell r="EE70">
            <v>0</v>
          </cell>
          <cell r="EF70">
            <v>31</v>
          </cell>
          <cell r="EG70">
            <v>0</v>
          </cell>
          <cell r="EH70">
            <v>0</v>
          </cell>
          <cell r="EI70">
            <v>-6</v>
          </cell>
          <cell r="EJ70">
            <v>5</v>
          </cell>
          <cell r="EK70">
            <v>1</v>
          </cell>
          <cell r="EL70">
            <v>0</v>
          </cell>
          <cell r="EM70">
            <v>0</v>
          </cell>
          <cell r="EN70">
            <v>0</v>
          </cell>
          <cell r="EO70" t="str">
            <v xml:space="preserve">HIDDEN CANYON JACKET                                        </v>
          </cell>
        </row>
        <row r="71">
          <cell r="A71" t="str">
            <v>CN3YL3813696</v>
          </cell>
          <cell r="B71" t="str">
            <v>CN3</v>
          </cell>
          <cell r="C71" t="str">
            <v>YL3813</v>
          </cell>
          <cell r="D71">
            <v>696</v>
          </cell>
          <cell r="E71" t="str">
            <v xml:space="preserve">   </v>
          </cell>
          <cell r="F71">
            <v>80718</v>
          </cell>
          <cell r="G71">
            <v>80718</v>
          </cell>
          <cell r="H71">
            <v>0</v>
          </cell>
          <cell r="I71">
            <v>500</v>
          </cell>
          <cell r="J71">
            <v>226</v>
          </cell>
          <cell r="K71">
            <v>226</v>
          </cell>
          <cell r="L71">
            <v>226</v>
          </cell>
          <cell r="M71">
            <v>226</v>
          </cell>
          <cell r="N71">
            <v>13900000</v>
          </cell>
          <cell r="O71">
            <v>6381297</v>
          </cell>
          <cell r="P71">
            <v>6380076</v>
          </cell>
          <cell r="Q71">
            <v>6215241</v>
          </cell>
          <cell r="R71">
            <v>24078892</v>
          </cell>
          <cell r="S71" t="str">
            <v xml:space="preserve"> </v>
          </cell>
          <cell r="T71" t="str">
            <v>C</v>
          </cell>
          <cell r="U71">
            <v>226</v>
          </cell>
          <cell r="V71">
            <v>6381297</v>
          </cell>
          <cell r="W71">
            <v>226</v>
          </cell>
          <cell r="X71">
            <v>6215241</v>
          </cell>
          <cell r="Y71">
            <v>100</v>
          </cell>
          <cell r="Z71">
            <v>97.4</v>
          </cell>
          <cell r="AA71">
            <v>6215241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27800</v>
          </cell>
          <cell r="AP71">
            <v>27366</v>
          </cell>
          <cell r="AQ71">
            <v>118000</v>
          </cell>
          <cell r="AR71">
            <v>0</v>
          </cell>
          <cell r="AS71">
            <v>4.18</v>
          </cell>
          <cell r="AT71">
            <v>26668000</v>
          </cell>
          <cell r="AU71">
            <v>3.87</v>
          </cell>
          <cell r="AV71">
            <v>24078892</v>
          </cell>
          <cell r="AW71">
            <v>0</v>
          </cell>
          <cell r="AX71">
            <v>0</v>
          </cell>
          <cell r="AY71">
            <v>100</v>
          </cell>
          <cell r="AZ71">
            <v>0</v>
          </cell>
          <cell r="BA71">
            <v>226</v>
          </cell>
          <cell r="BB71">
            <v>0</v>
          </cell>
          <cell r="BC71">
            <v>226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24</v>
          </cell>
          <cell r="CZ71">
            <v>0</v>
          </cell>
          <cell r="DA71">
            <v>0</v>
          </cell>
          <cell r="DB71">
            <v>2</v>
          </cell>
          <cell r="DC71">
            <v>16</v>
          </cell>
          <cell r="DD71">
            <v>6</v>
          </cell>
          <cell r="DE71">
            <v>0</v>
          </cell>
          <cell r="DF71">
            <v>51</v>
          </cell>
          <cell r="DG71">
            <v>0</v>
          </cell>
          <cell r="DH71">
            <v>10</v>
          </cell>
          <cell r="DI71">
            <v>15</v>
          </cell>
          <cell r="DJ71">
            <v>11</v>
          </cell>
          <cell r="DK71">
            <v>15</v>
          </cell>
          <cell r="DL71">
            <v>0</v>
          </cell>
          <cell r="DM71">
            <v>88</v>
          </cell>
          <cell r="DN71">
            <v>12</v>
          </cell>
          <cell r="DO71">
            <v>12</v>
          </cell>
          <cell r="DP71">
            <v>11</v>
          </cell>
          <cell r="DQ71">
            <v>47</v>
          </cell>
          <cell r="DR71">
            <v>6</v>
          </cell>
          <cell r="DS71">
            <v>0</v>
          </cell>
          <cell r="DT71">
            <v>39</v>
          </cell>
          <cell r="DU71">
            <v>5</v>
          </cell>
          <cell r="DV71">
            <v>14</v>
          </cell>
          <cell r="DW71">
            <v>25</v>
          </cell>
          <cell r="DX71">
            <v>-7</v>
          </cell>
          <cell r="DY71">
            <v>2</v>
          </cell>
          <cell r="DZ71">
            <v>0</v>
          </cell>
          <cell r="EA71">
            <v>24</v>
          </cell>
          <cell r="EB71">
            <v>0</v>
          </cell>
          <cell r="EC71">
            <v>-2</v>
          </cell>
          <cell r="ED71">
            <v>0</v>
          </cell>
          <cell r="EE71">
            <v>0</v>
          </cell>
          <cell r="EF71">
            <v>26</v>
          </cell>
          <cell r="EG71">
            <v>0</v>
          </cell>
          <cell r="EH71">
            <v>0</v>
          </cell>
          <cell r="EI71">
            <v>-2</v>
          </cell>
          <cell r="EJ71">
            <v>2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 t="str">
            <v xml:space="preserve">HIDDEN CANYON JACKET                                        </v>
          </cell>
        </row>
        <row r="72">
          <cell r="A72" t="str">
            <v>CN3YL3824589</v>
          </cell>
          <cell r="B72" t="str">
            <v>CN3</v>
          </cell>
          <cell r="C72" t="str">
            <v>YL3824</v>
          </cell>
          <cell r="D72">
            <v>589</v>
          </cell>
          <cell r="E72" t="str">
            <v xml:space="preserve">   </v>
          </cell>
          <cell r="F72">
            <v>80708</v>
          </cell>
          <cell r="G72">
            <v>80708</v>
          </cell>
          <cell r="H72">
            <v>0</v>
          </cell>
          <cell r="I72">
            <v>400</v>
          </cell>
          <cell r="J72">
            <v>64</v>
          </cell>
          <cell r="K72">
            <v>64</v>
          </cell>
          <cell r="L72">
            <v>64</v>
          </cell>
          <cell r="M72">
            <v>64</v>
          </cell>
          <cell r="N72">
            <v>14660000</v>
          </cell>
          <cell r="O72">
            <v>2351168</v>
          </cell>
          <cell r="P72">
            <v>2351168</v>
          </cell>
          <cell r="Q72">
            <v>2351168</v>
          </cell>
          <cell r="R72">
            <v>9657000</v>
          </cell>
          <cell r="S72" t="str">
            <v xml:space="preserve"> </v>
          </cell>
          <cell r="T72" t="str">
            <v>C</v>
          </cell>
          <cell r="U72">
            <v>64</v>
          </cell>
          <cell r="V72">
            <v>2351168</v>
          </cell>
          <cell r="W72">
            <v>64</v>
          </cell>
          <cell r="X72">
            <v>2351168</v>
          </cell>
          <cell r="Y72">
            <v>100</v>
          </cell>
          <cell r="Z72">
            <v>100</v>
          </cell>
          <cell r="AA72">
            <v>2351168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36650</v>
          </cell>
          <cell r="AP72">
            <v>36737</v>
          </cell>
          <cell r="AQ72">
            <v>158000</v>
          </cell>
          <cell r="AR72">
            <v>0</v>
          </cell>
          <cell r="AS72">
            <v>4.3</v>
          </cell>
          <cell r="AT72">
            <v>10112000</v>
          </cell>
          <cell r="AU72">
            <v>4.1100000000000003</v>
          </cell>
          <cell r="AV72">
            <v>9657000</v>
          </cell>
          <cell r="AW72">
            <v>0</v>
          </cell>
          <cell r="AX72">
            <v>0</v>
          </cell>
          <cell r="AY72">
            <v>100</v>
          </cell>
          <cell r="AZ72">
            <v>0</v>
          </cell>
          <cell r="BA72">
            <v>64</v>
          </cell>
          <cell r="BB72">
            <v>0</v>
          </cell>
          <cell r="BC72">
            <v>64</v>
          </cell>
          <cell r="BD72">
            <v>0</v>
          </cell>
          <cell r="BE72">
            <v>0</v>
          </cell>
          <cell r="BF72">
            <v>0</v>
          </cell>
          <cell r="BG72">
            <v>1</v>
          </cell>
          <cell r="BH72">
            <v>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16</v>
          </cell>
          <cell r="CZ72">
            <v>0</v>
          </cell>
          <cell r="DA72">
            <v>7</v>
          </cell>
          <cell r="DB72">
            <v>4</v>
          </cell>
          <cell r="DC72">
            <v>1</v>
          </cell>
          <cell r="DD72">
            <v>4</v>
          </cell>
          <cell r="DE72">
            <v>0</v>
          </cell>
          <cell r="DF72">
            <v>17</v>
          </cell>
          <cell r="DG72">
            <v>0</v>
          </cell>
          <cell r="DH72">
            <v>4</v>
          </cell>
          <cell r="DI72">
            <v>2</v>
          </cell>
          <cell r="DJ72">
            <v>5</v>
          </cell>
          <cell r="DK72">
            <v>6</v>
          </cell>
          <cell r="DL72">
            <v>0</v>
          </cell>
          <cell r="DM72">
            <v>9</v>
          </cell>
          <cell r="DN72">
            <v>2</v>
          </cell>
          <cell r="DO72">
            <v>0</v>
          </cell>
          <cell r="DP72">
            <v>1</v>
          </cell>
          <cell r="DQ72">
            <v>4</v>
          </cell>
          <cell r="DR72">
            <v>2</v>
          </cell>
          <cell r="DS72">
            <v>0</v>
          </cell>
          <cell r="DT72">
            <v>2</v>
          </cell>
          <cell r="DU72">
            <v>3</v>
          </cell>
          <cell r="DV72">
            <v>-1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20</v>
          </cell>
          <cell r="EB72">
            <v>0</v>
          </cell>
          <cell r="EC72">
            <v>4</v>
          </cell>
          <cell r="ED72">
            <v>0</v>
          </cell>
          <cell r="EE72">
            <v>0</v>
          </cell>
          <cell r="EF72">
            <v>16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 t="str">
            <v xml:space="preserve"> JACKET                                                     </v>
          </cell>
        </row>
        <row r="73">
          <cell r="A73" t="str">
            <v>CN3YL3825415</v>
          </cell>
          <cell r="B73" t="str">
            <v>CN3</v>
          </cell>
          <cell r="C73" t="str">
            <v>YL3825</v>
          </cell>
          <cell r="D73">
            <v>415</v>
          </cell>
          <cell r="E73" t="str">
            <v xml:space="preserve">   </v>
          </cell>
          <cell r="F73">
            <v>80903</v>
          </cell>
          <cell r="G73">
            <v>80905</v>
          </cell>
          <cell r="H73">
            <v>0</v>
          </cell>
          <cell r="I73">
            <v>700</v>
          </cell>
          <cell r="J73">
            <v>117</v>
          </cell>
          <cell r="K73">
            <v>117</v>
          </cell>
          <cell r="L73">
            <v>117</v>
          </cell>
          <cell r="M73">
            <v>117</v>
          </cell>
          <cell r="N73">
            <v>21446600</v>
          </cell>
          <cell r="O73">
            <v>3569553</v>
          </cell>
          <cell r="P73">
            <v>3569553</v>
          </cell>
          <cell r="Q73">
            <v>3569553</v>
          </cell>
          <cell r="R73">
            <v>15060832</v>
          </cell>
          <cell r="S73" t="str">
            <v xml:space="preserve"> </v>
          </cell>
          <cell r="T73" t="str">
            <v>C</v>
          </cell>
          <cell r="U73">
            <v>117</v>
          </cell>
          <cell r="V73">
            <v>3569553</v>
          </cell>
          <cell r="W73">
            <v>117</v>
          </cell>
          <cell r="X73">
            <v>3569553</v>
          </cell>
          <cell r="Y73">
            <v>100</v>
          </cell>
          <cell r="Z73">
            <v>100</v>
          </cell>
          <cell r="AA73">
            <v>3569553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30638</v>
          </cell>
          <cell r="AP73">
            <v>30509</v>
          </cell>
          <cell r="AQ73">
            <v>145000</v>
          </cell>
          <cell r="AR73">
            <v>0</v>
          </cell>
          <cell r="AS73">
            <v>4.75</v>
          </cell>
          <cell r="AT73">
            <v>16965000</v>
          </cell>
          <cell r="AU73">
            <v>4.22</v>
          </cell>
          <cell r="AV73">
            <v>15060832</v>
          </cell>
          <cell r="AW73">
            <v>0</v>
          </cell>
          <cell r="AX73">
            <v>0</v>
          </cell>
          <cell r="AY73">
            <v>100</v>
          </cell>
          <cell r="AZ73">
            <v>0</v>
          </cell>
          <cell r="BA73">
            <v>117</v>
          </cell>
          <cell r="BB73">
            <v>0</v>
          </cell>
          <cell r="BC73">
            <v>117</v>
          </cell>
          <cell r="BD73">
            <v>0</v>
          </cell>
          <cell r="BE73">
            <v>0</v>
          </cell>
          <cell r="BF73">
            <v>0</v>
          </cell>
          <cell r="BG73">
            <v>1</v>
          </cell>
          <cell r="BH73">
            <v>1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56</v>
          </cell>
          <cell r="DN73">
            <v>7</v>
          </cell>
          <cell r="DO73">
            <v>8</v>
          </cell>
          <cell r="DP73">
            <v>13</v>
          </cell>
          <cell r="DQ73">
            <v>22</v>
          </cell>
          <cell r="DR73">
            <v>6</v>
          </cell>
          <cell r="DS73">
            <v>0</v>
          </cell>
          <cell r="DT73">
            <v>25</v>
          </cell>
          <cell r="DU73">
            <v>6</v>
          </cell>
          <cell r="DV73">
            <v>6</v>
          </cell>
          <cell r="DW73">
            <v>6</v>
          </cell>
          <cell r="DX73">
            <v>7</v>
          </cell>
          <cell r="DY73">
            <v>0</v>
          </cell>
          <cell r="DZ73">
            <v>0</v>
          </cell>
          <cell r="EA73">
            <v>36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36</v>
          </cell>
          <cell r="EG73">
            <v>0</v>
          </cell>
          <cell r="EH73">
            <v>0</v>
          </cell>
          <cell r="EI73">
            <v>-5</v>
          </cell>
          <cell r="EJ73">
            <v>5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 t="str">
            <v xml:space="preserve">WOMENS SWOPE PARK JACEKT                                    </v>
          </cell>
        </row>
        <row r="74">
          <cell r="A74" t="str">
            <v>CN3YL3851010</v>
          </cell>
          <cell r="B74" t="str">
            <v>CN3</v>
          </cell>
          <cell r="C74" t="str">
            <v>YL3851</v>
          </cell>
          <cell r="D74">
            <v>10</v>
          </cell>
          <cell r="E74" t="str">
            <v xml:space="preserve">   </v>
          </cell>
          <cell r="F74">
            <v>80708</v>
          </cell>
          <cell r="G74">
            <v>80807</v>
          </cell>
          <cell r="H74">
            <v>81203</v>
          </cell>
          <cell r="I74">
            <v>1500</v>
          </cell>
          <cell r="J74">
            <v>1506</v>
          </cell>
          <cell r="K74">
            <v>1487</v>
          </cell>
          <cell r="L74">
            <v>1076</v>
          </cell>
          <cell r="M74">
            <v>1076</v>
          </cell>
          <cell r="N74">
            <v>117990000</v>
          </cell>
          <cell r="O74">
            <v>116082480</v>
          </cell>
          <cell r="P74">
            <v>114617960</v>
          </cell>
          <cell r="Q74">
            <v>82938080</v>
          </cell>
          <cell r="R74">
            <v>306447400</v>
          </cell>
          <cell r="S74" t="str">
            <v>*</v>
          </cell>
          <cell r="T74" t="str">
            <v xml:space="preserve"> </v>
          </cell>
          <cell r="U74">
            <v>1506</v>
          </cell>
          <cell r="V74">
            <v>116082480</v>
          </cell>
          <cell r="W74">
            <v>1076</v>
          </cell>
          <cell r="X74">
            <v>82938080</v>
          </cell>
          <cell r="Y74">
            <v>71.38</v>
          </cell>
          <cell r="Z74">
            <v>71.31</v>
          </cell>
          <cell r="AA74">
            <v>40929480</v>
          </cell>
          <cell r="AB74">
            <v>42008600</v>
          </cell>
          <cell r="AC74">
            <v>19</v>
          </cell>
          <cell r="AD74">
            <v>3622760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-1</v>
          </cell>
          <cell r="AL74">
            <v>-154160</v>
          </cell>
          <cell r="AM74">
            <v>412</v>
          </cell>
          <cell r="AN74">
            <v>73071840</v>
          </cell>
          <cell r="AO74">
            <v>78660</v>
          </cell>
          <cell r="AP74">
            <v>77080</v>
          </cell>
          <cell r="AQ74">
            <v>358000</v>
          </cell>
          <cell r="AR74">
            <v>250000</v>
          </cell>
          <cell r="AS74">
            <v>4.6399999999999997</v>
          </cell>
          <cell r="AT74">
            <v>539148000</v>
          </cell>
          <cell r="AU74">
            <v>4.16</v>
          </cell>
          <cell r="AV74">
            <v>170197400</v>
          </cell>
          <cell r="AW74">
            <v>3.24</v>
          </cell>
          <cell r="AX74">
            <v>136250000</v>
          </cell>
          <cell r="AY74">
            <v>71.38</v>
          </cell>
          <cell r="AZ74">
            <v>0</v>
          </cell>
          <cell r="BA74">
            <v>531</v>
          </cell>
          <cell r="BB74">
            <v>545</v>
          </cell>
          <cell r="BC74">
            <v>1076</v>
          </cell>
          <cell r="BD74">
            <v>0</v>
          </cell>
          <cell r="BE74">
            <v>0</v>
          </cell>
          <cell r="BF74">
            <v>181</v>
          </cell>
          <cell r="BG74">
            <v>1</v>
          </cell>
          <cell r="BH74">
            <v>1</v>
          </cell>
          <cell r="BI74">
            <v>183</v>
          </cell>
          <cell r="BJ74">
            <v>37</v>
          </cell>
          <cell r="BK74">
            <v>47</v>
          </cell>
          <cell r="BL74">
            <v>42</v>
          </cell>
          <cell r="BM74">
            <v>32</v>
          </cell>
          <cell r="BN74">
            <v>25</v>
          </cell>
          <cell r="BO74">
            <v>0</v>
          </cell>
          <cell r="BP74">
            <v>133</v>
          </cell>
          <cell r="BQ74">
            <v>18</v>
          </cell>
          <cell r="BR74">
            <v>44</v>
          </cell>
          <cell r="BS74">
            <v>32</v>
          </cell>
          <cell r="BT74">
            <v>19</v>
          </cell>
          <cell r="BU74">
            <v>20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15</v>
          </cell>
          <cell r="DG74">
            <v>0</v>
          </cell>
          <cell r="DH74">
            <v>2</v>
          </cell>
          <cell r="DI74">
            <v>2</v>
          </cell>
          <cell r="DJ74">
            <v>6</v>
          </cell>
          <cell r="DK74">
            <v>5</v>
          </cell>
          <cell r="DL74">
            <v>0</v>
          </cell>
          <cell r="DM74">
            <v>148</v>
          </cell>
          <cell r="DN74">
            <v>18</v>
          </cell>
          <cell r="DO74">
            <v>14</v>
          </cell>
          <cell r="DP74">
            <v>22</v>
          </cell>
          <cell r="DQ74">
            <v>92</v>
          </cell>
          <cell r="DR74">
            <v>2</v>
          </cell>
          <cell r="DS74">
            <v>0</v>
          </cell>
          <cell r="DT74">
            <v>207</v>
          </cell>
          <cell r="DU74">
            <v>27</v>
          </cell>
          <cell r="DV74">
            <v>36</v>
          </cell>
          <cell r="DW74">
            <v>33</v>
          </cell>
          <cell r="DX74">
            <v>74</v>
          </cell>
          <cell r="DY74">
            <v>37</v>
          </cell>
          <cell r="DZ74">
            <v>0</v>
          </cell>
          <cell r="EA74">
            <v>176</v>
          </cell>
          <cell r="EB74">
            <v>30</v>
          </cell>
          <cell r="EC74">
            <v>50</v>
          </cell>
          <cell r="ED74">
            <v>38</v>
          </cell>
          <cell r="EE74">
            <v>31</v>
          </cell>
          <cell r="EF74">
            <v>27</v>
          </cell>
          <cell r="EG74">
            <v>0</v>
          </cell>
          <cell r="EH74">
            <v>214</v>
          </cell>
          <cell r="EI74">
            <v>54</v>
          </cell>
          <cell r="EJ74">
            <v>62</v>
          </cell>
          <cell r="EK74">
            <v>44</v>
          </cell>
          <cell r="EL74">
            <v>43</v>
          </cell>
          <cell r="EM74">
            <v>11</v>
          </cell>
          <cell r="EN74">
            <v>0</v>
          </cell>
          <cell r="EO74" t="str">
            <v xml:space="preserve">LYNNFIELD JACKET                                            </v>
          </cell>
        </row>
        <row r="75">
          <cell r="A75" t="str">
            <v>CN3YL3852010</v>
          </cell>
          <cell r="B75" t="str">
            <v>CN3</v>
          </cell>
          <cell r="C75" t="str">
            <v>YL3852</v>
          </cell>
          <cell r="D75">
            <v>10</v>
          </cell>
          <cell r="E75" t="str">
            <v xml:space="preserve">   </v>
          </cell>
          <cell r="F75">
            <v>80828</v>
          </cell>
          <cell r="G75">
            <v>80828</v>
          </cell>
          <cell r="H75">
            <v>0</v>
          </cell>
          <cell r="I75">
            <v>2500</v>
          </cell>
          <cell r="J75">
            <v>2464</v>
          </cell>
          <cell r="K75">
            <v>2439</v>
          </cell>
          <cell r="L75">
            <v>2175</v>
          </cell>
          <cell r="M75">
            <v>2175</v>
          </cell>
          <cell r="N75">
            <v>169087500</v>
          </cell>
          <cell r="O75">
            <v>175615515</v>
          </cell>
          <cell r="P75">
            <v>178167358</v>
          </cell>
          <cell r="Q75">
            <v>156914328</v>
          </cell>
          <cell r="R75">
            <v>488479000</v>
          </cell>
          <cell r="S75" t="str">
            <v xml:space="preserve"> </v>
          </cell>
          <cell r="T75" t="str">
            <v xml:space="preserve"> </v>
          </cell>
          <cell r="U75">
            <v>2464</v>
          </cell>
          <cell r="V75">
            <v>175615515</v>
          </cell>
          <cell r="W75">
            <v>2175</v>
          </cell>
          <cell r="X75">
            <v>156914328</v>
          </cell>
          <cell r="Y75">
            <v>88.43</v>
          </cell>
          <cell r="Z75">
            <v>89.67</v>
          </cell>
          <cell r="AA75">
            <v>155852268</v>
          </cell>
          <cell r="AB75">
            <v>1062060</v>
          </cell>
          <cell r="AC75">
            <v>25</v>
          </cell>
          <cell r="AD75">
            <v>13452760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</v>
          </cell>
          <cell r="AJ75">
            <v>283216</v>
          </cell>
          <cell r="AK75">
            <v>4</v>
          </cell>
          <cell r="AL75">
            <v>566432</v>
          </cell>
          <cell r="AM75">
            <v>256</v>
          </cell>
          <cell r="AN75">
            <v>29737680</v>
          </cell>
          <cell r="AO75">
            <v>67635</v>
          </cell>
          <cell r="AP75">
            <v>70804</v>
          </cell>
          <cell r="AQ75">
            <v>238000</v>
          </cell>
          <cell r="AR75">
            <v>0</v>
          </cell>
          <cell r="AS75">
            <v>3.34</v>
          </cell>
          <cell r="AT75">
            <v>586432000</v>
          </cell>
          <cell r="AU75">
            <v>3.13</v>
          </cell>
          <cell r="AV75">
            <v>488376115</v>
          </cell>
          <cell r="AW75">
            <v>0.1</v>
          </cell>
          <cell r="AX75">
            <v>102885</v>
          </cell>
          <cell r="AY75">
            <v>88.43</v>
          </cell>
          <cell r="AZ75">
            <v>0</v>
          </cell>
          <cell r="BA75">
            <v>2160</v>
          </cell>
          <cell r="BB75">
            <v>15</v>
          </cell>
          <cell r="BC75">
            <v>1842</v>
          </cell>
          <cell r="BD75">
            <v>333</v>
          </cell>
          <cell r="BE75">
            <v>0</v>
          </cell>
          <cell r="BF75">
            <v>223</v>
          </cell>
          <cell r="BG75">
            <v>1</v>
          </cell>
          <cell r="BH75">
            <v>1</v>
          </cell>
          <cell r="BI75">
            <v>24</v>
          </cell>
          <cell r="BJ75">
            <v>5</v>
          </cell>
          <cell r="BK75">
            <v>6</v>
          </cell>
          <cell r="BL75">
            <v>12</v>
          </cell>
          <cell r="BM75">
            <v>3</v>
          </cell>
          <cell r="BN75">
            <v>-2</v>
          </cell>
          <cell r="BO75">
            <v>0</v>
          </cell>
          <cell r="BP75">
            <v>44</v>
          </cell>
          <cell r="BQ75">
            <v>12</v>
          </cell>
          <cell r="BR75">
            <v>4</v>
          </cell>
          <cell r="BS75">
            <v>10</v>
          </cell>
          <cell r="BT75">
            <v>14</v>
          </cell>
          <cell r="BU75">
            <v>4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1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1</v>
          </cell>
          <cell r="DL75">
            <v>0</v>
          </cell>
          <cell r="DM75">
            <v>237</v>
          </cell>
          <cell r="DN75">
            <v>58</v>
          </cell>
          <cell r="DO75">
            <v>36</v>
          </cell>
          <cell r="DP75">
            <v>56</v>
          </cell>
          <cell r="DQ75">
            <v>61</v>
          </cell>
          <cell r="DR75">
            <v>26</v>
          </cell>
          <cell r="DS75">
            <v>0</v>
          </cell>
          <cell r="DT75">
            <v>766</v>
          </cell>
          <cell r="DU75">
            <v>107</v>
          </cell>
          <cell r="DV75">
            <v>129</v>
          </cell>
          <cell r="DW75">
            <v>185</v>
          </cell>
          <cell r="DX75">
            <v>185</v>
          </cell>
          <cell r="DY75">
            <v>160</v>
          </cell>
          <cell r="DZ75">
            <v>0</v>
          </cell>
          <cell r="EA75">
            <v>570</v>
          </cell>
          <cell r="EB75">
            <v>85</v>
          </cell>
          <cell r="EC75">
            <v>215</v>
          </cell>
          <cell r="ED75">
            <v>149</v>
          </cell>
          <cell r="EE75">
            <v>76</v>
          </cell>
          <cell r="EF75">
            <v>45</v>
          </cell>
          <cell r="EG75">
            <v>0</v>
          </cell>
          <cell r="EH75">
            <v>533</v>
          </cell>
          <cell r="EI75">
            <v>62</v>
          </cell>
          <cell r="EJ75">
            <v>63</v>
          </cell>
          <cell r="EK75">
            <v>33</v>
          </cell>
          <cell r="EL75">
            <v>21</v>
          </cell>
          <cell r="EM75">
            <v>354</v>
          </cell>
          <cell r="EN75">
            <v>0</v>
          </cell>
          <cell r="EO75" t="str">
            <v xml:space="preserve">WOMANS SYLVAN SPRINGS JACKET                                </v>
          </cell>
        </row>
        <row r="76">
          <cell r="A76" t="str">
            <v>CN3YL3852346</v>
          </cell>
          <cell r="B76" t="str">
            <v>CN3</v>
          </cell>
          <cell r="C76" t="str">
            <v>YL3852</v>
          </cell>
          <cell r="D76">
            <v>346</v>
          </cell>
          <cell r="E76" t="str">
            <v xml:space="preserve">   </v>
          </cell>
          <cell r="F76">
            <v>80828</v>
          </cell>
          <cell r="G76">
            <v>80830</v>
          </cell>
          <cell r="H76">
            <v>0</v>
          </cell>
          <cell r="I76">
            <v>450</v>
          </cell>
          <cell r="J76">
            <v>441</v>
          </cell>
          <cell r="K76">
            <v>410</v>
          </cell>
          <cell r="L76">
            <v>197</v>
          </cell>
          <cell r="M76">
            <v>197</v>
          </cell>
          <cell r="N76">
            <v>30435750</v>
          </cell>
          <cell r="O76">
            <v>31822731</v>
          </cell>
          <cell r="P76">
            <v>30023862</v>
          </cell>
          <cell r="Q76">
            <v>14225536</v>
          </cell>
          <cell r="R76">
            <v>44011878</v>
          </cell>
          <cell r="S76" t="str">
            <v xml:space="preserve"> </v>
          </cell>
          <cell r="T76" t="str">
            <v xml:space="preserve"> </v>
          </cell>
          <cell r="U76">
            <v>441</v>
          </cell>
          <cell r="V76">
            <v>31822731</v>
          </cell>
          <cell r="W76">
            <v>197</v>
          </cell>
          <cell r="X76">
            <v>14225536</v>
          </cell>
          <cell r="Y76">
            <v>44.44</v>
          </cell>
          <cell r="Z76">
            <v>44.26</v>
          </cell>
          <cell r="AA76">
            <v>14154732</v>
          </cell>
          <cell r="AB76">
            <v>70804</v>
          </cell>
          <cell r="AC76">
            <v>31</v>
          </cell>
          <cell r="AD76">
            <v>10478992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-1</v>
          </cell>
          <cell r="AL76">
            <v>-141608</v>
          </cell>
          <cell r="AM76">
            <v>214</v>
          </cell>
          <cell r="AN76">
            <v>25064616</v>
          </cell>
          <cell r="AO76">
            <v>67635</v>
          </cell>
          <cell r="AP76">
            <v>70804</v>
          </cell>
          <cell r="AQ76">
            <v>238000</v>
          </cell>
          <cell r="AR76">
            <v>0</v>
          </cell>
          <cell r="AS76">
            <v>3.3</v>
          </cell>
          <cell r="AT76">
            <v>104958000</v>
          </cell>
          <cell r="AU76">
            <v>3.11</v>
          </cell>
          <cell r="AV76">
            <v>44005019</v>
          </cell>
          <cell r="AW76">
            <v>0.1</v>
          </cell>
          <cell r="AX76">
            <v>6859</v>
          </cell>
          <cell r="AY76">
            <v>44.44</v>
          </cell>
          <cell r="AZ76">
            <v>0</v>
          </cell>
          <cell r="BA76">
            <v>196</v>
          </cell>
          <cell r="BB76">
            <v>1</v>
          </cell>
          <cell r="BC76">
            <v>181</v>
          </cell>
          <cell r="BD76">
            <v>16</v>
          </cell>
          <cell r="BE76">
            <v>0</v>
          </cell>
          <cell r="BF76">
            <v>16</v>
          </cell>
          <cell r="BG76">
            <v>0</v>
          </cell>
          <cell r="BH76">
            <v>1</v>
          </cell>
          <cell r="BI76">
            <v>13</v>
          </cell>
          <cell r="BJ76">
            <v>3</v>
          </cell>
          <cell r="BK76">
            <v>3</v>
          </cell>
          <cell r="BL76">
            <v>2</v>
          </cell>
          <cell r="BM76">
            <v>2</v>
          </cell>
          <cell r="BN76">
            <v>3</v>
          </cell>
          <cell r="BO76">
            <v>0</v>
          </cell>
          <cell r="BP76">
            <v>12</v>
          </cell>
          <cell r="BQ76">
            <v>2</v>
          </cell>
          <cell r="BR76">
            <v>2</v>
          </cell>
          <cell r="BS76">
            <v>0</v>
          </cell>
          <cell r="BT76">
            <v>6</v>
          </cell>
          <cell r="BU76">
            <v>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30</v>
          </cell>
          <cell r="DN76">
            <v>10</v>
          </cell>
          <cell r="DO76">
            <v>3</v>
          </cell>
          <cell r="DP76">
            <v>10</v>
          </cell>
          <cell r="DQ76">
            <v>5</v>
          </cell>
          <cell r="DR76">
            <v>2</v>
          </cell>
          <cell r="DS76">
            <v>0</v>
          </cell>
          <cell r="DT76">
            <v>67</v>
          </cell>
          <cell r="DU76">
            <v>15</v>
          </cell>
          <cell r="DV76">
            <v>16</v>
          </cell>
          <cell r="DW76">
            <v>16</v>
          </cell>
          <cell r="DX76">
            <v>11</v>
          </cell>
          <cell r="DY76">
            <v>9</v>
          </cell>
          <cell r="DZ76">
            <v>0</v>
          </cell>
          <cell r="EA76">
            <v>37</v>
          </cell>
          <cell r="EB76">
            <v>6</v>
          </cell>
          <cell r="EC76">
            <v>16</v>
          </cell>
          <cell r="ED76">
            <v>10</v>
          </cell>
          <cell r="EE76">
            <v>2</v>
          </cell>
          <cell r="EF76">
            <v>3</v>
          </cell>
          <cell r="EG76">
            <v>0</v>
          </cell>
          <cell r="EH76">
            <v>38</v>
          </cell>
          <cell r="EI76">
            <v>4</v>
          </cell>
          <cell r="EJ76">
            <v>3</v>
          </cell>
          <cell r="EK76">
            <v>4</v>
          </cell>
          <cell r="EL76">
            <v>11</v>
          </cell>
          <cell r="EM76">
            <v>16</v>
          </cell>
          <cell r="EN76">
            <v>0</v>
          </cell>
          <cell r="EO76" t="str">
            <v xml:space="preserve">WOMANS SYLVAN SPRINGS JACKET                                </v>
          </cell>
        </row>
        <row r="77">
          <cell r="A77" t="str">
            <v>CN3YL3852552</v>
          </cell>
          <cell r="B77" t="str">
            <v>CN3</v>
          </cell>
          <cell r="C77" t="str">
            <v>YL3852</v>
          </cell>
          <cell r="D77">
            <v>552</v>
          </cell>
          <cell r="E77" t="str">
            <v xml:space="preserve">   </v>
          </cell>
          <cell r="F77">
            <v>80828</v>
          </cell>
          <cell r="G77">
            <v>80828</v>
          </cell>
          <cell r="H77">
            <v>0</v>
          </cell>
          <cell r="I77">
            <v>2000</v>
          </cell>
          <cell r="J77">
            <v>2017</v>
          </cell>
          <cell r="K77">
            <v>1978</v>
          </cell>
          <cell r="L77">
            <v>1591</v>
          </cell>
          <cell r="M77">
            <v>1591</v>
          </cell>
          <cell r="N77">
            <v>135270000</v>
          </cell>
          <cell r="O77">
            <v>146873962</v>
          </cell>
          <cell r="P77">
            <v>145222544</v>
          </cell>
          <cell r="Q77">
            <v>115064633</v>
          </cell>
          <cell r="R77">
            <v>356628618</v>
          </cell>
          <cell r="S77" t="str">
            <v xml:space="preserve"> </v>
          </cell>
          <cell r="T77" t="str">
            <v xml:space="preserve"> </v>
          </cell>
          <cell r="U77">
            <v>2017</v>
          </cell>
          <cell r="V77">
            <v>146873962</v>
          </cell>
          <cell r="W77">
            <v>1591</v>
          </cell>
          <cell r="X77">
            <v>115064633</v>
          </cell>
          <cell r="Y77">
            <v>79.180000000000007</v>
          </cell>
          <cell r="Z77">
            <v>78.92</v>
          </cell>
          <cell r="AA77">
            <v>114923025</v>
          </cell>
          <cell r="AB77">
            <v>141608</v>
          </cell>
          <cell r="AC77">
            <v>39</v>
          </cell>
          <cell r="AD77">
            <v>23294516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</v>
          </cell>
          <cell r="AJ77">
            <v>141608</v>
          </cell>
          <cell r="AK77">
            <v>6</v>
          </cell>
          <cell r="AL77">
            <v>849648</v>
          </cell>
          <cell r="AM77">
            <v>379</v>
          </cell>
          <cell r="AN77">
            <v>39154612</v>
          </cell>
          <cell r="AO77">
            <v>67635</v>
          </cell>
          <cell r="AP77">
            <v>70804</v>
          </cell>
          <cell r="AQ77">
            <v>238000</v>
          </cell>
          <cell r="AR77">
            <v>0</v>
          </cell>
          <cell r="AS77">
            <v>3.27</v>
          </cell>
          <cell r="AT77">
            <v>480046000</v>
          </cell>
          <cell r="AU77">
            <v>3.1</v>
          </cell>
          <cell r="AV77">
            <v>356614900</v>
          </cell>
          <cell r="AW77">
            <v>0.1</v>
          </cell>
          <cell r="AX77">
            <v>13718</v>
          </cell>
          <cell r="AY77">
            <v>79.180000000000007</v>
          </cell>
          <cell r="AZ77">
            <v>0</v>
          </cell>
          <cell r="BA77">
            <v>1589</v>
          </cell>
          <cell r="BB77">
            <v>2</v>
          </cell>
          <cell r="BC77">
            <v>1426</v>
          </cell>
          <cell r="BD77">
            <v>165</v>
          </cell>
          <cell r="BE77">
            <v>0</v>
          </cell>
          <cell r="BF77">
            <v>132</v>
          </cell>
          <cell r="BG77">
            <v>0</v>
          </cell>
          <cell r="BH77">
            <v>1</v>
          </cell>
          <cell r="BI77">
            <v>-1</v>
          </cell>
          <cell r="BJ77">
            <v>1</v>
          </cell>
          <cell r="BK77">
            <v>1</v>
          </cell>
          <cell r="BL77">
            <v>1</v>
          </cell>
          <cell r="BM77">
            <v>1</v>
          </cell>
          <cell r="BN77">
            <v>-5</v>
          </cell>
          <cell r="BO77">
            <v>0</v>
          </cell>
          <cell r="BP77">
            <v>44</v>
          </cell>
          <cell r="BQ77">
            <v>10</v>
          </cell>
          <cell r="BR77">
            <v>1</v>
          </cell>
          <cell r="BS77">
            <v>8</v>
          </cell>
          <cell r="BT77">
            <v>14</v>
          </cell>
          <cell r="BU77">
            <v>11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259</v>
          </cell>
          <cell r="DN77">
            <v>47</v>
          </cell>
          <cell r="DO77">
            <v>43</v>
          </cell>
          <cell r="DP77">
            <v>87</v>
          </cell>
          <cell r="DQ77">
            <v>53</v>
          </cell>
          <cell r="DR77">
            <v>29</v>
          </cell>
          <cell r="DS77">
            <v>0</v>
          </cell>
          <cell r="DT77">
            <v>596</v>
          </cell>
          <cell r="DU77">
            <v>78</v>
          </cell>
          <cell r="DV77">
            <v>122</v>
          </cell>
          <cell r="DW77">
            <v>124</v>
          </cell>
          <cell r="DX77">
            <v>111</v>
          </cell>
          <cell r="DY77">
            <v>161</v>
          </cell>
          <cell r="DZ77">
            <v>0</v>
          </cell>
          <cell r="EA77">
            <v>400</v>
          </cell>
          <cell r="EB77">
            <v>60</v>
          </cell>
          <cell r="EC77">
            <v>158</v>
          </cell>
          <cell r="ED77">
            <v>105</v>
          </cell>
          <cell r="EE77">
            <v>36</v>
          </cell>
          <cell r="EF77">
            <v>41</v>
          </cell>
          <cell r="EG77">
            <v>0</v>
          </cell>
          <cell r="EH77">
            <v>293</v>
          </cell>
          <cell r="EI77">
            <v>35</v>
          </cell>
          <cell r="EJ77">
            <v>21</v>
          </cell>
          <cell r="EK77">
            <v>47</v>
          </cell>
          <cell r="EL77">
            <v>16</v>
          </cell>
          <cell r="EM77">
            <v>174</v>
          </cell>
          <cell r="EN77">
            <v>0</v>
          </cell>
          <cell r="EO77" t="str">
            <v xml:space="preserve">WOMANS SYLVAN SPRINGS JACKET                                </v>
          </cell>
        </row>
        <row r="78">
          <cell r="A78" t="str">
            <v>CN3YL3853053</v>
          </cell>
          <cell r="B78" t="str">
            <v>CN3</v>
          </cell>
          <cell r="C78" t="str">
            <v>YL3853</v>
          </cell>
          <cell r="D78">
            <v>53</v>
          </cell>
          <cell r="E78" t="str">
            <v xml:space="preserve">   </v>
          </cell>
          <cell r="F78">
            <v>80813</v>
          </cell>
          <cell r="G78">
            <v>80818</v>
          </cell>
          <cell r="H78">
            <v>90130</v>
          </cell>
          <cell r="I78">
            <v>1000</v>
          </cell>
          <cell r="J78">
            <v>943</v>
          </cell>
          <cell r="K78">
            <v>911</v>
          </cell>
          <cell r="L78">
            <v>195</v>
          </cell>
          <cell r="M78">
            <v>195</v>
          </cell>
          <cell r="N78">
            <v>73250000</v>
          </cell>
          <cell r="O78">
            <v>69061604</v>
          </cell>
          <cell r="P78">
            <v>66716820</v>
          </cell>
          <cell r="Q78">
            <v>14278682</v>
          </cell>
          <cell r="R78">
            <v>47633600</v>
          </cell>
          <cell r="S78" t="str">
            <v>*</v>
          </cell>
          <cell r="T78" t="str">
            <v xml:space="preserve"> </v>
          </cell>
          <cell r="U78">
            <v>943</v>
          </cell>
          <cell r="V78">
            <v>69061604</v>
          </cell>
          <cell r="W78">
            <v>195</v>
          </cell>
          <cell r="X78">
            <v>14278682</v>
          </cell>
          <cell r="Y78">
            <v>20.36</v>
          </cell>
          <cell r="Z78">
            <v>19.93</v>
          </cell>
          <cell r="AA78">
            <v>6151040</v>
          </cell>
          <cell r="AB78">
            <v>8127642</v>
          </cell>
          <cell r="AC78">
            <v>32</v>
          </cell>
          <cell r="AD78">
            <v>3880766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-3</v>
          </cell>
          <cell r="AL78">
            <v>-512554</v>
          </cell>
          <cell r="AM78">
            <v>719</v>
          </cell>
          <cell r="AN78">
            <v>110418776</v>
          </cell>
          <cell r="AO78">
            <v>73250</v>
          </cell>
          <cell r="AP78">
            <v>73222</v>
          </cell>
          <cell r="AQ78">
            <v>328000</v>
          </cell>
          <cell r="AR78">
            <v>195000</v>
          </cell>
          <cell r="AS78">
            <v>4.4800000000000004</v>
          </cell>
          <cell r="AT78">
            <v>309304000</v>
          </cell>
          <cell r="AU78">
            <v>3.95</v>
          </cell>
          <cell r="AV78">
            <v>24273600</v>
          </cell>
          <cell r="AW78">
            <v>2.87</v>
          </cell>
          <cell r="AX78">
            <v>23360000</v>
          </cell>
          <cell r="AY78">
            <v>20.36</v>
          </cell>
          <cell r="AZ78">
            <v>0</v>
          </cell>
          <cell r="BA78">
            <v>84</v>
          </cell>
          <cell r="BB78">
            <v>111</v>
          </cell>
          <cell r="BC78">
            <v>195</v>
          </cell>
          <cell r="BD78">
            <v>0</v>
          </cell>
          <cell r="BE78">
            <v>0</v>
          </cell>
          <cell r="BF78">
            <v>72</v>
          </cell>
          <cell r="BG78">
            <v>1</v>
          </cell>
          <cell r="BH78">
            <v>1</v>
          </cell>
          <cell r="BI78">
            <v>31</v>
          </cell>
          <cell r="BJ78">
            <v>9</v>
          </cell>
          <cell r="BK78">
            <v>3</v>
          </cell>
          <cell r="BL78">
            <v>13</v>
          </cell>
          <cell r="BM78">
            <v>1</v>
          </cell>
          <cell r="BN78">
            <v>5</v>
          </cell>
          <cell r="BO78">
            <v>0</v>
          </cell>
          <cell r="BP78">
            <v>58</v>
          </cell>
          <cell r="BQ78">
            <v>3</v>
          </cell>
          <cell r="BR78">
            <v>19</v>
          </cell>
          <cell r="BS78">
            <v>14</v>
          </cell>
          <cell r="BT78">
            <v>11</v>
          </cell>
          <cell r="BU78">
            <v>11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2</v>
          </cell>
          <cell r="DG78">
            <v>0</v>
          </cell>
          <cell r="DH78">
            <v>0</v>
          </cell>
          <cell r="DI78">
            <v>0</v>
          </cell>
          <cell r="DJ78">
            <v>1</v>
          </cell>
          <cell r="DK78">
            <v>1</v>
          </cell>
          <cell r="DL78">
            <v>0</v>
          </cell>
          <cell r="DM78">
            <v>26</v>
          </cell>
          <cell r="DN78">
            <v>5</v>
          </cell>
          <cell r="DO78">
            <v>3</v>
          </cell>
          <cell r="DP78">
            <v>2</v>
          </cell>
          <cell r="DQ78">
            <v>17</v>
          </cell>
          <cell r="DR78">
            <v>-1</v>
          </cell>
          <cell r="DS78">
            <v>0</v>
          </cell>
          <cell r="DT78">
            <v>17</v>
          </cell>
          <cell r="DU78">
            <v>4</v>
          </cell>
          <cell r="DV78">
            <v>2</v>
          </cell>
          <cell r="DW78">
            <v>6</v>
          </cell>
          <cell r="DX78">
            <v>3</v>
          </cell>
          <cell r="DY78">
            <v>2</v>
          </cell>
          <cell r="DZ78">
            <v>0</v>
          </cell>
          <cell r="EA78">
            <v>30</v>
          </cell>
          <cell r="EB78">
            <v>6</v>
          </cell>
          <cell r="EC78">
            <v>2</v>
          </cell>
          <cell r="ED78">
            <v>10</v>
          </cell>
          <cell r="EE78">
            <v>4</v>
          </cell>
          <cell r="EF78">
            <v>8</v>
          </cell>
          <cell r="EG78">
            <v>0</v>
          </cell>
          <cell r="EH78">
            <v>31</v>
          </cell>
          <cell r="EI78">
            <v>12</v>
          </cell>
          <cell r="EJ78">
            <v>5</v>
          </cell>
          <cell r="EK78">
            <v>6</v>
          </cell>
          <cell r="EL78">
            <v>5</v>
          </cell>
          <cell r="EM78">
            <v>3</v>
          </cell>
          <cell r="EN78">
            <v>0</v>
          </cell>
          <cell r="EO78" t="str">
            <v xml:space="preserve">WOMANS EXETER JACKET                                        </v>
          </cell>
        </row>
        <row r="79">
          <cell r="A79" t="str">
            <v>CN3YL3853578</v>
          </cell>
          <cell r="B79" t="str">
            <v>CN3</v>
          </cell>
          <cell r="C79" t="str">
            <v>YL3853</v>
          </cell>
          <cell r="D79">
            <v>578</v>
          </cell>
          <cell r="E79" t="str">
            <v xml:space="preserve">   </v>
          </cell>
          <cell r="F79">
            <v>80813</v>
          </cell>
          <cell r="G79">
            <v>80818</v>
          </cell>
          <cell r="H79">
            <v>90130</v>
          </cell>
          <cell r="I79">
            <v>1000</v>
          </cell>
          <cell r="J79">
            <v>1005</v>
          </cell>
          <cell r="K79">
            <v>978</v>
          </cell>
          <cell r="L79">
            <v>369</v>
          </cell>
          <cell r="M79">
            <v>369</v>
          </cell>
          <cell r="N79">
            <v>73250000</v>
          </cell>
          <cell r="O79">
            <v>73602180</v>
          </cell>
          <cell r="P79">
            <v>71622946</v>
          </cell>
          <cell r="Q79">
            <v>27019464</v>
          </cell>
          <cell r="R79">
            <v>86676700</v>
          </cell>
          <cell r="S79" t="str">
            <v>*</v>
          </cell>
          <cell r="T79" t="str">
            <v xml:space="preserve"> </v>
          </cell>
          <cell r="U79">
            <v>1005</v>
          </cell>
          <cell r="V79">
            <v>73602180</v>
          </cell>
          <cell r="W79">
            <v>369</v>
          </cell>
          <cell r="X79">
            <v>27019464</v>
          </cell>
          <cell r="Y79">
            <v>36.72</v>
          </cell>
          <cell r="Z79">
            <v>36.71</v>
          </cell>
          <cell r="AA79">
            <v>9372962</v>
          </cell>
          <cell r="AB79">
            <v>17646502</v>
          </cell>
          <cell r="AC79">
            <v>27</v>
          </cell>
          <cell r="AD79">
            <v>2855658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609</v>
          </cell>
          <cell r="AN79">
            <v>99728364</v>
          </cell>
          <cell r="AO79">
            <v>73250</v>
          </cell>
          <cell r="AP79">
            <v>73222</v>
          </cell>
          <cell r="AQ79">
            <v>328000</v>
          </cell>
          <cell r="AR79">
            <v>195000</v>
          </cell>
          <cell r="AS79">
            <v>4.4800000000000004</v>
          </cell>
          <cell r="AT79">
            <v>329640000</v>
          </cell>
          <cell r="AU79">
            <v>3.86</v>
          </cell>
          <cell r="AV79">
            <v>36216700</v>
          </cell>
          <cell r="AW79">
            <v>2.86</v>
          </cell>
          <cell r="AX79">
            <v>50460000</v>
          </cell>
          <cell r="AY79">
            <v>36.72</v>
          </cell>
          <cell r="AZ79">
            <v>0</v>
          </cell>
          <cell r="BA79">
            <v>128</v>
          </cell>
          <cell r="BB79">
            <v>241</v>
          </cell>
          <cell r="BC79">
            <v>369</v>
          </cell>
          <cell r="BD79">
            <v>0</v>
          </cell>
          <cell r="BE79">
            <v>0</v>
          </cell>
          <cell r="BF79">
            <v>155</v>
          </cell>
          <cell r="BG79">
            <v>0</v>
          </cell>
          <cell r="BH79">
            <v>1</v>
          </cell>
          <cell r="BI79">
            <v>81</v>
          </cell>
          <cell r="BJ79">
            <v>9</v>
          </cell>
          <cell r="BK79">
            <v>15</v>
          </cell>
          <cell r="BL79">
            <v>39</v>
          </cell>
          <cell r="BM79">
            <v>-1</v>
          </cell>
          <cell r="BN79">
            <v>19</v>
          </cell>
          <cell r="BO79">
            <v>0</v>
          </cell>
          <cell r="BP79">
            <v>129</v>
          </cell>
          <cell r="BQ79">
            <v>7</v>
          </cell>
          <cell r="BR79">
            <v>41</v>
          </cell>
          <cell r="BS79">
            <v>29</v>
          </cell>
          <cell r="BT79">
            <v>26</v>
          </cell>
          <cell r="BU79">
            <v>26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3</v>
          </cell>
          <cell r="DG79">
            <v>0</v>
          </cell>
          <cell r="DH79">
            <v>0</v>
          </cell>
          <cell r="DI79">
            <v>0</v>
          </cell>
          <cell r="DJ79">
            <v>1</v>
          </cell>
          <cell r="DK79">
            <v>2</v>
          </cell>
          <cell r="DL79">
            <v>0</v>
          </cell>
          <cell r="DM79">
            <v>36</v>
          </cell>
          <cell r="DN79">
            <v>3</v>
          </cell>
          <cell r="DO79">
            <v>6</v>
          </cell>
          <cell r="DP79">
            <v>7</v>
          </cell>
          <cell r="DQ79">
            <v>21</v>
          </cell>
          <cell r="DR79">
            <v>-1</v>
          </cell>
          <cell r="DS79">
            <v>0</v>
          </cell>
          <cell r="DT79">
            <v>44</v>
          </cell>
          <cell r="DU79">
            <v>2</v>
          </cell>
          <cell r="DV79">
            <v>9</v>
          </cell>
          <cell r="DW79">
            <v>8</v>
          </cell>
          <cell r="DX79">
            <v>12</v>
          </cell>
          <cell r="DY79">
            <v>13</v>
          </cell>
          <cell r="DZ79">
            <v>0</v>
          </cell>
          <cell r="EA79">
            <v>31</v>
          </cell>
          <cell r="EB79">
            <v>5</v>
          </cell>
          <cell r="EC79">
            <v>9</v>
          </cell>
          <cell r="ED79">
            <v>11</v>
          </cell>
          <cell r="EE79">
            <v>3</v>
          </cell>
          <cell r="EF79">
            <v>3</v>
          </cell>
          <cell r="EG79">
            <v>0</v>
          </cell>
          <cell r="EH79">
            <v>45</v>
          </cell>
          <cell r="EI79">
            <v>10</v>
          </cell>
          <cell r="EJ79">
            <v>12</v>
          </cell>
          <cell r="EK79">
            <v>8</v>
          </cell>
          <cell r="EL79">
            <v>10</v>
          </cell>
          <cell r="EM79">
            <v>5</v>
          </cell>
          <cell r="EN79">
            <v>0</v>
          </cell>
          <cell r="EO79" t="str">
            <v xml:space="preserve">WOMANS EXETER JACKET                                        </v>
          </cell>
        </row>
        <row r="80">
          <cell r="A80" t="str">
            <v>CN3YL3853684</v>
          </cell>
          <cell r="B80" t="str">
            <v>CN3</v>
          </cell>
          <cell r="C80" t="str">
            <v>YL3853</v>
          </cell>
          <cell r="D80">
            <v>684</v>
          </cell>
          <cell r="E80" t="str">
            <v xml:space="preserve">   </v>
          </cell>
          <cell r="F80">
            <v>80813</v>
          </cell>
          <cell r="G80">
            <v>80818</v>
          </cell>
          <cell r="H80">
            <v>90130</v>
          </cell>
          <cell r="I80">
            <v>800</v>
          </cell>
          <cell r="J80">
            <v>804</v>
          </cell>
          <cell r="K80">
            <v>780</v>
          </cell>
          <cell r="L80">
            <v>281</v>
          </cell>
          <cell r="M80">
            <v>281</v>
          </cell>
          <cell r="N80">
            <v>58600000</v>
          </cell>
          <cell r="O80">
            <v>58881744</v>
          </cell>
          <cell r="P80">
            <v>57123422</v>
          </cell>
          <cell r="Q80">
            <v>20575886</v>
          </cell>
          <cell r="R80">
            <v>68283459</v>
          </cell>
          <cell r="S80" t="str">
            <v>*</v>
          </cell>
          <cell r="T80" t="str">
            <v xml:space="preserve"> </v>
          </cell>
          <cell r="U80">
            <v>804</v>
          </cell>
          <cell r="V80">
            <v>58881744</v>
          </cell>
          <cell r="W80">
            <v>281</v>
          </cell>
          <cell r="X80">
            <v>20575886</v>
          </cell>
          <cell r="Y80">
            <v>34.950000000000003</v>
          </cell>
          <cell r="Z80">
            <v>34.94</v>
          </cell>
          <cell r="AA80">
            <v>12008912</v>
          </cell>
          <cell r="AB80">
            <v>8566974</v>
          </cell>
          <cell r="AC80">
            <v>24</v>
          </cell>
          <cell r="AD80">
            <v>3148546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499</v>
          </cell>
          <cell r="AN80">
            <v>78567206</v>
          </cell>
          <cell r="AO80">
            <v>73250</v>
          </cell>
          <cell r="AP80">
            <v>73222</v>
          </cell>
          <cell r="AQ80">
            <v>328000</v>
          </cell>
          <cell r="AR80">
            <v>195000</v>
          </cell>
          <cell r="AS80">
            <v>4.4800000000000004</v>
          </cell>
          <cell r="AT80">
            <v>263712000</v>
          </cell>
          <cell r="AU80">
            <v>3.69</v>
          </cell>
          <cell r="AV80">
            <v>44291600</v>
          </cell>
          <cell r="AW80">
            <v>2.8</v>
          </cell>
          <cell r="AX80">
            <v>23991859</v>
          </cell>
          <cell r="AY80">
            <v>34.950000000000003</v>
          </cell>
          <cell r="AZ80">
            <v>0</v>
          </cell>
          <cell r="BA80">
            <v>164</v>
          </cell>
          <cell r="BB80">
            <v>117</v>
          </cell>
          <cell r="BC80">
            <v>281</v>
          </cell>
          <cell r="BD80">
            <v>0</v>
          </cell>
          <cell r="BE80">
            <v>0</v>
          </cell>
          <cell r="BF80">
            <v>94</v>
          </cell>
          <cell r="BG80">
            <v>0</v>
          </cell>
          <cell r="BH80">
            <v>1</v>
          </cell>
          <cell r="BI80">
            <v>33</v>
          </cell>
          <cell r="BJ80">
            <v>5</v>
          </cell>
          <cell r="BK80">
            <v>6</v>
          </cell>
          <cell r="BL80">
            <v>12</v>
          </cell>
          <cell r="BM80">
            <v>2</v>
          </cell>
          <cell r="BN80">
            <v>8</v>
          </cell>
          <cell r="BO80">
            <v>0</v>
          </cell>
          <cell r="BP80">
            <v>70</v>
          </cell>
          <cell r="BQ80">
            <v>1</v>
          </cell>
          <cell r="BR80">
            <v>24</v>
          </cell>
          <cell r="BS80">
            <v>16</v>
          </cell>
          <cell r="BT80">
            <v>15</v>
          </cell>
          <cell r="BU80">
            <v>14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4</v>
          </cell>
          <cell r="DG80">
            <v>0</v>
          </cell>
          <cell r="DH80">
            <v>0</v>
          </cell>
          <cell r="DI80">
            <v>0</v>
          </cell>
          <cell r="DJ80">
            <v>2</v>
          </cell>
          <cell r="DK80">
            <v>2</v>
          </cell>
          <cell r="DL80">
            <v>0</v>
          </cell>
          <cell r="DM80">
            <v>32</v>
          </cell>
          <cell r="DN80">
            <v>4</v>
          </cell>
          <cell r="DO80">
            <v>6</v>
          </cell>
          <cell r="DP80">
            <v>2</v>
          </cell>
          <cell r="DQ80">
            <v>20</v>
          </cell>
          <cell r="DR80">
            <v>0</v>
          </cell>
          <cell r="DS80">
            <v>0</v>
          </cell>
          <cell r="DT80">
            <v>46</v>
          </cell>
          <cell r="DU80">
            <v>7</v>
          </cell>
          <cell r="DV80">
            <v>13</v>
          </cell>
          <cell r="DW80">
            <v>10</v>
          </cell>
          <cell r="DX80">
            <v>6</v>
          </cell>
          <cell r="DY80">
            <v>10</v>
          </cell>
          <cell r="DZ80">
            <v>0</v>
          </cell>
          <cell r="EA80">
            <v>80</v>
          </cell>
          <cell r="EB80">
            <v>5</v>
          </cell>
          <cell r="EC80">
            <v>67</v>
          </cell>
          <cell r="ED80">
            <v>5</v>
          </cell>
          <cell r="EE80">
            <v>2</v>
          </cell>
          <cell r="EF80">
            <v>1</v>
          </cell>
          <cell r="EG80">
            <v>0</v>
          </cell>
          <cell r="EH80">
            <v>16</v>
          </cell>
          <cell r="EI80">
            <v>2</v>
          </cell>
          <cell r="EJ80">
            <v>3</v>
          </cell>
          <cell r="EK80">
            <v>8</v>
          </cell>
          <cell r="EL80">
            <v>0</v>
          </cell>
          <cell r="EM80">
            <v>3</v>
          </cell>
          <cell r="EN80">
            <v>0</v>
          </cell>
          <cell r="EO80" t="str">
            <v xml:space="preserve">WOMANS EXETER JACKET                                        </v>
          </cell>
        </row>
        <row r="81">
          <cell r="A81" t="str">
            <v>CN3YL3854028</v>
          </cell>
          <cell r="B81" t="str">
            <v>CN3</v>
          </cell>
          <cell r="C81" t="str">
            <v>YL3854</v>
          </cell>
          <cell r="D81">
            <v>28</v>
          </cell>
          <cell r="E81" t="str">
            <v xml:space="preserve">   </v>
          </cell>
          <cell r="F81">
            <v>80627</v>
          </cell>
          <cell r="G81">
            <v>80813</v>
          </cell>
          <cell r="H81">
            <v>0</v>
          </cell>
          <cell r="I81">
            <v>350</v>
          </cell>
          <cell r="J81">
            <v>429</v>
          </cell>
          <cell r="K81">
            <v>428</v>
          </cell>
          <cell r="L81">
            <v>55</v>
          </cell>
          <cell r="M81">
            <v>55</v>
          </cell>
          <cell r="N81">
            <v>26685750</v>
          </cell>
          <cell r="O81">
            <v>32222190</v>
          </cell>
          <cell r="P81">
            <v>32147080</v>
          </cell>
          <cell r="Q81">
            <v>4131050</v>
          </cell>
          <cell r="R81">
            <v>14828200</v>
          </cell>
          <cell r="S81" t="str">
            <v xml:space="preserve"> </v>
          </cell>
          <cell r="T81" t="str">
            <v xml:space="preserve"> </v>
          </cell>
          <cell r="U81">
            <v>429</v>
          </cell>
          <cell r="V81">
            <v>32222190</v>
          </cell>
          <cell r="W81">
            <v>55</v>
          </cell>
          <cell r="X81">
            <v>4131050</v>
          </cell>
          <cell r="Y81">
            <v>12.59</v>
          </cell>
          <cell r="Z81">
            <v>12.35</v>
          </cell>
          <cell r="AA81">
            <v>4131050</v>
          </cell>
          <cell r="AB81">
            <v>0</v>
          </cell>
          <cell r="AC81">
            <v>1</v>
          </cell>
          <cell r="AD81">
            <v>150220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-1</v>
          </cell>
          <cell r="AL81">
            <v>-150220</v>
          </cell>
          <cell r="AM81">
            <v>374</v>
          </cell>
          <cell r="AN81">
            <v>56708050</v>
          </cell>
          <cell r="AO81">
            <v>76245</v>
          </cell>
          <cell r="AP81">
            <v>75110</v>
          </cell>
          <cell r="AQ81">
            <v>298000</v>
          </cell>
          <cell r="AR81">
            <v>0</v>
          </cell>
          <cell r="AS81">
            <v>3.97</v>
          </cell>
          <cell r="AT81">
            <v>127842000</v>
          </cell>
          <cell r="AU81">
            <v>3.59</v>
          </cell>
          <cell r="AV81">
            <v>14828200</v>
          </cell>
          <cell r="AW81">
            <v>0</v>
          </cell>
          <cell r="AX81">
            <v>0</v>
          </cell>
          <cell r="AY81">
            <v>12.59</v>
          </cell>
          <cell r="AZ81">
            <v>0</v>
          </cell>
          <cell r="BA81">
            <v>55</v>
          </cell>
          <cell r="BB81">
            <v>0</v>
          </cell>
          <cell r="BC81">
            <v>55</v>
          </cell>
          <cell r="BD81">
            <v>0</v>
          </cell>
          <cell r="BE81">
            <v>0</v>
          </cell>
          <cell r="BF81">
            <v>13</v>
          </cell>
          <cell r="BG81">
            <v>1</v>
          </cell>
          <cell r="BH81">
            <v>1</v>
          </cell>
          <cell r="BI81">
            <v>1</v>
          </cell>
          <cell r="BJ81">
            <v>2</v>
          </cell>
          <cell r="BK81">
            <v>-1</v>
          </cell>
          <cell r="BL81">
            <v>1</v>
          </cell>
          <cell r="BM81">
            <v>-1</v>
          </cell>
          <cell r="BN81">
            <v>0</v>
          </cell>
          <cell r="BO81">
            <v>0</v>
          </cell>
          <cell r="BP81">
            <v>7</v>
          </cell>
          <cell r="BQ81">
            <v>2</v>
          </cell>
          <cell r="BR81">
            <v>3</v>
          </cell>
          <cell r="BS81">
            <v>1</v>
          </cell>
          <cell r="BT81">
            <v>1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4</v>
          </cell>
          <cell r="DG81">
            <v>0</v>
          </cell>
          <cell r="DH81">
            <v>0</v>
          </cell>
          <cell r="DI81">
            <v>0</v>
          </cell>
          <cell r="DJ81">
            <v>2</v>
          </cell>
          <cell r="DK81">
            <v>2</v>
          </cell>
          <cell r="DL81">
            <v>0</v>
          </cell>
          <cell r="DM81">
            <v>12</v>
          </cell>
          <cell r="DN81">
            <v>2</v>
          </cell>
          <cell r="DO81">
            <v>2</v>
          </cell>
          <cell r="DP81">
            <v>2</v>
          </cell>
          <cell r="DQ81">
            <v>6</v>
          </cell>
          <cell r="DR81">
            <v>0</v>
          </cell>
          <cell r="DS81">
            <v>0</v>
          </cell>
          <cell r="DT81">
            <v>14</v>
          </cell>
          <cell r="DU81">
            <v>3</v>
          </cell>
          <cell r="DV81">
            <v>4</v>
          </cell>
          <cell r="DW81">
            <v>3</v>
          </cell>
          <cell r="DX81">
            <v>2</v>
          </cell>
          <cell r="DY81">
            <v>2</v>
          </cell>
          <cell r="DZ81">
            <v>0</v>
          </cell>
          <cell r="EA81">
            <v>11</v>
          </cell>
          <cell r="EB81">
            <v>3</v>
          </cell>
          <cell r="EC81">
            <v>1</v>
          </cell>
          <cell r="ED81">
            <v>3</v>
          </cell>
          <cell r="EE81">
            <v>0</v>
          </cell>
          <cell r="EF81">
            <v>4</v>
          </cell>
          <cell r="EG81">
            <v>0</v>
          </cell>
          <cell r="EH81">
            <v>6</v>
          </cell>
          <cell r="EI81">
            <v>1</v>
          </cell>
          <cell r="EJ81">
            <v>2</v>
          </cell>
          <cell r="EK81">
            <v>5</v>
          </cell>
          <cell r="EL81">
            <v>-1</v>
          </cell>
          <cell r="EM81">
            <v>-1</v>
          </cell>
          <cell r="EN81">
            <v>0</v>
          </cell>
          <cell r="EO81" t="str">
            <v xml:space="preserve">EUTAW JACKET                                                </v>
          </cell>
        </row>
        <row r="82">
          <cell r="A82" t="str">
            <v>CN3YL3854608</v>
          </cell>
          <cell r="B82" t="str">
            <v>CN3</v>
          </cell>
          <cell r="C82" t="str">
            <v>YL3854</v>
          </cell>
          <cell r="D82">
            <v>608</v>
          </cell>
          <cell r="E82" t="str">
            <v xml:space="preserve">   </v>
          </cell>
          <cell r="F82">
            <v>80627</v>
          </cell>
          <cell r="G82">
            <v>80813</v>
          </cell>
          <cell r="H82">
            <v>0</v>
          </cell>
          <cell r="I82">
            <v>350</v>
          </cell>
          <cell r="J82">
            <v>350</v>
          </cell>
          <cell r="K82">
            <v>350</v>
          </cell>
          <cell r="L82">
            <v>281</v>
          </cell>
          <cell r="M82">
            <v>281</v>
          </cell>
          <cell r="N82">
            <v>26685750</v>
          </cell>
          <cell r="O82">
            <v>26288500</v>
          </cell>
          <cell r="P82">
            <v>26288500</v>
          </cell>
          <cell r="Q82">
            <v>21105910</v>
          </cell>
          <cell r="R82">
            <v>75813859</v>
          </cell>
          <cell r="S82" t="str">
            <v xml:space="preserve"> </v>
          </cell>
          <cell r="T82" t="str">
            <v xml:space="preserve"> </v>
          </cell>
          <cell r="U82">
            <v>350</v>
          </cell>
          <cell r="V82">
            <v>26288500</v>
          </cell>
          <cell r="W82">
            <v>281</v>
          </cell>
          <cell r="X82">
            <v>21105910</v>
          </cell>
          <cell r="Y82">
            <v>80.290000000000006</v>
          </cell>
          <cell r="Z82">
            <v>80.290000000000006</v>
          </cell>
          <cell r="AA82">
            <v>21030800</v>
          </cell>
          <cell r="AB82">
            <v>75110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69</v>
          </cell>
          <cell r="AN82">
            <v>11041170</v>
          </cell>
          <cell r="AO82">
            <v>76245</v>
          </cell>
          <cell r="AP82">
            <v>75110</v>
          </cell>
          <cell r="AQ82">
            <v>298000</v>
          </cell>
          <cell r="AR82">
            <v>0</v>
          </cell>
          <cell r="AS82">
            <v>3.97</v>
          </cell>
          <cell r="AT82">
            <v>104300000</v>
          </cell>
          <cell r="AU82">
            <v>3.6</v>
          </cell>
          <cell r="AV82">
            <v>75807000</v>
          </cell>
          <cell r="AW82">
            <v>0.09</v>
          </cell>
          <cell r="AX82">
            <v>6859</v>
          </cell>
          <cell r="AY82">
            <v>80.290000000000006</v>
          </cell>
          <cell r="AZ82">
            <v>0</v>
          </cell>
          <cell r="BA82">
            <v>280</v>
          </cell>
          <cell r="BB82">
            <v>1</v>
          </cell>
          <cell r="BC82">
            <v>281</v>
          </cell>
          <cell r="BD82">
            <v>0</v>
          </cell>
          <cell r="BE82">
            <v>0</v>
          </cell>
          <cell r="BF82">
            <v>23</v>
          </cell>
          <cell r="BG82">
            <v>0</v>
          </cell>
          <cell r="BH82">
            <v>1</v>
          </cell>
          <cell r="BI82">
            <v>12</v>
          </cell>
          <cell r="BJ82">
            <v>4</v>
          </cell>
          <cell r="BK82">
            <v>6</v>
          </cell>
          <cell r="BL82">
            <v>1</v>
          </cell>
          <cell r="BM82">
            <v>2</v>
          </cell>
          <cell r="BN82">
            <v>-1</v>
          </cell>
          <cell r="BO82">
            <v>0</v>
          </cell>
          <cell r="BP82">
            <v>9</v>
          </cell>
          <cell r="BQ82">
            <v>0</v>
          </cell>
          <cell r="BR82">
            <v>4</v>
          </cell>
          <cell r="BS82">
            <v>4</v>
          </cell>
          <cell r="BT82">
            <v>1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13</v>
          </cell>
          <cell r="DG82">
            <v>0</v>
          </cell>
          <cell r="DH82">
            <v>0</v>
          </cell>
          <cell r="DI82">
            <v>2</v>
          </cell>
          <cell r="DJ82">
            <v>6</v>
          </cell>
          <cell r="DK82">
            <v>5</v>
          </cell>
          <cell r="DL82">
            <v>0</v>
          </cell>
          <cell r="DM82">
            <v>65</v>
          </cell>
          <cell r="DN82">
            <v>9</v>
          </cell>
          <cell r="DO82">
            <v>12</v>
          </cell>
          <cell r="DP82">
            <v>5</v>
          </cell>
          <cell r="DQ82">
            <v>33</v>
          </cell>
          <cell r="DR82">
            <v>6</v>
          </cell>
          <cell r="DS82">
            <v>0</v>
          </cell>
          <cell r="DT82">
            <v>88</v>
          </cell>
          <cell r="DU82">
            <v>15</v>
          </cell>
          <cell r="DV82">
            <v>19</v>
          </cell>
          <cell r="DW82">
            <v>22</v>
          </cell>
          <cell r="DX82">
            <v>11</v>
          </cell>
          <cell r="DY82">
            <v>21</v>
          </cell>
          <cell r="DZ82">
            <v>0</v>
          </cell>
          <cell r="EA82">
            <v>75</v>
          </cell>
          <cell r="EB82">
            <v>15</v>
          </cell>
          <cell r="EC82">
            <v>13</v>
          </cell>
          <cell r="ED82">
            <v>35</v>
          </cell>
          <cell r="EE82">
            <v>5</v>
          </cell>
          <cell r="EF82">
            <v>7</v>
          </cell>
          <cell r="EG82">
            <v>0</v>
          </cell>
          <cell r="EH82">
            <v>19</v>
          </cell>
          <cell r="EI82">
            <v>2</v>
          </cell>
          <cell r="EJ82">
            <v>4</v>
          </cell>
          <cell r="EK82">
            <v>5</v>
          </cell>
          <cell r="EL82">
            <v>5</v>
          </cell>
          <cell r="EM82">
            <v>3</v>
          </cell>
          <cell r="EN82">
            <v>0</v>
          </cell>
          <cell r="EO82" t="str">
            <v xml:space="preserve">EUTAW JACKET                                                </v>
          </cell>
        </row>
        <row r="83">
          <cell r="A83" t="str">
            <v>CN3YL3855094</v>
          </cell>
          <cell r="B83" t="str">
            <v>CN3</v>
          </cell>
          <cell r="C83" t="str">
            <v>YL3855</v>
          </cell>
          <cell r="D83">
            <v>94</v>
          </cell>
          <cell r="E83" t="str">
            <v xml:space="preserve">   </v>
          </cell>
          <cell r="F83">
            <v>80813</v>
          </cell>
          <cell r="G83">
            <v>80818</v>
          </cell>
          <cell r="H83">
            <v>0</v>
          </cell>
          <cell r="I83">
            <v>800</v>
          </cell>
          <cell r="J83">
            <v>807</v>
          </cell>
          <cell r="K83">
            <v>793</v>
          </cell>
          <cell r="L83">
            <v>146</v>
          </cell>
          <cell r="M83">
            <v>146</v>
          </cell>
          <cell r="N83">
            <v>67072800</v>
          </cell>
          <cell r="O83">
            <v>67674585</v>
          </cell>
          <cell r="P83">
            <v>66500165</v>
          </cell>
          <cell r="Q83">
            <v>12242839</v>
          </cell>
          <cell r="R83">
            <v>51437436</v>
          </cell>
          <cell r="S83" t="str">
            <v xml:space="preserve"> </v>
          </cell>
          <cell r="T83" t="str">
            <v xml:space="preserve"> </v>
          </cell>
          <cell r="U83">
            <v>807</v>
          </cell>
          <cell r="V83">
            <v>67674585</v>
          </cell>
          <cell r="W83">
            <v>146</v>
          </cell>
          <cell r="X83">
            <v>12242839</v>
          </cell>
          <cell r="Y83">
            <v>18.34</v>
          </cell>
          <cell r="Z83">
            <v>18.46</v>
          </cell>
          <cell r="AA83">
            <v>11907419</v>
          </cell>
          <cell r="AB83">
            <v>335420</v>
          </cell>
          <cell r="AC83">
            <v>14</v>
          </cell>
          <cell r="AD83">
            <v>2431795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2</v>
          </cell>
          <cell r="AL83">
            <v>251565</v>
          </cell>
          <cell r="AM83">
            <v>645</v>
          </cell>
          <cell r="AN83">
            <v>109430775</v>
          </cell>
          <cell r="AO83">
            <v>83841</v>
          </cell>
          <cell r="AP83">
            <v>83855</v>
          </cell>
          <cell r="AQ83">
            <v>398000</v>
          </cell>
          <cell r="AR83">
            <v>0</v>
          </cell>
          <cell r="AS83">
            <v>4.75</v>
          </cell>
          <cell r="AT83">
            <v>321186000</v>
          </cell>
          <cell r="AU83">
            <v>4.32</v>
          </cell>
          <cell r="AV83">
            <v>51410000</v>
          </cell>
          <cell r="AW83">
            <v>0.08</v>
          </cell>
          <cell r="AX83">
            <v>27436</v>
          </cell>
          <cell r="AY83">
            <v>18.34</v>
          </cell>
          <cell r="AZ83">
            <v>0</v>
          </cell>
          <cell r="BA83">
            <v>142</v>
          </cell>
          <cell r="BB83">
            <v>4</v>
          </cell>
          <cell r="BC83">
            <v>146</v>
          </cell>
          <cell r="BD83">
            <v>0</v>
          </cell>
          <cell r="BE83">
            <v>0</v>
          </cell>
          <cell r="BF83">
            <v>17</v>
          </cell>
          <cell r="BG83">
            <v>1</v>
          </cell>
          <cell r="BH83">
            <v>1</v>
          </cell>
          <cell r="BI83">
            <v>10</v>
          </cell>
          <cell r="BJ83">
            <v>6</v>
          </cell>
          <cell r="BK83">
            <v>-2</v>
          </cell>
          <cell r="BL83">
            <v>2</v>
          </cell>
          <cell r="BM83">
            <v>2</v>
          </cell>
          <cell r="BN83">
            <v>2</v>
          </cell>
          <cell r="BO83">
            <v>0</v>
          </cell>
          <cell r="BP83">
            <v>15</v>
          </cell>
          <cell r="BQ83">
            <v>2</v>
          </cell>
          <cell r="BR83">
            <v>2</v>
          </cell>
          <cell r="BS83">
            <v>9</v>
          </cell>
          <cell r="BT83">
            <v>1</v>
          </cell>
          <cell r="BU83">
            <v>1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1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1</v>
          </cell>
          <cell r="DL83">
            <v>0</v>
          </cell>
          <cell r="DM83">
            <v>41</v>
          </cell>
          <cell r="DN83">
            <v>1</v>
          </cell>
          <cell r="DO83">
            <v>4</v>
          </cell>
          <cell r="DP83">
            <v>6</v>
          </cell>
          <cell r="DQ83">
            <v>29</v>
          </cell>
          <cell r="DR83">
            <v>1</v>
          </cell>
          <cell r="DS83">
            <v>0</v>
          </cell>
          <cell r="DT83">
            <v>36</v>
          </cell>
          <cell r="DU83">
            <v>7</v>
          </cell>
          <cell r="DV83">
            <v>7</v>
          </cell>
          <cell r="DW83">
            <v>10</v>
          </cell>
          <cell r="DX83">
            <v>7</v>
          </cell>
          <cell r="DY83">
            <v>5</v>
          </cell>
          <cell r="DZ83">
            <v>0</v>
          </cell>
          <cell r="EA83">
            <v>24</v>
          </cell>
          <cell r="EB83">
            <v>4</v>
          </cell>
          <cell r="EC83">
            <v>8</v>
          </cell>
          <cell r="ED83">
            <v>8</v>
          </cell>
          <cell r="EE83">
            <v>2</v>
          </cell>
          <cell r="EF83">
            <v>2</v>
          </cell>
          <cell r="EG83">
            <v>0</v>
          </cell>
          <cell r="EH83">
            <v>19</v>
          </cell>
          <cell r="EI83">
            <v>2</v>
          </cell>
          <cell r="EJ83">
            <v>6</v>
          </cell>
          <cell r="EK83">
            <v>4</v>
          </cell>
          <cell r="EL83">
            <v>3</v>
          </cell>
          <cell r="EM83">
            <v>4</v>
          </cell>
          <cell r="EN83">
            <v>0</v>
          </cell>
          <cell r="EO83" t="str">
            <v xml:space="preserve">WOMANS GUSTAVUS JACKET                                      </v>
          </cell>
        </row>
        <row r="84">
          <cell r="A84" t="str">
            <v>CN3YL3855589</v>
          </cell>
          <cell r="B84" t="str">
            <v>CN3</v>
          </cell>
          <cell r="C84" t="str">
            <v>YL3855</v>
          </cell>
          <cell r="D84">
            <v>589</v>
          </cell>
          <cell r="E84" t="str">
            <v xml:space="preserve">   </v>
          </cell>
          <cell r="F84">
            <v>80813</v>
          </cell>
          <cell r="G84">
            <v>80818</v>
          </cell>
          <cell r="H84">
            <v>0</v>
          </cell>
          <cell r="I84">
            <v>1200</v>
          </cell>
          <cell r="J84">
            <v>1207</v>
          </cell>
          <cell r="K84">
            <v>1205</v>
          </cell>
          <cell r="L84">
            <v>523</v>
          </cell>
          <cell r="M84">
            <v>523</v>
          </cell>
          <cell r="N84">
            <v>100609200</v>
          </cell>
          <cell r="O84">
            <v>101218385</v>
          </cell>
          <cell r="P84">
            <v>101050297</v>
          </cell>
          <cell r="Q84">
            <v>43856264</v>
          </cell>
          <cell r="R84">
            <v>184148200</v>
          </cell>
          <cell r="S84" t="str">
            <v xml:space="preserve"> </v>
          </cell>
          <cell r="T84" t="str">
            <v xml:space="preserve"> </v>
          </cell>
          <cell r="U84">
            <v>1207</v>
          </cell>
          <cell r="V84">
            <v>101218385</v>
          </cell>
          <cell r="W84">
            <v>523</v>
          </cell>
          <cell r="X84">
            <v>43856264</v>
          </cell>
          <cell r="Y84">
            <v>43.33</v>
          </cell>
          <cell r="Z84">
            <v>43.33</v>
          </cell>
          <cell r="AA84">
            <v>43856264</v>
          </cell>
          <cell r="AB84">
            <v>0</v>
          </cell>
          <cell r="AC84">
            <v>2</v>
          </cell>
          <cell r="AD84">
            <v>1006260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682</v>
          </cell>
          <cell r="AN84">
            <v>115552190</v>
          </cell>
          <cell r="AO84">
            <v>83841</v>
          </cell>
          <cell r="AP84">
            <v>83855</v>
          </cell>
          <cell r="AQ84">
            <v>398000</v>
          </cell>
          <cell r="AR84">
            <v>0</v>
          </cell>
          <cell r="AS84">
            <v>4.75</v>
          </cell>
          <cell r="AT84">
            <v>480386000</v>
          </cell>
          <cell r="AU84">
            <v>4.2</v>
          </cell>
          <cell r="AV84">
            <v>184148200</v>
          </cell>
          <cell r="AW84">
            <v>0</v>
          </cell>
          <cell r="AX84">
            <v>0</v>
          </cell>
          <cell r="AY84">
            <v>43.33</v>
          </cell>
          <cell r="AZ84">
            <v>0</v>
          </cell>
          <cell r="BA84">
            <v>523</v>
          </cell>
          <cell r="BB84">
            <v>0</v>
          </cell>
          <cell r="BC84">
            <v>523</v>
          </cell>
          <cell r="BD84">
            <v>0</v>
          </cell>
          <cell r="BE84">
            <v>0</v>
          </cell>
          <cell r="BF84">
            <v>38</v>
          </cell>
          <cell r="BG84">
            <v>0</v>
          </cell>
          <cell r="BH84">
            <v>1</v>
          </cell>
          <cell r="BI84">
            <v>37</v>
          </cell>
          <cell r="BJ84">
            <v>9</v>
          </cell>
          <cell r="BK84">
            <v>15</v>
          </cell>
          <cell r="BL84">
            <v>7</v>
          </cell>
          <cell r="BM84">
            <v>4</v>
          </cell>
          <cell r="BN84">
            <v>2</v>
          </cell>
          <cell r="BO84">
            <v>0</v>
          </cell>
          <cell r="BP84">
            <v>22</v>
          </cell>
          <cell r="BQ84">
            <v>2</v>
          </cell>
          <cell r="BR84">
            <v>8</v>
          </cell>
          <cell r="BS84">
            <v>2</v>
          </cell>
          <cell r="BT84">
            <v>5</v>
          </cell>
          <cell r="BU84">
            <v>5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11</v>
          </cell>
          <cell r="DG84">
            <v>0</v>
          </cell>
          <cell r="DH84">
            <v>0</v>
          </cell>
          <cell r="DI84">
            <v>0</v>
          </cell>
          <cell r="DJ84">
            <v>3</v>
          </cell>
          <cell r="DK84">
            <v>8</v>
          </cell>
          <cell r="DL84">
            <v>0</v>
          </cell>
          <cell r="DM84">
            <v>124</v>
          </cell>
          <cell r="DN84">
            <v>16</v>
          </cell>
          <cell r="DO84">
            <v>10</v>
          </cell>
          <cell r="DP84">
            <v>13</v>
          </cell>
          <cell r="DQ84">
            <v>80</v>
          </cell>
          <cell r="DR84">
            <v>5</v>
          </cell>
          <cell r="DS84">
            <v>0</v>
          </cell>
          <cell r="DT84">
            <v>134</v>
          </cell>
          <cell r="DU84">
            <v>22</v>
          </cell>
          <cell r="DV84">
            <v>30</v>
          </cell>
          <cell r="DW84">
            <v>29</v>
          </cell>
          <cell r="DX84">
            <v>30</v>
          </cell>
          <cell r="DY84">
            <v>23</v>
          </cell>
          <cell r="DZ84">
            <v>0</v>
          </cell>
          <cell r="EA84">
            <v>158</v>
          </cell>
          <cell r="EB84">
            <v>26</v>
          </cell>
          <cell r="EC84">
            <v>81</v>
          </cell>
          <cell r="ED84">
            <v>17</v>
          </cell>
          <cell r="EE84">
            <v>17</v>
          </cell>
          <cell r="EF84">
            <v>17</v>
          </cell>
          <cell r="EG84">
            <v>0</v>
          </cell>
          <cell r="EH84">
            <v>37</v>
          </cell>
          <cell r="EI84">
            <v>7</v>
          </cell>
          <cell r="EJ84">
            <v>11</v>
          </cell>
          <cell r="EK84">
            <v>6</v>
          </cell>
          <cell r="EL84">
            <v>6</v>
          </cell>
          <cell r="EM84">
            <v>7</v>
          </cell>
          <cell r="EN84">
            <v>0</v>
          </cell>
          <cell r="EO84" t="str">
            <v xml:space="preserve">WOMANS GUSTAVUS JACKET                                      </v>
          </cell>
        </row>
        <row r="85">
          <cell r="A85" t="str">
            <v>CN3YL3855650</v>
          </cell>
          <cell r="B85" t="str">
            <v>CN3</v>
          </cell>
          <cell r="C85" t="str">
            <v>YL3855</v>
          </cell>
          <cell r="D85">
            <v>650</v>
          </cell>
          <cell r="E85" t="str">
            <v xml:space="preserve">   </v>
          </cell>
          <cell r="F85">
            <v>80813</v>
          </cell>
          <cell r="G85">
            <v>80818</v>
          </cell>
          <cell r="H85">
            <v>0</v>
          </cell>
          <cell r="I85">
            <v>1000</v>
          </cell>
          <cell r="J85">
            <v>997</v>
          </cell>
          <cell r="K85">
            <v>996</v>
          </cell>
          <cell r="L85">
            <v>471</v>
          </cell>
          <cell r="M85">
            <v>471</v>
          </cell>
          <cell r="N85">
            <v>83841000</v>
          </cell>
          <cell r="O85">
            <v>83607935</v>
          </cell>
          <cell r="P85">
            <v>83523522</v>
          </cell>
          <cell r="Q85">
            <v>39495777</v>
          </cell>
          <cell r="R85">
            <v>169740559</v>
          </cell>
          <cell r="S85" t="str">
            <v xml:space="preserve"> </v>
          </cell>
          <cell r="T85" t="str">
            <v xml:space="preserve"> </v>
          </cell>
          <cell r="U85">
            <v>997</v>
          </cell>
          <cell r="V85">
            <v>83607935</v>
          </cell>
          <cell r="W85">
            <v>471</v>
          </cell>
          <cell r="X85">
            <v>39495777</v>
          </cell>
          <cell r="Y85">
            <v>47.34</v>
          </cell>
          <cell r="Z85">
            <v>47.44</v>
          </cell>
          <cell r="AA85">
            <v>39411922</v>
          </cell>
          <cell r="AB85">
            <v>83855</v>
          </cell>
          <cell r="AC85">
            <v>1</v>
          </cell>
          <cell r="AD85">
            <v>83855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1</v>
          </cell>
          <cell r="AL85">
            <v>167710</v>
          </cell>
          <cell r="AM85">
            <v>524</v>
          </cell>
          <cell r="AN85">
            <v>91150385</v>
          </cell>
          <cell r="AO85">
            <v>83841</v>
          </cell>
          <cell r="AP85">
            <v>83855</v>
          </cell>
          <cell r="AQ85">
            <v>398000</v>
          </cell>
          <cell r="AR85">
            <v>0</v>
          </cell>
          <cell r="AS85">
            <v>4.75</v>
          </cell>
          <cell r="AT85">
            <v>396806000</v>
          </cell>
          <cell r="AU85">
            <v>4.3099999999999996</v>
          </cell>
          <cell r="AV85">
            <v>169733700</v>
          </cell>
          <cell r="AW85">
            <v>0.08</v>
          </cell>
          <cell r="AX85">
            <v>6859</v>
          </cell>
          <cell r="AY85">
            <v>47.34</v>
          </cell>
          <cell r="AZ85">
            <v>0</v>
          </cell>
          <cell r="BA85">
            <v>470</v>
          </cell>
          <cell r="BB85">
            <v>1</v>
          </cell>
          <cell r="BC85">
            <v>471</v>
          </cell>
          <cell r="BD85">
            <v>0</v>
          </cell>
          <cell r="BE85">
            <v>0</v>
          </cell>
          <cell r="BF85">
            <v>60</v>
          </cell>
          <cell r="BG85">
            <v>0</v>
          </cell>
          <cell r="BH85">
            <v>1</v>
          </cell>
          <cell r="BI85">
            <v>36</v>
          </cell>
          <cell r="BJ85">
            <v>7</v>
          </cell>
          <cell r="BK85">
            <v>8</v>
          </cell>
          <cell r="BL85">
            <v>8</v>
          </cell>
          <cell r="BM85">
            <v>9</v>
          </cell>
          <cell r="BN85">
            <v>4</v>
          </cell>
          <cell r="BO85">
            <v>0</v>
          </cell>
          <cell r="BP85">
            <v>38</v>
          </cell>
          <cell r="BQ85">
            <v>4</v>
          </cell>
          <cell r="BR85">
            <v>8</v>
          </cell>
          <cell r="BS85">
            <v>7</v>
          </cell>
          <cell r="BT85">
            <v>12</v>
          </cell>
          <cell r="BU85">
            <v>7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8</v>
          </cell>
          <cell r="DG85">
            <v>0</v>
          </cell>
          <cell r="DH85">
            <v>0</v>
          </cell>
          <cell r="DI85">
            <v>0</v>
          </cell>
          <cell r="DJ85">
            <v>3</v>
          </cell>
          <cell r="DK85">
            <v>5</v>
          </cell>
          <cell r="DL85">
            <v>0</v>
          </cell>
          <cell r="DM85">
            <v>104</v>
          </cell>
          <cell r="DN85">
            <v>10</v>
          </cell>
          <cell r="DO85">
            <v>10</v>
          </cell>
          <cell r="DP85">
            <v>11</v>
          </cell>
          <cell r="DQ85">
            <v>72</v>
          </cell>
          <cell r="DR85">
            <v>1</v>
          </cell>
          <cell r="DS85">
            <v>0</v>
          </cell>
          <cell r="DT85">
            <v>139</v>
          </cell>
          <cell r="DU85">
            <v>22</v>
          </cell>
          <cell r="DV85">
            <v>20</v>
          </cell>
          <cell r="DW85">
            <v>29</v>
          </cell>
          <cell r="DX85">
            <v>40</v>
          </cell>
          <cell r="DY85">
            <v>28</v>
          </cell>
          <cell r="DZ85">
            <v>0</v>
          </cell>
          <cell r="EA85">
            <v>108</v>
          </cell>
          <cell r="EB85">
            <v>22</v>
          </cell>
          <cell r="EC85">
            <v>38</v>
          </cell>
          <cell r="ED85">
            <v>29</v>
          </cell>
          <cell r="EE85">
            <v>16</v>
          </cell>
          <cell r="EF85">
            <v>3</v>
          </cell>
          <cell r="EG85">
            <v>0</v>
          </cell>
          <cell r="EH85">
            <v>38</v>
          </cell>
          <cell r="EI85">
            <v>6</v>
          </cell>
          <cell r="EJ85">
            <v>8</v>
          </cell>
          <cell r="EK85">
            <v>9</v>
          </cell>
          <cell r="EL85">
            <v>11</v>
          </cell>
          <cell r="EM85">
            <v>4</v>
          </cell>
          <cell r="EN85">
            <v>0</v>
          </cell>
          <cell r="EO85" t="str">
            <v xml:space="preserve">WOMANS GUSTAVUS JACKET                                      </v>
          </cell>
        </row>
        <row r="86">
          <cell r="A86" t="str">
            <v>CN3YL3856010</v>
          </cell>
          <cell r="B86" t="str">
            <v>CN3</v>
          </cell>
          <cell r="C86" t="str">
            <v>YL3856</v>
          </cell>
          <cell r="D86">
            <v>10</v>
          </cell>
          <cell r="E86" t="str">
            <v xml:space="preserve">   </v>
          </cell>
          <cell r="F86">
            <v>80916</v>
          </cell>
          <cell r="G86">
            <v>80917</v>
          </cell>
          <cell r="H86">
            <v>0</v>
          </cell>
          <cell r="I86">
            <v>600</v>
          </cell>
          <cell r="J86">
            <v>600</v>
          </cell>
          <cell r="K86">
            <v>600</v>
          </cell>
          <cell r="L86">
            <v>353</v>
          </cell>
          <cell r="M86">
            <v>353</v>
          </cell>
          <cell r="N86">
            <v>61650000</v>
          </cell>
          <cell r="O86">
            <v>61651200</v>
          </cell>
          <cell r="P86">
            <v>61651200</v>
          </cell>
          <cell r="Q86">
            <v>36271456</v>
          </cell>
          <cell r="R86">
            <v>151889500</v>
          </cell>
          <cell r="S86" t="str">
            <v xml:space="preserve"> </v>
          </cell>
          <cell r="T86" t="str">
            <v xml:space="preserve"> </v>
          </cell>
          <cell r="U86">
            <v>600</v>
          </cell>
          <cell r="V86">
            <v>61651200</v>
          </cell>
          <cell r="W86">
            <v>353</v>
          </cell>
          <cell r="X86">
            <v>36271456</v>
          </cell>
          <cell r="Y86">
            <v>58.83</v>
          </cell>
          <cell r="Z86">
            <v>58.83</v>
          </cell>
          <cell r="AA86">
            <v>36271456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247</v>
          </cell>
          <cell r="AN86">
            <v>52917280</v>
          </cell>
          <cell r="AO86">
            <v>102750</v>
          </cell>
          <cell r="AP86">
            <v>102752</v>
          </cell>
          <cell r="AQ86">
            <v>478000</v>
          </cell>
          <cell r="AR86">
            <v>0</v>
          </cell>
          <cell r="AS86">
            <v>4.6500000000000004</v>
          </cell>
          <cell r="AT86">
            <v>286800000</v>
          </cell>
          <cell r="AU86">
            <v>4.1900000000000004</v>
          </cell>
          <cell r="AV86">
            <v>151889500</v>
          </cell>
          <cell r="AW86">
            <v>0</v>
          </cell>
          <cell r="AX86">
            <v>0</v>
          </cell>
          <cell r="AY86">
            <v>58.83</v>
          </cell>
          <cell r="AZ86">
            <v>0</v>
          </cell>
          <cell r="BA86">
            <v>353</v>
          </cell>
          <cell r="BB86">
            <v>0</v>
          </cell>
          <cell r="BC86">
            <v>353</v>
          </cell>
          <cell r="BD86">
            <v>0</v>
          </cell>
          <cell r="BE86">
            <v>0</v>
          </cell>
          <cell r="BF86">
            <v>35</v>
          </cell>
          <cell r="BG86">
            <v>1</v>
          </cell>
          <cell r="BH86">
            <v>1</v>
          </cell>
          <cell r="BI86">
            <v>42</v>
          </cell>
          <cell r="BJ86">
            <v>10</v>
          </cell>
          <cell r="BK86">
            <v>14</v>
          </cell>
          <cell r="BL86">
            <v>5</v>
          </cell>
          <cell r="BM86">
            <v>5</v>
          </cell>
          <cell r="BN86">
            <v>8</v>
          </cell>
          <cell r="BO86">
            <v>0</v>
          </cell>
          <cell r="BP86">
            <v>21</v>
          </cell>
          <cell r="BQ86">
            <v>1</v>
          </cell>
          <cell r="BR86">
            <v>4</v>
          </cell>
          <cell r="BS86">
            <v>6</v>
          </cell>
          <cell r="BT86">
            <v>6</v>
          </cell>
          <cell r="BU86">
            <v>4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55</v>
          </cell>
          <cell r="DN86">
            <v>0</v>
          </cell>
          <cell r="DO86">
            <v>0</v>
          </cell>
          <cell r="DP86">
            <v>5</v>
          </cell>
          <cell r="DQ86">
            <v>48</v>
          </cell>
          <cell r="DR86">
            <v>2</v>
          </cell>
          <cell r="DS86">
            <v>0</v>
          </cell>
          <cell r="DT86">
            <v>73</v>
          </cell>
          <cell r="DU86">
            <v>8</v>
          </cell>
          <cell r="DV86">
            <v>11</v>
          </cell>
          <cell r="DW86">
            <v>9</v>
          </cell>
          <cell r="DX86">
            <v>20</v>
          </cell>
          <cell r="DY86">
            <v>25</v>
          </cell>
          <cell r="DZ86">
            <v>0</v>
          </cell>
          <cell r="EA86">
            <v>105</v>
          </cell>
          <cell r="EB86">
            <v>10</v>
          </cell>
          <cell r="EC86">
            <v>28</v>
          </cell>
          <cell r="ED86">
            <v>21</v>
          </cell>
          <cell r="EE86">
            <v>20</v>
          </cell>
          <cell r="EF86">
            <v>26</v>
          </cell>
          <cell r="EG86">
            <v>0</v>
          </cell>
          <cell r="EH86">
            <v>57</v>
          </cell>
          <cell r="EI86">
            <v>18</v>
          </cell>
          <cell r="EJ86">
            <v>5</v>
          </cell>
          <cell r="EK86">
            <v>5</v>
          </cell>
          <cell r="EL86">
            <v>18</v>
          </cell>
          <cell r="EM86">
            <v>11</v>
          </cell>
          <cell r="EN86">
            <v>0</v>
          </cell>
          <cell r="EO86" t="str">
            <v xml:space="preserve">Huron JKT                                                   </v>
          </cell>
        </row>
        <row r="87">
          <cell r="A87" t="str">
            <v>CN3YL3856586</v>
          </cell>
          <cell r="B87" t="str">
            <v>CN3</v>
          </cell>
          <cell r="C87" t="str">
            <v>YL3856</v>
          </cell>
          <cell r="D87">
            <v>586</v>
          </cell>
          <cell r="E87" t="str">
            <v xml:space="preserve">   </v>
          </cell>
          <cell r="F87">
            <v>80916</v>
          </cell>
          <cell r="G87">
            <v>80917</v>
          </cell>
          <cell r="H87">
            <v>0</v>
          </cell>
          <cell r="I87">
            <v>600</v>
          </cell>
          <cell r="J87">
            <v>601</v>
          </cell>
          <cell r="K87">
            <v>601</v>
          </cell>
          <cell r="L87">
            <v>290</v>
          </cell>
          <cell r="M87">
            <v>290</v>
          </cell>
          <cell r="N87">
            <v>61650000</v>
          </cell>
          <cell r="O87">
            <v>61753952</v>
          </cell>
          <cell r="P87">
            <v>61753952</v>
          </cell>
          <cell r="Q87">
            <v>29798080</v>
          </cell>
          <cell r="R87">
            <v>124513100</v>
          </cell>
          <cell r="S87" t="str">
            <v xml:space="preserve"> </v>
          </cell>
          <cell r="T87" t="str">
            <v xml:space="preserve"> </v>
          </cell>
          <cell r="U87">
            <v>601</v>
          </cell>
          <cell r="V87">
            <v>61753952</v>
          </cell>
          <cell r="W87">
            <v>290</v>
          </cell>
          <cell r="X87">
            <v>29798080</v>
          </cell>
          <cell r="Y87">
            <v>48.25</v>
          </cell>
          <cell r="Z87">
            <v>48.25</v>
          </cell>
          <cell r="AA87">
            <v>29798080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311</v>
          </cell>
          <cell r="AN87">
            <v>66891552</v>
          </cell>
          <cell r="AO87">
            <v>102750</v>
          </cell>
          <cell r="AP87">
            <v>102752</v>
          </cell>
          <cell r="AQ87">
            <v>478000</v>
          </cell>
          <cell r="AR87">
            <v>0</v>
          </cell>
          <cell r="AS87">
            <v>4.6500000000000004</v>
          </cell>
          <cell r="AT87">
            <v>287278000</v>
          </cell>
          <cell r="AU87">
            <v>4.18</v>
          </cell>
          <cell r="AV87">
            <v>124513100</v>
          </cell>
          <cell r="AW87">
            <v>0</v>
          </cell>
          <cell r="AX87">
            <v>0</v>
          </cell>
          <cell r="AY87">
            <v>48.25</v>
          </cell>
          <cell r="AZ87">
            <v>0</v>
          </cell>
          <cell r="BA87">
            <v>290</v>
          </cell>
          <cell r="BB87">
            <v>0</v>
          </cell>
          <cell r="BC87">
            <v>290</v>
          </cell>
          <cell r="BD87">
            <v>0</v>
          </cell>
          <cell r="BE87">
            <v>0</v>
          </cell>
          <cell r="BF87">
            <v>39</v>
          </cell>
          <cell r="BG87">
            <v>0</v>
          </cell>
          <cell r="BH87">
            <v>1</v>
          </cell>
          <cell r="BI87">
            <v>30</v>
          </cell>
          <cell r="BJ87">
            <v>9</v>
          </cell>
          <cell r="BK87">
            <v>5</v>
          </cell>
          <cell r="BL87">
            <v>8</v>
          </cell>
          <cell r="BM87">
            <v>4</v>
          </cell>
          <cell r="BN87">
            <v>4</v>
          </cell>
          <cell r="BO87">
            <v>0</v>
          </cell>
          <cell r="BP87">
            <v>29</v>
          </cell>
          <cell r="BQ87">
            <v>1</v>
          </cell>
          <cell r="BR87">
            <v>5</v>
          </cell>
          <cell r="BS87">
            <v>9</v>
          </cell>
          <cell r="BT87">
            <v>8</v>
          </cell>
          <cell r="BU87">
            <v>6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50</v>
          </cell>
          <cell r="DN87">
            <v>0</v>
          </cell>
          <cell r="DO87">
            <v>0</v>
          </cell>
          <cell r="DP87">
            <v>3</v>
          </cell>
          <cell r="DQ87">
            <v>47</v>
          </cell>
          <cell r="DR87">
            <v>0</v>
          </cell>
          <cell r="DS87">
            <v>0</v>
          </cell>
          <cell r="DT87">
            <v>69</v>
          </cell>
          <cell r="DU87">
            <v>10</v>
          </cell>
          <cell r="DV87">
            <v>24</v>
          </cell>
          <cell r="DW87">
            <v>13</v>
          </cell>
          <cell r="DX87">
            <v>10</v>
          </cell>
          <cell r="DY87">
            <v>12</v>
          </cell>
          <cell r="DZ87">
            <v>0</v>
          </cell>
          <cell r="EA87">
            <v>90</v>
          </cell>
          <cell r="EB87">
            <v>9</v>
          </cell>
          <cell r="EC87">
            <v>34</v>
          </cell>
          <cell r="ED87">
            <v>17</v>
          </cell>
          <cell r="EE87">
            <v>15</v>
          </cell>
          <cell r="EF87">
            <v>15</v>
          </cell>
          <cell r="EG87">
            <v>0</v>
          </cell>
          <cell r="EH87">
            <v>22</v>
          </cell>
          <cell r="EI87">
            <v>5</v>
          </cell>
          <cell r="EJ87">
            <v>5</v>
          </cell>
          <cell r="EK87">
            <v>1</v>
          </cell>
          <cell r="EL87">
            <v>9</v>
          </cell>
          <cell r="EM87">
            <v>2</v>
          </cell>
          <cell r="EN87">
            <v>0</v>
          </cell>
          <cell r="EO87" t="str">
            <v xml:space="preserve">Huron JKT                                                   </v>
          </cell>
        </row>
        <row r="88">
          <cell r="A88" t="str">
            <v>CN3YL3857010</v>
          </cell>
          <cell r="B88" t="str">
            <v>CN3</v>
          </cell>
          <cell r="C88" t="str">
            <v>YL3857</v>
          </cell>
          <cell r="D88">
            <v>10</v>
          </cell>
          <cell r="E88" t="str">
            <v xml:space="preserve">   </v>
          </cell>
          <cell r="F88">
            <v>80829</v>
          </cell>
          <cell r="G88">
            <v>80904</v>
          </cell>
          <cell r="H88">
            <v>0</v>
          </cell>
          <cell r="I88">
            <v>500</v>
          </cell>
          <cell r="J88">
            <v>505</v>
          </cell>
          <cell r="K88">
            <v>504</v>
          </cell>
          <cell r="L88">
            <v>158</v>
          </cell>
          <cell r="M88">
            <v>158</v>
          </cell>
          <cell r="N88">
            <v>54875000</v>
          </cell>
          <cell r="O88">
            <v>55430820</v>
          </cell>
          <cell r="P88">
            <v>55321056</v>
          </cell>
          <cell r="Q88">
            <v>17342712</v>
          </cell>
          <cell r="R88">
            <v>68367487</v>
          </cell>
          <cell r="S88" t="str">
            <v xml:space="preserve"> </v>
          </cell>
          <cell r="T88" t="str">
            <v xml:space="preserve"> </v>
          </cell>
          <cell r="U88">
            <v>505</v>
          </cell>
          <cell r="V88">
            <v>55430820</v>
          </cell>
          <cell r="W88">
            <v>158</v>
          </cell>
          <cell r="X88">
            <v>17342712</v>
          </cell>
          <cell r="Y88">
            <v>31.49</v>
          </cell>
          <cell r="Z88">
            <v>31.68</v>
          </cell>
          <cell r="AA88">
            <v>17342712</v>
          </cell>
          <cell r="AB88">
            <v>0</v>
          </cell>
          <cell r="AC88">
            <v>1</v>
          </cell>
          <cell r="AD88">
            <v>109764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1</v>
          </cell>
          <cell r="AJ88">
            <v>109764</v>
          </cell>
          <cell r="AK88">
            <v>1</v>
          </cell>
          <cell r="AL88">
            <v>219528</v>
          </cell>
          <cell r="AM88">
            <v>344</v>
          </cell>
          <cell r="AN88">
            <v>76176216</v>
          </cell>
          <cell r="AO88">
            <v>109750</v>
          </cell>
          <cell r="AP88">
            <v>109764</v>
          </cell>
          <cell r="AQ88">
            <v>498000</v>
          </cell>
          <cell r="AR88">
            <v>0</v>
          </cell>
          <cell r="AS88">
            <v>4.54</v>
          </cell>
          <cell r="AT88">
            <v>251490000</v>
          </cell>
          <cell r="AU88">
            <v>3.94</v>
          </cell>
          <cell r="AV88">
            <v>68367487</v>
          </cell>
          <cell r="AW88">
            <v>0</v>
          </cell>
          <cell r="AX88">
            <v>0</v>
          </cell>
          <cell r="AY88">
            <v>31.49</v>
          </cell>
          <cell r="AZ88">
            <v>0</v>
          </cell>
          <cell r="BA88">
            <v>158</v>
          </cell>
          <cell r="BB88">
            <v>0</v>
          </cell>
          <cell r="BC88">
            <v>158</v>
          </cell>
          <cell r="BD88">
            <v>0</v>
          </cell>
          <cell r="BE88">
            <v>0</v>
          </cell>
          <cell r="BF88">
            <v>22</v>
          </cell>
          <cell r="BG88">
            <v>1</v>
          </cell>
          <cell r="BH88">
            <v>1</v>
          </cell>
          <cell r="BI88">
            <v>9</v>
          </cell>
          <cell r="BJ88">
            <v>3</v>
          </cell>
          <cell r="BK88">
            <v>2</v>
          </cell>
          <cell r="BL88">
            <v>1</v>
          </cell>
          <cell r="BM88">
            <v>2</v>
          </cell>
          <cell r="BN88">
            <v>1</v>
          </cell>
          <cell r="BO88">
            <v>0</v>
          </cell>
          <cell r="BP88">
            <v>4</v>
          </cell>
          <cell r="BQ88">
            <v>0</v>
          </cell>
          <cell r="BR88">
            <v>3</v>
          </cell>
          <cell r="BS88">
            <v>1</v>
          </cell>
          <cell r="BT88">
            <v>-1</v>
          </cell>
          <cell r="BU88">
            <v>1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62</v>
          </cell>
          <cell r="DN88">
            <v>3</v>
          </cell>
          <cell r="DO88">
            <v>4</v>
          </cell>
          <cell r="DP88">
            <v>4</v>
          </cell>
          <cell r="DQ88">
            <v>50</v>
          </cell>
          <cell r="DR88">
            <v>1</v>
          </cell>
          <cell r="DS88">
            <v>0</v>
          </cell>
          <cell r="DT88">
            <v>30</v>
          </cell>
          <cell r="DU88">
            <v>10</v>
          </cell>
          <cell r="DV88">
            <v>9</v>
          </cell>
          <cell r="DW88">
            <v>5</v>
          </cell>
          <cell r="DX88">
            <v>0</v>
          </cell>
          <cell r="DY88">
            <v>6</v>
          </cell>
          <cell r="DZ88">
            <v>0</v>
          </cell>
          <cell r="EA88">
            <v>43</v>
          </cell>
          <cell r="EB88">
            <v>6</v>
          </cell>
          <cell r="EC88">
            <v>10</v>
          </cell>
          <cell r="ED88">
            <v>7</v>
          </cell>
          <cell r="EE88">
            <v>13</v>
          </cell>
          <cell r="EF88">
            <v>7</v>
          </cell>
          <cell r="EG88">
            <v>0</v>
          </cell>
          <cell r="EH88">
            <v>10</v>
          </cell>
          <cell r="EI88">
            <v>-1</v>
          </cell>
          <cell r="EJ88">
            <v>4</v>
          </cell>
          <cell r="EK88">
            <v>0</v>
          </cell>
          <cell r="EL88">
            <v>3</v>
          </cell>
          <cell r="EM88">
            <v>4</v>
          </cell>
          <cell r="EN88">
            <v>0</v>
          </cell>
          <cell r="EO88" t="str">
            <v xml:space="preserve">Womans Dunes City Jacket                                    </v>
          </cell>
        </row>
        <row r="89">
          <cell r="A89" t="str">
            <v>CN3YL3857552</v>
          </cell>
          <cell r="B89" t="str">
            <v>CN3</v>
          </cell>
          <cell r="C89" t="str">
            <v>YL3857</v>
          </cell>
          <cell r="D89">
            <v>552</v>
          </cell>
          <cell r="E89" t="str">
            <v xml:space="preserve">   </v>
          </cell>
          <cell r="F89">
            <v>80829</v>
          </cell>
          <cell r="G89">
            <v>80904</v>
          </cell>
          <cell r="H89">
            <v>0</v>
          </cell>
          <cell r="I89">
            <v>600</v>
          </cell>
          <cell r="J89">
            <v>598</v>
          </cell>
          <cell r="K89">
            <v>596</v>
          </cell>
          <cell r="L89">
            <v>299</v>
          </cell>
          <cell r="M89">
            <v>299</v>
          </cell>
          <cell r="N89">
            <v>65850000</v>
          </cell>
          <cell r="O89">
            <v>65638872</v>
          </cell>
          <cell r="P89">
            <v>65419344</v>
          </cell>
          <cell r="Q89">
            <v>32819436</v>
          </cell>
          <cell r="R89">
            <v>127040575</v>
          </cell>
          <cell r="S89" t="str">
            <v xml:space="preserve"> </v>
          </cell>
          <cell r="T89" t="str">
            <v xml:space="preserve"> </v>
          </cell>
          <cell r="U89">
            <v>598</v>
          </cell>
          <cell r="V89">
            <v>65638872</v>
          </cell>
          <cell r="W89">
            <v>299</v>
          </cell>
          <cell r="X89">
            <v>32819436</v>
          </cell>
          <cell r="Y89">
            <v>50</v>
          </cell>
          <cell r="Z89">
            <v>50</v>
          </cell>
          <cell r="AA89">
            <v>32709672</v>
          </cell>
          <cell r="AB89">
            <v>109764</v>
          </cell>
          <cell r="AC89">
            <v>2</v>
          </cell>
          <cell r="AD89">
            <v>219528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297</v>
          </cell>
          <cell r="AN89">
            <v>67285332</v>
          </cell>
          <cell r="AO89">
            <v>109750</v>
          </cell>
          <cell r="AP89">
            <v>109764</v>
          </cell>
          <cell r="AQ89">
            <v>498000</v>
          </cell>
          <cell r="AR89">
            <v>0</v>
          </cell>
          <cell r="AS89">
            <v>4.54</v>
          </cell>
          <cell r="AT89">
            <v>297804000</v>
          </cell>
          <cell r="AU89">
            <v>3.88</v>
          </cell>
          <cell r="AV89">
            <v>127033716</v>
          </cell>
          <cell r="AW89">
            <v>0.06</v>
          </cell>
          <cell r="AX89">
            <v>6859</v>
          </cell>
          <cell r="AY89">
            <v>50</v>
          </cell>
          <cell r="AZ89">
            <v>0</v>
          </cell>
          <cell r="BA89">
            <v>298</v>
          </cell>
          <cell r="BB89">
            <v>1</v>
          </cell>
          <cell r="BC89">
            <v>299</v>
          </cell>
          <cell r="BD89">
            <v>0</v>
          </cell>
          <cell r="BE89">
            <v>0</v>
          </cell>
          <cell r="BF89">
            <v>45</v>
          </cell>
          <cell r="BG89">
            <v>0</v>
          </cell>
          <cell r="BH89">
            <v>1</v>
          </cell>
          <cell r="BI89">
            <v>12</v>
          </cell>
          <cell r="BJ89">
            <v>2</v>
          </cell>
          <cell r="BK89">
            <v>3</v>
          </cell>
          <cell r="BL89">
            <v>2</v>
          </cell>
          <cell r="BM89">
            <v>2</v>
          </cell>
          <cell r="BN89">
            <v>3</v>
          </cell>
          <cell r="BO89">
            <v>0</v>
          </cell>
          <cell r="BP89">
            <v>17</v>
          </cell>
          <cell r="BQ89">
            <v>1</v>
          </cell>
          <cell r="BR89">
            <v>11</v>
          </cell>
          <cell r="BS89">
            <v>2</v>
          </cell>
          <cell r="BT89">
            <v>2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121</v>
          </cell>
          <cell r="DN89">
            <v>4</v>
          </cell>
          <cell r="DO89">
            <v>11</v>
          </cell>
          <cell r="DP89">
            <v>15</v>
          </cell>
          <cell r="DQ89">
            <v>88</v>
          </cell>
          <cell r="DR89">
            <v>3</v>
          </cell>
          <cell r="DS89">
            <v>0</v>
          </cell>
          <cell r="DT89">
            <v>83</v>
          </cell>
          <cell r="DU89">
            <v>14</v>
          </cell>
          <cell r="DV89">
            <v>24</v>
          </cell>
          <cell r="DW89">
            <v>18</v>
          </cell>
          <cell r="DX89">
            <v>15</v>
          </cell>
          <cell r="DY89">
            <v>12</v>
          </cell>
          <cell r="DZ89">
            <v>0</v>
          </cell>
          <cell r="EA89">
            <v>51</v>
          </cell>
          <cell r="EB89">
            <v>12</v>
          </cell>
          <cell r="EC89">
            <v>14</v>
          </cell>
          <cell r="ED89">
            <v>18</v>
          </cell>
          <cell r="EE89">
            <v>4</v>
          </cell>
          <cell r="EF89">
            <v>3</v>
          </cell>
          <cell r="EG89">
            <v>0</v>
          </cell>
          <cell r="EH89">
            <v>15</v>
          </cell>
          <cell r="EI89">
            <v>1</v>
          </cell>
          <cell r="EJ89">
            <v>5</v>
          </cell>
          <cell r="EK89">
            <v>4</v>
          </cell>
          <cell r="EL89">
            <v>3</v>
          </cell>
          <cell r="EM89">
            <v>2</v>
          </cell>
          <cell r="EN89">
            <v>0</v>
          </cell>
          <cell r="EO89" t="str">
            <v xml:space="preserve">Womans Dunes City Jacket                                    </v>
          </cell>
        </row>
        <row r="90">
          <cell r="A90" t="str">
            <v>CN3YL3857759</v>
          </cell>
          <cell r="B90" t="str">
            <v>CN3</v>
          </cell>
          <cell r="C90" t="str">
            <v>YL3857</v>
          </cell>
          <cell r="D90">
            <v>759</v>
          </cell>
          <cell r="E90" t="str">
            <v xml:space="preserve">   </v>
          </cell>
          <cell r="F90">
            <v>80829</v>
          </cell>
          <cell r="G90">
            <v>80904</v>
          </cell>
          <cell r="H90">
            <v>0</v>
          </cell>
          <cell r="I90">
            <v>350</v>
          </cell>
          <cell r="J90">
            <v>350</v>
          </cell>
          <cell r="K90">
            <v>350</v>
          </cell>
          <cell r="L90">
            <v>163</v>
          </cell>
          <cell r="M90">
            <v>163</v>
          </cell>
          <cell r="N90">
            <v>38412500</v>
          </cell>
          <cell r="O90">
            <v>38417400</v>
          </cell>
          <cell r="P90">
            <v>38417400</v>
          </cell>
          <cell r="Q90">
            <v>17891532</v>
          </cell>
          <cell r="R90">
            <v>71156459</v>
          </cell>
          <cell r="S90" t="str">
            <v xml:space="preserve"> </v>
          </cell>
          <cell r="T90" t="str">
            <v xml:space="preserve"> </v>
          </cell>
          <cell r="U90">
            <v>350</v>
          </cell>
          <cell r="V90">
            <v>38417400</v>
          </cell>
          <cell r="W90">
            <v>163</v>
          </cell>
          <cell r="X90">
            <v>17891532</v>
          </cell>
          <cell r="Y90">
            <v>46.57</v>
          </cell>
          <cell r="Z90">
            <v>46.57</v>
          </cell>
          <cell r="AA90">
            <v>17781768</v>
          </cell>
          <cell r="AB90">
            <v>109764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187</v>
          </cell>
          <cell r="AN90">
            <v>42368904</v>
          </cell>
          <cell r="AO90">
            <v>109750</v>
          </cell>
          <cell r="AP90">
            <v>109764</v>
          </cell>
          <cell r="AQ90">
            <v>498000</v>
          </cell>
          <cell r="AR90">
            <v>0</v>
          </cell>
          <cell r="AS90">
            <v>4.54</v>
          </cell>
          <cell r="AT90">
            <v>174300000</v>
          </cell>
          <cell r="AU90">
            <v>4</v>
          </cell>
          <cell r="AV90">
            <v>71149600</v>
          </cell>
          <cell r="AW90">
            <v>0.06</v>
          </cell>
          <cell r="AX90">
            <v>6859</v>
          </cell>
          <cell r="AY90">
            <v>46.57</v>
          </cell>
          <cell r="AZ90">
            <v>0</v>
          </cell>
          <cell r="BA90">
            <v>162</v>
          </cell>
          <cell r="BB90">
            <v>1</v>
          </cell>
          <cell r="BC90">
            <v>163</v>
          </cell>
          <cell r="BD90">
            <v>0</v>
          </cell>
          <cell r="BE90">
            <v>0</v>
          </cell>
          <cell r="BF90">
            <v>22</v>
          </cell>
          <cell r="BG90">
            <v>0</v>
          </cell>
          <cell r="BH90">
            <v>1</v>
          </cell>
          <cell r="BI90">
            <v>11</v>
          </cell>
          <cell r="BJ90">
            <v>1</v>
          </cell>
          <cell r="BK90">
            <v>4</v>
          </cell>
          <cell r="BL90">
            <v>3</v>
          </cell>
          <cell r="BM90">
            <v>2</v>
          </cell>
          <cell r="BN90">
            <v>1</v>
          </cell>
          <cell r="BO90">
            <v>0</v>
          </cell>
          <cell r="BP90">
            <v>12</v>
          </cell>
          <cell r="BQ90">
            <v>1</v>
          </cell>
          <cell r="BR90">
            <v>6</v>
          </cell>
          <cell r="BS90">
            <v>3</v>
          </cell>
          <cell r="BT90">
            <v>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45</v>
          </cell>
          <cell r="DN90">
            <v>0</v>
          </cell>
          <cell r="DO90">
            <v>1</v>
          </cell>
          <cell r="DP90">
            <v>5</v>
          </cell>
          <cell r="DQ90">
            <v>37</v>
          </cell>
          <cell r="DR90">
            <v>2</v>
          </cell>
          <cell r="DS90">
            <v>0</v>
          </cell>
          <cell r="DT90">
            <v>49</v>
          </cell>
          <cell r="DU90">
            <v>7</v>
          </cell>
          <cell r="DV90">
            <v>8</v>
          </cell>
          <cell r="DW90">
            <v>16</v>
          </cell>
          <cell r="DX90">
            <v>9</v>
          </cell>
          <cell r="DY90">
            <v>9</v>
          </cell>
          <cell r="DZ90">
            <v>0</v>
          </cell>
          <cell r="EA90">
            <v>35</v>
          </cell>
          <cell r="EB90">
            <v>8</v>
          </cell>
          <cell r="EC90">
            <v>12</v>
          </cell>
          <cell r="ED90">
            <v>7</v>
          </cell>
          <cell r="EE90">
            <v>2</v>
          </cell>
          <cell r="EF90">
            <v>6</v>
          </cell>
          <cell r="EG90">
            <v>0</v>
          </cell>
          <cell r="EH90">
            <v>11</v>
          </cell>
          <cell r="EI90">
            <v>1</v>
          </cell>
          <cell r="EJ90">
            <v>2</v>
          </cell>
          <cell r="EK90">
            <v>5</v>
          </cell>
          <cell r="EL90">
            <v>1</v>
          </cell>
          <cell r="EM90">
            <v>2</v>
          </cell>
          <cell r="EN90">
            <v>0</v>
          </cell>
          <cell r="EO90" t="str">
            <v xml:space="preserve">Womans Dunes City Jacket                                    </v>
          </cell>
        </row>
        <row r="91">
          <cell r="A91" t="str">
            <v>CN3YL3860010</v>
          </cell>
          <cell r="B91" t="str">
            <v>CN3</v>
          </cell>
          <cell r="C91" t="str">
            <v>YL3860</v>
          </cell>
          <cell r="D91">
            <v>10</v>
          </cell>
          <cell r="E91" t="str">
            <v xml:space="preserve">   </v>
          </cell>
          <cell r="F91">
            <v>80916</v>
          </cell>
          <cell r="G91">
            <v>80918</v>
          </cell>
          <cell r="H91">
            <v>81203</v>
          </cell>
          <cell r="I91">
            <v>300</v>
          </cell>
          <cell r="J91">
            <v>298</v>
          </cell>
          <cell r="K91">
            <v>278</v>
          </cell>
          <cell r="L91">
            <v>62</v>
          </cell>
          <cell r="M91">
            <v>62</v>
          </cell>
          <cell r="N91">
            <v>31515000</v>
          </cell>
          <cell r="O91">
            <v>31297152</v>
          </cell>
          <cell r="P91">
            <v>29196672</v>
          </cell>
          <cell r="Q91">
            <v>6511488</v>
          </cell>
          <cell r="R91">
            <v>18524609</v>
          </cell>
          <cell r="S91" t="str">
            <v>*</v>
          </cell>
          <cell r="T91" t="str">
            <v xml:space="preserve"> </v>
          </cell>
          <cell r="U91">
            <v>298</v>
          </cell>
          <cell r="V91">
            <v>31297152</v>
          </cell>
          <cell r="W91">
            <v>62</v>
          </cell>
          <cell r="X91">
            <v>6511488</v>
          </cell>
          <cell r="Y91">
            <v>20.81</v>
          </cell>
          <cell r="Z91">
            <v>20.81</v>
          </cell>
          <cell r="AA91">
            <v>5041152</v>
          </cell>
          <cell r="AB91">
            <v>1470336</v>
          </cell>
          <cell r="AC91">
            <v>20</v>
          </cell>
          <cell r="AD91">
            <v>2835648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216</v>
          </cell>
          <cell r="AN91">
            <v>47470848</v>
          </cell>
          <cell r="AO91">
            <v>105050</v>
          </cell>
          <cell r="AP91">
            <v>105024</v>
          </cell>
          <cell r="AQ91">
            <v>398000</v>
          </cell>
          <cell r="AR91">
            <v>279000</v>
          </cell>
          <cell r="AS91">
            <v>3.79</v>
          </cell>
          <cell r="AT91">
            <v>118604000</v>
          </cell>
          <cell r="AU91">
            <v>2.96</v>
          </cell>
          <cell r="AV91">
            <v>14904700</v>
          </cell>
          <cell r="AW91">
            <v>2.46</v>
          </cell>
          <cell r="AX91">
            <v>3619909</v>
          </cell>
          <cell r="AY91">
            <v>20.81</v>
          </cell>
          <cell r="AZ91">
            <v>0</v>
          </cell>
          <cell r="BA91">
            <v>48</v>
          </cell>
          <cell r="BB91">
            <v>14</v>
          </cell>
          <cell r="BC91">
            <v>62</v>
          </cell>
          <cell r="BD91">
            <v>0</v>
          </cell>
          <cell r="BE91">
            <v>0</v>
          </cell>
          <cell r="BF91">
            <v>13</v>
          </cell>
          <cell r="BG91">
            <v>1</v>
          </cell>
          <cell r="BH91">
            <v>1</v>
          </cell>
          <cell r="BI91">
            <v>-3</v>
          </cell>
          <cell r="BJ91">
            <v>1</v>
          </cell>
          <cell r="BK91">
            <v>3</v>
          </cell>
          <cell r="BL91">
            <v>-4</v>
          </cell>
          <cell r="BM91">
            <v>-3</v>
          </cell>
          <cell r="BN91">
            <v>0</v>
          </cell>
          <cell r="BO91">
            <v>0</v>
          </cell>
          <cell r="BP91">
            <v>7</v>
          </cell>
          <cell r="BQ91">
            <v>0</v>
          </cell>
          <cell r="BR91">
            <v>1</v>
          </cell>
          <cell r="BS91">
            <v>2</v>
          </cell>
          <cell r="BT91">
            <v>0</v>
          </cell>
          <cell r="BU91">
            <v>4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24</v>
          </cell>
          <cell r="DN91">
            <v>0</v>
          </cell>
          <cell r="DO91">
            <v>0</v>
          </cell>
          <cell r="DP91">
            <v>0</v>
          </cell>
          <cell r="DQ91">
            <v>24</v>
          </cell>
          <cell r="DR91">
            <v>0</v>
          </cell>
          <cell r="DS91">
            <v>0</v>
          </cell>
          <cell r="DT91">
            <v>12</v>
          </cell>
          <cell r="DU91">
            <v>5</v>
          </cell>
          <cell r="DV91">
            <v>2</v>
          </cell>
          <cell r="DW91">
            <v>3</v>
          </cell>
          <cell r="DX91">
            <v>2</v>
          </cell>
          <cell r="DY91">
            <v>0</v>
          </cell>
          <cell r="DZ91">
            <v>0</v>
          </cell>
          <cell r="EA91">
            <v>7</v>
          </cell>
          <cell r="EB91">
            <v>1</v>
          </cell>
          <cell r="EC91">
            <v>2</v>
          </cell>
          <cell r="ED91">
            <v>3</v>
          </cell>
          <cell r="EE91">
            <v>1</v>
          </cell>
          <cell r="EF91">
            <v>0</v>
          </cell>
          <cell r="EG91">
            <v>0</v>
          </cell>
          <cell r="EH91">
            <v>15</v>
          </cell>
          <cell r="EI91">
            <v>1</v>
          </cell>
          <cell r="EJ91">
            <v>2</v>
          </cell>
          <cell r="EK91">
            <v>2</v>
          </cell>
          <cell r="EL91">
            <v>3</v>
          </cell>
          <cell r="EM91">
            <v>7</v>
          </cell>
          <cell r="EN91">
            <v>0</v>
          </cell>
          <cell r="EO91" t="str">
            <v xml:space="preserve">Womans Fernwood Jacket                                      </v>
          </cell>
        </row>
        <row r="92">
          <cell r="A92" t="str">
            <v>CN3YL3862007</v>
          </cell>
          <cell r="B92" t="str">
            <v>CN3</v>
          </cell>
          <cell r="C92" t="str">
            <v>YL3862</v>
          </cell>
          <cell r="D92">
            <v>7</v>
          </cell>
          <cell r="E92" t="str">
            <v xml:space="preserve">   </v>
          </cell>
          <cell r="F92">
            <v>80820</v>
          </cell>
          <cell r="G92">
            <v>80821</v>
          </cell>
          <cell r="H92">
            <v>0</v>
          </cell>
          <cell r="I92">
            <v>700</v>
          </cell>
          <cell r="J92">
            <v>685</v>
          </cell>
          <cell r="K92">
            <v>685</v>
          </cell>
          <cell r="L92">
            <v>685</v>
          </cell>
          <cell r="M92">
            <v>685</v>
          </cell>
          <cell r="N92">
            <v>21479500</v>
          </cell>
          <cell r="O92">
            <v>21163760</v>
          </cell>
          <cell r="P92">
            <v>21163760</v>
          </cell>
          <cell r="Q92">
            <v>21163760</v>
          </cell>
          <cell r="R92">
            <v>87701112</v>
          </cell>
          <cell r="S92" t="str">
            <v xml:space="preserve"> </v>
          </cell>
          <cell r="T92" t="str">
            <v>C</v>
          </cell>
          <cell r="U92">
            <v>685</v>
          </cell>
          <cell r="V92">
            <v>21163760</v>
          </cell>
          <cell r="W92">
            <v>685</v>
          </cell>
          <cell r="X92">
            <v>21163760</v>
          </cell>
          <cell r="Y92">
            <v>100</v>
          </cell>
          <cell r="Z92">
            <v>100</v>
          </cell>
          <cell r="AA92">
            <v>21132864</v>
          </cell>
          <cell r="AB92">
            <v>30896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61792</v>
          </cell>
          <cell r="AO92">
            <v>30685</v>
          </cell>
          <cell r="AP92">
            <v>30896</v>
          </cell>
          <cell r="AQ92">
            <v>138000</v>
          </cell>
          <cell r="AR92">
            <v>0</v>
          </cell>
          <cell r="AS92">
            <v>4.47</v>
          </cell>
          <cell r="AT92">
            <v>94530000</v>
          </cell>
          <cell r="AU92">
            <v>4.1500000000000004</v>
          </cell>
          <cell r="AV92">
            <v>87694253</v>
          </cell>
          <cell r="AW92">
            <v>0.22</v>
          </cell>
          <cell r="AX92">
            <v>6859</v>
          </cell>
          <cell r="AY92">
            <v>100</v>
          </cell>
          <cell r="AZ92">
            <v>0</v>
          </cell>
          <cell r="BA92">
            <v>684</v>
          </cell>
          <cell r="BB92">
            <v>1</v>
          </cell>
          <cell r="BC92">
            <v>685</v>
          </cell>
          <cell r="BD92">
            <v>0</v>
          </cell>
          <cell r="BE92">
            <v>0</v>
          </cell>
          <cell r="BF92">
            <v>2</v>
          </cell>
          <cell r="BG92">
            <v>1</v>
          </cell>
          <cell r="BH92">
            <v>1</v>
          </cell>
          <cell r="BI92">
            <v>-2</v>
          </cell>
          <cell r="BJ92">
            <v>0</v>
          </cell>
          <cell r="BK92">
            <v>0</v>
          </cell>
          <cell r="BL92">
            <v>0</v>
          </cell>
          <cell r="BM92">
            <v>-2</v>
          </cell>
          <cell r="BN92">
            <v>0</v>
          </cell>
          <cell r="BO92">
            <v>0</v>
          </cell>
          <cell r="BP92">
            <v>2</v>
          </cell>
          <cell r="BQ92">
            <v>0</v>
          </cell>
          <cell r="BR92">
            <v>2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55</v>
          </cell>
          <cell r="DG92">
            <v>0</v>
          </cell>
          <cell r="DH92">
            <v>0</v>
          </cell>
          <cell r="DI92">
            <v>0</v>
          </cell>
          <cell r="DJ92">
            <v>12</v>
          </cell>
          <cell r="DK92">
            <v>43</v>
          </cell>
          <cell r="DL92">
            <v>0</v>
          </cell>
          <cell r="DM92">
            <v>314</v>
          </cell>
          <cell r="DN92">
            <v>50</v>
          </cell>
          <cell r="DO92">
            <v>30</v>
          </cell>
          <cell r="DP92">
            <v>61</v>
          </cell>
          <cell r="DQ92">
            <v>159</v>
          </cell>
          <cell r="DR92">
            <v>14</v>
          </cell>
          <cell r="DS92">
            <v>0</v>
          </cell>
          <cell r="DT92">
            <v>142</v>
          </cell>
          <cell r="DU92">
            <v>31</v>
          </cell>
          <cell r="DV92">
            <v>43</v>
          </cell>
          <cell r="DW92">
            <v>39</v>
          </cell>
          <cell r="DX92">
            <v>17</v>
          </cell>
          <cell r="DY92">
            <v>12</v>
          </cell>
          <cell r="DZ92">
            <v>0</v>
          </cell>
          <cell r="EA92">
            <v>17</v>
          </cell>
          <cell r="EB92">
            <v>2</v>
          </cell>
          <cell r="EC92">
            <v>22</v>
          </cell>
          <cell r="ED92">
            <v>2</v>
          </cell>
          <cell r="EE92">
            <v>-5</v>
          </cell>
          <cell r="EF92">
            <v>-4</v>
          </cell>
          <cell r="EG92">
            <v>0</v>
          </cell>
          <cell r="EH92">
            <v>157</v>
          </cell>
          <cell r="EI92">
            <v>-1</v>
          </cell>
          <cell r="EJ92">
            <v>156</v>
          </cell>
          <cell r="EK92">
            <v>2</v>
          </cell>
          <cell r="EL92">
            <v>0</v>
          </cell>
          <cell r="EM92">
            <v>0</v>
          </cell>
          <cell r="EN92">
            <v>0</v>
          </cell>
          <cell r="EO92" t="str">
            <v xml:space="preserve">WOMNS PILOT STATION JACKET                                  </v>
          </cell>
        </row>
        <row r="93">
          <cell r="A93" t="str">
            <v>CN3YL3862261</v>
          </cell>
          <cell r="B93" t="str">
            <v>CN3</v>
          </cell>
          <cell r="C93" t="str">
            <v>YL3862</v>
          </cell>
          <cell r="D93">
            <v>261</v>
          </cell>
          <cell r="E93" t="str">
            <v xml:space="preserve">   </v>
          </cell>
          <cell r="F93">
            <v>80818</v>
          </cell>
          <cell r="G93">
            <v>80821</v>
          </cell>
          <cell r="H93">
            <v>0</v>
          </cell>
          <cell r="I93">
            <v>500</v>
          </cell>
          <cell r="J93">
            <v>484</v>
          </cell>
          <cell r="K93">
            <v>484</v>
          </cell>
          <cell r="L93">
            <v>402</v>
          </cell>
          <cell r="M93">
            <v>402</v>
          </cell>
          <cell r="N93">
            <v>15342500</v>
          </cell>
          <cell r="O93">
            <v>14953664</v>
          </cell>
          <cell r="P93">
            <v>14953664</v>
          </cell>
          <cell r="Q93">
            <v>12420192</v>
          </cell>
          <cell r="R93">
            <v>49481818</v>
          </cell>
          <cell r="S93" t="str">
            <v xml:space="preserve"> </v>
          </cell>
          <cell r="T93" t="str">
            <v xml:space="preserve"> </v>
          </cell>
          <cell r="U93">
            <v>484</v>
          </cell>
          <cell r="V93">
            <v>14953664</v>
          </cell>
          <cell r="W93">
            <v>402</v>
          </cell>
          <cell r="X93">
            <v>12420192</v>
          </cell>
          <cell r="Y93">
            <v>83.06</v>
          </cell>
          <cell r="Z93">
            <v>83.06</v>
          </cell>
          <cell r="AA93">
            <v>12358400</v>
          </cell>
          <cell r="AB93">
            <v>61792</v>
          </cell>
          <cell r="AC93">
            <v>0</v>
          </cell>
          <cell r="AD93">
            <v>154480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82</v>
          </cell>
          <cell r="AN93">
            <v>5839344</v>
          </cell>
          <cell r="AO93">
            <v>30685</v>
          </cell>
          <cell r="AP93">
            <v>30896</v>
          </cell>
          <cell r="AQ93">
            <v>138000</v>
          </cell>
          <cell r="AR93">
            <v>0</v>
          </cell>
          <cell r="AS93">
            <v>4.47</v>
          </cell>
          <cell r="AT93">
            <v>66792000</v>
          </cell>
          <cell r="AU93">
            <v>4</v>
          </cell>
          <cell r="AV93">
            <v>49468100</v>
          </cell>
          <cell r="AW93">
            <v>0.22</v>
          </cell>
          <cell r="AX93">
            <v>13718</v>
          </cell>
          <cell r="AY93">
            <v>83.06</v>
          </cell>
          <cell r="AZ93">
            <v>0</v>
          </cell>
          <cell r="BA93">
            <v>400</v>
          </cell>
          <cell r="BB93">
            <v>2</v>
          </cell>
          <cell r="BC93">
            <v>402</v>
          </cell>
          <cell r="BD93">
            <v>0</v>
          </cell>
          <cell r="BE93">
            <v>0</v>
          </cell>
          <cell r="BF93">
            <v>42</v>
          </cell>
          <cell r="BG93">
            <v>0</v>
          </cell>
          <cell r="BH93">
            <v>1</v>
          </cell>
          <cell r="BI93">
            <v>5</v>
          </cell>
          <cell r="BJ93">
            <v>0</v>
          </cell>
          <cell r="BK93">
            <v>0</v>
          </cell>
          <cell r="BL93">
            <v>3</v>
          </cell>
          <cell r="BM93">
            <v>2</v>
          </cell>
          <cell r="BN93">
            <v>0</v>
          </cell>
          <cell r="BO93">
            <v>0</v>
          </cell>
          <cell r="BP93">
            <v>30</v>
          </cell>
          <cell r="BQ93">
            <v>0</v>
          </cell>
          <cell r="BR93">
            <v>11</v>
          </cell>
          <cell r="BS93">
            <v>9</v>
          </cell>
          <cell r="BT93">
            <v>5</v>
          </cell>
          <cell r="BU93">
            <v>5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61</v>
          </cell>
          <cell r="DG93">
            <v>0</v>
          </cell>
          <cell r="DH93">
            <v>0</v>
          </cell>
          <cell r="DI93">
            <v>0</v>
          </cell>
          <cell r="DJ93">
            <v>17</v>
          </cell>
          <cell r="DK93">
            <v>44</v>
          </cell>
          <cell r="DL93">
            <v>0</v>
          </cell>
          <cell r="DM93">
            <v>226</v>
          </cell>
          <cell r="DN93">
            <v>32</v>
          </cell>
          <cell r="DO93">
            <v>29</v>
          </cell>
          <cell r="DP93">
            <v>40</v>
          </cell>
          <cell r="DQ93">
            <v>115</v>
          </cell>
          <cell r="DR93">
            <v>10</v>
          </cell>
          <cell r="DS93">
            <v>0</v>
          </cell>
          <cell r="DT93">
            <v>93</v>
          </cell>
          <cell r="DU93">
            <v>20</v>
          </cell>
          <cell r="DV93">
            <v>24</v>
          </cell>
          <cell r="DW93">
            <v>21</v>
          </cell>
          <cell r="DX93">
            <v>10</v>
          </cell>
          <cell r="DY93">
            <v>18</v>
          </cell>
          <cell r="DZ93">
            <v>0</v>
          </cell>
          <cell r="EA93">
            <v>-11</v>
          </cell>
          <cell r="EB93">
            <v>2</v>
          </cell>
          <cell r="EC93">
            <v>2</v>
          </cell>
          <cell r="ED93">
            <v>-7</v>
          </cell>
          <cell r="EE93">
            <v>-4</v>
          </cell>
          <cell r="EF93">
            <v>-4</v>
          </cell>
          <cell r="EG93">
            <v>0</v>
          </cell>
          <cell r="EH93">
            <v>-2</v>
          </cell>
          <cell r="EI93">
            <v>-3</v>
          </cell>
          <cell r="EJ93">
            <v>2</v>
          </cell>
          <cell r="EK93">
            <v>-1</v>
          </cell>
          <cell r="EL93">
            <v>0</v>
          </cell>
          <cell r="EM93">
            <v>0</v>
          </cell>
          <cell r="EN93">
            <v>0</v>
          </cell>
          <cell r="EO93" t="str">
            <v xml:space="preserve">WOMNS PILOT STATION JACKET                                  </v>
          </cell>
        </row>
        <row r="94">
          <cell r="A94" t="str">
            <v>CN3YL3862529</v>
          </cell>
          <cell r="B94" t="str">
            <v>CN3</v>
          </cell>
          <cell r="C94" t="str">
            <v>YL3862</v>
          </cell>
          <cell r="D94">
            <v>529</v>
          </cell>
          <cell r="E94" t="str">
            <v xml:space="preserve">   </v>
          </cell>
          <cell r="F94">
            <v>80818</v>
          </cell>
          <cell r="G94">
            <v>80821</v>
          </cell>
          <cell r="H94">
            <v>0</v>
          </cell>
          <cell r="I94">
            <v>600</v>
          </cell>
          <cell r="J94">
            <v>572</v>
          </cell>
          <cell r="K94">
            <v>572</v>
          </cell>
          <cell r="L94">
            <v>571</v>
          </cell>
          <cell r="M94">
            <v>571</v>
          </cell>
          <cell r="N94">
            <v>18411000</v>
          </cell>
          <cell r="O94">
            <v>17672512</v>
          </cell>
          <cell r="P94">
            <v>17672512</v>
          </cell>
          <cell r="Q94">
            <v>17641616</v>
          </cell>
          <cell r="R94">
            <v>72249814</v>
          </cell>
          <cell r="S94" t="str">
            <v xml:space="preserve"> </v>
          </cell>
          <cell r="T94" t="str">
            <v>C</v>
          </cell>
          <cell r="U94">
            <v>572</v>
          </cell>
          <cell r="V94">
            <v>17672512</v>
          </cell>
          <cell r="W94">
            <v>571</v>
          </cell>
          <cell r="X94">
            <v>17641616</v>
          </cell>
          <cell r="Y94">
            <v>99.83</v>
          </cell>
          <cell r="Z94">
            <v>99.83</v>
          </cell>
          <cell r="AA94">
            <v>17641616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1</v>
          </cell>
          <cell r="AN94">
            <v>92688</v>
          </cell>
          <cell r="AO94">
            <v>30685</v>
          </cell>
          <cell r="AP94">
            <v>30896</v>
          </cell>
          <cell r="AQ94">
            <v>138000</v>
          </cell>
          <cell r="AR94">
            <v>0</v>
          </cell>
          <cell r="AS94">
            <v>4.47</v>
          </cell>
          <cell r="AT94">
            <v>78936000</v>
          </cell>
          <cell r="AU94">
            <v>4.0999999999999996</v>
          </cell>
          <cell r="AV94">
            <v>72249814</v>
          </cell>
          <cell r="AW94">
            <v>0</v>
          </cell>
          <cell r="AX94">
            <v>0</v>
          </cell>
          <cell r="AY94">
            <v>99.83</v>
          </cell>
          <cell r="AZ94">
            <v>0</v>
          </cell>
          <cell r="BA94">
            <v>571</v>
          </cell>
          <cell r="BB94">
            <v>0</v>
          </cell>
          <cell r="BC94">
            <v>571</v>
          </cell>
          <cell r="BD94">
            <v>0</v>
          </cell>
          <cell r="BE94">
            <v>0</v>
          </cell>
          <cell r="BF94">
            <v>3</v>
          </cell>
          <cell r="BG94">
            <v>0</v>
          </cell>
          <cell r="BH94">
            <v>1</v>
          </cell>
          <cell r="BI94">
            <v>-1</v>
          </cell>
          <cell r="BJ94">
            <v>0</v>
          </cell>
          <cell r="BK94">
            <v>0</v>
          </cell>
          <cell r="BL94">
            <v>0</v>
          </cell>
          <cell r="BM94">
            <v>-1</v>
          </cell>
          <cell r="BN94">
            <v>0</v>
          </cell>
          <cell r="BO94">
            <v>0</v>
          </cell>
          <cell r="BP94">
            <v>1</v>
          </cell>
          <cell r="BQ94">
            <v>0</v>
          </cell>
          <cell r="BR94">
            <v>0</v>
          </cell>
          <cell r="BS94">
            <v>1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88</v>
          </cell>
          <cell r="DG94">
            <v>0</v>
          </cell>
          <cell r="DH94">
            <v>0</v>
          </cell>
          <cell r="DI94">
            <v>0</v>
          </cell>
          <cell r="DJ94">
            <v>26</v>
          </cell>
          <cell r="DK94">
            <v>62</v>
          </cell>
          <cell r="DL94">
            <v>0</v>
          </cell>
          <cell r="DM94">
            <v>274</v>
          </cell>
          <cell r="DN94">
            <v>61</v>
          </cell>
          <cell r="DO94">
            <v>35</v>
          </cell>
          <cell r="DP94">
            <v>50</v>
          </cell>
          <cell r="DQ94">
            <v>120</v>
          </cell>
          <cell r="DR94">
            <v>8</v>
          </cell>
          <cell r="DS94">
            <v>0</v>
          </cell>
          <cell r="DT94">
            <v>143</v>
          </cell>
          <cell r="DU94">
            <v>34</v>
          </cell>
          <cell r="DV94">
            <v>40</v>
          </cell>
          <cell r="DW94">
            <v>31</v>
          </cell>
          <cell r="DX94">
            <v>28</v>
          </cell>
          <cell r="DY94">
            <v>10</v>
          </cell>
          <cell r="DZ94">
            <v>0</v>
          </cell>
          <cell r="EA94">
            <v>-14</v>
          </cell>
          <cell r="EB94">
            <v>2</v>
          </cell>
          <cell r="EC94">
            <v>5</v>
          </cell>
          <cell r="ED94">
            <v>-5</v>
          </cell>
          <cell r="EE94">
            <v>-8</v>
          </cell>
          <cell r="EF94">
            <v>-8</v>
          </cell>
          <cell r="EG94">
            <v>0</v>
          </cell>
          <cell r="EH94">
            <v>80</v>
          </cell>
          <cell r="EI94">
            <v>81</v>
          </cell>
          <cell r="EJ94">
            <v>0</v>
          </cell>
          <cell r="EK94">
            <v>-1</v>
          </cell>
          <cell r="EL94">
            <v>0</v>
          </cell>
          <cell r="EM94">
            <v>0</v>
          </cell>
          <cell r="EN94">
            <v>0</v>
          </cell>
          <cell r="EO94" t="str">
            <v xml:space="preserve">WOMNS PILOT STATION JACKET                                  </v>
          </cell>
        </row>
        <row r="95">
          <cell r="A95" t="str">
            <v>CN3YL3863230</v>
          </cell>
          <cell r="B95" t="str">
            <v>CN3</v>
          </cell>
          <cell r="C95" t="str">
            <v>YL3863</v>
          </cell>
          <cell r="D95">
            <v>230</v>
          </cell>
          <cell r="E95" t="str">
            <v xml:space="preserve">   </v>
          </cell>
          <cell r="F95">
            <v>80812</v>
          </cell>
          <cell r="G95">
            <v>80813</v>
          </cell>
          <cell r="H95">
            <v>0</v>
          </cell>
          <cell r="I95">
            <v>800</v>
          </cell>
          <cell r="J95">
            <v>783</v>
          </cell>
          <cell r="K95">
            <v>783</v>
          </cell>
          <cell r="L95">
            <v>694</v>
          </cell>
          <cell r="M95">
            <v>694</v>
          </cell>
          <cell r="N95">
            <v>23736000</v>
          </cell>
          <cell r="O95">
            <v>23385861</v>
          </cell>
          <cell r="P95">
            <v>23385861</v>
          </cell>
          <cell r="Q95">
            <v>20727698</v>
          </cell>
          <cell r="R95">
            <v>91873095</v>
          </cell>
          <cell r="S95" t="str">
            <v xml:space="preserve"> </v>
          </cell>
          <cell r="T95" t="str">
            <v xml:space="preserve"> </v>
          </cell>
          <cell r="U95">
            <v>783</v>
          </cell>
          <cell r="V95">
            <v>23385861</v>
          </cell>
          <cell r="W95">
            <v>694</v>
          </cell>
          <cell r="X95">
            <v>20727698</v>
          </cell>
          <cell r="Y95">
            <v>88.63</v>
          </cell>
          <cell r="Z95">
            <v>88.63</v>
          </cell>
          <cell r="AA95">
            <v>20697831</v>
          </cell>
          <cell r="AB95">
            <v>29867</v>
          </cell>
          <cell r="AC95">
            <v>0</v>
          </cell>
          <cell r="AD95">
            <v>149335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89</v>
          </cell>
          <cell r="AN95">
            <v>5853932</v>
          </cell>
          <cell r="AO95">
            <v>29670</v>
          </cell>
          <cell r="AP95">
            <v>29867</v>
          </cell>
          <cell r="AQ95">
            <v>145000</v>
          </cell>
          <cell r="AR95">
            <v>0</v>
          </cell>
          <cell r="AS95">
            <v>4.8499999999999996</v>
          </cell>
          <cell r="AT95">
            <v>113535000</v>
          </cell>
          <cell r="AU95">
            <v>4.4400000000000004</v>
          </cell>
          <cell r="AV95">
            <v>91866236</v>
          </cell>
          <cell r="AW95">
            <v>0.23</v>
          </cell>
          <cell r="AX95">
            <v>6859</v>
          </cell>
          <cell r="AY95">
            <v>88.63</v>
          </cell>
          <cell r="AZ95">
            <v>0</v>
          </cell>
          <cell r="BA95">
            <v>693</v>
          </cell>
          <cell r="BB95">
            <v>1</v>
          </cell>
          <cell r="BC95">
            <v>694</v>
          </cell>
          <cell r="BD95">
            <v>0</v>
          </cell>
          <cell r="BE95">
            <v>0</v>
          </cell>
          <cell r="BF95">
            <v>39</v>
          </cell>
          <cell r="BG95">
            <v>1</v>
          </cell>
          <cell r="BH95">
            <v>1</v>
          </cell>
          <cell r="BI95">
            <v>13</v>
          </cell>
          <cell r="BJ95">
            <v>2</v>
          </cell>
          <cell r="BK95">
            <v>0</v>
          </cell>
          <cell r="BL95">
            <v>6</v>
          </cell>
          <cell r="BM95">
            <v>4</v>
          </cell>
          <cell r="BN95">
            <v>1</v>
          </cell>
          <cell r="BO95">
            <v>0</v>
          </cell>
          <cell r="BP95">
            <v>23</v>
          </cell>
          <cell r="BQ95">
            <v>2</v>
          </cell>
          <cell r="BR95">
            <v>12</v>
          </cell>
          <cell r="BS95">
            <v>7</v>
          </cell>
          <cell r="BT95">
            <v>-1</v>
          </cell>
          <cell r="BU95">
            <v>3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102</v>
          </cell>
          <cell r="DG95">
            <v>0</v>
          </cell>
          <cell r="DH95">
            <v>0</v>
          </cell>
          <cell r="DI95">
            <v>13</v>
          </cell>
          <cell r="DJ95">
            <v>34</v>
          </cell>
          <cell r="DK95">
            <v>55</v>
          </cell>
          <cell r="DL95">
            <v>0</v>
          </cell>
          <cell r="DM95">
            <v>329</v>
          </cell>
          <cell r="DN95">
            <v>65</v>
          </cell>
          <cell r="DO95">
            <v>36</v>
          </cell>
          <cell r="DP95">
            <v>44</v>
          </cell>
          <cell r="DQ95">
            <v>179</v>
          </cell>
          <cell r="DR95">
            <v>5</v>
          </cell>
          <cell r="DS95">
            <v>0</v>
          </cell>
          <cell r="DT95">
            <v>174</v>
          </cell>
          <cell r="DU95">
            <v>38</v>
          </cell>
          <cell r="DV95">
            <v>49</v>
          </cell>
          <cell r="DW95">
            <v>43</v>
          </cell>
          <cell r="DX95">
            <v>25</v>
          </cell>
          <cell r="DY95">
            <v>19</v>
          </cell>
          <cell r="DZ95">
            <v>0</v>
          </cell>
          <cell r="EA95">
            <v>41</v>
          </cell>
          <cell r="EB95">
            <v>11</v>
          </cell>
          <cell r="EC95">
            <v>8</v>
          </cell>
          <cell r="ED95">
            <v>14</v>
          </cell>
          <cell r="EE95">
            <v>7</v>
          </cell>
          <cell r="EF95">
            <v>1</v>
          </cell>
          <cell r="EG95">
            <v>0</v>
          </cell>
          <cell r="EH95">
            <v>12</v>
          </cell>
          <cell r="EI95">
            <v>2</v>
          </cell>
          <cell r="EJ95">
            <v>4</v>
          </cell>
          <cell r="EK95">
            <v>3</v>
          </cell>
          <cell r="EL95">
            <v>1</v>
          </cell>
          <cell r="EM95">
            <v>2</v>
          </cell>
          <cell r="EN95">
            <v>0</v>
          </cell>
          <cell r="EO95" t="str">
            <v xml:space="preserve">WOMENS SILVERHILL JACKET                                    </v>
          </cell>
        </row>
        <row r="96">
          <cell r="A96" t="str">
            <v>CN3YL3863340</v>
          </cell>
          <cell r="B96" t="str">
            <v>CN3</v>
          </cell>
          <cell r="C96" t="str">
            <v>YL3863</v>
          </cell>
          <cell r="D96">
            <v>340</v>
          </cell>
          <cell r="E96" t="str">
            <v xml:space="preserve">   </v>
          </cell>
          <cell r="F96">
            <v>80812</v>
          </cell>
          <cell r="G96">
            <v>80813</v>
          </cell>
          <cell r="H96">
            <v>0</v>
          </cell>
          <cell r="I96">
            <v>600</v>
          </cell>
          <cell r="J96">
            <v>596</v>
          </cell>
          <cell r="K96">
            <v>596</v>
          </cell>
          <cell r="L96">
            <v>448</v>
          </cell>
          <cell r="M96">
            <v>448</v>
          </cell>
          <cell r="N96">
            <v>17802000</v>
          </cell>
          <cell r="O96">
            <v>17800732</v>
          </cell>
          <cell r="P96">
            <v>17800732</v>
          </cell>
          <cell r="Q96">
            <v>13380416</v>
          </cell>
          <cell r="R96">
            <v>59010906</v>
          </cell>
          <cell r="S96" t="str">
            <v xml:space="preserve"> </v>
          </cell>
          <cell r="T96" t="str">
            <v xml:space="preserve"> </v>
          </cell>
          <cell r="U96">
            <v>596</v>
          </cell>
          <cell r="V96">
            <v>17800732</v>
          </cell>
          <cell r="W96">
            <v>448</v>
          </cell>
          <cell r="X96">
            <v>13380416</v>
          </cell>
          <cell r="Y96">
            <v>75.17</v>
          </cell>
          <cell r="Z96">
            <v>75.17</v>
          </cell>
          <cell r="AA96">
            <v>13320682</v>
          </cell>
          <cell r="AB96">
            <v>59734</v>
          </cell>
          <cell r="AC96">
            <v>0</v>
          </cell>
          <cell r="AD96">
            <v>328537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148</v>
          </cell>
          <cell r="AN96">
            <v>9049701</v>
          </cell>
          <cell r="AO96">
            <v>29670</v>
          </cell>
          <cell r="AP96">
            <v>29867</v>
          </cell>
          <cell r="AQ96">
            <v>145000</v>
          </cell>
          <cell r="AR96">
            <v>0</v>
          </cell>
          <cell r="AS96">
            <v>4.8499999999999996</v>
          </cell>
          <cell r="AT96">
            <v>86420000</v>
          </cell>
          <cell r="AU96">
            <v>4.43</v>
          </cell>
          <cell r="AV96">
            <v>58997188</v>
          </cell>
          <cell r="AW96">
            <v>0.23</v>
          </cell>
          <cell r="AX96">
            <v>13718</v>
          </cell>
          <cell r="AY96">
            <v>75.17</v>
          </cell>
          <cell r="AZ96">
            <v>0</v>
          </cell>
          <cell r="BA96">
            <v>446</v>
          </cell>
          <cell r="BB96">
            <v>2</v>
          </cell>
          <cell r="BC96">
            <v>448</v>
          </cell>
          <cell r="BD96">
            <v>0</v>
          </cell>
          <cell r="BE96">
            <v>0</v>
          </cell>
          <cell r="BF96">
            <v>26</v>
          </cell>
          <cell r="BG96">
            <v>0</v>
          </cell>
          <cell r="BH96">
            <v>1</v>
          </cell>
          <cell r="BI96">
            <v>11</v>
          </cell>
          <cell r="BJ96">
            <v>3</v>
          </cell>
          <cell r="BK96">
            <v>1</v>
          </cell>
          <cell r="BL96">
            <v>2</v>
          </cell>
          <cell r="BM96">
            <v>0</v>
          </cell>
          <cell r="BN96">
            <v>5</v>
          </cell>
          <cell r="BO96">
            <v>0</v>
          </cell>
          <cell r="BP96">
            <v>18</v>
          </cell>
          <cell r="BQ96">
            <v>0</v>
          </cell>
          <cell r="BR96">
            <v>5</v>
          </cell>
          <cell r="BS96">
            <v>-1</v>
          </cell>
          <cell r="BT96">
            <v>13</v>
          </cell>
          <cell r="BU96">
            <v>1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69</v>
          </cell>
          <cell r="DG96">
            <v>0</v>
          </cell>
          <cell r="DH96">
            <v>0</v>
          </cell>
          <cell r="DI96">
            <v>15</v>
          </cell>
          <cell r="DJ96">
            <v>24</v>
          </cell>
          <cell r="DK96">
            <v>30</v>
          </cell>
          <cell r="DL96">
            <v>0</v>
          </cell>
          <cell r="DM96">
            <v>194</v>
          </cell>
          <cell r="DN96">
            <v>29</v>
          </cell>
          <cell r="DO96">
            <v>24</v>
          </cell>
          <cell r="DP96">
            <v>29</v>
          </cell>
          <cell r="DQ96">
            <v>104</v>
          </cell>
          <cell r="DR96">
            <v>8</v>
          </cell>
          <cell r="DS96">
            <v>0</v>
          </cell>
          <cell r="DT96">
            <v>114</v>
          </cell>
          <cell r="DU96">
            <v>32</v>
          </cell>
          <cell r="DV96">
            <v>30</v>
          </cell>
          <cell r="DW96">
            <v>24</v>
          </cell>
          <cell r="DX96">
            <v>13</v>
          </cell>
          <cell r="DY96">
            <v>15</v>
          </cell>
          <cell r="DZ96">
            <v>0</v>
          </cell>
          <cell r="EA96">
            <v>38</v>
          </cell>
          <cell r="EB96">
            <v>10</v>
          </cell>
          <cell r="EC96">
            <v>11</v>
          </cell>
          <cell r="ED96">
            <v>7</v>
          </cell>
          <cell r="EE96">
            <v>6</v>
          </cell>
          <cell r="EF96">
            <v>4</v>
          </cell>
          <cell r="EG96">
            <v>0</v>
          </cell>
          <cell r="EH96">
            <v>4</v>
          </cell>
          <cell r="EI96">
            <v>-2</v>
          </cell>
          <cell r="EJ96">
            <v>4</v>
          </cell>
          <cell r="EK96">
            <v>-2</v>
          </cell>
          <cell r="EL96">
            <v>2</v>
          </cell>
          <cell r="EM96">
            <v>2</v>
          </cell>
          <cell r="EN96">
            <v>0</v>
          </cell>
          <cell r="EO96" t="str">
            <v xml:space="preserve">WOMENS SILVERHILL JACKET                                    </v>
          </cell>
        </row>
        <row r="97">
          <cell r="A97" t="str">
            <v>CN3YL3865021</v>
          </cell>
          <cell r="B97" t="str">
            <v>CN3</v>
          </cell>
          <cell r="C97" t="str">
            <v>YL3865</v>
          </cell>
          <cell r="D97">
            <v>21</v>
          </cell>
          <cell r="E97" t="str">
            <v xml:space="preserve">   </v>
          </cell>
          <cell r="F97">
            <v>81002</v>
          </cell>
          <cell r="G97">
            <v>81002</v>
          </cell>
          <cell r="H97">
            <v>90107</v>
          </cell>
          <cell r="I97">
            <v>800</v>
          </cell>
          <cell r="J97">
            <v>740</v>
          </cell>
          <cell r="K97">
            <v>715</v>
          </cell>
          <cell r="L97">
            <v>333</v>
          </cell>
          <cell r="M97">
            <v>333</v>
          </cell>
          <cell r="N97">
            <v>27340000</v>
          </cell>
          <cell r="O97">
            <v>25459700</v>
          </cell>
          <cell r="P97">
            <v>24599575</v>
          </cell>
          <cell r="Q97">
            <v>11456865</v>
          </cell>
          <cell r="R97">
            <v>45923277</v>
          </cell>
          <cell r="S97" t="str">
            <v>*</v>
          </cell>
          <cell r="T97" t="str">
            <v xml:space="preserve"> </v>
          </cell>
          <cell r="U97">
            <v>740</v>
          </cell>
          <cell r="V97">
            <v>25459700</v>
          </cell>
          <cell r="W97">
            <v>333</v>
          </cell>
          <cell r="X97">
            <v>11456865</v>
          </cell>
          <cell r="Y97">
            <v>45</v>
          </cell>
          <cell r="Z97">
            <v>45</v>
          </cell>
          <cell r="AA97">
            <v>8085175</v>
          </cell>
          <cell r="AB97">
            <v>3371690</v>
          </cell>
          <cell r="AC97">
            <v>25</v>
          </cell>
          <cell r="AD97">
            <v>3027640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382</v>
          </cell>
          <cell r="AN97">
            <v>26560660</v>
          </cell>
          <cell r="AO97">
            <v>34175</v>
          </cell>
          <cell r="AP97">
            <v>34405</v>
          </cell>
          <cell r="AQ97">
            <v>168000</v>
          </cell>
          <cell r="AR97">
            <v>100000</v>
          </cell>
          <cell r="AS97">
            <v>4.88</v>
          </cell>
          <cell r="AT97">
            <v>124320000</v>
          </cell>
          <cell r="AU97">
            <v>4.47</v>
          </cell>
          <cell r="AV97">
            <v>36123277</v>
          </cell>
          <cell r="AW97">
            <v>2.91</v>
          </cell>
          <cell r="AX97">
            <v>9800000</v>
          </cell>
          <cell r="AY97">
            <v>45</v>
          </cell>
          <cell r="AZ97">
            <v>0</v>
          </cell>
          <cell r="BA97">
            <v>235</v>
          </cell>
          <cell r="BB97">
            <v>98</v>
          </cell>
          <cell r="BC97">
            <v>333</v>
          </cell>
          <cell r="BD97">
            <v>0</v>
          </cell>
          <cell r="BE97">
            <v>0</v>
          </cell>
          <cell r="BF97">
            <v>56</v>
          </cell>
          <cell r="BG97">
            <v>1</v>
          </cell>
          <cell r="BH97">
            <v>1</v>
          </cell>
          <cell r="BI97">
            <v>63</v>
          </cell>
          <cell r="BJ97">
            <v>10</v>
          </cell>
          <cell r="BK97">
            <v>23</v>
          </cell>
          <cell r="BL97">
            <v>6</v>
          </cell>
          <cell r="BM97">
            <v>6</v>
          </cell>
          <cell r="BN97">
            <v>18</v>
          </cell>
          <cell r="BO97">
            <v>0</v>
          </cell>
          <cell r="BP97">
            <v>46</v>
          </cell>
          <cell r="BQ97">
            <v>5</v>
          </cell>
          <cell r="BR97">
            <v>11</v>
          </cell>
          <cell r="BS97">
            <v>11</v>
          </cell>
          <cell r="BT97">
            <v>9</v>
          </cell>
          <cell r="BU97">
            <v>10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74</v>
          </cell>
          <cell r="DU97">
            <v>7</v>
          </cell>
          <cell r="DV97">
            <v>13</v>
          </cell>
          <cell r="DW97">
            <v>16</v>
          </cell>
          <cell r="DX97">
            <v>15</v>
          </cell>
          <cell r="DY97">
            <v>23</v>
          </cell>
          <cell r="DZ97">
            <v>0</v>
          </cell>
          <cell r="EA97">
            <v>109</v>
          </cell>
          <cell r="EB97">
            <v>8</v>
          </cell>
          <cell r="EC97">
            <v>38</v>
          </cell>
          <cell r="ED97">
            <v>29</v>
          </cell>
          <cell r="EE97">
            <v>15</v>
          </cell>
          <cell r="EF97">
            <v>19</v>
          </cell>
          <cell r="EG97">
            <v>0</v>
          </cell>
          <cell r="EH97">
            <v>41</v>
          </cell>
          <cell r="EI97">
            <v>13</v>
          </cell>
          <cell r="EJ97">
            <v>8</v>
          </cell>
          <cell r="EK97">
            <v>8</v>
          </cell>
          <cell r="EL97">
            <v>11</v>
          </cell>
          <cell r="EM97">
            <v>1</v>
          </cell>
          <cell r="EN97">
            <v>0</v>
          </cell>
          <cell r="EO97" t="str">
            <v xml:space="preserve">WOMNS RIGBY JACKET                                          </v>
          </cell>
        </row>
        <row r="98">
          <cell r="A98" t="str">
            <v>CN3YL3865964</v>
          </cell>
          <cell r="B98" t="str">
            <v>CN3</v>
          </cell>
          <cell r="C98" t="str">
            <v>YL3865</v>
          </cell>
          <cell r="D98">
            <v>964</v>
          </cell>
          <cell r="E98" t="str">
            <v xml:space="preserve">   </v>
          </cell>
          <cell r="F98">
            <v>81008</v>
          </cell>
          <cell r="G98">
            <v>81009</v>
          </cell>
          <cell r="H98">
            <v>90107</v>
          </cell>
          <cell r="I98">
            <v>600</v>
          </cell>
          <cell r="J98">
            <v>586</v>
          </cell>
          <cell r="K98">
            <v>571</v>
          </cell>
          <cell r="L98">
            <v>189</v>
          </cell>
          <cell r="M98">
            <v>189</v>
          </cell>
          <cell r="N98">
            <v>20505000</v>
          </cell>
          <cell r="O98">
            <v>20161330</v>
          </cell>
          <cell r="P98">
            <v>19645255</v>
          </cell>
          <cell r="Q98">
            <v>6502545</v>
          </cell>
          <cell r="R98">
            <v>25642354</v>
          </cell>
          <cell r="S98" t="str">
            <v>*</v>
          </cell>
          <cell r="T98" t="str">
            <v xml:space="preserve"> </v>
          </cell>
          <cell r="U98">
            <v>586</v>
          </cell>
          <cell r="V98">
            <v>20161330</v>
          </cell>
          <cell r="W98">
            <v>189</v>
          </cell>
          <cell r="X98">
            <v>6502545</v>
          </cell>
          <cell r="Y98">
            <v>32.590000000000003</v>
          </cell>
          <cell r="Z98">
            <v>32.94</v>
          </cell>
          <cell r="AA98">
            <v>4197410</v>
          </cell>
          <cell r="AB98">
            <v>2305135</v>
          </cell>
          <cell r="AC98">
            <v>15</v>
          </cell>
          <cell r="AD98">
            <v>2029895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2</v>
          </cell>
          <cell r="AL98">
            <v>137620</v>
          </cell>
          <cell r="AM98">
            <v>380</v>
          </cell>
          <cell r="AN98">
            <v>26113395</v>
          </cell>
          <cell r="AO98">
            <v>34175</v>
          </cell>
          <cell r="AP98">
            <v>34405</v>
          </cell>
          <cell r="AQ98">
            <v>168000</v>
          </cell>
          <cell r="AR98">
            <v>100000</v>
          </cell>
          <cell r="AS98">
            <v>4.88</v>
          </cell>
          <cell r="AT98">
            <v>98448000</v>
          </cell>
          <cell r="AU98">
            <v>4.51</v>
          </cell>
          <cell r="AV98">
            <v>18942354</v>
          </cell>
          <cell r="AW98">
            <v>2.91</v>
          </cell>
          <cell r="AX98">
            <v>6700000</v>
          </cell>
          <cell r="AY98">
            <v>32.590000000000003</v>
          </cell>
          <cell r="AZ98">
            <v>0</v>
          </cell>
          <cell r="BA98">
            <v>122</v>
          </cell>
          <cell r="BB98">
            <v>67</v>
          </cell>
          <cell r="BC98">
            <v>189</v>
          </cell>
          <cell r="BD98">
            <v>0</v>
          </cell>
          <cell r="BE98">
            <v>0</v>
          </cell>
          <cell r="BF98">
            <v>36</v>
          </cell>
          <cell r="BG98">
            <v>0</v>
          </cell>
          <cell r="BH98">
            <v>1</v>
          </cell>
          <cell r="BI98">
            <v>43</v>
          </cell>
          <cell r="BJ98">
            <v>5</v>
          </cell>
          <cell r="BK98">
            <v>9</v>
          </cell>
          <cell r="BL98">
            <v>14</v>
          </cell>
          <cell r="BM98">
            <v>5</v>
          </cell>
          <cell r="BN98">
            <v>10</v>
          </cell>
          <cell r="BO98">
            <v>0</v>
          </cell>
          <cell r="BP98">
            <v>28</v>
          </cell>
          <cell r="BQ98">
            <v>3</v>
          </cell>
          <cell r="BR98">
            <v>6</v>
          </cell>
          <cell r="BS98">
            <v>6</v>
          </cell>
          <cell r="BT98">
            <v>8</v>
          </cell>
          <cell r="BU98">
            <v>5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40</v>
          </cell>
          <cell r="DU98">
            <v>0</v>
          </cell>
          <cell r="DV98">
            <v>8</v>
          </cell>
          <cell r="DW98">
            <v>8</v>
          </cell>
          <cell r="DX98">
            <v>15</v>
          </cell>
          <cell r="DY98">
            <v>9</v>
          </cell>
          <cell r="DZ98">
            <v>0</v>
          </cell>
          <cell r="EA98">
            <v>57</v>
          </cell>
          <cell r="EB98">
            <v>5</v>
          </cell>
          <cell r="EC98">
            <v>19</v>
          </cell>
          <cell r="ED98">
            <v>12</v>
          </cell>
          <cell r="EE98">
            <v>14</v>
          </cell>
          <cell r="EF98">
            <v>7</v>
          </cell>
          <cell r="EG98">
            <v>0</v>
          </cell>
          <cell r="EH98">
            <v>21</v>
          </cell>
          <cell r="EI98">
            <v>5</v>
          </cell>
          <cell r="EJ98">
            <v>3</v>
          </cell>
          <cell r="EK98">
            <v>5</v>
          </cell>
          <cell r="EL98">
            <v>4</v>
          </cell>
          <cell r="EM98">
            <v>4</v>
          </cell>
          <cell r="EN98">
            <v>0</v>
          </cell>
          <cell r="EO98" t="str">
            <v xml:space="preserve">WOMNS RIGBY JACKET                                          </v>
          </cell>
        </row>
        <row r="99">
          <cell r="A99" t="str">
            <v>CN3YL5851010</v>
          </cell>
          <cell r="B99" t="str">
            <v>CN3</v>
          </cell>
          <cell r="C99" t="str">
            <v>YL5851</v>
          </cell>
          <cell r="D99">
            <v>10</v>
          </cell>
          <cell r="E99" t="str">
            <v xml:space="preserve">   </v>
          </cell>
          <cell r="F99">
            <v>80813</v>
          </cell>
          <cell r="G99">
            <v>80825</v>
          </cell>
          <cell r="H99">
            <v>0</v>
          </cell>
          <cell r="I99">
            <v>1000</v>
          </cell>
          <cell r="J99">
            <v>1005</v>
          </cell>
          <cell r="K99">
            <v>999</v>
          </cell>
          <cell r="L99">
            <v>376</v>
          </cell>
          <cell r="M99">
            <v>376</v>
          </cell>
          <cell r="N99">
            <v>44943000</v>
          </cell>
          <cell r="O99">
            <v>45160680</v>
          </cell>
          <cell r="P99">
            <v>44891064</v>
          </cell>
          <cell r="Q99">
            <v>16895936</v>
          </cell>
          <cell r="R99">
            <v>68475400</v>
          </cell>
          <cell r="S99" t="str">
            <v xml:space="preserve"> </v>
          </cell>
          <cell r="T99" t="str">
            <v xml:space="preserve"> </v>
          </cell>
          <cell r="U99">
            <v>1005</v>
          </cell>
          <cell r="V99">
            <v>45160680</v>
          </cell>
          <cell r="W99">
            <v>376</v>
          </cell>
          <cell r="X99">
            <v>16895936</v>
          </cell>
          <cell r="Y99">
            <v>37.51</v>
          </cell>
          <cell r="Z99">
            <v>37.51</v>
          </cell>
          <cell r="AA99">
            <v>16895936</v>
          </cell>
          <cell r="AB99">
            <v>0</v>
          </cell>
          <cell r="AC99">
            <v>6</v>
          </cell>
          <cell r="AD99">
            <v>1168336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1</v>
          </cell>
          <cell r="AL99">
            <v>44936</v>
          </cell>
          <cell r="AM99">
            <v>622</v>
          </cell>
          <cell r="AN99">
            <v>56304808</v>
          </cell>
          <cell r="AO99">
            <v>44943</v>
          </cell>
          <cell r="AP99">
            <v>44936</v>
          </cell>
          <cell r="AQ99">
            <v>198000</v>
          </cell>
          <cell r="AR99">
            <v>0</v>
          </cell>
          <cell r="AS99">
            <v>4.41</v>
          </cell>
          <cell r="AT99">
            <v>198990000</v>
          </cell>
          <cell r="AU99">
            <v>4.05</v>
          </cell>
          <cell r="AV99">
            <v>68475400</v>
          </cell>
          <cell r="AW99">
            <v>0</v>
          </cell>
          <cell r="AX99">
            <v>0</v>
          </cell>
          <cell r="AY99">
            <v>37.51</v>
          </cell>
          <cell r="AZ99">
            <v>0</v>
          </cell>
          <cell r="BA99">
            <v>376</v>
          </cell>
          <cell r="BB99">
            <v>0</v>
          </cell>
          <cell r="BC99">
            <v>376</v>
          </cell>
          <cell r="BD99">
            <v>0</v>
          </cell>
          <cell r="BE99">
            <v>0</v>
          </cell>
          <cell r="BF99">
            <v>52</v>
          </cell>
          <cell r="BG99">
            <v>1</v>
          </cell>
          <cell r="BH99">
            <v>1</v>
          </cell>
          <cell r="BI99">
            <v>55</v>
          </cell>
          <cell r="BJ99">
            <v>12</v>
          </cell>
          <cell r="BK99">
            <v>19</v>
          </cell>
          <cell r="BL99">
            <v>15</v>
          </cell>
          <cell r="BM99">
            <v>5</v>
          </cell>
          <cell r="BN99">
            <v>4</v>
          </cell>
          <cell r="BO99">
            <v>0</v>
          </cell>
          <cell r="BP99">
            <v>22</v>
          </cell>
          <cell r="BQ99">
            <v>3</v>
          </cell>
          <cell r="BR99">
            <v>7</v>
          </cell>
          <cell r="BS99">
            <v>0</v>
          </cell>
          <cell r="BT99">
            <v>6</v>
          </cell>
          <cell r="BU99">
            <v>6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3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3</v>
          </cell>
          <cell r="DL99">
            <v>0</v>
          </cell>
          <cell r="DM99">
            <v>58</v>
          </cell>
          <cell r="DN99">
            <v>8</v>
          </cell>
          <cell r="DO99">
            <v>1</v>
          </cell>
          <cell r="DP99">
            <v>1</v>
          </cell>
          <cell r="DQ99">
            <v>46</v>
          </cell>
          <cell r="DR99">
            <v>2</v>
          </cell>
          <cell r="DS99">
            <v>0</v>
          </cell>
          <cell r="DT99">
            <v>50</v>
          </cell>
          <cell r="DU99">
            <v>4</v>
          </cell>
          <cell r="DV99">
            <v>10</v>
          </cell>
          <cell r="DW99">
            <v>9</v>
          </cell>
          <cell r="DX99">
            <v>15</v>
          </cell>
          <cell r="DY99">
            <v>12</v>
          </cell>
          <cell r="DZ99">
            <v>0</v>
          </cell>
          <cell r="EA99">
            <v>103</v>
          </cell>
          <cell r="EB99">
            <v>21</v>
          </cell>
          <cell r="EC99">
            <v>29</v>
          </cell>
          <cell r="ED99">
            <v>14</v>
          </cell>
          <cell r="EE99">
            <v>21</v>
          </cell>
          <cell r="EF99">
            <v>18</v>
          </cell>
          <cell r="EG99">
            <v>0</v>
          </cell>
          <cell r="EH99">
            <v>85</v>
          </cell>
          <cell r="EI99">
            <v>15</v>
          </cell>
          <cell r="EJ99">
            <v>13</v>
          </cell>
          <cell r="EK99">
            <v>16</v>
          </cell>
          <cell r="EL99">
            <v>36</v>
          </cell>
          <cell r="EM99">
            <v>5</v>
          </cell>
          <cell r="EN99">
            <v>0</v>
          </cell>
          <cell r="EO99" t="str">
            <v xml:space="preserve">WOMANS ISSAQUAH JACKET                                      </v>
          </cell>
        </row>
        <row r="100">
          <cell r="A100" t="str">
            <v>CN3YL5851639</v>
          </cell>
          <cell r="B100" t="str">
            <v>CN3</v>
          </cell>
          <cell r="C100" t="str">
            <v>YL5851</v>
          </cell>
          <cell r="D100">
            <v>639</v>
          </cell>
          <cell r="E100" t="str">
            <v xml:space="preserve">   </v>
          </cell>
          <cell r="F100">
            <v>80813</v>
          </cell>
          <cell r="G100">
            <v>80825</v>
          </cell>
          <cell r="H100">
            <v>0</v>
          </cell>
          <cell r="I100">
            <v>800</v>
          </cell>
          <cell r="J100">
            <v>808</v>
          </cell>
          <cell r="K100">
            <v>808</v>
          </cell>
          <cell r="L100">
            <v>573</v>
          </cell>
          <cell r="M100">
            <v>573</v>
          </cell>
          <cell r="N100">
            <v>35954400</v>
          </cell>
          <cell r="O100">
            <v>36308288</v>
          </cell>
          <cell r="P100">
            <v>36308288</v>
          </cell>
          <cell r="Q100">
            <v>25748328</v>
          </cell>
          <cell r="R100">
            <v>103799000</v>
          </cell>
          <cell r="S100" t="str">
            <v xml:space="preserve"> </v>
          </cell>
          <cell r="T100" t="str">
            <v xml:space="preserve"> </v>
          </cell>
          <cell r="U100">
            <v>808</v>
          </cell>
          <cell r="V100">
            <v>36308288</v>
          </cell>
          <cell r="W100">
            <v>573</v>
          </cell>
          <cell r="X100">
            <v>25748328</v>
          </cell>
          <cell r="Y100">
            <v>71.41</v>
          </cell>
          <cell r="Z100">
            <v>71.91</v>
          </cell>
          <cell r="AA100">
            <v>25748328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4</v>
          </cell>
          <cell r="AL100">
            <v>359488</v>
          </cell>
          <cell r="AM100">
            <v>231</v>
          </cell>
          <cell r="AN100">
            <v>22647744</v>
          </cell>
          <cell r="AO100">
            <v>44943</v>
          </cell>
          <cell r="AP100">
            <v>44936</v>
          </cell>
          <cell r="AQ100">
            <v>198000</v>
          </cell>
          <cell r="AR100">
            <v>0</v>
          </cell>
          <cell r="AS100">
            <v>4.41</v>
          </cell>
          <cell r="AT100">
            <v>159984000</v>
          </cell>
          <cell r="AU100">
            <v>4.03</v>
          </cell>
          <cell r="AV100">
            <v>103799000</v>
          </cell>
          <cell r="AW100">
            <v>0</v>
          </cell>
          <cell r="AX100">
            <v>0</v>
          </cell>
          <cell r="AY100">
            <v>71.41</v>
          </cell>
          <cell r="AZ100">
            <v>0</v>
          </cell>
          <cell r="BA100">
            <v>573</v>
          </cell>
          <cell r="BB100">
            <v>0</v>
          </cell>
          <cell r="BC100">
            <v>573</v>
          </cell>
          <cell r="BD100">
            <v>0</v>
          </cell>
          <cell r="BE100">
            <v>0</v>
          </cell>
          <cell r="BF100">
            <v>70</v>
          </cell>
          <cell r="BG100">
            <v>0</v>
          </cell>
          <cell r="BH100">
            <v>1</v>
          </cell>
          <cell r="BI100">
            <v>55</v>
          </cell>
          <cell r="BJ100">
            <v>9</v>
          </cell>
          <cell r="BK100">
            <v>19</v>
          </cell>
          <cell r="BL100">
            <v>9</v>
          </cell>
          <cell r="BM100">
            <v>12</v>
          </cell>
          <cell r="BN100">
            <v>6</v>
          </cell>
          <cell r="BO100">
            <v>0</v>
          </cell>
          <cell r="BP100">
            <v>42</v>
          </cell>
          <cell r="BQ100">
            <v>4</v>
          </cell>
          <cell r="BR100">
            <v>15</v>
          </cell>
          <cell r="BS100">
            <v>14</v>
          </cell>
          <cell r="BT100">
            <v>6</v>
          </cell>
          <cell r="BU100">
            <v>3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6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6</v>
          </cell>
          <cell r="DL100">
            <v>0</v>
          </cell>
          <cell r="DM100">
            <v>93</v>
          </cell>
          <cell r="DN100">
            <v>9</v>
          </cell>
          <cell r="DO100">
            <v>6</v>
          </cell>
          <cell r="DP100">
            <v>9</v>
          </cell>
          <cell r="DQ100">
            <v>69</v>
          </cell>
          <cell r="DR100">
            <v>0</v>
          </cell>
          <cell r="DS100">
            <v>0</v>
          </cell>
          <cell r="DT100">
            <v>97</v>
          </cell>
          <cell r="DU100">
            <v>11</v>
          </cell>
          <cell r="DV100">
            <v>25</v>
          </cell>
          <cell r="DW100">
            <v>14</v>
          </cell>
          <cell r="DX100">
            <v>21</v>
          </cell>
          <cell r="DY100">
            <v>26</v>
          </cell>
          <cell r="DZ100">
            <v>0</v>
          </cell>
          <cell r="EA100">
            <v>188</v>
          </cell>
          <cell r="EB100">
            <v>13</v>
          </cell>
          <cell r="EC100">
            <v>58</v>
          </cell>
          <cell r="ED100">
            <v>44</v>
          </cell>
          <cell r="EE100">
            <v>46</v>
          </cell>
          <cell r="EF100">
            <v>27</v>
          </cell>
          <cell r="EG100">
            <v>0</v>
          </cell>
          <cell r="EH100">
            <v>92</v>
          </cell>
          <cell r="EI100">
            <v>19</v>
          </cell>
          <cell r="EJ100">
            <v>33</v>
          </cell>
          <cell r="EK100">
            <v>21</v>
          </cell>
          <cell r="EL100">
            <v>12</v>
          </cell>
          <cell r="EM100">
            <v>7</v>
          </cell>
          <cell r="EN100">
            <v>0</v>
          </cell>
          <cell r="EO100" t="str">
            <v xml:space="preserve">WOMANS ISSAQUAH JACKET                                      </v>
          </cell>
        </row>
        <row r="101">
          <cell r="A101" t="str">
            <v>CN3YL5851696</v>
          </cell>
          <cell r="B101" t="str">
            <v>CN3</v>
          </cell>
          <cell r="C101" t="str">
            <v>YL5851</v>
          </cell>
          <cell r="D101">
            <v>696</v>
          </cell>
          <cell r="E101" t="str">
            <v xml:space="preserve">   </v>
          </cell>
          <cell r="F101">
            <v>80813</v>
          </cell>
          <cell r="G101">
            <v>80825</v>
          </cell>
          <cell r="H101">
            <v>0</v>
          </cell>
          <cell r="I101">
            <v>600</v>
          </cell>
          <cell r="J101">
            <v>601</v>
          </cell>
          <cell r="K101">
            <v>601</v>
          </cell>
          <cell r="L101">
            <v>330</v>
          </cell>
          <cell r="M101">
            <v>330</v>
          </cell>
          <cell r="N101">
            <v>26965800</v>
          </cell>
          <cell r="O101">
            <v>27006536</v>
          </cell>
          <cell r="P101">
            <v>27006536</v>
          </cell>
          <cell r="Q101">
            <v>14828880</v>
          </cell>
          <cell r="R101">
            <v>59704653</v>
          </cell>
          <cell r="S101" t="str">
            <v xml:space="preserve"> </v>
          </cell>
          <cell r="T101" t="str">
            <v xml:space="preserve"> </v>
          </cell>
          <cell r="U101">
            <v>601</v>
          </cell>
          <cell r="V101">
            <v>27006536</v>
          </cell>
          <cell r="W101">
            <v>330</v>
          </cell>
          <cell r="X101">
            <v>14828880</v>
          </cell>
          <cell r="Y101">
            <v>54.91</v>
          </cell>
          <cell r="Z101">
            <v>54.91</v>
          </cell>
          <cell r="AA101">
            <v>14828880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271</v>
          </cell>
          <cell r="AN101">
            <v>25658456</v>
          </cell>
          <cell r="AO101">
            <v>44943</v>
          </cell>
          <cell r="AP101">
            <v>44936</v>
          </cell>
          <cell r="AQ101">
            <v>198000</v>
          </cell>
          <cell r="AR101">
            <v>0</v>
          </cell>
          <cell r="AS101">
            <v>4.41</v>
          </cell>
          <cell r="AT101">
            <v>118998000</v>
          </cell>
          <cell r="AU101">
            <v>4.03</v>
          </cell>
          <cell r="AV101">
            <v>59704653</v>
          </cell>
          <cell r="AW101">
            <v>0</v>
          </cell>
          <cell r="AX101">
            <v>0</v>
          </cell>
          <cell r="AY101">
            <v>54.91</v>
          </cell>
          <cell r="AZ101">
            <v>0</v>
          </cell>
          <cell r="BA101">
            <v>330</v>
          </cell>
          <cell r="BB101">
            <v>0</v>
          </cell>
          <cell r="BC101">
            <v>330</v>
          </cell>
          <cell r="BD101">
            <v>0</v>
          </cell>
          <cell r="BE101">
            <v>0</v>
          </cell>
          <cell r="BF101">
            <v>47</v>
          </cell>
          <cell r="BG101">
            <v>0</v>
          </cell>
          <cell r="BH101">
            <v>1</v>
          </cell>
          <cell r="BI101">
            <v>39</v>
          </cell>
          <cell r="BJ101">
            <v>6</v>
          </cell>
          <cell r="BK101">
            <v>9</v>
          </cell>
          <cell r="BL101">
            <v>15</v>
          </cell>
          <cell r="BM101">
            <v>5</v>
          </cell>
          <cell r="BN101">
            <v>4</v>
          </cell>
          <cell r="BO101">
            <v>0</v>
          </cell>
          <cell r="BP101">
            <v>29</v>
          </cell>
          <cell r="BQ101">
            <v>2</v>
          </cell>
          <cell r="BR101">
            <v>6</v>
          </cell>
          <cell r="BS101">
            <v>7</v>
          </cell>
          <cell r="BT101">
            <v>12</v>
          </cell>
          <cell r="BU101">
            <v>2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6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6</v>
          </cell>
          <cell r="DL101">
            <v>0</v>
          </cell>
          <cell r="DM101">
            <v>44</v>
          </cell>
          <cell r="DN101">
            <v>3</v>
          </cell>
          <cell r="DO101">
            <v>4</v>
          </cell>
          <cell r="DP101">
            <v>2</v>
          </cell>
          <cell r="DQ101">
            <v>34</v>
          </cell>
          <cell r="DR101">
            <v>1</v>
          </cell>
          <cell r="DS101">
            <v>0</v>
          </cell>
          <cell r="DT101">
            <v>48</v>
          </cell>
          <cell r="DU101">
            <v>7</v>
          </cell>
          <cell r="DV101">
            <v>13</v>
          </cell>
          <cell r="DW101">
            <v>6</v>
          </cell>
          <cell r="DX101">
            <v>9</v>
          </cell>
          <cell r="DY101">
            <v>13</v>
          </cell>
          <cell r="DZ101">
            <v>0</v>
          </cell>
          <cell r="EA101">
            <v>94</v>
          </cell>
          <cell r="EB101">
            <v>10</v>
          </cell>
          <cell r="EC101">
            <v>39</v>
          </cell>
          <cell r="ED101">
            <v>15</v>
          </cell>
          <cell r="EE101">
            <v>14</v>
          </cell>
          <cell r="EF101">
            <v>16</v>
          </cell>
          <cell r="EG101">
            <v>0</v>
          </cell>
          <cell r="EH101">
            <v>70</v>
          </cell>
          <cell r="EI101">
            <v>14</v>
          </cell>
          <cell r="EJ101">
            <v>7</v>
          </cell>
          <cell r="EK101">
            <v>26</v>
          </cell>
          <cell r="EL101">
            <v>18</v>
          </cell>
          <cell r="EM101">
            <v>5</v>
          </cell>
          <cell r="EN101">
            <v>0</v>
          </cell>
          <cell r="EO101" t="str">
            <v xml:space="preserve">WOMANS ISSAQUAH JACKET                                      </v>
          </cell>
        </row>
        <row r="102">
          <cell r="A102" t="str">
            <v>CN3YL5851745</v>
          </cell>
          <cell r="B102" t="str">
            <v>CN3</v>
          </cell>
          <cell r="C102" t="str">
            <v>YL5851</v>
          </cell>
          <cell r="D102">
            <v>745</v>
          </cell>
          <cell r="E102" t="str">
            <v xml:space="preserve">   </v>
          </cell>
          <cell r="F102">
            <v>80813</v>
          </cell>
          <cell r="G102">
            <v>80825</v>
          </cell>
          <cell r="H102">
            <v>0</v>
          </cell>
          <cell r="I102">
            <v>400</v>
          </cell>
          <cell r="J102">
            <v>402</v>
          </cell>
          <cell r="K102">
            <v>402</v>
          </cell>
          <cell r="L102">
            <v>245</v>
          </cell>
          <cell r="M102">
            <v>245</v>
          </cell>
          <cell r="N102">
            <v>17977200</v>
          </cell>
          <cell r="O102">
            <v>18064272</v>
          </cell>
          <cell r="P102">
            <v>18064272</v>
          </cell>
          <cell r="Q102">
            <v>11009320</v>
          </cell>
          <cell r="R102">
            <v>44258586</v>
          </cell>
          <cell r="S102" t="str">
            <v xml:space="preserve"> </v>
          </cell>
          <cell r="T102" t="str">
            <v xml:space="preserve"> </v>
          </cell>
          <cell r="U102">
            <v>402</v>
          </cell>
          <cell r="V102">
            <v>18064272</v>
          </cell>
          <cell r="W102">
            <v>245</v>
          </cell>
          <cell r="X102">
            <v>11009320</v>
          </cell>
          <cell r="Y102">
            <v>60.95</v>
          </cell>
          <cell r="Z102">
            <v>60.95</v>
          </cell>
          <cell r="AA102">
            <v>10964384</v>
          </cell>
          <cell r="AB102">
            <v>44936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157</v>
          </cell>
          <cell r="AN102">
            <v>14694072</v>
          </cell>
          <cell r="AO102">
            <v>44943</v>
          </cell>
          <cell r="AP102">
            <v>44936</v>
          </cell>
          <cell r="AQ102">
            <v>198000</v>
          </cell>
          <cell r="AR102">
            <v>0</v>
          </cell>
          <cell r="AS102">
            <v>4.41</v>
          </cell>
          <cell r="AT102">
            <v>79596000</v>
          </cell>
          <cell r="AU102">
            <v>4.04</v>
          </cell>
          <cell r="AV102">
            <v>44251727</v>
          </cell>
          <cell r="AW102">
            <v>0.15</v>
          </cell>
          <cell r="AX102">
            <v>6859</v>
          </cell>
          <cell r="AY102">
            <v>60.95</v>
          </cell>
          <cell r="AZ102">
            <v>0</v>
          </cell>
          <cell r="BA102">
            <v>244</v>
          </cell>
          <cell r="BB102">
            <v>1</v>
          </cell>
          <cell r="BC102">
            <v>245</v>
          </cell>
          <cell r="BD102">
            <v>0</v>
          </cell>
          <cell r="BE102">
            <v>0</v>
          </cell>
          <cell r="BF102">
            <v>31</v>
          </cell>
          <cell r="BG102">
            <v>0</v>
          </cell>
          <cell r="BH102">
            <v>1</v>
          </cell>
          <cell r="BI102">
            <v>38</v>
          </cell>
          <cell r="BJ102">
            <v>9</v>
          </cell>
          <cell r="BK102">
            <v>12</v>
          </cell>
          <cell r="BL102">
            <v>10</v>
          </cell>
          <cell r="BM102">
            <v>0</v>
          </cell>
          <cell r="BN102">
            <v>7</v>
          </cell>
          <cell r="BO102">
            <v>0</v>
          </cell>
          <cell r="BP102">
            <v>13</v>
          </cell>
          <cell r="BQ102">
            <v>3</v>
          </cell>
          <cell r="BR102">
            <v>5</v>
          </cell>
          <cell r="BS102">
            <v>2</v>
          </cell>
          <cell r="BT102">
            <v>3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3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3</v>
          </cell>
          <cell r="DL102">
            <v>0</v>
          </cell>
          <cell r="DM102">
            <v>48</v>
          </cell>
          <cell r="DN102">
            <v>3</v>
          </cell>
          <cell r="DO102">
            <v>0</v>
          </cell>
          <cell r="DP102">
            <v>4</v>
          </cell>
          <cell r="DQ102">
            <v>42</v>
          </cell>
          <cell r="DR102">
            <v>-1</v>
          </cell>
          <cell r="DS102">
            <v>0</v>
          </cell>
          <cell r="DT102">
            <v>50</v>
          </cell>
          <cell r="DU102">
            <v>4</v>
          </cell>
          <cell r="DV102">
            <v>10</v>
          </cell>
          <cell r="DW102">
            <v>11</v>
          </cell>
          <cell r="DX102">
            <v>15</v>
          </cell>
          <cell r="DY102">
            <v>10</v>
          </cell>
          <cell r="DZ102">
            <v>0</v>
          </cell>
          <cell r="EA102">
            <v>64</v>
          </cell>
          <cell r="EB102">
            <v>7</v>
          </cell>
          <cell r="EC102">
            <v>27</v>
          </cell>
          <cell r="ED102">
            <v>11</v>
          </cell>
          <cell r="EE102">
            <v>9</v>
          </cell>
          <cell r="EF102">
            <v>10</v>
          </cell>
          <cell r="EG102">
            <v>0</v>
          </cell>
          <cell r="EH102">
            <v>29</v>
          </cell>
          <cell r="EI102">
            <v>10</v>
          </cell>
          <cell r="EJ102">
            <v>6</v>
          </cell>
          <cell r="EK102">
            <v>2</v>
          </cell>
          <cell r="EL102">
            <v>9</v>
          </cell>
          <cell r="EM102">
            <v>2</v>
          </cell>
          <cell r="EN102">
            <v>0</v>
          </cell>
          <cell r="EO102" t="str">
            <v xml:space="preserve">WOMANS ISSAQUAH JACKET                                      </v>
          </cell>
        </row>
        <row r="103">
          <cell r="A103" t="str">
            <v>CN3YL5853010</v>
          </cell>
          <cell r="B103" t="str">
            <v>CN3</v>
          </cell>
          <cell r="C103" t="str">
            <v>YL5853</v>
          </cell>
          <cell r="D103">
            <v>10</v>
          </cell>
          <cell r="E103" t="str">
            <v xml:space="preserve">   </v>
          </cell>
          <cell r="F103">
            <v>80829</v>
          </cell>
          <cell r="G103">
            <v>80903</v>
          </cell>
          <cell r="H103">
            <v>90226</v>
          </cell>
          <cell r="I103">
            <v>1000</v>
          </cell>
          <cell r="J103">
            <v>706</v>
          </cell>
          <cell r="K103">
            <v>626</v>
          </cell>
          <cell r="L103">
            <v>149</v>
          </cell>
          <cell r="M103">
            <v>149</v>
          </cell>
          <cell r="N103">
            <v>74450000</v>
          </cell>
          <cell r="O103">
            <v>52571584</v>
          </cell>
          <cell r="P103">
            <v>46614464</v>
          </cell>
          <cell r="Q103">
            <v>11095136</v>
          </cell>
          <cell r="R103">
            <v>40546601</v>
          </cell>
          <cell r="S103" t="str">
            <v>*</v>
          </cell>
          <cell r="T103" t="str">
            <v xml:space="preserve"> </v>
          </cell>
          <cell r="U103">
            <v>706</v>
          </cell>
          <cell r="V103">
            <v>52571584</v>
          </cell>
          <cell r="W103">
            <v>149</v>
          </cell>
          <cell r="X103">
            <v>11095136</v>
          </cell>
          <cell r="Y103">
            <v>21.1</v>
          </cell>
          <cell r="Z103">
            <v>21.1</v>
          </cell>
          <cell r="AA103">
            <v>10350496</v>
          </cell>
          <cell r="AB103">
            <v>744640</v>
          </cell>
          <cell r="AC103">
            <v>80</v>
          </cell>
          <cell r="AD103">
            <v>12286560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477</v>
          </cell>
          <cell r="AN103">
            <v>71336512</v>
          </cell>
          <cell r="AO103">
            <v>74450</v>
          </cell>
          <cell r="AP103">
            <v>74464</v>
          </cell>
          <cell r="AQ103">
            <v>328000</v>
          </cell>
          <cell r="AR103">
            <v>197000</v>
          </cell>
          <cell r="AS103">
            <v>4.4000000000000004</v>
          </cell>
          <cell r="AT103">
            <v>231568000</v>
          </cell>
          <cell r="AU103">
            <v>3.82</v>
          </cell>
          <cell r="AV103">
            <v>39527306</v>
          </cell>
          <cell r="AW103">
            <v>1.37</v>
          </cell>
          <cell r="AX103">
            <v>1019295</v>
          </cell>
          <cell r="AY103">
            <v>21.1</v>
          </cell>
          <cell r="AZ103">
            <v>0</v>
          </cell>
          <cell r="BA103">
            <v>139</v>
          </cell>
          <cell r="BB103">
            <v>10</v>
          </cell>
          <cell r="BC103">
            <v>149</v>
          </cell>
          <cell r="BD103">
            <v>0</v>
          </cell>
          <cell r="BE103">
            <v>0</v>
          </cell>
          <cell r="BF103">
            <v>25</v>
          </cell>
          <cell r="BG103">
            <v>1</v>
          </cell>
          <cell r="BH103">
            <v>1</v>
          </cell>
          <cell r="BI103">
            <v>24</v>
          </cell>
          <cell r="BJ103">
            <v>4</v>
          </cell>
          <cell r="BK103">
            <v>6</v>
          </cell>
          <cell r="BL103">
            <v>5</v>
          </cell>
          <cell r="BM103">
            <v>4</v>
          </cell>
          <cell r="BN103">
            <v>5</v>
          </cell>
          <cell r="BO103">
            <v>0</v>
          </cell>
          <cell r="BP103">
            <v>9</v>
          </cell>
          <cell r="BQ103">
            <v>0</v>
          </cell>
          <cell r="BR103">
            <v>3</v>
          </cell>
          <cell r="BS103">
            <v>1</v>
          </cell>
          <cell r="BT103">
            <v>0</v>
          </cell>
          <cell r="BU103">
            <v>5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27</v>
          </cell>
          <cell r="DN103">
            <v>3</v>
          </cell>
          <cell r="DO103">
            <v>1</v>
          </cell>
          <cell r="DP103">
            <v>-1</v>
          </cell>
          <cell r="DQ103">
            <v>24</v>
          </cell>
          <cell r="DR103">
            <v>0</v>
          </cell>
          <cell r="DS103">
            <v>0</v>
          </cell>
          <cell r="DT103">
            <v>28</v>
          </cell>
          <cell r="DU103">
            <v>2</v>
          </cell>
          <cell r="DV103">
            <v>13</v>
          </cell>
          <cell r="DW103">
            <v>6</v>
          </cell>
          <cell r="DX103">
            <v>3</v>
          </cell>
          <cell r="DY103">
            <v>4</v>
          </cell>
          <cell r="DZ103">
            <v>0</v>
          </cell>
          <cell r="EA103">
            <v>39</v>
          </cell>
          <cell r="EB103">
            <v>4</v>
          </cell>
          <cell r="EC103">
            <v>11</v>
          </cell>
          <cell r="ED103">
            <v>11</v>
          </cell>
          <cell r="EE103">
            <v>7</v>
          </cell>
          <cell r="EF103">
            <v>6</v>
          </cell>
          <cell r="EG103">
            <v>0</v>
          </cell>
          <cell r="EH103">
            <v>22</v>
          </cell>
          <cell r="EI103">
            <v>7</v>
          </cell>
          <cell r="EJ103">
            <v>7</v>
          </cell>
          <cell r="EK103">
            <v>-1</v>
          </cell>
          <cell r="EL103">
            <v>6</v>
          </cell>
          <cell r="EM103">
            <v>3</v>
          </cell>
          <cell r="EN103">
            <v>0</v>
          </cell>
          <cell r="EO103" t="str">
            <v xml:space="preserve">Womans Highland Home Jacket                                 </v>
          </cell>
        </row>
        <row r="104">
          <cell r="A104" t="str">
            <v>CN3YL5854010</v>
          </cell>
          <cell r="B104" t="str">
            <v>CN3</v>
          </cell>
          <cell r="C104" t="str">
            <v>YL5854</v>
          </cell>
          <cell r="D104">
            <v>10</v>
          </cell>
          <cell r="E104" t="str">
            <v xml:space="preserve">   </v>
          </cell>
          <cell r="F104">
            <v>80916</v>
          </cell>
          <cell r="G104">
            <v>80917</v>
          </cell>
          <cell r="H104">
            <v>81121</v>
          </cell>
          <cell r="I104">
            <v>500</v>
          </cell>
          <cell r="J104">
            <v>448</v>
          </cell>
          <cell r="K104">
            <v>448</v>
          </cell>
          <cell r="L104">
            <v>311</v>
          </cell>
          <cell r="M104">
            <v>311</v>
          </cell>
          <cell r="N104">
            <v>17775000</v>
          </cell>
          <cell r="O104">
            <v>17153024</v>
          </cell>
          <cell r="P104">
            <v>17153024</v>
          </cell>
          <cell r="Q104">
            <v>11907568</v>
          </cell>
          <cell r="R104">
            <v>36910400</v>
          </cell>
          <cell r="S104" t="str">
            <v>*</v>
          </cell>
          <cell r="T104" t="str">
            <v xml:space="preserve"> </v>
          </cell>
          <cell r="U104">
            <v>448</v>
          </cell>
          <cell r="V104">
            <v>17153024</v>
          </cell>
          <cell r="W104">
            <v>311</v>
          </cell>
          <cell r="X104">
            <v>11907568</v>
          </cell>
          <cell r="Y104">
            <v>69.42</v>
          </cell>
          <cell r="Z104">
            <v>69.42</v>
          </cell>
          <cell r="AA104">
            <v>2833312</v>
          </cell>
          <cell r="AB104">
            <v>9074256</v>
          </cell>
          <cell r="AC104">
            <v>0</v>
          </cell>
          <cell r="AD104">
            <v>650896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137</v>
          </cell>
          <cell r="AN104">
            <v>11026944</v>
          </cell>
          <cell r="AO104">
            <v>35550</v>
          </cell>
          <cell r="AP104">
            <v>38288</v>
          </cell>
          <cell r="AQ104">
            <v>178000</v>
          </cell>
          <cell r="AR104">
            <v>107000</v>
          </cell>
          <cell r="AS104">
            <v>4.6500000000000004</v>
          </cell>
          <cell r="AT104">
            <v>79744000</v>
          </cell>
          <cell r="AU104">
            <v>4.08</v>
          </cell>
          <cell r="AV104">
            <v>11551400</v>
          </cell>
          <cell r="AW104">
            <v>2.79</v>
          </cell>
          <cell r="AX104">
            <v>25359000</v>
          </cell>
          <cell r="AY104">
            <v>69.42</v>
          </cell>
          <cell r="AZ104">
            <v>0</v>
          </cell>
          <cell r="BA104">
            <v>74</v>
          </cell>
          <cell r="BB104">
            <v>237</v>
          </cell>
          <cell r="BC104">
            <v>311</v>
          </cell>
          <cell r="BD104">
            <v>0</v>
          </cell>
          <cell r="BE104">
            <v>0</v>
          </cell>
          <cell r="BF104">
            <v>49</v>
          </cell>
          <cell r="BG104">
            <v>1</v>
          </cell>
          <cell r="BH104">
            <v>1</v>
          </cell>
          <cell r="BI104">
            <v>56</v>
          </cell>
          <cell r="BJ104">
            <v>14</v>
          </cell>
          <cell r="BK104">
            <v>14</v>
          </cell>
          <cell r="BL104">
            <v>9</v>
          </cell>
          <cell r="BM104">
            <v>8</v>
          </cell>
          <cell r="BN104">
            <v>11</v>
          </cell>
          <cell r="BO104">
            <v>0</v>
          </cell>
          <cell r="BP104">
            <v>31</v>
          </cell>
          <cell r="BQ104">
            <v>0</v>
          </cell>
          <cell r="BR104">
            <v>16</v>
          </cell>
          <cell r="BS104">
            <v>9</v>
          </cell>
          <cell r="BT104">
            <v>4</v>
          </cell>
          <cell r="BU104">
            <v>2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19</v>
          </cell>
          <cell r="DN104">
            <v>0</v>
          </cell>
          <cell r="DO104">
            <v>0</v>
          </cell>
          <cell r="DP104">
            <v>2</v>
          </cell>
          <cell r="DQ104">
            <v>15</v>
          </cell>
          <cell r="DR104">
            <v>2</v>
          </cell>
          <cell r="DS104">
            <v>0</v>
          </cell>
          <cell r="DT104">
            <v>23</v>
          </cell>
          <cell r="DU104">
            <v>3</v>
          </cell>
          <cell r="DV104">
            <v>3</v>
          </cell>
          <cell r="DW104">
            <v>5</v>
          </cell>
          <cell r="DX104">
            <v>5</v>
          </cell>
          <cell r="DY104">
            <v>7</v>
          </cell>
          <cell r="DZ104">
            <v>0</v>
          </cell>
          <cell r="EA104">
            <v>103</v>
          </cell>
          <cell r="EB104">
            <v>4</v>
          </cell>
          <cell r="EC104">
            <v>17</v>
          </cell>
          <cell r="ED104">
            <v>11</v>
          </cell>
          <cell r="EE104">
            <v>22</v>
          </cell>
          <cell r="EF104">
            <v>49</v>
          </cell>
          <cell r="EG104">
            <v>0</v>
          </cell>
          <cell r="EH104">
            <v>79</v>
          </cell>
          <cell r="EI104">
            <v>29</v>
          </cell>
          <cell r="EJ104">
            <v>22</v>
          </cell>
          <cell r="EK104">
            <v>14</v>
          </cell>
          <cell r="EL104">
            <v>10</v>
          </cell>
          <cell r="EM104">
            <v>4</v>
          </cell>
          <cell r="EN104">
            <v>0</v>
          </cell>
          <cell r="EO104" t="str">
            <v xml:space="preserve">Womans Wieser Jacket                                        </v>
          </cell>
        </row>
        <row r="105">
          <cell r="A105" t="str">
            <v>CN3YL5854501</v>
          </cell>
          <cell r="B105" t="str">
            <v>CN3</v>
          </cell>
          <cell r="C105" t="str">
            <v>YL5854</v>
          </cell>
          <cell r="D105">
            <v>501</v>
          </cell>
          <cell r="E105" t="str">
            <v xml:space="preserve">   </v>
          </cell>
          <cell r="F105">
            <v>80916</v>
          </cell>
          <cell r="G105">
            <v>80917</v>
          </cell>
          <cell r="H105">
            <v>81121</v>
          </cell>
          <cell r="I105">
            <v>800</v>
          </cell>
          <cell r="J105">
            <v>802</v>
          </cell>
          <cell r="K105">
            <v>802</v>
          </cell>
          <cell r="L105">
            <v>570</v>
          </cell>
          <cell r="M105">
            <v>570</v>
          </cell>
          <cell r="N105">
            <v>28440000</v>
          </cell>
          <cell r="O105">
            <v>30706976</v>
          </cell>
          <cell r="P105">
            <v>30706976</v>
          </cell>
          <cell r="Q105">
            <v>21824160</v>
          </cell>
          <cell r="R105">
            <v>67229777</v>
          </cell>
          <cell r="S105" t="str">
            <v>*</v>
          </cell>
          <cell r="T105" t="str">
            <v xml:space="preserve"> </v>
          </cell>
          <cell r="U105">
            <v>802</v>
          </cell>
          <cell r="V105">
            <v>30706976</v>
          </cell>
          <cell r="W105">
            <v>570</v>
          </cell>
          <cell r="X105">
            <v>21824160</v>
          </cell>
          <cell r="Y105">
            <v>71.2</v>
          </cell>
          <cell r="Z105">
            <v>71.2</v>
          </cell>
          <cell r="AA105">
            <v>4747712</v>
          </cell>
          <cell r="AB105">
            <v>17076448</v>
          </cell>
          <cell r="AC105">
            <v>0</v>
          </cell>
          <cell r="AD105">
            <v>1186928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1</v>
          </cell>
          <cell r="AL105">
            <v>38288</v>
          </cell>
          <cell r="AM105">
            <v>231</v>
          </cell>
          <cell r="AN105">
            <v>19220576</v>
          </cell>
          <cell r="AO105">
            <v>35550</v>
          </cell>
          <cell r="AP105">
            <v>38288</v>
          </cell>
          <cell r="AQ105">
            <v>178000</v>
          </cell>
          <cell r="AR105">
            <v>107000</v>
          </cell>
          <cell r="AS105">
            <v>4.6500000000000004</v>
          </cell>
          <cell r="AT105">
            <v>142756000</v>
          </cell>
          <cell r="AU105">
            <v>4.17</v>
          </cell>
          <cell r="AV105">
            <v>19798400</v>
          </cell>
          <cell r="AW105">
            <v>2.78</v>
          </cell>
          <cell r="AX105">
            <v>47431377</v>
          </cell>
          <cell r="AY105">
            <v>71.2</v>
          </cell>
          <cell r="AZ105">
            <v>0</v>
          </cell>
          <cell r="BA105">
            <v>124</v>
          </cell>
          <cell r="BB105">
            <v>446</v>
          </cell>
          <cell r="BC105">
            <v>570</v>
          </cell>
          <cell r="BD105">
            <v>0</v>
          </cell>
          <cell r="BE105">
            <v>0</v>
          </cell>
          <cell r="BF105">
            <v>94</v>
          </cell>
          <cell r="BG105">
            <v>0</v>
          </cell>
          <cell r="BH105">
            <v>1</v>
          </cell>
          <cell r="BI105">
            <v>84</v>
          </cell>
          <cell r="BJ105">
            <v>13</v>
          </cell>
          <cell r="BK105">
            <v>34</v>
          </cell>
          <cell r="BL105">
            <v>23</v>
          </cell>
          <cell r="BM105">
            <v>8</v>
          </cell>
          <cell r="BN105">
            <v>6</v>
          </cell>
          <cell r="BO105">
            <v>0</v>
          </cell>
          <cell r="BP105">
            <v>70</v>
          </cell>
          <cell r="BQ105">
            <v>3</v>
          </cell>
          <cell r="BR105">
            <v>19</v>
          </cell>
          <cell r="BS105">
            <v>18</v>
          </cell>
          <cell r="BT105">
            <v>19</v>
          </cell>
          <cell r="BU105">
            <v>11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33</v>
          </cell>
          <cell r="DN105">
            <v>0</v>
          </cell>
          <cell r="DO105">
            <v>0</v>
          </cell>
          <cell r="DP105">
            <v>4</v>
          </cell>
          <cell r="DQ105">
            <v>30</v>
          </cell>
          <cell r="DR105">
            <v>-1</v>
          </cell>
          <cell r="DS105">
            <v>0</v>
          </cell>
          <cell r="DT105">
            <v>48</v>
          </cell>
          <cell r="DU105">
            <v>5</v>
          </cell>
          <cell r="DV105">
            <v>12</v>
          </cell>
          <cell r="DW105">
            <v>12</v>
          </cell>
          <cell r="DX105">
            <v>17</v>
          </cell>
          <cell r="DY105">
            <v>2</v>
          </cell>
          <cell r="DZ105">
            <v>0</v>
          </cell>
          <cell r="EA105">
            <v>172</v>
          </cell>
          <cell r="EB105">
            <v>14</v>
          </cell>
          <cell r="EC105">
            <v>21</v>
          </cell>
          <cell r="ED105">
            <v>7</v>
          </cell>
          <cell r="EE105">
            <v>33</v>
          </cell>
          <cell r="EF105">
            <v>97</v>
          </cell>
          <cell r="EG105">
            <v>0</v>
          </cell>
          <cell r="EH105">
            <v>163</v>
          </cell>
          <cell r="EI105">
            <v>50</v>
          </cell>
          <cell r="EJ105">
            <v>41</v>
          </cell>
          <cell r="EK105">
            <v>34</v>
          </cell>
          <cell r="EL105">
            <v>31</v>
          </cell>
          <cell r="EM105">
            <v>7</v>
          </cell>
          <cell r="EN105">
            <v>0</v>
          </cell>
          <cell r="EO105" t="str">
            <v xml:space="preserve">Womans Wieser Jacket                                        </v>
          </cell>
        </row>
        <row r="106">
          <cell r="A106" t="str">
            <v>CN3YL6810010</v>
          </cell>
          <cell r="B106" t="str">
            <v>CN3</v>
          </cell>
          <cell r="C106" t="str">
            <v>YL6810</v>
          </cell>
          <cell r="D106">
            <v>10</v>
          </cell>
          <cell r="E106" t="str">
            <v xml:space="preserve">   </v>
          </cell>
          <cell r="F106">
            <v>80711</v>
          </cell>
          <cell r="G106">
            <v>80728</v>
          </cell>
          <cell r="H106">
            <v>81224</v>
          </cell>
          <cell r="I106">
            <v>500</v>
          </cell>
          <cell r="J106">
            <v>506</v>
          </cell>
          <cell r="K106">
            <v>501</v>
          </cell>
          <cell r="L106">
            <v>80</v>
          </cell>
          <cell r="M106">
            <v>80</v>
          </cell>
          <cell r="N106">
            <v>6925000</v>
          </cell>
          <cell r="O106">
            <v>6999498</v>
          </cell>
          <cell r="P106">
            <v>6930333</v>
          </cell>
          <cell r="Q106">
            <v>1106640</v>
          </cell>
          <cell r="R106">
            <v>-2672191</v>
          </cell>
          <cell r="S106" t="str">
            <v>*</v>
          </cell>
          <cell r="T106" t="str">
            <v>C</v>
          </cell>
          <cell r="U106">
            <v>506</v>
          </cell>
          <cell r="V106">
            <v>6999498</v>
          </cell>
          <cell r="W106">
            <v>80</v>
          </cell>
          <cell r="X106">
            <v>1106640</v>
          </cell>
          <cell r="Y106">
            <v>16.010000000000002</v>
          </cell>
          <cell r="Z106">
            <v>16.21</v>
          </cell>
          <cell r="AA106">
            <v>-1798290</v>
          </cell>
          <cell r="AB106">
            <v>2904930</v>
          </cell>
          <cell r="AC106">
            <v>5</v>
          </cell>
          <cell r="AD106">
            <v>3001761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1</v>
          </cell>
          <cell r="AL106">
            <v>27666</v>
          </cell>
          <cell r="AM106">
            <v>420</v>
          </cell>
          <cell r="AN106">
            <v>10374750</v>
          </cell>
          <cell r="AO106">
            <v>13850</v>
          </cell>
          <cell r="AP106">
            <v>13833</v>
          </cell>
          <cell r="AQ106">
            <v>63000</v>
          </cell>
          <cell r="AR106">
            <v>38000</v>
          </cell>
          <cell r="AS106">
            <v>4.55</v>
          </cell>
          <cell r="AT106">
            <v>31878000</v>
          </cell>
          <cell r="AU106">
            <v>5.91</v>
          </cell>
          <cell r="AV106">
            <v>-10621050</v>
          </cell>
          <cell r="AW106">
            <v>2.74</v>
          </cell>
          <cell r="AX106">
            <v>7948859</v>
          </cell>
          <cell r="AY106">
            <v>16.010000000000002</v>
          </cell>
          <cell r="AZ106">
            <v>0</v>
          </cell>
          <cell r="BA106">
            <v>-130</v>
          </cell>
          <cell r="BB106">
            <v>210</v>
          </cell>
          <cell r="BC106">
            <v>80</v>
          </cell>
          <cell r="BD106">
            <v>0</v>
          </cell>
          <cell r="BE106">
            <v>0</v>
          </cell>
          <cell r="BF106">
            <v>151</v>
          </cell>
          <cell r="BG106">
            <v>1</v>
          </cell>
          <cell r="BH106">
            <v>1</v>
          </cell>
          <cell r="BI106">
            <v>86</v>
          </cell>
          <cell r="BJ106">
            <v>6</v>
          </cell>
          <cell r="BK106">
            <v>16</v>
          </cell>
          <cell r="BL106">
            <v>26</v>
          </cell>
          <cell r="BM106">
            <v>12</v>
          </cell>
          <cell r="BN106">
            <v>26</v>
          </cell>
          <cell r="BO106">
            <v>0</v>
          </cell>
          <cell r="BP106">
            <v>117</v>
          </cell>
          <cell r="BQ106">
            <v>6</v>
          </cell>
          <cell r="BR106">
            <v>24</v>
          </cell>
          <cell r="BS106">
            <v>38</v>
          </cell>
          <cell r="BT106">
            <v>22</v>
          </cell>
          <cell r="BU106">
            <v>27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-408</v>
          </cell>
          <cell r="CZ106">
            <v>0</v>
          </cell>
          <cell r="DA106">
            <v>0</v>
          </cell>
          <cell r="DB106">
            <v>0</v>
          </cell>
          <cell r="DC106">
            <v>-411</v>
          </cell>
          <cell r="DD106">
            <v>3</v>
          </cell>
          <cell r="DE106">
            <v>0</v>
          </cell>
          <cell r="DF106">
            <v>24</v>
          </cell>
          <cell r="DG106">
            <v>1</v>
          </cell>
          <cell r="DH106">
            <v>1</v>
          </cell>
          <cell r="DI106">
            <v>6</v>
          </cell>
          <cell r="DJ106">
            <v>5</v>
          </cell>
          <cell r="DK106">
            <v>11</v>
          </cell>
          <cell r="DL106">
            <v>0</v>
          </cell>
          <cell r="DM106">
            <v>111</v>
          </cell>
          <cell r="DN106">
            <v>20</v>
          </cell>
          <cell r="DO106">
            <v>16</v>
          </cell>
          <cell r="DP106">
            <v>17</v>
          </cell>
          <cell r="DQ106">
            <v>54</v>
          </cell>
          <cell r="DR106">
            <v>4</v>
          </cell>
          <cell r="DS106">
            <v>0</v>
          </cell>
          <cell r="DT106">
            <v>135</v>
          </cell>
          <cell r="DU106">
            <v>12</v>
          </cell>
          <cell r="DV106">
            <v>85</v>
          </cell>
          <cell r="DW106">
            <v>23</v>
          </cell>
          <cell r="DX106">
            <v>11</v>
          </cell>
          <cell r="DY106">
            <v>4</v>
          </cell>
          <cell r="DZ106">
            <v>0</v>
          </cell>
          <cell r="EA106">
            <v>23</v>
          </cell>
          <cell r="EB106">
            <v>3</v>
          </cell>
          <cell r="EC106">
            <v>3</v>
          </cell>
          <cell r="ED106">
            <v>1</v>
          </cell>
          <cell r="EE106">
            <v>3</v>
          </cell>
          <cell r="EF106">
            <v>13</v>
          </cell>
          <cell r="EG106">
            <v>0</v>
          </cell>
          <cell r="EH106">
            <v>-8</v>
          </cell>
          <cell r="EI106">
            <v>-14</v>
          </cell>
          <cell r="EJ106">
            <v>1</v>
          </cell>
          <cell r="EK106">
            <v>2</v>
          </cell>
          <cell r="EL106">
            <v>1</v>
          </cell>
          <cell r="EM106">
            <v>2</v>
          </cell>
          <cell r="EN106">
            <v>0</v>
          </cell>
          <cell r="EO106" t="str">
            <v xml:space="preserve">Lone Pine  POLO                                             </v>
          </cell>
        </row>
        <row r="107">
          <cell r="A107" t="str">
            <v>CN3YL6810395</v>
          </cell>
          <cell r="B107" t="str">
            <v>CN3</v>
          </cell>
          <cell r="C107" t="str">
            <v>YL6810</v>
          </cell>
          <cell r="D107">
            <v>395</v>
          </cell>
          <cell r="E107" t="str">
            <v xml:space="preserve">   </v>
          </cell>
          <cell r="F107">
            <v>80711</v>
          </cell>
          <cell r="G107">
            <v>80805</v>
          </cell>
          <cell r="H107">
            <v>81224</v>
          </cell>
          <cell r="I107">
            <v>500</v>
          </cell>
          <cell r="J107">
            <v>464</v>
          </cell>
          <cell r="K107">
            <v>464</v>
          </cell>
          <cell r="L107">
            <v>57</v>
          </cell>
          <cell r="M107">
            <v>57</v>
          </cell>
          <cell r="N107">
            <v>6925000</v>
          </cell>
          <cell r="O107">
            <v>6418512</v>
          </cell>
          <cell r="P107">
            <v>6418512</v>
          </cell>
          <cell r="Q107">
            <v>788481</v>
          </cell>
          <cell r="R107">
            <v>2637721</v>
          </cell>
          <cell r="S107" t="str">
            <v>*</v>
          </cell>
          <cell r="T107" t="str">
            <v xml:space="preserve"> </v>
          </cell>
          <cell r="U107">
            <v>464</v>
          </cell>
          <cell r="V107">
            <v>6418512</v>
          </cell>
          <cell r="W107">
            <v>57</v>
          </cell>
          <cell r="X107">
            <v>788481</v>
          </cell>
          <cell r="Y107">
            <v>12.07</v>
          </cell>
          <cell r="Z107">
            <v>11.85</v>
          </cell>
          <cell r="AA107">
            <v>373491</v>
          </cell>
          <cell r="AB107">
            <v>414990</v>
          </cell>
          <cell r="AC107">
            <v>0</v>
          </cell>
          <cell r="AD107">
            <v>1480131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-1</v>
          </cell>
          <cell r="AL107">
            <v>-27666</v>
          </cell>
          <cell r="AM107">
            <v>408</v>
          </cell>
          <cell r="AN107">
            <v>10056591</v>
          </cell>
          <cell r="AO107">
            <v>13850</v>
          </cell>
          <cell r="AP107">
            <v>13833</v>
          </cell>
          <cell r="AQ107">
            <v>63000</v>
          </cell>
          <cell r="AR107">
            <v>38000</v>
          </cell>
          <cell r="AS107">
            <v>4.55</v>
          </cell>
          <cell r="AT107">
            <v>29232000</v>
          </cell>
          <cell r="AU107">
            <v>4.01</v>
          </cell>
          <cell r="AV107">
            <v>1497721</v>
          </cell>
          <cell r="AW107">
            <v>2.75</v>
          </cell>
          <cell r="AX107">
            <v>1140000</v>
          </cell>
          <cell r="AY107">
            <v>12.07</v>
          </cell>
          <cell r="AZ107">
            <v>0</v>
          </cell>
          <cell r="BA107">
            <v>27</v>
          </cell>
          <cell r="BB107">
            <v>30</v>
          </cell>
          <cell r="BC107">
            <v>57</v>
          </cell>
          <cell r="BD107">
            <v>0</v>
          </cell>
          <cell r="BE107">
            <v>0</v>
          </cell>
          <cell r="BF107">
            <v>24</v>
          </cell>
          <cell r="BG107">
            <v>0</v>
          </cell>
          <cell r="BH107">
            <v>1</v>
          </cell>
          <cell r="BI107">
            <v>11</v>
          </cell>
          <cell r="BJ107">
            <v>1</v>
          </cell>
          <cell r="BK107">
            <v>2</v>
          </cell>
          <cell r="BL107">
            <v>2</v>
          </cell>
          <cell r="BM107">
            <v>3</v>
          </cell>
          <cell r="BN107">
            <v>3</v>
          </cell>
          <cell r="BO107">
            <v>0</v>
          </cell>
          <cell r="BP107">
            <v>18</v>
          </cell>
          <cell r="BQ107">
            <v>0</v>
          </cell>
          <cell r="BR107">
            <v>7</v>
          </cell>
          <cell r="BS107">
            <v>4</v>
          </cell>
          <cell r="BT107">
            <v>5</v>
          </cell>
          <cell r="BU107">
            <v>2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3</v>
          </cell>
          <cell r="DG107">
            <v>0</v>
          </cell>
          <cell r="DH107">
            <v>0</v>
          </cell>
          <cell r="DI107">
            <v>0</v>
          </cell>
          <cell r="DJ107">
            <v>2</v>
          </cell>
          <cell r="DK107">
            <v>1</v>
          </cell>
          <cell r="DL107">
            <v>0</v>
          </cell>
          <cell r="DM107">
            <v>16</v>
          </cell>
          <cell r="DN107">
            <v>4</v>
          </cell>
          <cell r="DO107">
            <v>2</v>
          </cell>
          <cell r="DP107">
            <v>4</v>
          </cell>
          <cell r="DQ107">
            <v>5</v>
          </cell>
          <cell r="DR107">
            <v>1</v>
          </cell>
          <cell r="DS107">
            <v>0</v>
          </cell>
          <cell r="DT107">
            <v>3</v>
          </cell>
          <cell r="DU107">
            <v>1</v>
          </cell>
          <cell r="DV107">
            <v>0</v>
          </cell>
          <cell r="DW107">
            <v>1</v>
          </cell>
          <cell r="DX107">
            <v>1</v>
          </cell>
          <cell r="DY107">
            <v>0</v>
          </cell>
          <cell r="DZ107">
            <v>0</v>
          </cell>
          <cell r="EA107">
            <v>4</v>
          </cell>
          <cell r="EB107">
            <v>1</v>
          </cell>
          <cell r="EC107">
            <v>2</v>
          </cell>
          <cell r="ED107">
            <v>0</v>
          </cell>
          <cell r="EE107">
            <v>-1</v>
          </cell>
          <cell r="EF107">
            <v>2</v>
          </cell>
          <cell r="EG107">
            <v>0</v>
          </cell>
          <cell r="EH107">
            <v>2</v>
          </cell>
          <cell r="EI107">
            <v>0</v>
          </cell>
          <cell r="EJ107">
            <v>0</v>
          </cell>
          <cell r="EK107">
            <v>0</v>
          </cell>
          <cell r="EL107">
            <v>1</v>
          </cell>
          <cell r="EM107">
            <v>1</v>
          </cell>
          <cell r="EN107">
            <v>0</v>
          </cell>
          <cell r="EO107" t="str">
            <v xml:space="preserve">Lone Pine  POLO                                             </v>
          </cell>
        </row>
        <row r="108">
          <cell r="A108" t="str">
            <v>CN3YL6810552</v>
          </cell>
          <cell r="B108" t="str">
            <v>CN3</v>
          </cell>
          <cell r="C108" t="str">
            <v>YL6810</v>
          </cell>
          <cell r="D108">
            <v>552</v>
          </cell>
          <cell r="E108" t="str">
            <v xml:space="preserve">   </v>
          </cell>
          <cell r="F108">
            <v>80711</v>
          </cell>
          <cell r="G108">
            <v>80805</v>
          </cell>
          <cell r="H108">
            <v>81224</v>
          </cell>
          <cell r="I108">
            <v>800</v>
          </cell>
          <cell r="J108">
            <v>820</v>
          </cell>
          <cell r="K108">
            <v>817</v>
          </cell>
          <cell r="L108">
            <v>508</v>
          </cell>
          <cell r="M108">
            <v>508</v>
          </cell>
          <cell r="N108">
            <v>11080000</v>
          </cell>
          <cell r="O108">
            <v>11343060</v>
          </cell>
          <cell r="P108">
            <v>11301561</v>
          </cell>
          <cell r="Q108">
            <v>7027164</v>
          </cell>
          <cell r="R108">
            <v>25457460</v>
          </cell>
          <cell r="S108" t="str">
            <v>*</v>
          </cell>
          <cell r="T108" t="str">
            <v xml:space="preserve"> </v>
          </cell>
          <cell r="U108">
            <v>820</v>
          </cell>
          <cell r="V108">
            <v>11343060</v>
          </cell>
          <cell r="W108">
            <v>508</v>
          </cell>
          <cell r="X108">
            <v>7027164</v>
          </cell>
          <cell r="Y108">
            <v>61.95</v>
          </cell>
          <cell r="Z108">
            <v>61.95</v>
          </cell>
          <cell r="AA108">
            <v>4730886</v>
          </cell>
          <cell r="AB108">
            <v>2296278</v>
          </cell>
          <cell r="AC108">
            <v>3</v>
          </cell>
          <cell r="AD108">
            <v>1134306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309</v>
          </cell>
          <cell r="AN108">
            <v>9046782</v>
          </cell>
          <cell r="AO108">
            <v>13850</v>
          </cell>
          <cell r="AP108">
            <v>13833</v>
          </cell>
          <cell r="AQ108">
            <v>63000</v>
          </cell>
          <cell r="AR108">
            <v>38000</v>
          </cell>
          <cell r="AS108">
            <v>4.55</v>
          </cell>
          <cell r="AT108">
            <v>51660000</v>
          </cell>
          <cell r="AU108">
            <v>4.07</v>
          </cell>
          <cell r="AV108">
            <v>19242883</v>
          </cell>
          <cell r="AW108">
            <v>2.71</v>
          </cell>
          <cell r="AX108">
            <v>6214577</v>
          </cell>
          <cell r="AY108">
            <v>61.95</v>
          </cell>
          <cell r="AZ108">
            <v>0</v>
          </cell>
          <cell r="BA108">
            <v>342</v>
          </cell>
          <cell r="BB108">
            <v>166</v>
          </cell>
          <cell r="BC108">
            <v>508</v>
          </cell>
          <cell r="BD108">
            <v>0</v>
          </cell>
          <cell r="BE108">
            <v>0</v>
          </cell>
          <cell r="BF108">
            <v>134</v>
          </cell>
          <cell r="BG108">
            <v>0</v>
          </cell>
          <cell r="BH108">
            <v>1</v>
          </cell>
          <cell r="BI108">
            <v>45</v>
          </cell>
          <cell r="BJ108">
            <v>3</v>
          </cell>
          <cell r="BK108">
            <v>4</v>
          </cell>
          <cell r="BL108">
            <v>12</v>
          </cell>
          <cell r="BM108">
            <v>11</v>
          </cell>
          <cell r="BN108">
            <v>15</v>
          </cell>
          <cell r="BO108">
            <v>0</v>
          </cell>
          <cell r="BP108">
            <v>112</v>
          </cell>
          <cell r="BQ108">
            <v>4</v>
          </cell>
          <cell r="BR108">
            <v>37</v>
          </cell>
          <cell r="BS108">
            <v>35</v>
          </cell>
          <cell r="BT108">
            <v>17</v>
          </cell>
          <cell r="BU108">
            <v>19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43</v>
          </cell>
          <cell r="DG108">
            <v>0</v>
          </cell>
          <cell r="DH108">
            <v>6</v>
          </cell>
          <cell r="DI108">
            <v>7</v>
          </cell>
          <cell r="DJ108">
            <v>11</v>
          </cell>
          <cell r="DK108">
            <v>19</v>
          </cell>
          <cell r="DL108">
            <v>0</v>
          </cell>
          <cell r="DM108">
            <v>163</v>
          </cell>
          <cell r="DN108">
            <v>38</v>
          </cell>
          <cell r="DO108">
            <v>30</v>
          </cell>
          <cell r="DP108">
            <v>31</v>
          </cell>
          <cell r="DQ108">
            <v>56</v>
          </cell>
          <cell r="DR108">
            <v>8</v>
          </cell>
          <cell r="DS108">
            <v>0</v>
          </cell>
          <cell r="DT108">
            <v>102</v>
          </cell>
          <cell r="DU108">
            <v>13</v>
          </cell>
          <cell r="DV108">
            <v>50</v>
          </cell>
          <cell r="DW108">
            <v>19</v>
          </cell>
          <cell r="DX108">
            <v>17</v>
          </cell>
          <cell r="DY108">
            <v>3</v>
          </cell>
          <cell r="DZ108">
            <v>0</v>
          </cell>
          <cell r="EA108">
            <v>31</v>
          </cell>
          <cell r="EB108">
            <v>1</v>
          </cell>
          <cell r="EC108">
            <v>6</v>
          </cell>
          <cell r="ED108">
            <v>2</v>
          </cell>
          <cell r="EE108">
            <v>2</v>
          </cell>
          <cell r="EF108">
            <v>20</v>
          </cell>
          <cell r="EG108">
            <v>0</v>
          </cell>
          <cell r="EH108">
            <v>12</v>
          </cell>
          <cell r="EI108">
            <v>2</v>
          </cell>
          <cell r="EJ108">
            <v>4</v>
          </cell>
          <cell r="EK108">
            <v>1</v>
          </cell>
          <cell r="EL108">
            <v>4</v>
          </cell>
          <cell r="EM108">
            <v>1</v>
          </cell>
          <cell r="EN108">
            <v>0</v>
          </cell>
          <cell r="EO108" t="str">
            <v xml:space="preserve">Lone Pine  POLO                                             </v>
          </cell>
        </row>
        <row r="109">
          <cell r="A109" t="str">
            <v>CN3YL6851010</v>
          </cell>
          <cell r="B109" t="str">
            <v>CN3</v>
          </cell>
          <cell r="C109" t="str">
            <v>YL6851</v>
          </cell>
          <cell r="D109">
            <v>10</v>
          </cell>
          <cell r="E109" t="str">
            <v xml:space="preserve">   </v>
          </cell>
          <cell r="F109">
            <v>80627</v>
          </cell>
          <cell r="G109">
            <v>80712</v>
          </cell>
          <cell r="H109">
            <v>0</v>
          </cell>
          <cell r="I109">
            <v>800</v>
          </cell>
          <cell r="J109">
            <v>830</v>
          </cell>
          <cell r="K109">
            <v>830</v>
          </cell>
          <cell r="L109">
            <v>780</v>
          </cell>
          <cell r="M109">
            <v>780</v>
          </cell>
          <cell r="N109">
            <v>9880000</v>
          </cell>
          <cell r="O109">
            <v>10227300</v>
          </cell>
          <cell r="P109">
            <v>10165396</v>
          </cell>
          <cell r="Q109">
            <v>9124320</v>
          </cell>
          <cell r="R109">
            <v>35337220</v>
          </cell>
          <cell r="S109" t="str">
            <v xml:space="preserve"> </v>
          </cell>
          <cell r="T109" t="str">
            <v xml:space="preserve"> </v>
          </cell>
          <cell r="U109">
            <v>830</v>
          </cell>
          <cell r="V109">
            <v>10227300</v>
          </cell>
          <cell r="W109">
            <v>780</v>
          </cell>
          <cell r="X109">
            <v>9124320</v>
          </cell>
          <cell r="Y109">
            <v>94.46</v>
          </cell>
          <cell r="Z109">
            <v>89.55</v>
          </cell>
          <cell r="AA109">
            <v>9112771</v>
          </cell>
          <cell r="AB109">
            <v>11549</v>
          </cell>
          <cell r="AC109">
            <v>0</v>
          </cell>
          <cell r="AD109">
            <v>635195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4</v>
          </cell>
          <cell r="AL109">
            <v>34647</v>
          </cell>
          <cell r="AM109">
            <v>46</v>
          </cell>
          <cell r="AN109">
            <v>531254</v>
          </cell>
          <cell r="AO109">
            <v>12350</v>
          </cell>
          <cell r="AP109">
            <v>11549</v>
          </cell>
          <cell r="AQ109">
            <v>48000</v>
          </cell>
          <cell r="AR109">
            <v>0</v>
          </cell>
          <cell r="AS109">
            <v>3.9</v>
          </cell>
          <cell r="AT109">
            <v>39840000</v>
          </cell>
          <cell r="AU109">
            <v>3.88</v>
          </cell>
          <cell r="AV109">
            <v>35330361</v>
          </cell>
          <cell r="AW109">
            <v>0.59</v>
          </cell>
          <cell r="AX109">
            <v>6859</v>
          </cell>
          <cell r="AY109">
            <v>94.46</v>
          </cell>
          <cell r="AZ109">
            <v>0</v>
          </cell>
          <cell r="BA109">
            <v>779</v>
          </cell>
          <cell r="BB109">
            <v>1</v>
          </cell>
          <cell r="BC109">
            <v>715</v>
          </cell>
          <cell r="BD109">
            <v>65</v>
          </cell>
          <cell r="BE109">
            <v>0</v>
          </cell>
          <cell r="BF109">
            <v>11</v>
          </cell>
          <cell r="BG109">
            <v>1</v>
          </cell>
          <cell r="BH109">
            <v>1</v>
          </cell>
          <cell r="BI109">
            <v>-36</v>
          </cell>
          <cell r="BJ109">
            <v>0</v>
          </cell>
          <cell r="BK109">
            <v>0</v>
          </cell>
          <cell r="BL109">
            <v>-35</v>
          </cell>
          <cell r="BM109">
            <v>-1</v>
          </cell>
          <cell r="BN109">
            <v>0</v>
          </cell>
          <cell r="BO109">
            <v>0</v>
          </cell>
          <cell r="BP109">
            <v>4</v>
          </cell>
          <cell r="BQ109">
            <v>0</v>
          </cell>
          <cell r="BR109">
            <v>0</v>
          </cell>
          <cell r="BS109">
            <v>1</v>
          </cell>
          <cell r="BT109">
            <v>1</v>
          </cell>
          <cell r="BU109">
            <v>2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24</v>
          </cell>
          <cell r="CZ109">
            <v>0</v>
          </cell>
          <cell r="DA109">
            <v>3</v>
          </cell>
          <cell r="DB109">
            <v>9</v>
          </cell>
          <cell r="DC109">
            <v>9</v>
          </cell>
          <cell r="DD109">
            <v>3</v>
          </cell>
          <cell r="DE109">
            <v>0</v>
          </cell>
          <cell r="DF109">
            <v>126</v>
          </cell>
          <cell r="DG109">
            <v>8</v>
          </cell>
          <cell r="DH109">
            <v>19</v>
          </cell>
          <cell r="DI109">
            <v>17</v>
          </cell>
          <cell r="DJ109">
            <v>24</v>
          </cell>
          <cell r="DK109">
            <v>58</v>
          </cell>
          <cell r="DL109">
            <v>0</v>
          </cell>
          <cell r="DM109">
            <v>353</v>
          </cell>
          <cell r="DN109">
            <v>81</v>
          </cell>
          <cell r="DO109">
            <v>60</v>
          </cell>
          <cell r="DP109">
            <v>111</v>
          </cell>
          <cell r="DQ109">
            <v>80</v>
          </cell>
          <cell r="DR109">
            <v>21</v>
          </cell>
          <cell r="DS109">
            <v>0</v>
          </cell>
          <cell r="DT109">
            <v>206</v>
          </cell>
          <cell r="DU109">
            <v>60</v>
          </cell>
          <cell r="DV109">
            <v>70</v>
          </cell>
          <cell r="DW109">
            <v>61</v>
          </cell>
          <cell r="DX109">
            <v>14</v>
          </cell>
          <cell r="DY109">
            <v>1</v>
          </cell>
          <cell r="DZ109">
            <v>0</v>
          </cell>
          <cell r="EA109">
            <v>14</v>
          </cell>
          <cell r="EB109">
            <v>1</v>
          </cell>
          <cell r="EC109">
            <v>12</v>
          </cell>
          <cell r="ED109">
            <v>2</v>
          </cell>
          <cell r="EE109">
            <v>-2</v>
          </cell>
          <cell r="EF109">
            <v>1</v>
          </cell>
          <cell r="EG109">
            <v>0</v>
          </cell>
          <cell r="EH109">
            <v>89</v>
          </cell>
          <cell r="EI109">
            <v>-1</v>
          </cell>
          <cell r="EJ109">
            <v>-1</v>
          </cell>
          <cell r="EK109">
            <v>0</v>
          </cell>
          <cell r="EL109">
            <v>-10</v>
          </cell>
          <cell r="EM109">
            <v>101</v>
          </cell>
          <cell r="EN109">
            <v>0</v>
          </cell>
          <cell r="EO109" t="str">
            <v xml:space="preserve">Rose Lodge Half Zip                                         </v>
          </cell>
        </row>
        <row r="110">
          <cell r="A110" t="str">
            <v>CN3YL6851501</v>
          </cell>
          <cell r="B110" t="str">
            <v>CN3</v>
          </cell>
          <cell r="C110" t="str">
            <v>YL6851</v>
          </cell>
          <cell r="D110">
            <v>501</v>
          </cell>
          <cell r="E110" t="str">
            <v xml:space="preserve">   </v>
          </cell>
          <cell r="F110">
            <v>80627</v>
          </cell>
          <cell r="G110">
            <v>80712</v>
          </cell>
          <cell r="H110">
            <v>0</v>
          </cell>
          <cell r="I110">
            <v>800</v>
          </cell>
          <cell r="J110">
            <v>837</v>
          </cell>
          <cell r="K110">
            <v>837</v>
          </cell>
          <cell r="L110">
            <v>838</v>
          </cell>
          <cell r="M110">
            <v>838</v>
          </cell>
          <cell r="N110">
            <v>9880000</v>
          </cell>
          <cell r="O110">
            <v>10313514</v>
          </cell>
          <cell r="P110">
            <v>10308933</v>
          </cell>
          <cell r="Q110">
            <v>9907166</v>
          </cell>
          <cell r="R110">
            <v>37542288</v>
          </cell>
          <cell r="S110" t="str">
            <v xml:space="preserve"> </v>
          </cell>
          <cell r="T110" t="str">
            <v>C</v>
          </cell>
          <cell r="U110">
            <v>837</v>
          </cell>
          <cell r="V110">
            <v>10313514</v>
          </cell>
          <cell r="W110">
            <v>838</v>
          </cell>
          <cell r="X110">
            <v>9907166</v>
          </cell>
          <cell r="Y110">
            <v>100.12</v>
          </cell>
          <cell r="Z110">
            <v>96.06</v>
          </cell>
          <cell r="AA110">
            <v>9907166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-1</v>
          </cell>
          <cell r="AN110">
            <v>-23098</v>
          </cell>
          <cell r="AO110">
            <v>12350</v>
          </cell>
          <cell r="AP110">
            <v>11549</v>
          </cell>
          <cell r="AQ110">
            <v>48000</v>
          </cell>
          <cell r="AR110">
            <v>0</v>
          </cell>
          <cell r="AS110">
            <v>3.9</v>
          </cell>
          <cell r="AT110">
            <v>40176000</v>
          </cell>
          <cell r="AU110">
            <v>3.79</v>
          </cell>
          <cell r="AV110">
            <v>37542288</v>
          </cell>
          <cell r="AW110">
            <v>0</v>
          </cell>
          <cell r="AX110">
            <v>0</v>
          </cell>
          <cell r="AY110">
            <v>100.12</v>
          </cell>
          <cell r="AZ110">
            <v>0</v>
          </cell>
          <cell r="BA110">
            <v>838</v>
          </cell>
          <cell r="BB110">
            <v>0</v>
          </cell>
          <cell r="BC110">
            <v>838</v>
          </cell>
          <cell r="BD110">
            <v>0</v>
          </cell>
          <cell r="BE110">
            <v>0</v>
          </cell>
          <cell r="BF110">
            <v>2</v>
          </cell>
          <cell r="BG110">
            <v>0</v>
          </cell>
          <cell r="BH110">
            <v>1</v>
          </cell>
          <cell r="BI110">
            <v>1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1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54</v>
          </cell>
          <cell r="CZ110">
            <v>0</v>
          </cell>
          <cell r="DA110">
            <v>5</v>
          </cell>
          <cell r="DB110">
            <v>24</v>
          </cell>
          <cell r="DC110">
            <v>14</v>
          </cell>
          <cell r="DD110">
            <v>11</v>
          </cell>
          <cell r="DE110">
            <v>0</v>
          </cell>
          <cell r="DF110">
            <v>242</v>
          </cell>
          <cell r="DG110">
            <v>12</v>
          </cell>
          <cell r="DH110">
            <v>26</v>
          </cell>
          <cell r="DI110">
            <v>38</v>
          </cell>
          <cell r="DJ110">
            <v>82</v>
          </cell>
          <cell r="DK110">
            <v>84</v>
          </cell>
          <cell r="DL110">
            <v>0</v>
          </cell>
          <cell r="DM110">
            <v>367</v>
          </cell>
          <cell r="DN110">
            <v>212</v>
          </cell>
          <cell r="DO110">
            <v>87</v>
          </cell>
          <cell r="DP110">
            <v>45</v>
          </cell>
          <cell r="DQ110">
            <v>16</v>
          </cell>
          <cell r="DR110">
            <v>7</v>
          </cell>
          <cell r="DS110">
            <v>0</v>
          </cell>
          <cell r="DT110">
            <v>166</v>
          </cell>
          <cell r="DU110">
            <v>157</v>
          </cell>
          <cell r="DV110">
            <v>4</v>
          </cell>
          <cell r="DW110">
            <v>9</v>
          </cell>
          <cell r="DX110">
            <v>-5</v>
          </cell>
          <cell r="DY110">
            <v>1</v>
          </cell>
          <cell r="DZ110">
            <v>0</v>
          </cell>
          <cell r="EA110">
            <v>8</v>
          </cell>
          <cell r="EB110">
            <v>7</v>
          </cell>
          <cell r="EC110">
            <v>-6</v>
          </cell>
          <cell r="ED110">
            <v>7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 t="str">
            <v xml:space="preserve">Rose Lodge Half Zip                                         </v>
          </cell>
        </row>
        <row r="111">
          <cell r="A111" t="str">
            <v>CN3YL6851552</v>
          </cell>
          <cell r="B111" t="str">
            <v>CN3</v>
          </cell>
          <cell r="C111" t="str">
            <v>YL6851</v>
          </cell>
          <cell r="D111">
            <v>552</v>
          </cell>
          <cell r="E111" t="str">
            <v xml:space="preserve">   </v>
          </cell>
          <cell r="F111">
            <v>80911</v>
          </cell>
          <cell r="G111">
            <v>80911</v>
          </cell>
          <cell r="H111">
            <v>0</v>
          </cell>
          <cell r="I111">
            <v>2500</v>
          </cell>
          <cell r="J111">
            <v>2499</v>
          </cell>
          <cell r="K111">
            <v>2413</v>
          </cell>
          <cell r="L111">
            <v>1840</v>
          </cell>
          <cell r="M111">
            <v>1840</v>
          </cell>
          <cell r="N111">
            <v>30875000</v>
          </cell>
          <cell r="O111">
            <v>28860951</v>
          </cell>
          <cell r="P111">
            <v>27867737</v>
          </cell>
          <cell r="Q111">
            <v>21250160</v>
          </cell>
          <cell r="R111">
            <v>83008084</v>
          </cell>
          <cell r="S111" t="str">
            <v xml:space="preserve"> </v>
          </cell>
          <cell r="T111" t="str">
            <v xml:space="preserve"> </v>
          </cell>
          <cell r="U111">
            <v>2499</v>
          </cell>
          <cell r="V111">
            <v>28860951</v>
          </cell>
          <cell r="W111">
            <v>1840</v>
          </cell>
          <cell r="X111">
            <v>21250160</v>
          </cell>
          <cell r="Y111">
            <v>73.63</v>
          </cell>
          <cell r="Z111">
            <v>73.63</v>
          </cell>
          <cell r="AA111">
            <v>21238611</v>
          </cell>
          <cell r="AB111">
            <v>11549</v>
          </cell>
          <cell r="AC111">
            <v>86</v>
          </cell>
          <cell r="AD111">
            <v>7264321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573</v>
          </cell>
          <cell r="AN111">
            <v>8615554</v>
          </cell>
          <cell r="AO111">
            <v>12350</v>
          </cell>
          <cell r="AP111">
            <v>11549</v>
          </cell>
          <cell r="AQ111">
            <v>48000</v>
          </cell>
          <cell r="AR111">
            <v>0</v>
          </cell>
          <cell r="AS111">
            <v>4.16</v>
          </cell>
          <cell r="AT111">
            <v>119952000</v>
          </cell>
          <cell r="AU111">
            <v>3.91</v>
          </cell>
          <cell r="AV111">
            <v>83001225</v>
          </cell>
          <cell r="AW111">
            <v>0.59</v>
          </cell>
          <cell r="AX111">
            <v>6859</v>
          </cell>
          <cell r="AY111">
            <v>73.63</v>
          </cell>
          <cell r="AZ111">
            <v>0</v>
          </cell>
          <cell r="BA111">
            <v>1839</v>
          </cell>
          <cell r="BB111">
            <v>1</v>
          </cell>
          <cell r="BC111">
            <v>1711</v>
          </cell>
          <cell r="BD111">
            <v>129</v>
          </cell>
          <cell r="BE111">
            <v>0</v>
          </cell>
          <cell r="BF111">
            <v>81</v>
          </cell>
          <cell r="BG111">
            <v>0</v>
          </cell>
          <cell r="BH111">
            <v>1</v>
          </cell>
          <cell r="BI111">
            <v>-11</v>
          </cell>
          <cell r="BJ111">
            <v>0</v>
          </cell>
          <cell r="BK111">
            <v>1</v>
          </cell>
          <cell r="BL111">
            <v>-21</v>
          </cell>
          <cell r="BM111">
            <v>4</v>
          </cell>
          <cell r="BN111">
            <v>5</v>
          </cell>
          <cell r="BO111">
            <v>0</v>
          </cell>
          <cell r="BP111">
            <v>57</v>
          </cell>
          <cell r="BQ111">
            <v>2</v>
          </cell>
          <cell r="BR111">
            <v>2</v>
          </cell>
          <cell r="BS111">
            <v>19</v>
          </cell>
          <cell r="BT111">
            <v>12</v>
          </cell>
          <cell r="BU111">
            <v>22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448</v>
          </cell>
          <cell r="DN111">
            <v>1</v>
          </cell>
          <cell r="DO111">
            <v>52</v>
          </cell>
          <cell r="DP111">
            <v>162</v>
          </cell>
          <cell r="DQ111">
            <v>196</v>
          </cell>
          <cell r="DR111">
            <v>37</v>
          </cell>
          <cell r="DS111">
            <v>0</v>
          </cell>
          <cell r="DT111">
            <v>975</v>
          </cell>
          <cell r="DU111">
            <v>224</v>
          </cell>
          <cell r="DV111">
            <v>237</v>
          </cell>
          <cell r="DW111">
            <v>242</v>
          </cell>
          <cell r="DX111">
            <v>216</v>
          </cell>
          <cell r="DY111">
            <v>56</v>
          </cell>
          <cell r="DZ111">
            <v>0</v>
          </cell>
          <cell r="EA111">
            <v>196</v>
          </cell>
          <cell r="EB111">
            <v>31</v>
          </cell>
          <cell r="EC111">
            <v>102</v>
          </cell>
          <cell r="ED111">
            <v>32</v>
          </cell>
          <cell r="EE111">
            <v>-3</v>
          </cell>
          <cell r="EF111">
            <v>34</v>
          </cell>
          <cell r="EG111">
            <v>0</v>
          </cell>
          <cell r="EH111">
            <v>175</v>
          </cell>
          <cell r="EI111">
            <v>11</v>
          </cell>
          <cell r="EJ111">
            <v>4</v>
          </cell>
          <cell r="EK111">
            <v>5</v>
          </cell>
          <cell r="EL111">
            <v>-1</v>
          </cell>
          <cell r="EM111">
            <v>156</v>
          </cell>
          <cell r="EN111">
            <v>0</v>
          </cell>
          <cell r="EO111" t="str">
            <v xml:space="preserve">Rose Lodge Half Zip                                         </v>
          </cell>
        </row>
        <row r="112">
          <cell r="A112" t="str">
            <v>CN3YL6851650</v>
          </cell>
          <cell r="B112" t="str">
            <v>CN3</v>
          </cell>
          <cell r="C112" t="str">
            <v>YL6851</v>
          </cell>
          <cell r="D112">
            <v>650</v>
          </cell>
          <cell r="E112" t="str">
            <v xml:space="preserve">   </v>
          </cell>
          <cell r="F112">
            <v>80911</v>
          </cell>
          <cell r="G112">
            <v>80911</v>
          </cell>
          <cell r="H112">
            <v>0</v>
          </cell>
          <cell r="I112">
            <v>2500</v>
          </cell>
          <cell r="J112">
            <v>2499</v>
          </cell>
          <cell r="K112">
            <v>1901</v>
          </cell>
          <cell r="L112">
            <v>786</v>
          </cell>
          <cell r="M112">
            <v>786</v>
          </cell>
          <cell r="N112">
            <v>30875000</v>
          </cell>
          <cell r="O112">
            <v>28860951</v>
          </cell>
          <cell r="P112">
            <v>21954649</v>
          </cell>
          <cell r="Q112">
            <v>9077514</v>
          </cell>
          <cell r="R112">
            <v>34628883</v>
          </cell>
          <cell r="S112" t="str">
            <v xml:space="preserve"> </v>
          </cell>
          <cell r="T112" t="str">
            <v xml:space="preserve"> </v>
          </cell>
          <cell r="U112">
            <v>2499</v>
          </cell>
          <cell r="V112">
            <v>28860951</v>
          </cell>
          <cell r="W112">
            <v>786</v>
          </cell>
          <cell r="X112">
            <v>9077514</v>
          </cell>
          <cell r="Y112">
            <v>31.33</v>
          </cell>
          <cell r="Z112">
            <v>31.41</v>
          </cell>
          <cell r="AA112">
            <v>9077514</v>
          </cell>
          <cell r="AB112">
            <v>0</v>
          </cell>
          <cell r="AC112">
            <v>598</v>
          </cell>
          <cell r="AD112">
            <v>24726409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-3</v>
          </cell>
          <cell r="AL112">
            <v>-11549</v>
          </cell>
          <cell r="AM112">
            <v>1118</v>
          </cell>
          <cell r="AN112">
            <v>15302425</v>
          </cell>
          <cell r="AO112">
            <v>12350</v>
          </cell>
          <cell r="AP112">
            <v>11549</v>
          </cell>
          <cell r="AQ112">
            <v>48000</v>
          </cell>
          <cell r="AR112">
            <v>0</v>
          </cell>
          <cell r="AS112">
            <v>4.16</v>
          </cell>
          <cell r="AT112">
            <v>119952000</v>
          </cell>
          <cell r="AU112">
            <v>3.81</v>
          </cell>
          <cell r="AV112">
            <v>34628883</v>
          </cell>
          <cell r="AW112">
            <v>0</v>
          </cell>
          <cell r="AX112">
            <v>0</v>
          </cell>
          <cell r="AY112">
            <v>31.33</v>
          </cell>
          <cell r="AZ112">
            <v>0</v>
          </cell>
          <cell r="BA112">
            <v>786</v>
          </cell>
          <cell r="BB112">
            <v>0</v>
          </cell>
          <cell r="BC112">
            <v>739</v>
          </cell>
          <cell r="BD112">
            <v>47</v>
          </cell>
          <cell r="BE112">
            <v>0</v>
          </cell>
          <cell r="BF112">
            <v>51</v>
          </cell>
          <cell r="BG112">
            <v>0</v>
          </cell>
          <cell r="BH112">
            <v>1</v>
          </cell>
          <cell r="BI112">
            <v>8</v>
          </cell>
          <cell r="BJ112">
            <v>0</v>
          </cell>
          <cell r="BK112">
            <v>3</v>
          </cell>
          <cell r="BL112">
            <v>4</v>
          </cell>
          <cell r="BM112">
            <v>1</v>
          </cell>
          <cell r="BN112">
            <v>0</v>
          </cell>
          <cell r="BO112">
            <v>0</v>
          </cell>
          <cell r="BP112">
            <v>39</v>
          </cell>
          <cell r="BQ112">
            <v>0</v>
          </cell>
          <cell r="BR112">
            <v>1</v>
          </cell>
          <cell r="BS112">
            <v>18</v>
          </cell>
          <cell r="BT112">
            <v>12</v>
          </cell>
          <cell r="BU112">
            <v>8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141</v>
          </cell>
          <cell r="DN112">
            <v>0</v>
          </cell>
          <cell r="DO112">
            <v>23</v>
          </cell>
          <cell r="DP112">
            <v>66</v>
          </cell>
          <cell r="DQ112">
            <v>43</v>
          </cell>
          <cell r="DR112">
            <v>9</v>
          </cell>
          <cell r="DS112">
            <v>0</v>
          </cell>
          <cell r="DT112">
            <v>470</v>
          </cell>
          <cell r="DU112">
            <v>95</v>
          </cell>
          <cell r="DV112">
            <v>86</v>
          </cell>
          <cell r="DW112">
            <v>233</v>
          </cell>
          <cell r="DX112">
            <v>37</v>
          </cell>
          <cell r="DY112">
            <v>19</v>
          </cell>
          <cell r="DZ112">
            <v>0</v>
          </cell>
          <cell r="EA112">
            <v>91</v>
          </cell>
          <cell r="EB112">
            <v>23</v>
          </cell>
          <cell r="EC112">
            <v>38</v>
          </cell>
          <cell r="ED112">
            <v>10</v>
          </cell>
          <cell r="EE112">
            <v>3</v>
          </cell>
          <cell r="EF112">
            <v>17</v>
          </cell>
          <cell r="EG112">
            <v>0</v>
          </cell>
          <cell r="EH112">
            <v>37</v>
          </cell>
          <cell r="EI112">
            <v>4</v>
          </cell>
          <cell r="EJ112">
            <v>-2</v>
          </cell>
          <cell r="EK112">
            <v>-1</v>
          </cell>
          <cell r="EL112">
            <v>3</v>
          </cell>
          <cell r="EM112">
            <v>33</v>
          </cell>
          <cell r="EN112">
            <v>0</v>
          </cell>
          <cell r="EO112" t="str">
            <v xml:space="preserve">Rose Lodge Half Zip                                         </v>
          </cell>
        </row>
        <row r="113">
          <cell r="A113" t="str">
            <v>CN3YL6851696</v>
          </cell>
          <cell r="B113" t="str">
            <v>CN3</v>
          </cell>
          <cell r="C113" t="str">
            <v>YL6851</v>
          </cell>
          <cell r="D113">
            <v>696</v>
          </cell>
          <cell r="E113" t="str">
            <v xml:space="preserve">   </v>
          </cell>
          <cell r="F113">
            <v>80627</v>
          </cell>
          <cell r="G113">
            <v>80712</v>
          </cell>
          <cell r="H113">
            <v>0</v>
          </cell>
          <cell r="I113">
            <v>1000</v>
          </cell>
          <cell r="J113">
            <v>1063</v>
          </cell>
          <cell r="K113">
            <v>1051</v>
          </cell>
          <cell r="L113">
            <v>1033</v>
          </cell>
          <cell r="M113">
            <v>1033</v>
          </cell>
          <cell r="N113">
            <v>12350000</v>
          </cell>
          <cell r="O113">
            <v>13098286</v>
          </cell>
          <cell r="P113">
            <v>12822989</v>
          </cell>
          <cell r="Q113">
            <v>12087239</v>
          </cell>
          <cell r="R113">
            <v>46443487</v>
          </cell>
          <cell r="S113" t="str">
            <v xml:space="preserve"> </v>
          </cell>
          <cell r="T113" t="str">
            <v xml:space="preserve"> </v>
          </cell>
          <cell r="U113">
            <v>1063</v>
          </cell>
          <cell r="V113">
            <v>13098286</v>
          </cell>
          <cell r="W113">
            <v>1033</v>
          </cell>
          <cell r="X113">
            <v>12087239</v>
          </cell>
          <cell r="Y113">
            <v>96.8</v>
          </cell>
          <cell r="Z113">
            <v>91.58</v>
          </cell>
          <cell r="AA113">
            <v>12087239</v>
          </cell>
          <cell r="AB113">
            <v>0</v>
          </cell>
          <cell r="AC113">
            <v>12</v>
          </cell>
          <cell r="AD113">
            <v>565901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-4</v>
          </cell>
          <cell r="AL113">
            <v>-92392</v>
          </cell>
          <cell r="AM113">
            <v>22</v>
          </cell>
          <cell r="AN113">
            <v>230980</v>
          </cell>
          <cell r="AO113">
            <v>12350</v>
          </cell>
          <cell r="AP113">
            <v>11549</v>
          </cell>
          <cell r="AQ113">
            <v>48000</v>
          </cell>
          <cell r="AR113">
            <v>0</v>
          </cell>
          <cell r="AS113">
            <v>3.9</v>
          </cell>
          <cell r="AT113">
            <v>51024000</v>
          </cell>
          <cell r="AU113">
            <v>3.84</v>
          </cell>
          <cell r="AV113">
            <v>46443487</v>
          </cell>
          <cell r="AW113">
            <v>0</v>
          </cell>
          <cell r="AX113">
            <v>0</v>
          </cell>
          <cell r="AY113">
            <v>96.8</v>
          </cell>
          <cell r="AZ113">
            <v>0</v>
          </cell>
          <cell r="BA113">
            <v>1033</v>
          </cell>
          <cell r="BB113">
            <v>0</v>
          </cell>
          <cell r="BC113">
            <v>900</v>
          </cell>
          <cell r="BD113">
            <v>133</v>
          </cell>
          <cell r="BE113">
            <v>0</v>
          </cell>
          <cell r="BF113">
            <v>17</v>
          </cell>
          <cell r="BG113">
            <v>0</v>
          </cell>
          <cell r="BH113">
            <v>1</v>
          </cell>
          <cell r="BI113">
            <v>-17</v>
          </cell>
          <cell r="BJ113">
            <v>0</v>
          </cell>
          <cell r="BK113">
            <v>-2</v>
          </cell>
          <cell r="BL113">
            <v>-17</v>
          </cell>
          <cell r="BM113">
            <v>2</v>
          </cell>
          <cell r="BN113">
            <v>0</v>
          </cell>
          <cell r="BO113">
            <v>0</v>
          </cell>
          <cell r="BP113">
            <v>1</v>
          </cell>
          <cell r="BQ113">
            <v>0</v>
          </cell>
          <cell r="BR113">
            <v>-1</v>
          </cell>
          <cell r="BS113">
            <v>2</v>
          </cell>
          <cell r="BT113">
            <v>-1</v>
          </cell>
          <cell r="BU113">
            <v>1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33</v>
          </cell>
          <cell r="CZ113">
            <v>0</v>
          </cell>
          <cell r="DA113">
            <v>3</v>
          </cell>
          <cell r="DB113">
            <v>17</v>
          </cell>
          <cell r="DC113">
            <v>5</v>
          </cell>
          <cell r="DD113">
            <v>8</v>
          </cell>
          <cell r="DE113">
            <v>0</v>
          </cell>
          <cell r="DF113">
            <v>170</v>
          </cell>
          <cell r="DG113">
            <v>4</v>
          </cell>
          <cell r="DH113">
            <v>17</v>
          </cell>
          <cell r="DI113">
            <v>28</v>
          </cell>
          <cell r="DJ113">
            <v>69</v>
          </cell>
          <cell r="DK113">
            <v>52</v>
          </cell>
          <cell r="DL113">
            <v>0</v>
          </cell>
          <cell r="DM113">
            <v>369</v>
          </cell>
          <cell r="DN113">
            <v>79</v>
          </cell>
          <cell r="DO113">
            <v>78</v>
          </cell>
          <cell r="DP113">
            <v>98</v>
          </cell>
          <cell r="DQ113">
            <v>91</v>
          </cell>
          <cell r="DR113">
            <v>23</v>
          </cell>
          <cell r="DS113">
            <v>0</v>
          </cell>
          <cell r="DT113">
            <v>288</v>
          </cell>
          <cell r="DU113">
            <v>72</v>
          </cell>
          <cell r="DV113">
            <v>62</v>
          </cell>
          <cell r="DW113">
            <v>105</v>
          </cell>
          <cell r="DX113">
            <v>32</v>
          </cell>
          <cell r="DY113">
            <v>17</v>
          </cell>
          <cell r="DZ113">
            <v>0</v>
          </cell>
          <cell r="EA113">
            <v>45</v>
          </cell>
          <cell r="EB113">
            <v>2</v>
          </cell>
          <cell r="EC113">
            <v>34</v>
          </cell>
          <cell r="ED113">
            <v>3</v>
          </cell>
          <cell r="EE113">
            <v>5</v>
          </cell>
          <cell r="EF113">
            <v>1</v>
          </cell>
          <cell r="EG113">
            <v>0</v>
          </cell>
          <cell r="EH113">
            <v>144</v>
          </cell>
          <cell r="EI113">
            <v>-1</v>
          </cell>
          <cell r="EJ113">
            <v>-3</v>
          </cell>
          <cell r="EK113">
            <v>1</v>
          </cell>
          <cell r="EL113">
            <v>-2</v>
          </cell>
          <cell r="EM113">
            <v>149</v>
          </cell>
          <cell r="EN113">
            <v>0</v>
          </cell>
          <cell r="EO113" t="str">
            <v xml:space="preserve">Rose Lodge Half Zip                                         </v>
          </cell>
        </row>
        <row r="114">
          <cell r="A114" t="str">
            <v>CN3YL6852395</v>
          </cell>
          <cell r="B114" t="str">
            <v>CN3</v>
          </cell>
          <cell r="C114" t="str">
            <v>YL6852</v>
          </cell>
          <cell r="D114">
            <v>395</v>
          </cell>
          <cell r="E114" t="str">
            <v xml:space="preserve">   </v>
          </cell>
          <cell r="F114">
            <v>80715</v>
          </cell>
          <cell r="G114">
            <v>80812</v>
          </cell>
          <cell r="H114">
            <v>81014</v>
          </cell>
          <cell r="I114">
            <v>500</v>
          </cell>
          <cell r="J114">
            <v>495</v>
          </cell>
          <cell r="K114">
            <v>481</v>
          </cell>
          <cell r="L114">
            <v>255</v>
          </cell>
          <cell r="M114">
            <v>255</v>
          </cell>
          <cell r="N114">
            <v>9825000</v>
          </cell>
          <cell r="O114">
            <v>9743085</v>
          </cell>
          <cell r="P114">
            <v>9467523</v>
          </cell>
          <cell r="Q114">
            <v>5019165</v>
          </cell>
          <cell r="R114">
            <v>14795574</v>
          </cell>
          <cell r="S114" t="str">
            <v>*</v>
          </cell>
          <cell r="T114" t="str">
            <v xml:space="preserve"> </v>
          </cell>
          <cell r="U114">
            <v>495</v>
          </cell>
          <cell r="V114">
            <v>9743085</v>
          </cell>
          <cell r="W114">
            <v>255</v>
          </cell>
          <cell r="X114">
            <v>5019165</v>
          </cell>
          <cell r="Y114">
            <v>51.31</v>
          </cell>
          <cell r="Z114">
            <v>51.11</v>
          </cell>
          <cell r="AA114">
            <v>964467</v>
          </cell>
          <cell r="AB114">
            <v>4054698</v>
          </cell>
          <cell r="AC114">
            <v>14</v>
          </cell>
          <cell r="AD114">
            <v>492075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-1</v>
          </cell>
          <cell r="AL114">
            <v>-39366</v>
          </cell>
          <cell r="AM114">
            <v>227</v>
          </cell>
          <cell r="AN114">
            <v>9447840</v>
          </cell>
          <cell r="AO114">
            <v>19650</v>
          </cell>
          <cell r="AP114">
            <v>19683</v>
          </cell>
          <cell r="AQ114">
            <v>89000</v>
          </cell>
          <cell r="AR114">
            <v>53000</v>
          </cell>
          <cell r="AS114">
            <v>4.5199999999999996</v>
          </cell>
          <cell r="AT114">
            <v>44055000</v>
          </cell>
          <cell r="AU114">
            <v>4.0199999999999996</v>
          </cell>
          <cell r="AV114">
            <v>3877574</v>
          </cell>
          <cell r="AW114">
            <v>2.69</v>
          </cell>
          <cell r="AX114">
            <v>10918000</v>
          </cell>
          <cell r="AY114">
            <v>51.31</v>
          </cell>
          <cell r="AZ114">
            <v>0</v>
          </cell>
          <cell r="BA114">
            <v>49</v>
          </cell>
          <cell r="BB114">
            <v>206</v>
          </cell>
          <cell r="BC114">
            <v>255</v>
          </cell>
          <cell r="BD114">
            <v>0</v>
          </cell>
          <cell r="BE114">
            <v>0</v>
          </cell>
          <cell r="BF114">
            <v>31</v>
          </cell>
          <cell r="BG114">
            <v>1</v>
          </cell>
          <cell r="BH114">
            <v>1</v>
          </cell>
          <cell r="BI114">
            <v>-2</v>
          </cell>
          <cell r="BJ114">
            <v>-1</v>
          </cell>
          <cell r="BK114">
            <v>0</v>
          </cell>
          <cell r="BL114">
            <v>0</v>
          </cell>
          <cell r="BM114">
            <v>-4</v>
          </cell>
          <cell r="BN114">
            <v>3</v>
          </cell>
          <cell r="BO114">
            <v>0</v>
          </cell>
          <cell r="BP114">
            <v>23</v>
          </cell>
          <cell r="BQ114">
            <v>0</v>
          </cell>
          <cell r="BR114">
            <v>6</v>
          </cell>
          <cell r="BS114">
            <v>3</v>
          </cell>
          <cell r="BT114">
            <v>8</v>
          </cell>
          <cell r="BU114">
            <v>6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6</v>
          </cell>
          <cell r="DG114">
            <v>0</v>
          </cell>
          <cell r="DH114">
            <v>0</v>
          </cell>
          <cell r="DI114">
            <v>4</v>
          </cell>
          <cell r="DJ114">
            <v>1</v>
          </cell>
          <cell r="DK114">
            <v>1</v>
          </cell>
          <cell r="DL114">
            <v>0</v>
          </cell>
          <cell r="DM114">
            <v>35</v>
          </cell>
          <cell r="DN114">
            <v>7</v>
          </cell>
          <cell r="DO114">
            <v>1</v>
          </cell>
          <cell r="DP114">
            <v>5</v>
          </cell>
          <cell r="DQ114">
            <v>22</v>
          </cell>
          <cell r="DR114">
            <v>0</v>
          </cell>
          <cell r="DS114">
            <v>0</v>
          </cell>
          <cell r="DT114">
            <v>105</v>
          </cell>
          <cell r="DU114">
            <v>5</v>
          </cell>
          <cell r="DV114">
            <v>9</v>
          </cell>
          <cell r="DW114">
            <v>31</v>
          </cell>
          <cell r="DX114">
            <v>42</v>
          </cell>
          <cell r="DY114">
            <v>18</v>
          </cell>
          <cell r="DZ114">
            <v>0</v>
          </cell>
          <cell r="EA114">
            <v>64</v>
          </cell>
          <cell r="EB114">
            <v>12</v>
          </cell>
          <cell r="EC114">
            <v>16</v>
          </cell>
          <cell r="ED114">
            <v>10</v>
          </cell>
          <cell r="EE114">
            <v>20</v>
          </cell>
          <cell r="EF114">
            <v>6</v>
          </cell>
          <cell r="EG114">
            <v>0</v>
          </cell>
          <cell r="EH114">
            <v>24</v>
          </cell>
          <cell r="EI114">
            <v>13</v>
          </cell>
          <cell r="EJ114">
            <v>7</v>
          </cell>
          <cell r="EK114">
            <v>2</v>
          </cell>
          <cell r="EL114">
            <v>2</v>
          </cell>
          <cell r="EM114">
            <v>0</v>
          </cell>
          <cell r="EN114">
            <v>0</v>
          </cell>
          <cell r="EO114" t="str">
            <v xml:space="preserve">Womens Moselle                                              </v>
          </cell>
        </row>
        <row r="115">
          <cell r="A115" t="str">
            <v>CN3YL6852527</v>
          </cell>
          <cell r="B115" t="str">
            <v>CN3</v>
          </cell>
          <cell r="C115" t="str">
            <v>YL6852</v>
          </cell>
          <cell r="D115">
            <v>527</v>
          </cell>
          <cell r="E115" t="str">
            <v xml:space="preserve">   </v>
          </cell>
          <cell r="F115">
            <v>80715</v>
          </cell>
          <cell r="G115">
            <v>80812</v>
          </cell>
          <cell r="H115">
            <v>81014</v>
          </cell>
          <cell r="I115">
            <v>500</v>
          </cell>
          <cell r="J115">
            <v>507</v>
          </cell>
          <cell r="K115">
            <v>498</v>
          </cell>
          <cell r="L115">
            <v>349</v>
          </cell>
          <cell r="M115">
            <v>349</v>
          </cell>
          <cell r="N115">
            <v>9825000</v>
          </cell>
          <cell r="O115">
            <v>9979281</v>
          </cell>
          <cell r="P115">
            <v>9802134</v>
          </cell>
          <cell r="Q115">
            <v>6869367</v>
          </cell>
          <cell r="R115">
            <v>20191165</v>
          </cell>
          <cell r="S115" t="str">
            <v>*</v>
          </cell>
          <cell r="T115" t="str">
            <v xml:space="preserve"> </v>
          </cell>
          <cell r="U115">
            <v>507</v>
          </cell>
          <cell r="V115">
            <v>9979281</v>
          </cell>
          <cell r="W115">
            <v>349</v>
          </cell>
          <cell r="X115">
            <v>6869367</v>
          </cell>
          <cell r="Y115">
            <v>69.03</v>
          </cell>
          <cell r="Z115">
            <v>69.23</v>
          </cell>
          <cell r="AA115">
            <v>1279395</v>
          </cell>
          <cell r="AB115">
            <v>5589972</v>
          </cell>
          <cell r="AC115">
            <v>9</v>
          </cell>
          <cell r="AD115">
            <v>373977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1</v>
          </cell>
          <cell r="AL115">
            <v>39366</v>
          </cell>
          <cell r="AM115">
            <v>148</v>
          </cell>
          <cell r="AN115">
            <v>6160779</v>
          </cell>
          <cell r="AO115">
            <v>19650</v>
          </cell>
          <cell r="AP115">
            <v>19683</v>
          </cell>
          <cell r="AQ115">
            <v>89000</v>
          </cell>
          <cell r="AR115">
            <v>53000</v>
          </cell>
          <cell r="AS115">
            <v>4.5199999999999996</v>
          </cell>
          <cell r="AT115">
            <v>45123000</v>
          </cell>
          <cell r="AU115">
            <v>3.94</v>
          </cell>
          <cell r="AV115">
            <v>5044000</v>
          </cell>
          <cell r="AW115">
            <v>2.71</v>
          </cell>
          <cell r="AX115">
            <v>15147165</v>
          </cell>
          <cell r="AY115">
            <v>69.03</v>
          </cell>
          <cell r="AZ115">
            <v>0</v>
          </cell>
          <cell r="BA115">
            <v>65</v>
          </cell>
          <cell r="BB115">
            <v>284</v>
          </cell>
          <cell r="BC115">
            <v>349</v>
          </cell>
          <cell r="BD115">
            <v>0</v>
          </cell>
          <cell r="BE115">
            <v>0</v>
          </cell>
          <cell r="BF115">
            <v>26</v>
          </cell>
          <cell r="BG115">
            <v>0</v>
          </cell>
          <cell r="BH115">
            <v>1</v>
          </cell>
          <cell r="BI115">
            <v>21</v>
          </cell>
          <cell r="BJ115">
            <v>5</v>
          </cell>
          <cell r="BK115">
            <v>3</v>
          </cell>
          <cell r="BL115">
            <v>4</v>
          </cell>
          <cell r="BM115">
            <v>2</v>
          </cell>
          <cell r="BN115">
            <v>7</v>
          </cell>
          <cell r="BO115">
            <v>0</v>
          </cell>
          <cell r="BP115">
            <v>18</v>
          </cell>
          <cell r="BQ115">
            <v>0</v>
          </cell>
          <cell r="BR115">
            <v>5</v>
          </cell>
          <cell r="BS115">
            <v>2</v>
          </cell>
          <cell r="BT115">
            <v>5</v>
          </cell>
          <cell r="BU115">
            <v>6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10</v>
          </cell>
          <cell r="DG115">
            <v>0</v>
          </cell>
          <cell r="DH115">
            <v>0</v>
          </cell>
          <cell r="DI115">
            <v>2</v>
          </cell>
          <cell r="DJ115">
            <v>3</v>
          </cell>
          <cell r="DK115">
            <v>5</v>
          </cell>
          <cell r="DL115">
            <v>0</v>
          </cell>
          <cell r="DM115">
            <v>55</v>
          </cell>
          <cell r="DN115">
            <v>8</v>
          </cell>
          <cell r="DO115">
            <v>5</v>
          </cell>
          <cell r="DP115">
            <v>3</v>
          </cell>
          <cell r="DQ115">
            <v>37</v>
          </cell>
          <cell r="DR115">
            <v>2</v>
          </cell>
          <cell r="DS115">
            <v>0</v>
          </cell>
          <cell r="DT115">
            <v>133</v>
          </cell>
          <cell r="DU115">
            <v>-1</v>
          </cell>
          <cell r="DV115">
            <v>5</v>
          </cell>
          <cell r="DW115">
            <v>38</v>
          </cell>
          <cell r="DX115">
            <v>52</v>
          </cell>
          <cell r="DY115">
            <v>39</v>
          </cell>
          <cell r="DZ115">
            <v>0</v>
          </cell>
          <cell r="EA115">
            <v>91</v>
          </cell>
          <cell r="EB115">
            <v>22</v>
          </cell>
          <cell r="EC115">
            <v>36</v>
          </cell>
          <cell r="ED115">
            <v>17</v>
          </cell>
          <cell r="EE115">
            <v>10</v>
          </cell>
          <cell r="EF115">
            <v>6</v>
          </cell>
          <cell r="EG115">
            <v>0</v>
          </cell>
          <cell r="EH115">
            <v>21</v>
          </cell>
          <cell r="EI115">
            <v>6</v>
          </cell>
          <cell r="EJ115">
            <v>2</v>
          </cell>
          <cell r="EK115">
            <v>12</v>
          </cell>
          <cell r="EL115">
            <v>4</v>
          </cell>
          <cell r="EM115">
            <v>-3</v>
          </cell>
          <cell r="EN115">
            <v>0</v>
          </cell>
          <cell r="EO115" t="str">
            <v xml:space="preserve">Womens Moselle                                              </v>
          </cell>
        </row>
        <row r="116">
          <cell r="A116" t="str">
            <v>CN3YL6854564</v>
          </cell>
          <cell r="B116" t="str">
            <v>CN3</v>
          </cell>
          <cell r="C116" t="str">
            <v>YL6854</v>
          </cell>
          <cell r="D116">
            <v>564</v>
          </cell>
          <cell r="E116" t="str">
            <v xml:space="preserve">   </v>
          </cell>
          <cell r="F116">
            <v>80911</v>
          </cell>
          <cell r="G116">
            <v>80911</v>
          </cell>
          <cell r="H116">
            <v>90226</v>
          </cell>
          <cell r="I116">
            <v>600</v>
          </cell>
          <cell r="J116">
            <v>584</v>
          </cell>
          <cell r="K116">
            <v>584</v>
          </cell>
          <cell r="L116">
            <v>233</v>
          </cell>
          <cell r="M116">
            <v>233</v>
          </cell>
          <cell r="N116">
            <v>10890000</v>
          </cell>
          <cell r="O116">
            <v>10585584</v>
          </cell>
          <cell r="P116">
            <v>10585584</v>
          </cell>
          <cell r="Q116">
            <v>4223358</v>
          </cell>
          <cell r="R116">
            <v>18508900</v>
          </cell>
          <cell r="S116" t="str">
            <v>*</v>
          </cell>
          <cell r="T116" t="str">
            <v xml:space="preserve"> </v>
          </cell>
          <cell r="U116">
            <v>584</v>
          </cell>
          <cell r="V116">
            <v>10585584</v>
          </cell>
          <cell r="W116">
            <v>233</v>
          </cell>
          <cell r="X116">
            <v>4223358</v>
          </cell>
          <cell r="Y116">
            <v>39.729999999999997</v>
          </cell>
          <cell r="Z116">
            <v>39.549999999999997</v>
          </cell>
          <cell r="AA116">
            <v>4168980</v>
          </cell>
          <cell r="AB116">
            <v>54378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-1</v>
          </cell>
          <cell r="AL116">
            <v>-36252</v>
          </cell>
          <cell r="AM116">
            <v>352</v>
          </cell>
          <cell r="AN116">
            <v>13050720</v>
          </cell>
          <cell r="AO116">
            <v>18150</v>
          </cell>
          <cell r="AP116">
            <v>18126</v>
          </cell>
          <cell r="AQ116">
            <v>89000</v>
          </cell>
          <cell r="AR116">
            <v>53000</v>
          </cell>
          <cell r="AS116">
            <v>4.91</v>
          </cell>
          <cell r="AT116">
            <v>51976000</v>
          </cell>
          <cell r="AU116">
            <v>4.4000000000000004</v>
          </cell>
          <cell r="AV116">
            <v>18349900</v>
          </cell>
          <cell r="AW116">
            <v>2.92</v>
          </cell>
          <cell r="AX116">
            <v>159000</v>
          </cell>
          <cell r="AY116">
            <v>39.729999999999997</v>
          </cell>
          <cell r="AZ116">
            <v>0</v>
          </cell>
          <cell r="BA116">
            <v>230</v>
          </cell>
          <cell r="BB116">
            <v>3</v>
          </cell>
          <cell r="BC116">
            <v>233</v>
          </cell>
          <cell r="BD116">
            <v>0</v>
          </cell>
          <cell r="BE116">
            <v>0</v>
          </cell>
          <cell r="BF116">
            <v>28</v>
          </cell>
          <cell r="BG116">
            <v>1</v>
          </cell>
          <cell r="BH116">
            <v>1</v>
          </cell>
          <cell r="BI116">
            <v>9</v>
          </cell>
          <cell r="BJ116">
            <v>1</v>
          </cell>
          <cell r="BK116">
            <v>3</v>
          </cell>
          <cell r="BL116">
            <v>1</v>
          </cell>
          <cell r="BM116">
            <v>1</v>
          </cell>
          <cell r="BN116">
            <v>3</v>
          </cell>
          <cell r="BO116">
            <v>0</v>
          </cell>
          <cell r="BP116">
            <v>16</v>
          </cell>
          <cell r="BQ116">
            <v>0</v>
          </cell>
          <cell r="BR116">
            <v>5</v>
          </cell>
          <cell r="BS116">
            <v>5</v>
          </cell>
          <cell r="BT116">
            <v>1</v>
          </cell>
          <cell r="BU116">
            <v>5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101</v>
          </cell>
          <cell r="DN116">
            <v>0</v>
          </cell>
          <cell r="DO116">
            <v>5</v>
          </cell>
          <cell r="DP116">
            <v>23</v>
          </cell>
          <cell r="DQ116">
            <v>74</v>
          </cell>
          <cell r="DR116">
            <v>-1</v>
          </cell>
          <cell r="DS116">
            <v>0</v>
          </cell>
          <cell r="DT116">
            <v>89</v>
          </cell>
          <cell r="DU116">
            <v>27</v>
          </cell>
          <cell r="DV116">
            <v>25</v>
          </cell>
          <cell r="DW116">
            <v>21</v>
          </cell>
          <cell r="DX116">
            <v>13</v>
          </cell>
          <cell r="DY116">
            <v>3</v>
          </cell>
          <cell r="DZ116">
            <v>0</v>
          </cell>
          <cell r="EA116">
            <v>12</v>
          </cell>
          <cell r="EB116">
            <v>5</v>
          </cell>
          <cell r="EC116">
            <v>4</v>
          </cell>
          <cell r="ED116">
            <v>1</v>
          </cell>
          <cell r="EE116">
            <v>2</v>
          </cell>
          <cell r="EF116">
            <v>0</v>
          </cell>
          <cell r="EG116">
            <v>0</v>
          </cell>
          <cell r="EH116">
            <v>6</v>
          </cell>
          <cell r="EI116">
            <v>0</v>
          </cell>
          <cell r="EJ116">
            <v>1</v>
          </cell>
          <cell r="EK116">
            <v>3</v>
          </cell>
          <cell r="EL116">
            <v>1</v>
          </cell>
          <cell r="EM116">
            <v>1</v>
          </cell>
          <cell r="EN116">
            <v>0</v>
          </cell>
          <cell r="EO116" t="str">
            <v xml:space="preserve">Womens Moreland                                             </v>
          </cell>
        </row>
        <row r="117">
          <cell r="A117" t="str">
            <v>CN3YL6854696</v>
          </cell>
          <cell r="B117" t="str">
            <v>CN3</v>
          </cell>
          <cell r="C117" t="str">
            <v>YL6854</v>
          </cell>
          <cell r="D117">
            <v>696</v>
          </cell>
          <cell r="E117" t="str">
            <v xml:space="preserve">   </v>
          </cell>
          <cell r="F117">
            <v>80909</v>
          </cell>
          <cell r="G117">
            <v>80909</v>
          </cell>
          <cell r="H117">
            <v>90226</v>
          </cell>
          <cell r="I117">
            <v>700</v>
          </cell>
          <cell r="J117">
            <v>701</v>
          </cell>
          <cell r="K117">
            <v>701</v>
          </cell>
          <cell r="L117">
            <v>428</v>
          </cell>
          <cell r="M117">
            <v>428</v>
          </cell>
          <cell r="N117">
            <v>12705000</v>
          </cell>
          <cell r="O117">
            <v>12706326</v>
          </cell>
          <cell r="P117">
            <v>12706326</v>
          </cell>
          <cell r="Q117">
            <v>7757928</v>
          </cell>
          <cell r="R117">
            <v>33896959</v>
          </cell>
          <cell r="S117" t="str">
            <v>*</v>
          </cell>
          <cell r="T117" t="str">
            <v xml:space="preserve"> </v>
          </cell>
          <cell r="U117">
            <v>701</v>
          </cell>
          <cell r="V117">
            <v>12706326</v>
          </cell>
          <cell r="W117">
            <v>428</v>
          </cell>
          <cell r="X117">
            <v>7757928</v>
          </cell>
          <cell r="Y117">
            <v>61.2</v>
          </cell>
          <cell r="Z117">
            <v>61.34</v>
          </cell>
          <cell r="AA117">
            <v>7486038</v>
          </cell>
          <cell r="AB117">
            <v>271890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1</v>
          </cell>
          <cell r="AL117">
            <v>36252</v>
          </cell>
          <cell r="AM117">
            <v>272</v>
          </cell>
          <cell r="AN117">
            <v>10440576</v>
          </cell>
          <cell r="AO117">
            <v>18150</v>
          </cell>
          <cell r="AP117">
            <v>18126</v>
          </cell>
          <cell r="AQ117">
            <v>89000</v>
          </cell>
          <cell r="AR117">
            <v>53000</v>
          </cell>
          <cell r="AS117">
            <v>4.91</v>
          </cell>
          <cell r="AT117">
            <v>62389000</v>
          </cell>
          <cell r="AU117">
            <v>4.43</v>
          </cell>
          <cell r="AV117">
            <v>33148100</v>
          </cell>
          <cell r="AW117">
            <v>2.75</v>
          </cell>
          <cell r="AX117">
            <v>748859</v>
          </cell>
          <cell r="AY117">
            <v>61.2</v>
          </cell>
          <cell r="AZ117">
            <v>0</v>
          </cell>
          <cell r="BA117">
            <v>413</v>
          </cell>
          <cell r="BB117">
            <v>15</v>
          </cell>
          <cell r="BC117">
            <v>428</v>
          </cell>
          <cell r="BD117">
            <v>0</v>
          </cell>
          <cell r="BE117">
            <v>0</v>
          </cell>
          <cell r="BF117">
            <v>48</v>
          </cell>
          <cell r="BG117">
            <v>0</v>
          </cell>
          <cell r="BH117">
            <v>1</v>
          </cell>
          <cell r="BI117">
            <v>23</v>
          </cell>
          <cell r="BJ117">
            <v>1</v>
          </cell>
          <cell r="BK117">
            <v>6</v>
          </cell>
          <cell r="BL117">
            <v>4</v>
          </cell>
          <cell r="BM117">
            <v>8</v>
          </cell>
          <cell r="BN117">
            <v>4</v>
          </cell>
          <cell r="BO117">
            <v>0</v>
          </cell>
          <cell r="BP117">
            <v>32</v>
          </cell>
          <cell r="BQ117">
            <v>4</v>
          </cell>
          <cell r="BR117">
            <v>3</v>
          </cell>
          <cell r="BS117">
            <v>5</v>
          </cell>
          <cell r="BT117">
            <v>6</v>
          </cell>
          <cell r="BU117">
            <v>14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185</v>
          </cell>
          <cell r="DN117">
            <v>0</v>
          </cell>
          <cell r="DO117">
            <v>30</v>
          </cell>
          <cell r="DP117">
            <v>44</v>
          </cell>
          <cell r="DQ117">
            <v>105</v>
          </cell>
          <cell r="DR117">
            <v>6</v>
          </cell>
          <cell r="DS117">
            <v>0</v>
          </cell>
          <cell r="DT117">
            <v>141</v>
          </cell>
          <cell r="DU117">
            <v>23</v>
          </cell>
          <cell r="DV117">
            <v>31</v>
          </cell>
          <cell r="DW117">
            <v>41</v>
          </cell>
          <cell r="DX117">
            <v>33</v>
          </cell>
          <cell r="DY117">
            <v>13</v>
          </cell>
          <cell r="DZ117">
            <v>0</v>
          </cell>
          <cell r="EA117">
            <v>31</v>
          </cell>
          <cell r="EB117">
            <v>7</v>
          </cell>
          <cell r="EC117">
            <v>10</v>
          </cell>
          <cell r="ED117">
            <v>6</v>
          </cell>
          <cell r="EE117">
            <v>6</v>
          </cell>
          <cell r="EF117">
            <v>2</v>
          </cell>
          <cell r="EG117">
            <v>0</v>
          </cell>
          <cell r="EH117">
            <v>16</v>
          </cell>
          <cell r="EI117">
            <v>1</v>
          </cell>
          <cell r="EJ117">
            <v>4</v>
          </cell>
          <cell r="EK117">
            <v>4</v>
          </cell>
          <cell r="EL117">
            <v>5</v>
          </cell>
          <cell r="EM117">
            <v>2</v>
          </cell>
          <cell r="EN117">
            <v>0</v>
          </cell>
          <cell r="EO117" t="str">
            <v xml:space="preserve">Womens Moreland                                             </v>
          </cell>
        </row>
        <row r="118">
          <cell r="A118" t="str">
            <v>CN3YL6855139</v>
          </cell>
          <cell r="B118" t="str">
            <v>CN3</v>
          </cell>
          <cell r="C118" t="str">
            <v>YL6855</v>
          </cell>
          <cell r="D118">
            <v>139</v>
          </cell>
          <cell r="E118" t="str">
            <v xml:space="preserve">   </v>
          </cell>
          <cell r="F118">
            <v>80717</v>
          </cell>
          <cell r="G118">
            <v>80725</v>
          </cell>
          <cell r="H118">
            <v>81029</v>
          </cell>
          <cell r="I118">
            <v>500</v>
          </cell>
          <cell r="J118">
            <v>481</v>
          </cell>
          <cell r="K118">
            <v>470</v>
          </cell>
          <cell r="L118">
            <v>276</v>
          </cell>
          <cell r="M118">
            <v>276</v>
          </cell>
          <cell r="N118">
            <v>8075000</v>
          </cell>
          <cell r="O118">
            <v>7793643</v>
          </cell>
          <cell r="P118">
            <v>7615410</v>
          </cell>
          <cell r="Q118">
            <v>4472028</v>
          </cell>
          <cell r="R118">
            <v>15216769</v>
          </cell>
          <cell r="S118" t="str">
            <v>*</v>
          </cell>
          <cell r="T118" t="str">
            <v xml:space="preserve"> </v>
          </cell>
          <cell r="U118">
            <v>481</v>
          </cell>
          <cell r="V118">
            <v>7793643</v>
          </cell>
          <cell r="W118">
            <v>276</v>
          </cell>
          <cell r="X118">
            <v>4472028</v>
          </cell>
          <cell r="Y118">
            <v>56.96</v>
          </cell>
          <cell r="Z118">
            <v>56.55</v>
          </cell>
          <cell r="AA118">
            <v>2122593</v>
          </cell>
          <cell r="AB118">
            <v>2349435</v>
          </cell>
          <cell r="AC118">
            <v>11</v>
          </cell>
          <cell r="AD118">
            <v>307857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-2</v>
          </cell>
          <cell r="AL118">
            <v>-64812</v>
          </cell>
          <cell r="AM118">
            <v>196</v>
          </cell>
          <cell r="AN118">
            <v>7145523</v>
          </cell>
          <cell r="AO118">
            <v>16150</v>
          </cell>
          <cell r="AP118">
            <v>16203</v>
          </cell>
          <cell r="AQ118">
            <v>73000</v>
          </cell>
          <cell r="AR118">
            <v>44000</v>
          </cell>
          <cell r="AS118">
            <v>4.51</v>
          </cell>
          <cell r="AT118">
            <v>35113000</v>
          </cell>
          <cell r="AU118">
            <v>4.1900000000000004</v>
          </cell>
          <cell r="AV118">
            <v>8895972</v>
          </cell>
          <cell r="AW118">
            <v>2.69</v>
          </cell>
          <cell r="AX118">
            <v>6320797</v>
          </cell>
          <cell r="AY118">
            <v>56.96</v>
          </cell>
          <cell r="AZ118">
            <v>0</v>
          </cell>
          <cell r="BA118">
            <v>131</v>
          </cell>
          <cell r="BB118">
            <v>145</v>
          </cell>
          <cell r="BC118">
            <v>276</v>
          </cell>
          <cell r="BD118">
            <v>0</v>
          </cell>
          <cell r="BE118">
            <v>0</v>
          </cell>
          <cell r="BF118">
            <v>72</v>
          </cell>
          <cell r="BG118">
            <v>1</v>
          </cell>
          <cell r="BH118">
            <v>1</v>
          </cell>
          <cell r="BI118">
            <v>20</v>
          </cell>
          <cell r="BJ118">
            <v>4</v>
          </cell>
          <cell r="BK118">
            <v>2</v>
          </cell>
          <cell r="BL118">
            <v>7</v>
          </cell>
          <cell r="BM118">
            <v>4</v>
          </cell>
          <cell r="BN118">
            <v>3</v>
          </cell>
          <cell r="BO118">
            <v>0</v>
          </cell>
          <cell r="BP118">
            <v>46</v>
          </cell>
          <cell r="BQ118">
            <v>2</v>
          </cell>
          <cell r="BR118">
            <v>10</v>
          </cell>
          <cell r="BS118">
            <v>13</v>
          </cell>
          <cell r="BT118">
            <v>15</v>
          </cell>
          <cell r="BU118">
            <v>6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5</v>
          </cell>
          <cell r="CZ118">
            <v>0</v>
          </cell>
          <cell r="DA118">
            <v>0</v>
          </cell>
          <cell r="DB118">
            <v>0</v>
          </cell>
          <cell r="DC118">
            <v>2</v>
          </cell>
          <cell r="DD118">
            <v>3</v>
          </cell>
          <cell r="DE118">
            <v>0</v>
          </cell>
          <cell r="DF118">
            <v>26</v>
          </cell>
          <cell r="DG118">
            <v>1</v>
          </cell>
          <cell r="DH118">
            <v>5</v>
          </cell>
          <cell r="DI118">
            <v>4</v>
          </cell>
          <cell r="DJ118">
            <v>7</v>
          </cell>
          <cell r="DK118">
            <v>9</v>
          </cell>
          <cell r="DL118">
            <v>0</v>
          </cell>
          <cell r="DM118">
            <v>59</v>
          </cell>
          <cell r="DN118">
            <v>9</v>
          </cell>
          <cell r="DO118">
            <v>11</v>
          </cell>
          <cell r="DP118">
            <v>16</v>
          </cell>
          <cell r="DQ118">
            <v>26</v>
          </cell>
          <cell r="DR118">
            <v>-3</v>
          </cell>
          <cell r="DS118">
            <v>0</v>
          </cell>
          <cell r="DT118">
            <v>56</v>
          </cell>
          <cell r="DU118">
            <v>9</v>
          </cell>
          <cell r="DV118">
            <v>15</v>
          </cell>
          <cell r="DW118">
            <v>9</v>
          </cell>
          <cell r="DX118">
            <v>7</v>
          </cell>
          <cell r="DY118">
            <v>16</v>
          </cell>
          <cell r="DZ118">
            <v>0</v>
          </cell>
          <cell r="EA118">
            <v>47</v>
          </cell>
          <cell r="EB118">
            <v>9</v>
          </cell>
          <cell r="EC118">
            <v>22</v>
          </cell>
          <cell r="ED118">
            <v>8</v>
          </cell>
          <cell r="EE118">
            <v>2</v>
          </cell>
          <cell r="EF118">
            <v>6</v>
          </cell>
          <cell r="EG118">
            <v>0</v>
          </cell>
          <cell r="EH118">
            <v>17</v>
          </cell>
          <cell r="EI118">
            <v>6</v>
          </cell>
          <cell r="EJ118">
            <v>4</v>
          </cell>
          <cell r="EK118">
            <v>1</v>
          </cell>
          <cell r="EL118">
            <v>3</v>
          </cell>
          <cell r="EM118">
            <v>3</v>
          </cell>
          <cell r="EN118">
            <v>0</v>
          </cell>
          <cell r="EO118" t="str">
            <v xml:space="preserve">Womens Corner Brook                                         </v>
          </cell>
        </row>
        <row r="119">
          <cell r="A119" t="str">
            <v>CN3YL6855684</v>
          </cell>
          <cell r="B119" t="str">
            <v>CN3</v>
          </cell>
          <cell r="C119" t="str">
            <v>YL6855</v>
          </cell>
          <cell r="D119">
            <v>684</v>
          </cell>
          <cell r="E119" t="str">
            <v xml:space="preserve">   </v>
          </cell>
          <cell r="F119">
            <v>80717</v>
          </cell>
          <cell r="G119">
            <v>80725</v>
          </cell>
          <cell r="H119">
            <v>81029</v>
          </cell>
          <cell r="I119">
            <v>700</v>
          </cell>
          <cell r="J119">
            <v>680</v>
          </cell>
          <cell r="K119">
            <v>666</v>
          </cell>
          <cell r="L119">
            <v>347</v>
          </cell>
          <cell r="M119">
            <v>347</v>
          </cell>
          <cell r="N119">
            <v>11305000</v>
          </cell>
          <cell r="O119">
            <v>11018040</v>
          </cell>
          <cell r="P119">
            <v>10791198</v>
          </cell>
          <cell r="Q119">
            <v>5622441</v>
          </cell>
          <cell r="R119">
            <v>18221712</v>
          </cell>
          <cell r="S119" t="str">
            <v>*</v>
          </cell>
          <cell r="T119" t="str">
            <v xml:space="preserve"> </v>
          </cell>
          <cell r="U119">
            <v>680</v>
          </cell>
          <cell r="V119">
            <v>11018040</v>
          </cell>
          <cell r="W119">
            <v>347</v>
          </cell>
          <cell r="X119">
            <v>5622441</v>
          </cell>
          <cell r="Y119">
            <v>51.32</v>
          </cell>
          <cell r="Z119">
            <v>51.62</v>
          </cell>
          <cell r="AA119">
            <v>2333232</v>
          </cell>
          <cell r="AB119">
            <v>3289209</v>
          </cell>
          <cell r="AC119">
            <v>14</v>
          </cell>
          <cell r="AD119">
            <v>405075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2</v>
          </cell>
          <cell r="AL119">
            <v>64812</v>
          </cell>
          <cell r="AM119">
            <v>317</v>
          </cell>
          <cell r="AN119">
            <v>11633754</v>
          </cell>
          <cell r="AO119">
            <v>16150</v>
          </cell>
          <cell r="AP119">
            <v>16203</v>
          </cell>
          <cell r="AQ119">
            <v>73000</v>
          </cell>
          <cell r="AR119">
            <v>44000</v>
          </cell>
          <cell r="AS119">
            <v>4.51</v>
          </cell>
          <cell r="AT119">
            <v>49640000</v>
          </cell>
          <cell r="AU119">
            <v>3.98</v>
          </cell>
          <cell r="AV119">
            <v>9287750</v>
          </cell>
          <cell r="AW119">
            <v>2.72</v>
          </cell>
          <cell r="AX119">
            <v>8933962</v>
          </cell>
          <cell r="AY119">
            <v>51.32</v>
          </cell>
          <cell r="AZ119">
            <v>0</v>
          </cell>
          <cell r="BA119">
            <v>144</v>
          </cell>
          <cell r="BB119">
            <v>203</v>
          </cell>
          <cell r="BC119">
            <v>347</v>
          </cell>
          <cell r="BD119">
            <v>0</v>
          </cell>
          <cell r="BE119">
            <v>0</v>
          </cell>
          <cell r="BF119">
            <v>99</v>
          </cell>
          <cell r="BG119">
            <v>0</v>
          </cell>
          <cell r="BH119">
            <v>1</v>
          </cell>
          <cell r="BI119">
            <v>27</v>
          </cell>
          <cell r="BJ119">
            <v>4</v>
          </cell>
          <cell r="BK119">
            <v>3</v>
          </cell>
          <cell r="BL119">
            <v>7</v>
          </cell>
          <cell r="BM119">
            <v>4</v>
          </cell>
          <cell r="BN119">
            <v>9</v>
          </cell>
          <cell r="BO119">
            <v>0</v>
          </cell>
          <cell r="BP119">
            <v>81</v>
          </cell>
          <cell r="BQ119">
            <v>3</v>
          </cell>
          <cell r="BR119">
            <v>20</v>
          </cell>
          <cell r="BS119">
            <v>22</v>
          </cell>
          <cell r="BT119">
            <v>13</v>
          </cell>
          <cell r="BU119">
            <v>23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6</v>
          </cell>
          <cell r="CZ119">
            <v>0</v>
          </cell>
          <cell r="DA119">
            <v>0</v>
          </cell>
          <cell r="DB119">
            <v>0</v>
          </cell>
          <cell r="DC119">
            <v>4</v>
          </cell>
          <cell r="DD119">
            <v>2</v>
          </cell>
          <cell r="DE119">
            <v>0</v>
          </cell>
          <cell r="DF119">
            <v>28</v>
          </cell>
          <cell r="DG119">
            <v>0</v>
          </cell>
          <cell r="DH119">
            <v>4</v>
          </cell>
          <cell r="DI119">
            <v>4</v>
          </cell>
          <cell r="DJ119">
            <v>11</v>
          </cell>
          <cell r="DK119">
            <v>9</v>
          </cell>
          <cell r="DL119">
            <v>0</v>
          </cell>
          <cell r="DM119">
            <v>86</v>
          </cell>
          <cell r="DN119">
            <v>15</v>
          </cell>
          <cell r="DO119">
            <v>15</v>
          </cell>
          <cell r="DP119">
            <v>8</v>
          </cell>
          <cell r="DQ119">
            <v>46</v>
          </cell>
          <cell r="DR119">
            <v>2</v>
          </cell>
          <cell r="DS119">
            <v>0</v>
          </cell>
          <cell r="DT119">
            <v>40</v>
          </cell>
          <cell r="DU119">
            <v>10</v>
          </cell>
          <cell r="DV119">
            <v>8</v>
          </cell>
          <cell r="DW119">
            <v>4</v>
          </cell>
          <cell r="DX119">
            <v>4</v>
          </cell>
          <cell r="DY119">
            <v>14</v>
          </cell>
          <cell r="DZ119">
            <v>0</v>
          </cell>
          <cell r="EA119">
            <v>57</v>
          </cell>
          <cell r="EB119">
            <v>11</v>
          </cell>
          <cell r="EC119">
            <v>25</v>
          </cell>
          <cell r="ED119">
            <v>11</v>
          </cell>
          <cell r="EE119">
            <v>4</v>
          </cell>
          <cell r="EF119">
            <v>6</v>
          </cell>
          <cell r="EG119">
            <v>0</v>
          </cell>
          <cell r="EH119">
            <v>22</v>
          </cell>
          <cell r="EI119">
            <v>4</v>
          </cell>
          <cell r="EJ119">
            <v>5</v>
          </cell>
          <cell r="EK119">
            <v>9</v>
          </cell>
          <cell r="EL119">
            <v>4</v>
          </cell>
          <cell r="EM119">
            <v>0</v>
          </cell>
          <cell r="EN119">
            <v>0</v>
          </cell>
          <cell r="EO119" t="str">
            <v xml:space="preserve">Womens Corner Brook                                         </v>
          </cell>
        </row>
        <row r="120">
          <cell r="A120" t="str">
            <v>CN3YL6856021</v>
          </cell>
          <cell r="B120" t="str">
            <v>CN3</v>
          </cell>
          <cell r="C120" t="str">
            <v>YL6856</v>
          </cell>
          <cell r="D120">
            <v>21</v>
          </cell>
          <cell r="E120" t="str">
            <v xml:space="preserve">   </v>
          </cell>
          <cell r="F120">
            <v>80814</v>
          </cell>
          <cell r="G120">
            <v>80818</v>
          </cell>
          <cell r="H120">
            <v>90107</v>
          </cell>
          <cell r="I120">
            <v>600</v>
          </cell>
          <cell r="J120">
            <v>619</v>
          </cell>
          <cell r="K120">
            <v>615</v>
          </cell>
          <cell r="L120">
            <v>449</v>
          </cell>
          <cell r="M120">
            <v>449</v>
          </cell>
          <cell r="N120">
            <v>11670000</v>
          </cell>
          <cell r="O120">
            <v>12037074</v>
          </cell>
          <cell r="P120">
            <v>11959290</v>
          </cell>
          <cell r="Q120">
            <v>8731254</v>
          </cell>
          <cell r="R120">
            <v>34498250</v>
          </cell>
          <cell r="S120" t="str">
            <v>*</v>
          </cell>
          <cell r="T120" t="str">
            <v xml:space="preserve"> </v>
          </cell>
          <cell r="U120">
            <v>619</v>
          </cell>
          <cell r="V120">
            <v>12037074</v>
          </cell>
          <cell r="W120">
            <v>449</v>
          </cell>
          <cell r="X120">
            <v>8731254</v>
          </cell>
          <cell r="Y120">
            <v>72.37</v>
          </cell>
          <cell r="Z120">
            <v>72.37</v>
          </cell>
          <cell r="AA120">
            <v>6358842</v>
          </cell>
          <cell r="AB120">
            <v>2372412</v>
          </cell>
          <cell r="AC120">
            <v>4</v>
          </cell>
          <cell r="AD120">
            <v>505596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-1</v>
          </cell>
          <cell r="AL120">
            <v>-19446</v>
          </cell>
          <cell r="AM120">
            <v>167</v>
          </cell>
          <cell r="AN120">
            <v>7875630</v>
          </cell>
          <cell r="AO120">
            <v>19450</v>
          </cell>
          <cell r="AP120">
            <v>19446</v>
          </cell>
          <cell r="AQ120">
            <v>93000</v>
          </cell>
          <cell r="AR120">
            <v>56000</v>
          </cell>
          <cell r="AS120">
            <v>4.78</v>
          </cell>
          <cell r="AT120">
            <v>57567000</v>
          </cell>
          <cell r="AU120">
            <v>4.3600000000000003</v>
          </cell>
          <cell r="AV120">
            <v>27715391</v>
          </cell>
          <cell r="AW120">
            <v>2.86</v>
          </cell>
          <cell r="AX120">
            <v>6782859</v>
          </cell>
          <cell r="AY120">
            <v>72.37</v>
          </cell>
          <cell r="AZ120">
            <v>0</v>
          </cell>
          <cell r="BA120">
            <v>327</v>
          </cell>
          <cell r="BB120">
            <v>122</v>
          </cell>
          <cell r="BC120">
            <v>449</v>
          </cell>
          <cell r="BD120">
            <v>0</v>
          </cell>
          <cell r="BE120">
            <v>0</v>
          </cell>
          <cell r="BF120">
            <v>112</v>
          </cell>
          <cell r="BG120">
            <v>1</v>
          </cell>
          <cell r="BH120">
            <v>1</v>
          </cell>
          <cell r="BI120">
            <v>34</v>
          </cell>
          <cell r="BJ120">
            <v>1</v>
          </cell>
          <cell r="BK120">
            <v>15</v>
          </cell>
          <cell r="BL120">
            <v>8</v>
          </cell>
          <cell r="BM120">
            <v>6</v>
          </cell>
          <cell r="BN120">
            <v>4</v>
          </cell>
          <cell r="BO120">
            <v>0</v>
          </cell>
          <cell r="BP120">
            <v>90</v>
          </cell>
          <cell r="BQ120">
            <v>7</v>
          </cell>
          <cell r="BR120">
            <v>28</v>
          </cell>
          <cell r="BS120">
            <v>20</v>
          </cell>
          <cell r="BT120">
            <v>15</v>
          </cell>
          <cell r="BU120">
            <v>20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40</v>
          </cell>
          <cell r="DG120">
            <v>0</v>
          </cell>
          <cell r="DH120">
            <v>0</v>
          </cell>
          <cell r="DI120">
            <v>0</v>
          </cell>
          <cell r="DJ120">
            <v>21</v>
          </cell>
          <cell r="DK120">
            <v>19</v>
          </cell>
          <cell r="DL120">
            <v>0</v>
          </cell>
          <cell r="DM120">
            <v>173</v>
          </cell>
          <cell r="DN120">
            <v>24</v>
          </cell>
          <cell r="DO120">
            <v>19</v>
          </cell>
          <cell r="DP120">
            <v>40</v>
          </cell>
          <cell r="DQ120">
            <v>86</v>
          </cell>
          <cell r="DR120">
            <v>4</v>
          </cell>
          <cell r="DS120">
            <v>0</v>
          </cell>
          <cell r="DT120">
            <v>95</v>
          </cell>
          <cell r="DU120">
            <v>17</v>
          </cell>
          <cell r="DV120">
            <v>38</v>
          </cell>
          <cell r="DW120">
            <v>23</v>
          </cell>
          <cell r="DX120">
            <v>14</v>
          </cell>
          <cell r="DY120">
            <v>3</v>
          </cell>
          <cell r="DZ120">
            <v>0</v>
          </cell>
          <cell r="EA120">
            <v>10</v>
          </cell>
          <cell r="EB120">
            <v>1</v>
          </cell>
          <cell r="EC120">
            <v>10</v>
          </cell>
          <cell r="ED120">
            <v>0</v>
          </cell>
          <cell r="EE120">
            <v>-1</v>
          </cell>
          <cell r="EF120">
            <v>0</v>
          </cell>
          <cell r="EG120">
            <v>0</v>
          </cell>
          <cell r="EH120">
            <v>7</v>
          </cell>
          <cell r="EI120">
            <v>2</v>
          </cell>
          <cell r="EJ120">
            <v>1</v>
          </cell>
          <cell r="EK120">
            <v>1</v>
          </cell>
          <cell r="EL120">
            <v>2</v>
          </cell>
          <cell r="EM120">
            <v>1</v>
          </cell>
          <cell r="EN120">
            <v>0</v>
          </cell>
          <cell r="EO120" t="str">
            <v xml:space="preserve">Womens Moro                                                 </v>
          </cell>
        </row>
        <row r="121">
          <cell r="A121" t="str">
            <v>CN3YL6856529</v>
          </cell>
          <cell r="B121" t="str">
            <v>CN3</v>
          </cell>
          <cell r="C121" t="str">
            <v>YL6856</v>
          </cell>
          <cell r="D121">
            <v>529</v>
          </cell>
          <cell r="E121" t="str">
            <v xml:space="preserve">   </v>
          </cell>
          <cell r="F121">
            <v>80808</v>
          </cell>
          <cell r="G121">
            <v>80812</v>
          </cell>
          <cell r="H121">
            <v>90107</v>
          </cell>
          <cell r="I121">
            <v>500</v>
          </cell>
          <cell r="J121">
            <v>513</v>
          </cell>
          <cell r="K121">
            <v>504</v>
          </cell>
          <cell r="L121">
            <v>228</v>
          </cell>
          <cell r="M121">
            <v>228</v>
          </cell>
          <cell r="N121">
            <v>9725000</v>
          </cell>
          <cell r="O121">
            <v>9975798</v>
          </cell>
          <cell r="P121">
            <v>9800784</v>
          </cell>
          <cell r="Q121">
            <v>4433688</v>
          </cell>
          <cell r="R121">
            <v>17063644</v>
          </cell>
          <cell r="S121" t="str">
            <v>*</v>
          </cell>
          <cell r="T121" t="str">
            <v xml:space="preserve"> </v>
          </cell>
          <cell r="U121">
            <v>513</v>
          </cell>
          <cell r="V121">
            <v>9975798</v>
          </cell>
          <cell r="W121">
            <v>228</v>
          </cell>
          <cell r="X121">
            <v>4433688</v>
          </cell>
          <cell r="Y121">
            <v>44.44</v>
          </cell>
          <cell r="Z121">
            <v>44.44</v>
          </cell>
          <cell r="AA121">
            <v>2839116</v>
          </cell>
          <cell r="AB121">
            <v>1594572</v>
          </cell>
          <cell r="AC121">
            <v>9</v>
          </cell>
          <cell r="AD121">
            <v>622272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276</v>
          </cell>
          <cell r="AN121">
            <v>11589816</v>
          </cell>
          <cell r="AO121">
            <v>19450</v>
          </cell>
          <cell r="AP121">
            <v>19446</v>
          </cell>
          <cell r="AQ121">
            <v>93000</v>
          </cell>
          <cell r="AR121">
            <v>56000</v>
          </cell>
          <cell r="AS121">
            <v>4.78</v>
          </cell>
          <cell r="AT121">
            <v>47709000</v>
          </cell>
          <cell r="AU121">
            <v>4.3899999999999997</v>
          </cell>
          <cell r="AV121">
            <v>12471644</v>
          </cell>
          <cell r="AW121">
            <v>2.88</v>
          </cell>
          <cell r="AX121">
            <v>4592000</v>
          </cell>
          <cell r="AY121">
            <v>44.44</v>
          </cell>
          <cell r="AZ121">
            <v>0</v>
          </cell>
          <cell r="BA121">
            <v>146</v>
          </cell>
          <cell r="BB121">
            <v>82</v>
          </cell>
          <cell r="BC121">
            <v>228</v>
          </cell>
          <cell r="BD121">
            <v>0</v>
          </cell>
          <cell r="BE121">
            <v>0</v>
          </cell>
          <cell r="BF121">
            <v>74</v>
          </cell>
          <cell r="BG121">
            <v>0</v>
          </cell>
          <cell r="BH121">
            <v>1</v>
          </cell>
          <cell r="BI121">
            <v>20</v>
          </cell>
          <cell r="BJ121">
            <v>0</v>
          </cell>
          <cell r="BK121">
            <v>-3</v>
          </cell>
          <cell r="BL121">
            <v>7</v>
          </cell>
          <cell r="BM121">
            <v>5</v>
          </cell>
          <cell r="BN121">
            <v>11</v>
          </cell>
          <cell r="BO121">
            <v>0</v>
          </cell>
          <cell r="BP121">
            <v>58</v>
          </cell>
          <cell r="BQ121">
            <v>1</v>
          </cell>
          <cell r="BR121">
            <v>18</v>
          </cell>
          <cell r="BS121">
            <v>16</v>
          </cell>
          <cell r="BT121">
            <v>13</v>
          </cell>
          <cell r="BU121">
            <v>10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23</v>
          </cell>
          <cell r="DG121">
            <v>0</v>
          </cell>
          <cell r="DH121">
            <v>0</v>
          </cell>
          <cell r="DI121">
            <v>2</v>
          </cell>
          <cell r="DJ121">
            <v>18</v>
          </cell>
          <cell r="DK121">
            <v>3</v>
          </cell>
          <cell r="DL121">
            <v>0</v>
          </cell>
          <cell r="DM121">
            <v>83</v>
          </cell>
          <cell r="DN121">
            <v>18</v>
          </cell>
          <cell r="DO121">
            <v>12</v>
          </cell>
          <cell r="DP121">
            <v>12</v>
          </cell>
          <cell r="DQ121">
            <v>42</v>
          </cell>
          <cell r="DR121">
            <v>-1</v>
          </cell>
          <cell r="DS121">
            <v>0</v>
          </cell>
          <cell r="DT121">
            <v>37</v>
          </cell>
          <cell r="DU121">
            <v>15</v>
          </cell>
          <cell r="DV121">
            <v>6</v>
          </cell>
          <cell r="DW121">
            <v>10</v>
          </cell>
          <cell r="DX121">
            <v>4</v>
          </cell>
          <cell r="DY121">
            <v>2</v>
          </cell>
          <cell r="DZ121">
            <v>0</v>
          </cell>
          <cell r="EA121">
            <v>6</v>
          </cell>
          <cell r="EB121">
            <v>0</v>
          </cell>
          <cell r="EC121">
            <v>0</v>
          </cell>
          <cell r="ED121">
            <v>3</v>
          </cell>
          <cell r="EE121">
            <v>2</v>
          </cell>
          <cell r="EF121">
            <v>1</v>
          </cell>
          <cell r="EG121">
            <v>0</v>
          </cell>
          <cell r="EH121">
            <v>1</v>
          </cell>
          <cell r="EI121">
            <v>0</v>
          </cell>
          <cell r="EJ121">
            <v>0</v>
          </cell>
          <cell r="EK121">
            <v>0</v>
          </cell>
          <cell r="EL121">
            <v>1</v>
          </cell>
          <cell r="EM121">
            <v>0</v>
          </cell>
          <cell r="EN121">
            <v>0</v>
          </cell>
          <cell r="EO121" t="str">
            <v xml:space="preserve">Womens Moro                                                 </v>
          </cell>
        </row>
        <row r="122">
          <cell r="A122" t="str">
            <v>CN3YL6856650</v>
          </cell>
          <cell r="B122" t="str">
            <v>CN3</v>
          </cell>
          <cell r="C122" t="str">
            <v>YL6856</v>
          </cell>
          <cell r="D122">
            <v>650</v>
          </cell>
          <cell r="E122" t="str">
            <v xml:space="preserve">   </v>
          </cell>
          <cell r="F122">
            <v>80808</v>
          </cell>
          <cell r="G122">
            <v>80812</v>
          </cell>
          <cell r="H122">
            <v>90107</v>
          </cell>
          <cell r="I122">
            <v>900</v>
          </cell>
          <cell r="J122">
            <v>934</v>
          </cell>
          <cell r="K122">
            <v>912</v>
          </cell>
          <cell r="L122">
            <v>305</v>
          </cell>
          <cell r="M122">
            <v>305</v>
          </cell>
          <cell r="N122">
            <v>17505000</v>
          </cell>
          <cell r="O122">
            <v>18162564</v>
          </cell>
          <cell r="P122">
            <v>17734752</v>
          </cell>
          <cell r="Q122">
            <v>5931030</v>
          </cell>
          <cell r="R122">
            <v>22631460</v>
          </cell>
          <cell r="S122" t="str">
            <v>*</v>
          </cell>
          <cell r="T122" t="str">
            <v xml:space="preserve"> </v>
          </cell>
          <cell r="U122">
            <v>934</v>
          </cell>
          <cell r="V122">
            <v>18162564</v>
          </cell>
          <cell r="W122">
            <v>305</v>
          </cell>
          <cell r="X122">
            <v>5931030</v>
          </cell>
          <cell r="Y122">
            <v>32.869999999999997</v>
          </cell>
          <cell r="Z122">
            <v>32.979999999999997</v>
          </cell>
          <cell r="AA122">
            <v>3947538</v>
          </cell>
          <cell r="AB122">
            <v>1983492</v>
          </cell>
          <cell r="AC122">
            <v>22</v>
          </cell>
          <cell r="AD122">
            <v>1633464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2</v>
          </cell>
          <cell r="AL122">
            <v>58338</v>
          </cell>
          <cell r="AM122">
            <v>605</v>
          </cell>
          <cell r="AN122">
            <v>24093594</v>
          </cell>
          <cell r="AO122">
            <v>19450</v>
          </cell>
          <cell r="AP122">
            <v>19446</v>
          </cell>
          <cell r="AQ122">
            <v>93000</v>
          </cell>
          <cell r="AR122">
            <v>56000</v>
          </cell>
          <cell r="AS122">
            <v>4.78</v>
          </cell>
          <cell r="AT122">
            <v>86862000</v>
          </cell>
          <cell r="AU122">
            <v>4.3499999999999996</v>
          </cell>
          <cell r="AV122">
            <v>17165165</v>
          </cell>
          <cell r="AW122">
            <v>2.76</v>
          </cell>
          <cell r="AX122">
            <v>5466295</v>
          </cell>
          <cell r="AY122">
            <v>32.869999999999997</v>
          </cell>
          <cell r="AZ122">
            <v>0</v>
          </cell>
          <cell r="BA122">
            <v>203</v>
          </cell>
          <cell r="BB122">
            <v>102</v>
          </cell>
          <cell r="BC122">
            <v>305</v>
          </cell>
          <cell r="BD122">
            <v>0</v>
          </cell>
          <cell r="BE122">
            <v>0</v>
          </cell>
          <cell r="BF122">
            <v>86</v>
          </cell>
          <cell r="BG122">
            <v>0</v>
          </cell>
          <cell r="BH122">
            <v>1</v>
          </cell>
          <cell r="BI122">
            <v>31</v>
          </cell>
          <cell r="BJ122">
            <v>1</v>
          </cell>
          <cell r="BK122">
            <v>10</v>
          </cell>
          <cell r="BL122">
            <v>9</v>
          </cell>
          <cell r="BM122">
            <v>8</v>
          </cell>
          <cell r="BN122">
            <v>3</v>
          </cell>
          <cell r="BO122">
            <v>0</v>
          </cell>
          <cell r="BP122">
            <v>68</v>
          </cell>
          <cell r="BQ122">
            <v>2</v>
          </cell>
          <cell r="BR122">
            <v>25</v>
          </cell>
          <cell r="BS122">
            <v>18</v>
          </cell>
          <cell r="BT122">
            <v>16</v>
          </cell>
          <cell r="BU122">
            <v>7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22</v>
          </cell>
          <cell r="DG122">
            <v>0</v>
          </cell>
          <cell r="DH122">
            <v>0</v>
          </cell>
          <cell r="DI122">
            <v>0</v>
          </cell>
          <cell r="DJ122">
            <v>8</v>
          </cell>
          <cell r="DK122">
            <v>14</v>
          </cell>
          <cell r="DL122">
            <v>0</v>
          </cell>
          <cell r="DM122">
            <v>109</v>
          </cell>
          <cell r="DN122">
            <v>15</v>
          </cell>
          <cell r="DO122">
            <v>19</v>
          </cell>
          <cell r="DP122">
            <v>22</v>
          </cell>
          <cell r="DQ122">
            <v>50</v>
          </cell>
          <cell r="DR122">
            <v>3</v>
          </cell>
          <cell r="DS122">
            <v>0</v>
          </cell>
          <cell r="DT122">
            <v>58</v>
          </cell>
          <cell r="DU122">
            <v>11</v>
          </cell>
          <cell r="DV122">
            <v>22</v>
          </cell>
          <cell r="DW122">
            <v>11</v>
          </cell>
          <cell r="DX122">
            <v>7</v>
          </cell>
          <cell r="DY122">
            <v>7</v>
          </cell>
          <cell r="DZ122">
            <v>0</v>
          </cell>
          <cell r="EA122">
            <v>10</v>
          </cell>
          <cell r="EB122">
            <v>2</v>
          </cell>
          <cell r="EC122">
            <v>4</v>
          </cell>
          <cell r="ED122">
            <v>3</v>
          </cell>
          <cell r="EE122">
            <v>1</v>
          </cell>
          <cell r="EF122">
            <v>0</v>
          </cell>
          <cell r="EG122">
            <v>0</v>
          </cell>
          <cell r="EH122">
            <v>7</v>
          </cell>
          <cell r="EI122">
            <v>1</v>
          </cell>
          <cell r="EJ122">
            <v>5</v>
          </cell>
          <cell r="EK122">
            <v>1</v>
          </cell>
          <cell r="EL122">
            <v>0</v>
          </cell>
          <cell r="EM122">
            <v>0</v>
          </cell>
          <cell r="EN122">
            <v>0</v>
          </cell>
          <cell r="EO122" t="str">
            <v xml:space="preserve">Womens Moro                                                 </v>
          </cell>
        </row>
        <row r="123">
          <cell r="A123" t="str">
            <v>CN3YL6857010</v>
          </cell>
          <cell r="B123" t="str">
            <v>CN3</v>
          </cell>
          <cell r="C123" t="str">
            <v>YL6857</v>
          </cell>
          <cell r="D123">
            <v>10</v>
          </cell>
          <cell r="E123" t="str">
            <v xml:space="preserve">   </v>
          </cell>
          <cell r="F123">
            <v>80814</v>
          </cell>
          <cell r="G123">
            <v>80819</v>
          </cell>
          <cell r="H123">
            <v>90130</v>
          </cell>
          <cell r="I123">
            <v>800</v>
          </cell>
          <cell r="J123">
            <v>805</v>
          </cell>
          <cell r="K123">
            <v>798</v>
          </cell>
          <cell r="L123">
            <v>337</v>
          </cell>
          <cell r="M123">
            <v>337</v>
          </cell>
          <cell r="N123">
            <v>17200000</v>
          </cell>
          <cell r="O123">
            <v>17426640</v>
          </cell>
          <cell r="P123">
            <v>17275104</v>
          </cell>
          <cell r="Q123">
            <v>7295376</v>
          </cell>
          <cell r="R123">
            <v>25547009</v>
          </cell>
          <cell r="S123" t="str">
            <v>*</v>
          </cell>
          <cell r="T123" t="str">
            <v xml:space="preserve"> </v>
          </cell>
          <cell r="U123">
            <v>805</v>
          </cell>
          <cell r="V123">
            <v>17426640</v>
          </cell>
          <cell r="W123">
            <v>337</v>
          </cell>
          <cell r="X123">
            <v>7295376</v>
          </cell>
          <cell r="Y123">
            <v>41.86</v>
          </cell>
          <cell r="Z123">
            <v>41.99</v>
          </cell>
          <cell r="AA123">
            <v>5282112</v>
          </cell>
          <cell r="AB123">
            <v>2013264</v>
          </cell>
          <cell r="AC123">
            <v>7</v>
          </cell>
          <cell r="AD123">
            <v>303072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21648</v>
          </cell>
          <cell r="AM123">
            <v>461</v>
          </cell>
          <cell r="AN123">
            <v>21821184</v>
          </cell>
          <cell r="AO123">
            <v>21500</v>
          </cell>
          <cell r="AP123">
            <v>21648</v>
          </cell>
          <cell r="AQ123">
            <v>93000</v>
          </cell>
          <cell r="AR123">
            <v>56000</v>
          </cell>
          <cell r="AS123">
            <v>4.3</v>
          </cell>
          <cell r="AT123">
            <v>74865000</v>
          </cell>
          <cell r="AU123">
            <v>3.86</v>
          </cell>
          <cell r="AV123">
            <v>20388150</v>
          </cell>
          <cell r="AW123">
            <v>2.56</v>
          </cell>
          <cell r="AX123">
            <v>5158859</v>
          </cell>
          <cell r="AY123">
            <v>41.86</v>
          </cell>
          <cell r="AZ123">
            <v>0</v>
          </cell>
          <cell r="BA123">
            <v>244</v>
          </cell>
          <cell r="BB123">
            <v>93</v>
          </cell>
          <cell r="BC123">
            <v>337</v>
          </cell>
          <cell r="BD123">
            <v>0</v>
          </cell>
          <cell r="BE123">
            <v>0</v>
          </cell>
          <cell r="BF123">
            <v>117</v>
          </cell>
          <cell r="BG123">
            <v>1</v>
          </cell>
          <cell r="BH123">
            <v>1</v>
          </cell>
          <cell r="BI123">
            <v>12</v>
          </cell>
          <cell r="BJ123">
            <v>1</v>
          </cell>
          <cell r="BK123">
            <v>0</v>
          </cell>
          <cell r="BL123">
            <v>3</v>
          </cell>
          <cell r="BM123">
            <v>2</v>
          </cell>
          <cell r="BN123">
            <v>6</v>
          </cell>
          <cell r="BO123">
            <v>0</v>
          </cell>
          <cell r="BP123">
            <v>87</v>
          </cell>
          <cell r="BQ123">
            <v>10</v>
          </cell>
          <cell r="BR123">
            <v>27</v>
          </cell>
          <cell r="BS123">
            <v>20</v>
          </cell>
          <cell r="BT123">
            <v>19</v>
          </cell>
          <cell r="BU123">
            <v>11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5</v>
          </cell>
          <cell r="DG123">
            <v>0</v>
          </cell>
          <cell r="DH123">
            <v>0</v>
          </cell>
          <cell r="DI123">
            <v>0</v>
          </cell>
          <cell r="DJ123">
            <v>2</v>
          </cell>
          <cell r="DK123">
            <v>3</v>
          </cell>
          <cell r="DL123">
            <v>0</v>
          </cell>
          <cell r="DM123">
            <v>100</v>
          </cell>
          <cell r="DN123">
            <v>6</v>
          </cell>
          <cell r="DO123">
            <v>8</v>
          </cell>
          <cell r="DP123">
            <v>14</v>
          </cell>
          <cell r="DQ123">
            <v>70</v>
          </cell>
          <cell r="DR123">
            <v>2</v>
          </cell>
          <cell r="DS123">
            <v>0</v>
          </cell>
          <cell r="DT123">
            <v>88</v>
          </cell>
          <cell r="DU123">
            <v>13</v>
          </cell>
          <cell r="DV123">
            <v>23</v>
          </cell>
          <cell r="DW123">
            <v>22</v>
          </cell>
          <cell r="DX123">
            <v>22</v>
          </cell>
          <cell r="DY123">
            <v>8</v>
          </cell>
          <cell r="DZ123">
            <v>0</v>
          </cell>
          <cell r="EA123">
            <v>34</v>
          </cell>
          <cell r="EB123">
            <v>5</v>
          </cell>
          <cell r="EC123">
            <v>9</v>
          </cell>
          <cell r="ED123">
            <v>6</v>
          </cell>
          <cell r="EE123">
            <v>6</v>
          </cell>
          <cell r="EF123">
            <v>8</v>
          </cell>
          <cell r="EG123">
            <v>0</v>
          </cell>
          <cell r="EH123">
            <v>11</v>
          </cell>
          <cell r="EI123">
            <v>4</v>
          </cell>
          <cell r="EJ123">
            <v>3</v>
          </cell>
          <cell r="EK123">
            <v>0</v>
          </cell>
          <cell r="EL123">
            <v>3</v>
          </cell>
          <cell r="EM123">
            <v>1</v>
          </cell>
          <cell r="EN123">
            <v>0</v>
          </cell>
          <cell r="EO123" t="str">
            <v xml:space="preserve">Womens Corrales                                             </v>
          </cell>
        </row>
        <row r="124">
          <cell r="A124" t="str">
            <v>CN3YL6857663</v>
          </cell>
          <cell r="B124" t="str">
            <v>CN3</v>
          </cell>
          <cell r="C124" t="str">
            <v>YL6857</v>
          </cell>
          <cell r="D124">
            <v>663</v>
          </cell>
          <cell r="E124" t="str">
            <v xml:space="preserve">   </v>
          </cell>
          <cell r="F124">
            <v>80814</v>
          </cell>
          <cell r="G124">
            <v>80819</v>
          </cell>
          <cell r="H124">
            <v>90130</v>
          </cell>
          <cell r="I124">
            <v>600</v>
          </cell>
          <cell r="J124">
            <v>611</v>
          </cell>
          <cell r="K124">
            <v>609</v>
          </cell>
          <cell r="L124">
            <v>343</v>
          </cell>
          <cell r="M124">
            <v>343</v>
          </cell>
          <cell r="N124">
            <v>12900000</v>
          </cell>
          <cell r="O124">
            <v>13226928</v>
          </cell>
          <cell r="P124">
            <v>13183632</v>
          </cell>
          <cell r="Q124">
            <v>7425264</v>
          </cell>
          <cell r="R124">
            <v>25882292</v>
          </cell>
          <cell r="S124" t="str">
            <v>*</v>
          </cell>
          <cell r="T124" t="str">
            <v xml:space="preserve"> </v>
          </cell>
          <cell r="U124">
            <v>611</v>
          </cell>
          <cell r="V124">
            <v>13226928</v>
          </cell>
          <cell r="W124">
            <v>343</v>
          </cell>
          <cell r="X124">
            <v>7425264</v>
          </cell>
          <cell r="Y124">
            <v>55.97</v>
          </cell>
          <cell r="Z124">
            <v>55.81</v>
          </cell>
          <cell r="AA124">
            <v>5325408</v>
          </cell>
          <cell r="AB124">
            <v>2099856</v>
          </cell>
          <cell r="AC124">
            <v>2</v>
          </cell>
          <cell r="AD124">
            <v>151536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-1</v>
          </cell>
          <cell r="AL124">
            <v>-43296</v>
          </cell>
          <cell r="AM124">
            <v>267</v>
          </cell>
          <cell r="AN124">
            <v>13400112</v>
          </cell>
          <cell r="AO124">
            <v>21500</v>
          </cell>
          <cell r="AP124">
            <v>21648</v>
          </cell>
          <cell r="AQ124">
            <v>93000</v>
          </cell>
          <cell r="AR124">
            <v>56000</v>
          </cell>
          <cell r="AS124">
            <v>4.3</v>
          </cell>
          <cell r="AT124">
            <v>56823000</v>
          </cell>
          <cell r="AU124">
            <v>3.87</v>
          </cell>
          <cell r="AV124">
            <v>20597715</v>
          </cell>
          <cell r="AW124">
            <v>2.52</v>
          </cell>
          <cell r="AX124">
            <v>5284577</v>
          </cell>
          <cell r="AY124">
            <v>55.97</v>
          </cell>
          <cell r="AZ124">
            <v>0</v>
          </cell>
          <cell r="BA124">
            <v>246</v>
          </cell>
          <cell r="BB124">
            <v>97</v>
          </cell>
          <cell r="BC124">
            <v>343</v>
          </cell>
          <cell r="BD124">
            <v>0</v>
          </cell>
          <cell r="BE124">
            <v>0</v>
          </cell>
          <cell r="BF124">
            <v>98</v>
          </cell>
          <cell r="BG124">
            <v>0</v>
          </cell>
          <cell r="BH124">
            <v>1</v>
          </cell>
          <cell r="BI124">
            <v>16</v>
          </cell>
          <cell r="BJ124">
            <v>3</v>
          </cell>
          <cell r="BK124">
            <v>0</v>
          </cell>
          <cell r="BL124">
            <v>1</v>
          </cell>
          <cell r="BM124">
            <v>2</v>
          </cell>
          <cell r="BN124">
            <v>10</v>
          </cell>
          <cell r="BO124">
            <v>0</v>
          </cell>
          <cell r="BP124">
            <v>88</v>
          </cell>
          <cell r="BQ124">
            <v>9</v>
          </cell>
          <cell r="BR124">
            <v>33</v>
          </cell>
          <cell r="BS124">
            <v>22</v>
          </cell>
          <cell r="BT124">
            <v>11</v>
          </cell>
          <cell r="BU124">
            <v>13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11</v>
          </cell>
          <cell r="DG124">
            <v>0</v>
          </cell>
          <cell r="DH124">
            <v>0</v>
          </cell>
          <cell r="DI124">
            <v>0</v>
          </cell>
          <cell r="DJ124">
            <v>3</v>
          </cell>
          <cell r="DK124">
            <v>8</v>
          </cell>
          <cell r="DL124">
            <v>0</v>
          </cell>
          <cell r="DM124">
            <v>128</v>
          </cell>
          <cell r="DN124">
            <v>13</v>
          </cell>
          <cell r="DO124">
            <v>14</v>
          </cell>
          <cell r="DP124">
            <v>18</v>
          </cell>
          <cell r="DQ124">
            <v>71</v>
          </cell>
          <cell r="DR124">
            <v>12</v>
          </cell>
          <cell r="DS124">
            <v>0</v>
          </cell>
          <cell r="DT124">
            <v>78</v>
          </cell>
          <cell r="DU124">
            <v>10</v>
          </cell>
          <cell r="DV124">
            <v>22</v>
          </cell>
          <cell r="DW124">
            <v>21</v>
          </cell>
          <cell r="DX124">
            <v>19</v>
          </cell>
          <cell r="DY124">
            <v>6</v>
          </cell>
          <cell r="DZ124">
            <v>0</v>
          </cell>
          <cell r="EA124">
            <v>16</v>
          </cell>
          <cell r="EB124">
            <v>5</v>
          </cell>
          <cell r="EC124">
            <v>6</v>
          </cell>
          <cell r="ED124">
            <v>3</v>
          </cell>
          <cell r="EE124">
            <v>-1</v>
          </cell>
          <cell r="EF124">
            <v>3</v>
          </cell>
          <cell r="EG124">
            <v>0</v>
          </cell>
          <cell r="EH124">
            <v>6</v>
          </cell>
          <cell r="EI124">
            <v>1</v>
          </cell>
          <cell r="EJ124">
            <v>4</v>
          </cell>
          <cell r="EK124">
            <v>-1</v>
          </cell>
          <cell r="EL124">
            <v>2</v>
          </cell>
          <cell r="EM124">
            <v>0</v>
          </cell>
          <cell r="EN124">
            <v>0</v>
          </cell>
          <cell r="EO124" t="str">
            <v xml:space="preserve">Womens Corrales                                             </v>
          </cell>
        </row>
        <row r="125">
          <cell r="A125" t="str">
            <v>CN3YL6859696</v>
          </cell>
          <cell r="B125" t="str">
            <v>CN3</v>
          </cell>
          <cell r="C125" t="str">
            <v>YL6859</v>
          </cell>
          <cell r="D125">
            <v>696</v>
          </cell>
          <cell r="E125" t="str">
            <v xml:space="preserve">   </v>
          </cell>
          <cell r="F125">
            <v>80926</v>
          </cell>
          <cell r="G125">
            <v>80926</v>
          </cell>
          <cell r="H125">
            <v>90226</v>
          </cell>
          <cell r="I125">
            <v>700</v>
          </cell>
          <cell r="J125">
            <v>702</v>
          </cell>
          <cell r="K125">
            <v>701</v>
          </cell>
          <cell r="L125">
            <v>429</v>
          </cell>
          <cell r="M125">
            <v>429</v>
          </cell>
          <cell r="N125">
            <v>13965000</v>
          </cell>
          <cell r="O125">
            <v>14007567</v>
          </cell>
          <cell r="P125">
            <v>13987756</v>
          </cell>
          <cell r="Q125">
            <v>8565585</v>
          </cell>
          <cell r="R125">
            <v>34232070</v>
          </cell>
          <cell r="S125" t="str">
            <v>*</v>
          </cell>
          <cell r="T125" t="str">
            <v xml:space="preserve"> </v>
          </cell>
          <cell r="U125">
            <v>702</v>
          </cell>
          <cell r="V125">
            <v>14007567</v>
          </cell>
          <cell r="W125">
            <v>429</v>
          </cell>
          <cell r="X125">
            <v>8565585</v>
          </cell>
          <cell r="Y125">
            <v>61.11</v>
          </cell>
          <cell r="Z125">
            <v>61.15</v>
          </cell>
          <cell r="AA125">
            <v>8345860</v>
          </cell>
          <cell r="AB125">
            <v>219725</v>
          </cell>
          <cell r="AC125">
            <v>1</v>
          </cell>
          <cell r="AD125">
            <v>19975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272</v>
          </cell>
          <cell r="AN125">
            <v>11465650</v>
          </cell>
          <cell r="AO125">
            <v>19950</v>
          </cell>
          <cell r="AP125">
            <v>19975</v>
          </cell>
          <cell r="AQ125">
            <v>89000</v>
          </cell>
          <cell r="AR125">
            <v>53000</v>
          </cell>
          <cell r="AS125">
            <v>4.46</v>
          </cell>
          <cell r="AT125">
            <v>62478000</v>
          </cell>
          <cell r="AU125">
            <v>4.04</v>
          </cell>
          <cell r="AV125">
            <v>33695211</v>
          </cell>
          <cell r="AW125">
            <v>2.44</v>
          </cell>
          <cell r="AX125">
            <v>536859</v>
          </cell>
          <cell r="AY125">
            <v>61.11</v>
          </cell>
          <cell r="AZ125">
            <v>0</v>
          </cell>
          <cell r="BA125">
            <v>418</v>
          </cell>
          <cell r="BB125">
            <v>11</v>
          </cell>
          <cell r="BC125">
            <v>429</v>
          </cell>
          <cell r="BD125">
            <v>0</v>
          </cell>
          <cell r="BE125">
            <v>0</v>
          </cell>
          <cell r="BF125">
            <v>65</v>
          </cell>
          <cell r="BG125">
            <v>1</v>
          </cell>
          <cell r="BH125">
            <v>1</v>
          </cell>
          <cell r="BI125">
            <v>33</v>
          </cell>
          <cell r="BJ125">
            <v>7</v>
          </cell>
          <cell r="BK125">
            <v>1</v>
          </cell>
          <cell r="BL125">
            <v>9</v>
          </cell>
          <cell r="BM125">
            <v>10</v>
          </cell>
          <cell r="BN125">
            <v>6</v>
          </cell>
          <cell r="BO125">
            <v>0</v>
          </cell>
          <cell r="BP125">
            <v>29</v>
          </cell>
          <cell r="BQ125">
            <v>0</v>
          </cell>
          <cell r="BR125">
            <v>8</v>
          </cell>
          <cell r="BS125">
            <v>3</v>
          </cell>
          <cell r="BT125">
            <v>7</v>
          </cell>
          <cell r="BU125">
            <v>11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90</v>
          </cell>
          <cell r="DN125">
            <v>0</v>
          </cell>
          <cell r="DO125">
            <v>0</v>
          </cell>
          <cell r="DP125">
            <v>0</v>
          </cell>
          <cell r="DQ125">
            <v>85</v>
          </cell>
          <cell r="DR125">
            <v>5</v>
          </cell>
          <cell r="DS125">
            <v>0</v>
          </cell>
          <cell r="DT125">
            <v>177</v>
          </cell>
          <cell r="DU125">
            <v>27</v>
          </cell>
          <cell r="DV125">
            <v>56</v>
          </cell>
          <cell r="DW125">
            <v>32</v>
          </cell>
          <cell r="DX125">
            <v>42</v>
          </cell>
          <cell r="DY125">
            <v>20</v>
          </cell>
          <cell r="DZ125">
            <v>0</v>
          </cell>
          <cell r="EA125">
            <v>69</v>
          </cell>
          <cell r="EB125">
            <v>13</v>
          </cell>
          <cell r="EC125">
            <v>26</v>
          </cell>
          <cell r="ED125">
            <v>19</v>
          </cell>
          <cell r="EE125">
            <v>7</v>
          </cell>
          <cell r="EF125">
            <v>4</v>
          </cell>
          <cell r="EG125">
            <v>0</v>
          </cell>
          <cell r="EH125">
            <v>31</v>
          </cell>
          <cell r="EI125">
            <v>9</v>
          </cell>
          <cell r="EJ125">
            <v>6</v>
          </cell>
          <cell r="EK125">
            <v>8</v>
          </cell>
          <cell r="EL125">
            <v>8</v>
          </cell>
          <cell r="EM125">
            <v>0</v>
          </cell>
          <cell r="EN125">
            <v>0</v>
          </cell>
          <cell r="EO125" t="str">
            <v xml:space="preserve">Womens North Shore                                          </v>
          </cell>
        </row>
        <row r="126">
          <cell r="A126" t="str">
            <v>CN3YL6859745</v>
          </cell>
          <cell r="B126" t="str">
            <v>CN3</v>
          </cell>
          <cell r="C126" t="str">
            <v>YL6859</v>
          </cell>
          <cell r="D126">
            <v>745</v>
          </cell>
          <cell r="E126" t="str">
            <v xml:space="preserve">   </v>
          </cell>
          <cell r="F126">
            <v>81002</v>
          </cell>
          <cell r="G126">
            <v>81002</v>
          </cell>
          <cell r="H126">
            <v>90226</v>
          </cell>
          <cell r="I126">
            <v>500</v>
          </cell>
          <cell r="J126">
            <v>465</v>
          </cell>
          <cell r="K126">
            <v>462</v>
          </cell>
          <cell r="L126">
            <v>126</v>
          </cell>
          <cell r="M126">
            <v>126</v>
          </cell>
          <cell r="N126">
            <v>9975000</v>
          </cell>
          <cell r="O126">
            <v>9288375</v>
          </cell>
          <cell r="P126">
            <v>9228450</v>
          </cell>
          <cell r="Q126">
            <v>2516850</v>
          </cell>
          <cell r="R126">
            <v>9501627</v>
          </cell>
          <cell r="S126" t="str">
            <v>*</v>
          </cell>
          <cell r="T126" t="str">
            <v xml:space="preserve"> </v>
          </cell>
          <cell r="U126">
            <v>465</v>
          </cell>
          <cell r="V126">
            <v>9288375</v>
          </cell>
          <cell r="W126">
            <v>126</v>
          </cell>
          <cell r="X126">
            <v>2516850</v>
          </cell>
          <cell r="Y126">
            <v>27.1</v>
          </cell>
          <cell r="Z126">
            <v>27.1</v>
          </cell>
          <cell r="AA126">
            <v>2057425</v>
          </cell>
          <cell r="AB126">
            <v>459425</v>
          </cell>
          <cell r="AC126">
            <v>3</v>
          </cell>
          <cell r="AD126">
            <v>59925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336</v>
          </cell>
          <cell r="AN126">
            <v>14102350</v>
          </cell>
          <cell r="AO126">
            <v>19950</v>
          </cell>
          <cell r="AP126">
            <v>19975</v>
          </cell>
          <cell r="AQ126">
            <v>89000</v>
          </cell>
          <cell r="AR126">
            <v>53000</v>
          </cell>
          <cell r="AS126">
            <v>4.46</v>
          </cell>
          <cell r="AT126">
            <v>41385000</v>
          </cell>
          <cell r="AU126">
            <v>4.09</v>
          </cell>
          <cell r="AV126">
            <v>8421050</v>
          </cell>
          <cell r="AW126">
            <v>2.35</v>
          </cell>
          <cell r="AX126">
            <v>1080577</v>
          </cell>
          <cell r="AY126">
            <v>27.1</v>
          </cell>
          <cell r="AZ126">
            <v>0</v>
          </cell>
          <cell r="BA126">
            <v>103</v>
          </cell>
          <cell r="BB126">
            <v>23</v>
          </cell>
          <cell r="BC126">
            <v>126</v>
          </cell>
          <cell r="BD126">
            <v>0</v>
          </cell>
          <cell r="BE126">
            <v>0</v>
          </cell>
          <cell r="BF126">
            <v>37</v>
          </cell>
          <cell r="BG126">
            <v>0</v>
          </cell>
          <cell r="BH126">
            <v>1</v>
          </cell>
          <cell r="BI126">
            <v>9</v>
          </cell>
          <cell r="BJ126">
            <v>1</v>
          </cell>
          <cell r="BK126">
            <v>1</v>
          </cell>
          <cell r="BL126">
            <v>4</v>
          </cell>
          <cell r="BM126">
            <v>1</v>
          </cell>
          <cell r="BN126">
            <v>2</v>
          </cell>
          <cell r="BO126">
            <v>0</v>
          </cell>
          <cell r="BP126">
            <v>31</v>
          </cell>
          <cell r="BQ126">
            <v>0</v>
          </cell>
          <cell r="BR126">
            <v>1</v>
          </cell>
          <cell r="BS126">
            <v>1</v>
          </cell>
          <cell r="BT126">
            <v>5</v>
          </cell>
          <cell r="BU126">
            <v>24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55</v>
          </cell>
          <cell r="DU126">
            <v>5</v>
          </cell>
          <cell r="DV126">
            <v>10</v>
          </cell>
          <cell r="DW126">
            <v>14</v>
          </cell>
          <cell r="DX126">
            <v>12</v>
          </cell>
          <cell r="DY126">
            <v>14</v>
          </cell>
          <cell r="DZ126">
            <v>0</v>
          </cell>
          <cell r="EA126">
            <v>21</v>
          </cell>
          <cell r="EB126">
            <v>3</v>
          </cell>
          <cell r="EC126">
            <v>9</v>
          </cell>
          <cell r="ED126">
            <v>7</v>
          </cell>
          <cell r="EE126">
            <v>1</v>
          </cell>
          <cell r="EF126">
            <v>1</v>
          </cell>
          <cell r="EG126">
            <v>0</v>
          </cell>
          <cell r="EH126">
            <v>10</v>
          </cell>
          <cell r="EI126">
            <v>3</v>
          </cell>
          <cell r="EJ126">
            <v>5</v>
          </cell>
          <cell r="EK126">
            <v>1</v>
          </cell>
          <cell r="EL126">
            <v>1</v>
          </cell>
          <cell r="EM126">
            <v>0</v>
          </cell>
          <cell r="EN126">
            <v>0</v>
          </cell>
          <cell r="EO126" t="str">
            <v xml:space="preserve">Womens North Shore                                          </v>
          </cell>
        </row>
        <row r="127">
          <cell r="A127" t="str">
            <v>CN3YL6861527</v>
          </cell>
          <cell r="B127" t="str">
            <v>CN3</v>
          </cell>
          <cell r="C127" t="str">
            <v>YL6861</v>
          </cell>
          <cell r="D127">
            <v>527</v>
          </cell>
          <cell r="E127" t="str">
            <v xml:space="preserve">   </v>
          </cell>
          <cell r="F127">
            <v>80911</v>
          </cell>
          <cell r="G127">
            <v>80911</v>
          </cell>
          <cell r="H127">
            <v>90226</v>
          </cell>
          <cell r="I127">
            <v>500</v>
          </cell>
          <cell r="J127">
            <v>473</v>
          </cell>
          <cell r="K127">
            <v>390</v>
          </cell>
          <cell r="L127">
            <v>36</v>
          </cell>
          <cell r="M127">
            <v>36</v>
          </cell>
          <cell r="N127">
            <v>6625000</v>
          </cell>
          <cell r="O127">
            <v>6259682</v>
          </cell>
          <cell r="P127">
            <v>5161260</v>
          </cell>
          <cell r="Q127">
            <v>476424</v>
          </cell>
          <cell r="R127">
            <v>1927750</v>
          </cell>
          <cell r="S127" t="str">
            <v>*</v>
          </cell>
          <cell r="T127" t="str">
            <v xml:space="preserve"> </v>
          </cell>
          <cell r="U127">
            <v>473</v>
          </cell>
          <cell r="V127">
            <v>6259682</v>
          </cell>
          <cell r="W127">
            <v>36</v>
          </cell>
          <cell r="X127">
            <v>476424</v>
          </cell>
          <cell r="Y127">
            <v>7.61</v>
          </cell>
          <cell r="Z127">
            <v>7.61</v>
          </cell>
          <cell r="AA127">
            <v>449956</v>
          </cell>
          <cell r="AB127">
            <v>26468</v>
          </cell>
          <cell r="AC127">
            <v>83</v>
          </cell>
          <cell r="AD127">
            <v>2263014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354</v>
          </cell>
          <cell r="AN127">
            <v>9369672</v>
          </cell>
          <cell r="AO127">
            <v>13250</v>
          </cell>
          <cell r="AP127">
            <v>13234</v>
          </cell>
          <cell r="AQ127">
            <v>63000</v>
          </cell>
          <cell r="AR127">
            <v>38000</v>
          </cell>
          <cell r="AS127">
            <v>4.76</v>
          </cell>
          <cell r="AT127">
            <v>29799000</v>
          </cell>
          <cell r="AU127">
            <v>4.12</v>
          </cell>
          <cell r="AV127">
            <v>1851750</v>
          </cell>
          <cell r="AW127">
            <v>2.87</v>
          </cell>
          <cell r="AX127">
            <v>76000</v>
          </cell>
          <cell r="AY127">
            <v>7.61</v>
          </cell>
          <cell r="AZ127">
            <v>0</v>
          </cell>
          <cell r="BA127">
            <v>34</v>
          </cell>
          <cell r="BB127">
            <v>2</v>
          </cell>
          <cell r="BC127">
            <v>36</v>
          </cell>
          <cell r="BD127">
            <v>0</v>
          </cell>
          <cell r="BE127">
            <v>0</v>
          </cell>
          <cell r="BF127">
            <v>7</v>
          </cell>
          <cell r="BG127">
            <v>1</v>
          </cell>
          <cell r="BH127">
            <v>1</v>
          </cell>
          <cell r="BI127">
            <v>2</v>
          </cell>
          <cell r="BJ127">
            <v>0</v>
          </cell>
          <cell r="BK127">
            <v>1</v>
          </cell>
          <cell r="BL127">
            <v>0</v>
          </cell>
          <cell r="BM127">
            <v>1</v>
          </cell>
          <cell r="BN127">
            <v>0</v>
          </cell>
          <cell r="BO127">
            <v>0</v>
          </cell>
          <cell r="BP127">
            <v>5</v>
          </cell>
          <cell r="BQ127">
            <v>0</v>
          </cell>
          <cell r="BR127">
            <v>1</v>
          </cell>
          <cell r="BS127">
            <v>0</v>
          </cell>
          <cell r="BT127">
            <v>1</v>
          </cell>
          <cell r="BU127">
            <v>3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10</v>
          </cell>
          <cell r="DN127">
            <v>0</v>
          </cell>
          <cell r="DO127">
            <v>0</v>
          </cell>
          <cell r="DP127">
            <v>2</v>
          </cell>
          <cell r="DQ127">
            <v>7</v>
          </cell>
          <cell r="DR127">
            <v>1</v>
          </cell>
          <cell r="DS127">
            <v>0</v>
          </cell>
          <cell r="DT127">
            <v>11</v>
          </cell>
          <cell r="DU127">
            <v>6</v>
          </cell>
          <cell r="DV127">
            <v>2</v>
          </cell>
          <cell r="DW127">
            <v>2</v>
          </cell>
          <cell r="DX127">
            <v>1</v>
          </cell>
          <cell r="DY127">
            <v>0</v>
          </cell>
          <cell r="DZ127">
            <v>0</v>
          </cell>
          <cell r="EA127">
            <v>9</v>
          </cell>
          <cell r="EB127">
            <v>1</v>
          </cell>
          <cell r="EC127">
            <v>4</v>
          </cell>
          <cell r="ED127">
            <v>1</v>
          </cell>
          <cell r="EE127">
            <v>2</v>
          </cell>
          <cell r="EF127">
            <v>1</v>
          </cell>
          <cell r="EG127">
            <v>0</v>
          </cell>
          <cell r="EH127">
            <v>-1</v>
          </cell>
          <cell r="EI127">
            <v>-1</v>
          </cell>
          <cell r="EJ127">
            <v>0</v>
          </cell>
          <cell r="EK127">
            <v>1</v>
          </cell>
          <cell r="EL127">
            <v>-1</v>
          </cell>
          <cell r="EM127">
            <v>0</v>
          </cell>
          <cell r="EN127">
            <v>0</v>
          </cell>
          <cell r="EO127" t="str">
            <v xml:space="preserve">Womens Topeka                                               </v>
          </cell>
        </row>
        <row r="128">
          <cell r="A128" t="str">
            <v>CN3YL6861756</v>
          </cell>
          <cell r="B128" t="str">
            <v>CN3</v>
          </cell>
          <cell r="C128" t="str">
            <v>YL6861</v>
          </cell>
          <cell r="D128">
            <v>756</v>
          </cell>
          <cell r="E128" t="str">
            <v xml:space="preserve">   </v>
          </cell>
          <cell r="F128">
            <v>80911</v>
          </cell>
          <cell r="G128">
            <v>80911</v>
          </cell>
          <cell r="H128">
            <v>90226</v>
          </cell>
          <cell r="I128">
            <v>500</v>
          </cell>
          <cell r="J128">
            <v>489</v>
          </cell>
          <cell r="K128">
            <v>423</v>
          </cell>
          <cell r="L128">
            <v>45</v>
          </cell>
          <cell r="M128">
            <v>45</v>
          </cell>
          <cell r="N128">
            <v>6625000</v>
          </cell>
          <cell r="O128">
            <v>6471426</v>
          </cell>
          <cell r="P128">
            <v>5597982</v>
          </cell>
          <cell r="Q128">
            <v>595530</v>
          </cell>
          <cell r="R128">
            <v>2381950</v>
          </cell>
          <cell r="S128" t="str">
            <v>*</v>
          </cell>
          <cell r="T128" t="str">
            <v xml:space="preserve"> </v>
          </cell>
          <cell r="U128">
            <v>489</v>
          </cell>
          <cell r="V128">
            <v>6471426</v>
          </cell>
          <cell r="W128">
            <v>45</v>
          </cell>
          <cell r="X128">
            <v>595530</v>
          </cell>
          <cell r="Y128">
            <v>9.1999999999999993</v>
          </cell>
          <cell r="Z128">
            <v>9.1999999999999993</v>
          </cell>
          <cell r="AA128">
            <v>502892</v>
          </cell>
          <cell r="AB128">
            <v>92638</v>
          </cell>
          <cell r="AC128">
            <v>66</v>
          </cell>
          <cell r="AD128">
            <v>1786590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378</v>
          </cell>
          <cell r="AN128">
            <v>10071074</v>
          </cell>
          <cell r="AO128">
            <v>13250</v>
          </cell>
          <cell r="AP128">
            <v>13234</v>
          </cell>
          <cell r="AQ128">
            <v>63000</v>
          </cell>
          <cell r="AR128">
            <v>38000</v>
          </cell>
          <cell r="AS128">
            <v>4.76</v>
          </cell>
          <cell r="AT128">
            <v>30807000</v>
          </cell>
          <cell r="AU128">
            <v>4.21</v>
          </cell>
          <cell r="AV128">
            <v>2115950</v>
          </cell>
          <cell r="AW128">
            <v>2.87</v>
          </cell>
          <cell r="AX128">
            <v>266000</v>
          </cell>
          <cell r="AY128">
            <v>9.1999999999999993</v>
          </cell>
          <cell r="AZ128">
            <v>0</v>
          </cell>
          <cell r="BA128">
            <v>38</v>
          </cell>
          <cell r="BB128">
            <v>7</v>
          </cell>
          <cell r="BC128">
            <v>45</v>
          </cell>
          <cell r="BD128">
            <v>0</v>
          </cell>
          <cell r="BE128">
            <v>0</v>
          </cell>
          <cell r="BF128">
            <v>10</v>
          </cell>
          <cell r="BG128">
            <v>0</v>
          </cell>
          <cell r="BH128">
            <v>1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8</v>
          </cell>
          <cell r="BQ128">
            <v>0</v>
          </cell>
          <cell r="BR128">
            <v>1</v>
          </cell>
          <cell r="BS128">
            <v>0</v>
          </cell>
          <cell r="BT128">
            <v>0</v>
          </cell>
          <cell r="BU128">
            <v>7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17</v>
          </cell>
          <cell r="DN128">
            <v>0</v>
          </cell>
          <cell r="DO128">
            <v>0</v>
          </cell>
          <cell r="DP128">
            <v>5</v>
          </cell>
          <cell r="DQ128">
            <v>9</v>
          </cell>
          <cell r="DR128">
            <v>3</v>
          </cell>
          <cell r="DS128">
            <v>0</v>
          </cell>
          <cell r="DT128">
            <v>10</v>
          </cell>
          <cell r="DU128">
            <v>2</v>
          </cell>
          <cell r="DV128">
            <v>2</v>
          </cell>
          <cell r="DW128">
            <v>3</v>
          </cell>
          <cell r="DX128">
            <v>3</v>
          </cell>
          <cell r="DY128">
            <v>0</v>
          </cell>
          <cell r="DZ128">
            <v>0</v>
          </cell>
          <cell r="EA128">
            <v>8</v>
          </cell>
          <cell r="EB128">
            <v>1</v>
          </cell>
          <cell r="EC128">
            <v>5</v>
          </cell>
          <cell r="ED128">
            <v>1</v>
          </cell>
          <cell r="EE128">
            <v>0</v>
          </cell>
          <cell r="EF128">
            <v>1</v>
          </cell>
          <cell r="EG128">
            <v>0</v>
          </cell>
          <cell r="EH128">
            <v>2</v>
          </cell>
          <cell r="EI128">
            <v>1</v>
          </cell>
          <cell r="EJ128">
            <v>0</v>
          </cell>
          <cell r="EK128">
            <v>0</v>
          </cell>
          <cell r="EL128">
            <v>0</v>
          </cell>
          <cell r="EM128">
            <v>1</v>
          </cell>
          <cell r="EN128">
            <v>0</v>
          </cell>
          <cell r="EO128" t="str">
            <v xml:space="preserve">Womens Topeka                                               </v>
          </cell>
        </row>
        <row r="129">
          <cell r="A129" t="str">
            <v>CN3YL6862010</v>
          </cell>
          <cell r="B129" t="str">
            <v>CN3</v>
          </cell>
          <cell r="C129" t="str">
            <v>YL6862</v>
          </cell>
          <cell r="D129">
            <v>10</v>
          </cell>
          <cell r="E129" t="str">
            <v xml:space="preserve">   </v>
          </cell>
          <cell r="F129">
            <v>80829</v>
          </cell>
          <cell r="G129">
            <v>80911</v>
          </cell>
          <cell r="H129">
            <v>0</v>
          </cell>
          <cell r="I129">
            <v>500</v>
          </cell>
          <cell r="J129">
            <v>490</v>
          </cell>
          <cell r="K129">
            <v>486</v>
          </cell>
          <cell r="L129">
            <v>83</v>
          </cell>
          <cell r="M129">
            <v>83</v>
          </cell>
          <cell r="N129">
            <v>19205500</v>
          </cell>
          <cell r="O129">
            <v>17576300</v>
          </cell>
          <cell r="P129">
            <v>17432820</v>
          </cell>
          <cell r="Q129">
            <v>2977210</v>
          </cell>
          <cell r="R129">
            <v>12920218</v>
          </cell>
          <cell r="S129" t="str">
            <v xml:space="preserve"> </v>
          </cell>
          <cell r="T129" t="str">
            <v xml:space="preserve"> </v>
          </cell>
          <cell r="U129">
            <v>490</v>
          </cell>
          <cell r="V129">
            <v>17576300</v>
          </cell>
          <cell r="W129">
            <v>83</v>
          </cell>
          <cell r="X129">
            <v>2977210</v>
          </cell>
          <cell r="Y129">
            <v>16.940000000000001</v>
          </cell>
          <cell r="Z129">
            <v>16.940000000000001</v>
          </cell>
          <cell r="AA129">
            <v>2905470</v>
          </cell>
          <cell r="AB129">
            <v>71740</v>
          </cell>
          <cell r="AC129">
            <v>4</v>
          </cell>
          <cell r="AD129">
            <v>143480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403</v>
          </cell>
          <cell r="AN129">
            <v>29162310</v>
          </cell>
          <cell r="AO129">
            <v>38411</v>
          </cell>
          <cell r="AP129">
            <v>35870</v>
          </cell>
          <cell r="AQ129">
            <v>178000</v>
          </cell>
          <cell r="AR129">
            <v>0</v>
          </cell>
          <cell r="AS129">
            <v>4.96</v>
          </cell>
          <cell r="AT129">
            <v>87220000</v>
          </cell>
          <cell r="AU129">
            <v>4.4400000000000004</v>
          </cell>
          <cell r="AV129">
            <v>12906500</v>
          </cell>
          <cell r="AW129">
            <v>0.19</v>
          </cell>
          <cell r="AX129">
            <v>13718</v>
          </cell>
          <cell r="AY129">
            <v>16.940000000000001</v>
          </cell>
          <cell r="AZ129">
            <v>0</v>
          </cell>
          <cell r="BA129">
            <v>81</v>
          </cell>
          <cell r="BB129">
            <v>2</v>
          </cell>
          <cell r="BC129">
            <v>83</v>
          </cell>
          <cell r="BD129">
            <v>0</v>
          </cell>
          <cell r="BE129">
            <v>0</v>
          </cell>
          <cell r="BF129">
            <v>5</v>
          </cell>
          <cell r="BG129">
            <v>1</v>
          </cell>
          <cell r="BH129">
            <v>1</v>
          </cell>
          <cell r="BI129">
            <v>4</v>
          </cell>
          <cell r="BJ129">
            <v>0</v>
          </cell>
          <cell r="BK129">
            <v>2</v>
          </cell>
          <cell r="BL129">
            <v>3</v>
          </cell>
          <cell r="BM129">
            <v>-1</v>
          </cell>
          <cell r="BN129">
            <v>0</v>
          </cell>
          <cell r="BO129">
            <v>0</v>
          </cell>
          <cell r="BP129">
            <v>3</v>
          </cell>
          <cell r="BQ129">
            <v>-1</v>
          </cell>
          <cell r="BR129">
            <v>3</v>
          </cell>
          <cell r="BS129">
            <v>0</v>
          </cell>
          <cell r="BT129">
            <v>1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29</v>
          </cell>
          <cell r="DN129">
            <v>0</v>
          </cell>
          <cell r="DO129">
            <v>2</v>
          </cell>
          <cell r="DP129">
            <v>3</v>
          </cell>
          <cell r="DQ129">
            <v>23</v>
          </cell>
          <cell r="DR129">
            <v>1</v>
          </cell>
          <cell r="DS129">
            <v>0</v>
          </cell>
          <cell r="DT129">
            <v>24</v>
          </cell>
          <cell r="DU129">
            <v>3</v>
          </cell>
          <cell r="DV129">
            <v>6</v>
          </cell>
          <cell r="DW129">
            <v>4</v>
          </cell>
          <cell r="DX129">
            <v>4</v>
          </cell>
          <cell r="DY129">
            <v>7</v>
          </cell>
          <cell r="DZ129">
            <v>0</v>
          </cell>
          <cell r="EA129">
            <v>18</v>
          </cell>
          <cell r="EB129">
            <v>3</v>
          </cell>
          <cell r="EC129">
            <v>12</v>
          </cell>
          <cell r="ED129">
            <v>-1</v>
          </cell>
          <cell r="EE129">
            <v>2</v>
          </cell>
          <cell r="EF129">
            <v>2</v>
          </cell>
          <cell r="EG129">
            <v>0</v>
          </cell>
          <cell r="EH129">
            <v>5</v>
          </cell>
          <cell r="EI129">
            <v>2</v>
          </cell>
          <cell r="EJ129">
            <v>3</v>
          </cell>
          <cell r="EK129">
            <v>0</v>
          </cell>
          <cell r="EL129">
            <v>1</v>
          </cell>
          <cell r="EM129">
            <v>-1</v>
          </cell>
          <cell r="EN129">
            <v>0</v>
          </cell>
          <cell r="EO129" t="str">
            <v xml:space="preserve">Womens Hopkins Hollow                                       </v>
          </cell>
        </row>
        <row r="130">
          <cell r="A130" t="str">
            <v>CN3YL6862018</v>
          </cell>
          <cell r="B130" t="str">
            <v>CN3</v>
          </cell>
          <cell r="C130" t="str">
            <v>YL6862</v>
          </cell>
          <cell r="D130">
            <v>18</v>
          </cell>
          <cell r="E130" t="str">
            <v xml:space="preserve">   </v>
          </cell>
          <cell r="F130">
            <v>80829</v>
          </cell>
          <cell r="G130">
            <v>80911</v>
          </cell>
          <cell r="H130">
            <v>0</v>
          </cell>
          <cell r="I130">
            <v>400</v>
          </cell>
          <cell r="J130">
            <v>409</v>
          </cell>
          <cell r="K130">
            <v>409</v>
          </cell>
          <cell r="L130">
            <v>126</v>
          </cell>
          <cell r="M130">
            <v>126</v>
          </cell>
          <cell r="N130">
            <v>15364400</v>
          </cell>
          <cell r="O130">
            <v>14670830</v>
          </cell>
          <cell r="P130">
            <v>14670830</v>
          </cell>
          <cell r="Q130">
            <v>4519620</v>
          </cell>
          <cell r="R130">
            <v>19985718</v>
          </cell>
          <cell r="S130" t="str">
            <v xml:space="preserve"> </v>
          </cell>
          <cell r="T130" t="str">
            <v xml:space="preserve"> </v>
          </cell>
          <cell r="U130">
            <v>409</v>
          </cell>
          <cell r="V130">
            <v>14670830</v>
          </cell>
          <cell r="W130">
            <v>126</v>
          </cell>
          <cell r="X130">
            <v>4519620</v>
          </cell>
          <cell r="Y130">
            <v>30.81</v>
          </cell>
          <cell r="Z130">
            <v>30.81</v>
          </cell>
          <cell r="AA130">
            <v>4447880</v>
          </cell>
          <cell r="AB130">
            <v>71740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283</v>
          </cell>
          <cell r="AN130">
            <v>20517640</v>
          </cell>
          <cell r="AO130">
            <v>38411</v>
          </cell>
          <cell r="AP130">
            <v>35870</v>
          </cell>
          <cell r="AQ130">
            <v>178000</v>
          </cell>
          <cell r="AR130">
            <v>0</v>
          </cell>
          <cell r="AS130">
            <v>4.96</v>
          </cell>
          <cell r="AT130">
            <v>72802000</v>
          </cell>
          <cell r="AU130">
            <v>4.49</v>
          </cell>
          <cell r="AV130">
            <v>19972000</v>
          </cell>
          <cell r="AW130">
            <v>0.19</v>
          </cell>
          <cell r="AX130">
            <v>13718</v>
          </cell>
          <cell r="AY130">
            <v>30.81</v>
          </cell>
          <cell r="AZ130">
            <v>0</v>
          </cell>
          <cell r="BA130">
            <v>124</v>
          </cell>
          <cell r="BB130">
            <v>2</v>
          </cell>
          <cell r="BC130">
            <v>126</v>
          </cell>
          <cell r="BD130">
            <v>0</v>
          </cell>
          <cell r="BE130">
            <v>0</v>
          </cell>
          <cell r="BF130">
            <v>10</v>
          </cell>
          <cell r="BG130">
            <v>0</v>
          </cell>
          <cell r="BH130">
            <v>1</v>
          </cell>
          <cell r="BI130">
            <v>10</v>
          </cell>
          <cell r="BJ130">
            <v>3</v>
          </cell>
          <cell r="BK130">
            <v>4</v>
          </cell>
          <cell r="BL130">
            <v>-1</v>
          </cell>
          <cell r="BM130">
            <v>1</v>
          </cell>
          <cell r="BN130">
            <v>3</v>
          </cell>
          <cell r="BO130">
            <v>0</v>
          </cell>
          <cell r="BP130">
            <v>6</v>
          </cell>
          <cell r="BQ130">
            <v>0</v>
          </cell>
          <cell r="BR130">
            <v>3</v>
          </cell>
          <cell r="BS130">
            <v>1</v>
          </cell>
          <cell r="BT130">
            <v>2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40</v>
          </cell>
          <cell r="DN130">
            <v>0</v>
          </cell>
          <cell r="DO130">
            <v>5</v>
          </cell>
          <cell r="DP130">
            <v>4</v>
          </cell>
          <cell r="DQ130">
            <v>30</v>
          </cell>
          <cell r="DR130">
            <v>1</v>
          </cell>
          <cell r="DS130">
            <v>0</v>
          </cell>
          <cell r="DT130">
            <v>43</v>
          </cell>
          <cell r="DU130">
            <v>10</v>
          </cell>
          <cell r="DV130">
            <v>11</v>
          </cell>
          <cell r="DW130">
            <v>5</v>
          </cell>
          <cell r="DX130">
            <v>9</v>
          </cell>
          <cell r="DY130">
            <v>8</v>
          </cell>
          <cell r="DZ130">
            <v>0</v>
          </cell>
          <cell r="EA130">
            <v>13</v>
          </cell>
          <cell r="EB130">
            <v>0</v>
          </cell>
          <cell r="EC130">
            <v>6</v>
          </cell>
          <cell r="ED130">
            <v>2</v>
          </cell>
          <cell r="EE130">
            <v>-1</v>
          </cell>
          <cell r="EF130">
            <v>6</v>
          </cell>
          <cell r="EG130">
            <v>0</v>
          </cell>
          <cell r="EH130">
            <v>14</v>
          </cell>
          <cell r="EI130">
            <v>1</v>
          </cell>
          <cell r="EJ130">
            <v>6</v>
          </cell>
          <cell r="EK130">
            <v>2</v>
          </cell>
          <cell r="EL130">
            <v>3</v>
          </cell>
          <cell r="EM130">
            <v>2</v>
          </cell>
          <cell r="EN130">
            <v>0</v>
          </cell>
          <cell r="EO130" t="str">
            <v xml:space="preserve">Womens Hopkins Hollow                                       </v>
          </cell>
        </row>
        <row r="131">
          <cell r="A131" t="str">
            <v>CN3YL6864063</v>
          </cell>
          <cell r="B131" t="str">
            <v>CN3</v>
          </cell>
          <cell r="C131" t="str">
            <v>YL6864</v>
          </cell>
          <cell r="D131">
            <v>63</v>
          </cell>
          <cell r="E131" t="str">
            <v xml:space="preserve">   </v>
          </cell>
          <cell r="F131">
            <v>80827</v>
          </cell>
          <cell r="G131">
            <v>80829</v>
          </cell>
          <cell r="H131">
            <v>90226</v>
          </cell>
          <cell r="I131">
            <v>500</v>
          </cell>
          <cell r="J131">
            <v>494</v>
          </cell>
          <cell r="K131">
            <v>473</v>
          </cell>
          <cell r="L131">
            <v>119</v>
          </cell>
          <cell r="M131">
            <v>119</v>
          </cell>
          <cell r="N131">
            <v>8275000</v>
          </cell>
          <cell r="O131">
            <v>8169278</v>
          </cell>
          <cell r="P131">
            <v>7822001</v>
          </cell>
          <cell r="Q131">
            <v>1967903</v>
          </cell>
          <cell r="R131">
            <v>7276800</v>
          </cell>
          <cell r="S131" t="str">
            <v>*</v>
          </cell>
          <cell r="T131" t="str">
            <v xml:space="preserve"> </v>
          </cell>
          <cell r="U131">
            <v>494</v>
          </cell>
          <cell r="V131">
            <v>8169278</v>
          </cell>
          <cell r="W131">
            <v>119</v>
          </cell>
          <cell r="X131">
            <v>1967903</v>
          </cell>
          <cell r="Y131">
            <v>24.49</v>
          </cell>
          <cell r="Z131">
            <v>24.9</v>
          </cell>
          <cell r="AA131">
            <v>1852144</v>
          </cell>
          <cell r="AB131">
            <v>115759</v>
          </cell>
          <cell r="AC131">
            <v>21</v>
          </cell>
          <cell r="AD131">
            <v>810313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2</v>
          </cell>
          <cell r="AL131">
            <v>66148</v>
          </cell>
          <cell r="AM131">
            <v>352</v>
          </cell>
          <cell r="AN131">
            <v>11724733</v>
          </cell>
          <cell r="AO131">
            <v>16550</v>
          </cell>
          <cell r="AP131">
            <v>16537</v>
          </cell>
          <cell r="AQ131">
            <v>73000</v>
          </cell>
          <cell r="AR131">
            <v>44000</v>
          </cell>
          <cell r="AS131">
            <v>4.41</v>
          </cell>
          <cell r="AT131">
            <v>36062000</v>
          </cell>
          <cell r="AU131">
            <v>3.76</v>
          </cell>
          <cell r="AV131">
            <v>6968800</v>
          </cell>
          <cell r="AW131">
            <v>2.66</v>
          </cell>
          <cell r="AX131">
            <v>308000</v>
          </cell>
          <cell r="AY131">
            <v>24.49</v>
          </cell>
          <cell r="AZ131">
            <v>0</v>
          </cell>
          <cell r="BA131">
            <v>112</v>
          </cell>
          <cell r="BB131">
            <v>7</v>
          </cell>
          <cell r="BC131">
            <v>119</v>
          </cell>
          <cell r="BD131">
            <v>0</v>
          </cell>
          <cell r="BE131">
            <v>0</v>
          </cell>
          <cell r="BF131">
            <v>12</v>
          </cell>
          <cell r="BG131">
            <v>1</v>
          </cell>
          <cell r="BH131">
            <v>1</v>
          </cell>
          <cell r="BI131">
            <v>2</v>
          </cell>
          <cell r="BJ131">
            <v>-1</v>
          </cell>
          <cell r="BK131">
            <v>1</v>
          </cell>
          <cell r="BL131">
            <v>2</v>
          </cell>
          <cell r="BM131">
            <v>0</v>
          </cell>
          <cell r="BN131">
            <v>0</v>
          </cell>
          <cell r="BO131">
            <v>0</v>
          </cell>
          <cell r="BP131">
            <v>12</v>
          </cell>
          <cell r="BQ131">
            <v>0</v>
          </cell>
          <cell r="BR131">
            <v>1</v>
          </cell>
          <cell r="BS131">
            <v>1</v>
          </cell>
          <cell r="BT131">
            <v>3</v>
          </cell>
          <cell r="BU131">
            <v>7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3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3</v>
          </cell>
          <cell r="DL131">
            <v>0</v>
          </cell>
          <cell r="DM131">
            <v>81</v>
          </cell>
          <cell r="DN131">
            <v>12</v>
          </cell>
          <cell r="DO131">
            <v>11</v>
          </cell>
          <cell r="DP131">
            <v>10</v>
          </cell>
          <cell r="DQ131">
            <v>44</v>
          </cell>
          <cell r="DR131">
            <v>4</v>
          </cell>
          <cell r="DS131">
            <v>0</v>
          </cell>
          <cell r="DT131">
            <v>18</v>
          </cell>
          <cell r="DU131">
            <v>6</v>
          </cell>
          <cell r="DV131">
            <v>-1</v>
          </cell>
          <cell r="DW131">
            <v>9</v>
          </cell>
          <cell r="DX131">
            <v>5</v>
          </cell>
          <cell r="DY131">
            <v>-1</v>
          </cell>
          <cell r="DZ131">
            <v>0</v>
          </cell>
          <cell r="EA131">
            <v>0</v>
          </cell>
          <cell r="EB131">
            <v>2</v>
          </cell>
          <cell r="EC131">
            <v>-1</v>
          </cell>
          <cell r="ED131">
            <v>-1</v>
          </cell>
          <cell r="EE131">
            <v>-1</v>
          </cell>
          <cell r="EF131">
            <v>1</v>
          </cell>
          <cell r="EG131">
            <v>0</v>
          </cell>
          <cell r="EH131">
            <v>3</v>
          </cell>
          <cell r="EI131">
            <v>1</v>
          </cell>
          <cell r="EJ131">
            <v>2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 t="str">
            <v xml:space="preserve">Womens Copper Center                                        </v>
          </cell>
        </row>
        <row r="132">
          <cell r="A132" t="str">
            <v>CN3YL6864139</v>
          </cell>
          <cell r="B132" t="str">
            <v>CN3</v>
          </cell>
          <cell r="C132" t="str">
            <v>YL6864</v>
          </cell>
          <cell r="D132">
            <v>139</v>
          </cell>
          <cell r="E132" t="str">
            <v xml:space="preserve">   </v>
          </cell>
          <cell r="F132">
            <v>80827</v>
          </cell>
          <cell r="G132">
            <v>80829</v>
          </cell>
          <cell r="H132">
            <v>90226</v>
          </cell>
          <cell r="I132">
            <v>600</v>
          </cell>
          <cell r="J132">
            <v>541</v>
          </cell>
          <cell r="K132">
            <v>541</v>
          </cell>
          <cell r="L132">
            <v>438</v>
          </cell>
          <cell r="M132">
            <v>438</v>
          </cell>
          <cell r="N132">
            <v>9930000</v>
          </cell>
          <cell r="O132">
            <v>8946517</v>
          </cell>
          <cell r="P132">
            <v>8946517</v>
          </cell>
          <cell r="Q132">
            <v>7243206</v>
          </cell>
          <cell r="R132">
            <v>28541090</v>
          </cell>
          <cell r="S132" t="str">
            <v>*</v>
          </cell>
          <cell r="T132" t="str">
            <v xml:space="preserve"> </v>
          </cell>
          <cell r="U132">
            <v>541</v>
          </cell>
          <cell r="V132">
            <v>8946517</v>
          </cell>
          <cell r="W132">
            <v>438</v>
          </cell>
          <cell r="X132">
            <v>7243206</v>
          </cell>
          <cell r="Y132">
            <v>80.959999999999994</v>
          </cell>
          <cell r="Z132">
            <v>80.959999999999994</v>
          </cell>
          <cell r="AA132">
            <v>7143984</v>
          </cell>
          <cell r="AB132">
            <v>99222</v>
          </cell>
          <cell r="AC132">
            <v>0</v>
          </cell>
          <cell r="AD132">
            <v>33074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103</v>
          </cell>
          <cell r="AN132">
            <v>3605066</v>
          </cell>
          <cell r="AO132">
            <v>16550</v>
          </cell>
          <cell r="AP132">
            <v>16537</v>
          </cell>
          <cell r="AQ132">
            <v>73000</v>
          </cell>
          <cell r="AR132">
            <v>44000</v>
          </cell>
          <cell r="AS132">
            <v>4.41</v>
          </cell>
          <cell r="AT132">
            <v>39493000</v>
          </cell>
          <cell r="AU132">
            <v>3.97</v>
          </cell>
          <cell r="AV132">
            <v>28351372</v>
          </cell>
          <cell r="AW132">
            <v>1.91</v>
          </cell>
          <cell r="AX132">
            <v>189718</v>
          </cell>
          <cell r="AY132">
            <v>80.959999999999994</v>
          </cell>
          <cell r="AZ132">
            <v>0</v>
          </cell>
          <cell r="BA132">
            <v>432</v>
          </cell>
          <cell r="BB132">
            <v>6</v>
          </cell>
          <cell r="BC132">
            <v>438</v>
          </cell>
          <cell r="BD132">
            <v>0</v>
          </cell>
          <cell r="BE132">
            <v>0</v>
          </cell>
          <cell r="BF132">
            <v>26</v>
          </cell>
          <cell r="BG132">
            <v>0</v>
          </cell>
          <cell r="BH132">
            <v>1</v>
          </cell>
          <cell r="BI132">
            <v>4</v>
          </cell>
          <cell r="BJ132">
            <v>0</v>
          </cell>
          <cell r="BK132">
            <v>0</v>
          </cell>
          <cell r="BL132">
            <v>-1</v>
          </cell>
          <cell r="BM132">
            <v>3</v>
          </cell>
          <cell r="BN132">
            <v>2</v>
          </cell>
          <cell r="BO132">
            <v>0</v>
          </cell>
          <cell r="BP132">
            <v>14</v>
          </cell>
          <cell r="BQ132">
            <v>0</v>
          </cell>
          <cell r="BR132">
            <v>4</v>
          </cell>
          <cell r="BS132">
            <v>2</v>
          </cell>
          <cell r="BT132">
            <v>4</v>
          </cell>
          <cell r="BU132">
            <v>4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36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36</v>
          </cell>
          <cell r="DL132">
            <v>0</v>
          </cell>
          <cell r="DM132">
            <v>269</v>
          </cell>
          <cell r="DN132">
            <v>78</v>
          </cell>
          <cell r="DO132">
            <v>48</v>
          </cell>
          <cell r="DP132">
            <v>42</v>
          </cell>
          <cell r="DQ132">
            <v>94</v>
          </cell>
          <cell r="DR132">
            <v>7</v>
          </cell>
          <cell r="DS132">
            <v>0</v>
          </cell>
          <cell r="DT132">
            <v>98</v>
          </cell>
          <cell r="DU132">
            <v>25</v>
          </cell>
          <cell r="DV132">
            <v>32</v>
          </cell>
          <cell r="DW132">
            <v>24</v>
          </cell>
          <cell r="DX132">
            <v>10</v>
          </cell>
          <cell r="DY132">
            <v>7</v>
          </cell>
          <cell r="DZ132">
            <v>0</v>
          </cell>
          <cell r="EA132">
            <v>17</v>
          </cell>
          <cell r="EB132">
            <v>0</v>
          </cell>
          <cell r="EC132">
            <v>10</v>
          </cell>
          <cell r="ED132">
            <v>3</v>
          </cell>
          <cell r="EE132">
            <v>2</v>
          </cell>
          <cell r="EF132">
            <v>2</v>
          </cell>
          <cell r="EG132">
            <v>0</v>
          </cell>
          <cell r="EH132">
            <v>0</v>
          </cell>
          <cell r="EI132">
            <v>1</v>
          </cell>
          <cell r="EJ132">
            <v>-2</v>
          </cell>
          <cell r="EK132">
            <v>1</v>
          </cell>
          <cell r="EL132">
            <v>0</v>
          </cell>
          <cell r="EM132">
            <v>0</v>
          </cell>
          <cell r="EN132">
            <v>0</v>
          </cell>
          <cell r="EO132" t="str">
            <v xml:space="preserve">Womens Copper Center                                        </v>
          </cell>
        </row>
        <row r="133">
          <cell r="A133" t="str">
            <v>CN3YL6865007</v>
          </cell>
          <cell r="B133" t="str">
            <v>CN3</v>
          </cell>
          <cell r="C133" t="str">
            <v>YL6865</v>
          </cell>
          <cell r="D133">
            <v>7</v>
          </cell>
          <cell r="E133" t="str">
            <v xml:space="preserve">   </v>
          </cell>
          <cell r="F133">
            <v>80728</v>
          </cell>
          <cell r="G133">
            <v>80805</v>
          </cell>
          <cell r="H133">
            <v>90211</v>
          </cell>
          <cell r="I133">
            <v>700</v>
          </cell>
          <cell r="J133">
            <v>701</v>
          </cell>
          <cell r="K133">
            <v>688</v>
          </cell>
          <cell r="L133">
            <v>535</v>
          </cell>
          <cell r="M133">
            <v>535</v>
          </cell>
          <cell r="N133">
            <v>11305000</v>
          </cell>
          <cell r="O133">
            <v>11358303</v>
          </cell>
          <cell r="P133">
            <v>11147664</v>
          </cell>
          <cell r="Q133">
            <v>8668605</v>
          </cell>
          <cell r="R133">
            <v>36219959</v>
          </cell>
          <cell r="S133" t="str">
            <v>*</v>
          </cell>
          <cell r="T133" t="str">
            <v xml:space="preserve"> </v>
          </cell>
          <cell r="U133">
            <v>701</v>
          </cell>
          <cell r="V133">
            <v>11358303</v>
          </cell>
          <cell r="W133">
            <v>535</v>
          </cell>
          <cell r="X133">
            <v>8668605</v>
          </cell>
          <cell r="Y133">
            <v>76.180000000000007</v>
          </cell>
          <cell r="Z133">
            <v>76.03</v>
          </cell>
          <cell r="AA133">
            <v>8198718</v>
          </cell>
          <cell r="AB133">
            <v>469887</v>
          </cell>
          <cell r="AC133">
            <v>13</v>
          </cell>
          <cell r="AD133">
            <v>243045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-1</v>
          </cell>
          <cell r="AL133">
            <v>-32406</v>
          </cell>
          <cell r="AM133">
            <v>154</v>
          </cell>
          <cell r="AN133">
            <v>5719659</v>
          </cell>
          <cell r="AO133">
            <v>16150</v>
          </cell>
          <cell r="AP133">
            <v>16203</v>
          </cell>
          <cell r="AQ133">
            <v>78000</v>
          </cell>
          <cell r="AR133">
            <v>47000</v>
          </cell>
          <cell r="AS133">
            <v>4.8099999999999996</v>
          </cell>
          <cell r="AT133">
            <v>54678000</v>
          </cell>
          <cell r="AU133">
            <v>4.26</v>
          </cell>
          <cell r="AV133">
            <v>34897100</v>
          </cell>
          <cell r="AW133">
            <v>2.82</v>
          </cell>
          <cell r="AX133">
            <v>1322859</v>
          </cell>
          <cell r="AY133">
            <v>76.180000000000007</v>
          </cell>
          <cell r="AZ133">
            <v>0</v>
          </cell>
          <cell r="BA133">
            <v>506</v>
          </cell>
          <cell r="BB133">
            <v>29</v>
          </cell>
          <cell r="BC133">
            <v>535</v>
          </cell>
          <cell r="BD133">
            <v>0</v>
          </cell>
          <cell r="BE133">
            <v>0</v>
          </cell>
          <cell r="BF133">
            <v>46</v>
          </cell>
          <cell r="BG133">
            <v>1</v>
          </cell>
          <cell r="BH133">
            <v>1</v>
          </cell>
          <cell r="BI133">
            <v>4</v>
          </cell>
          <cell r="BJ133">
            <v>0</v>
          </cell>
          <cell r="BK133">
            <v>0</v>
          </cell>
          <cell r="BL133">
            <v>2</v>
          </cell>
          <cell r="BM133">
            <v>1</v>
          </cell>
          <cell r="BN133">
            <v>1</v>
          </cell>
          <cell r="BO133">
            <v>0</v>
          </cell>
          <cell r="BP133">
            <v>34</v>
          </cell>
          <cell r="BQ133">
            <v>1</v>
          </cell>
          <cell r="BR133">
            <v>3</v>
          </cell>
          <cell r="BS133">
            <v>12</v>
          </cell>
          <cell r="BT133">
            <v>8</v>
          </cell>
          <cell r="BU133">
            <v>10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93</v>
          </cell>
          <cell r="DG133">
            <v>0</v>
          </cell>
          <cell r="DH133">
            <v>12</v>
          </cell>
          <cell r="DI133">
            <v>22</v>
          </cell>
          <cell r="DJ133">
            <v>23</v>
          </cell>
          <cell r="DK133">
            <v>36</v>
          </cell>
          <cell r="DL133">
            <v>0</v>
          </cell>
          <cell r="DM133">
            <v>284</v>
          </cell>
          <cell r="DN133">
            <v>59</v>
          </cell>
          <cell r="DO133">
            <v>63</v>
          </cell>
          <cell r="DP133">
            <v>43</v>
          </cell>
          <cell r="DQ133">
            <v>113</v>
          </cell>
          <cell r="DR133">
            <v>6</v>
          </cell>
          <cell r="DS133">
            <v>0</v>
          </cell>
          <cell r="DT133">
            <v>98</v>
          </cell>
          <cell r="DU133">
            <v>31</v>
          </cell>
          <cell r="DV133">
            <v>26</v>
          </cell>
          <cell r="DW133">
            <v>16</v>
          </cell>
          <cell r="DX133">
            <v>19</v>
          </cell>
          <cell r="DY133">
            <v>6</v>
          </cell>
          <cell r="DZ133">
            <v>0</v>
          </cell>
          <cell r="EA133">
            <v>14</v>
          </cell>
          <cell r="EB133">
            <v>6</v>
          </cell>
          <cell r="EC133">
            <v>8</v>
          </cell>
          <cell r="ED133">
            <v>0</v>
          </cell>
          <cell r="EE133">
            <v>1</v>
          </cell>
          <cell r="EF133">
            <v>-1</v>
          </cell>
          <cell r="EG133">
            <v>0</v>
          </cell>
          <cell r="EH133">
            <v>8</v>
          </cell>
          <cell r="EI133">
            <v>2</v>
          </cell>
          <cell r="EJ133">
            <v>1</v>
          </cell>
          <cell r="EK133">
            <v>1</v>
          </cell>
          <cell r="EL133">
            <v>4</v>
          </cell>
          <cell r="EM133">
            <v>0</v>
          </cell>
          <cell r="EN133">
            <v>0</v>
          </cell>
          <cell r="EO133" t="str">
            <v xml:space="preserve">Womens Hooper Bayer                                         </v>
          </cell>
        </row>
        <row r="134">
          <cell r="A134" t="str">
            <v>CN3YL6865232</v>
          </cell>
          <cell r="B134" t="str">
            <v>CN3</v>
          </cell>
          <cell r="C134" t="str">
            <v>YL6865</v>
          </cell>
          <cell r="D134">
            <v>232</v>
          </cell>
          <cell r="E134" t="str">
            <v xml:space="preserve">   </v>
          </cell>
          <cell r="F134">
            <v>80728</v>
          </cell>
          <cell r="G134">
            <v>80814</v>
          </cell>
          <cell r="H134">
            <v>90211</v>
          </cell>
          <cell r="I134">
            <v>500</v>
          </cell>
          <cell r="J134">
            <v>489</v>
          </cell>
          <cell r="K134">
            <v>468</v>
          </cell>
          <cell r="L134">
            <v>139</v>
          </cell>
          <cell r="M134">
            <v>139</v>
          </cell>
          <cell r="N134">
            <v>8075000</v>
          </cell>
          <cell r="O134">
            <v>7923267</v>
          </cell>
          <cell r="P134">
            <v>7583004</v>
          </cell>
          <cell r="Q134">
            <v>2252217</v>
          </cell>
          <cell r="R134">
            <v>8796794</v>
          </cell>
          <cell r="S134" t="str">
            <v>*</v>
          </cell>
          <cell r="T134" t="str">
            <v xml:space="preserve"> </v>
          </cell>
          <cell r="U134">
            <v>489</v>
          </cell>
          <cell r="V134">
            <v>7923267</v>
          </cell>
          <cell r="W134">
            <v>139</v>
          </cell>
          <cell r="X134">
            <v>2252217</v>
          </cell>
          <cell r="Y134">
            <v>28.43</v>
          </cell>
          <cell r="Z134">
            <v>28.43</v>
          </cell>
          <cell r="AA134">
            <v>2025375</v>
          </cell>
          <cell r="AB134">
            <v>226842</v>
          </cell>
          <cell r="AC134">
            <v>21</v>
          </cell>
          <cell r="AD134">
            <v>680526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329</v>
          </cell>
          <cell r="AN134">
            <v>10726386</v>
          </cell>
          <cell r="AO134">
            <v>16150</v>
          </cell>
          <cell r="AP134">
            <v>16203</v>
          </cell>
          <cell r="AQ134">
            <v>78000</v>
          </cell>
          <cell r="AR134">
            <v>47000</v>
          </cell>
          <cell r="AS134">
            <v>4.8099999999999996</v>
          </cell>
          <cell r="AT134">
            <v>38142000</v>
          </cell>
          <cell r="AU134">
            <v>4.1399999999999997</v>
          </cell>
          <cell r="AV134">
            <v>8379640</v>
          </cell>
          <cell r="AW134">
            <v>1.84</v>
          </cell>
          <cell r="AX134">
            <v>417154</v>
          </cell>
          <cell r="AY134">
            <v>28.43</v>
          </cell>
          <cell r="AZ134">
            <v>0</v>
          </cell>
          <cell r="BA134">
            <v>125</v>
          </cell>
          <cell r="BB134">
            <v>14</v>
          </cell>
          <cell r="BC134">
            <v>139</v>
          </cell>
          <cell r="BD134">
            <v>0</v>
          </cell>
          <cell r="BE134">
            <v>0</v>
          </cell>
          <cell r="BF134">
            <v>18</v>
          </cell>
          <cell r="BG134">
            <v>0</v>
          </cell>
          <cell r="BH134">
            <v>1</v>
          </cell>
          <cell r="BI134">
            <v>4</v>
          </cell>
          <cell r="BJ134">
            <v>1</v>
          </cell>
          <cell r="BK134">
            <v>1</v>
          </cell>
          <cell r="BL134">
            <v>0</v>
          </cell>
          <cell r="BM134">
            <v>1</v>
          </cell>
          <cell r="BN134">
            <v>1</v>
          </cell>
          <cell r="BO134">
            <v>0</v>
          </cell>
          <cell r="BP134">
            <v>4</v>
          </cell>
          <cell r="BQ134">
            <v>0</v>
          </cell>
          <cell r="BR134">
            <v>0</v>
          </cell>
          <cell r="BS134">
            <v>3</v>
          </cell>
          <cell r="BT134">
            <v>1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15</v>
          </cell>
          <cell r="DG134">
            <v>0</v>
          </cell>
          <cell r="DH134">
            <v>0</v>
          </cell>
          <cell r="DI134">
            <v>1</v>
          </cell>
          <cell r="DJ134">
            <v>3</v>
          </cell>
          <cell r="DK134">
            <v>11</v>
          </cell>
          <cell r="DL134">
            <v>0</v>
          </cell>
          <cell r="DM134">
            <v>87</v>
          </cell>
          <cell r="DN134">
            <v>14</v>
          </cell>
          <cell r="DO134">
            <v>31</v>
          </cell>
          <cell r="DP134">
            <v>14</v>
          </cell>
          <cell r="DQ134">
            <v>28</v>
          </cell>
          <cell r="DR134">
            <v>0</v>
          </cell>
          <cell r="DS134">
            <v>0</v>
          </cell>
          <cell r="DT134">
            <v>19</v>
          </cell>
          <cell r="DU134">
            <v>7</v>
          </cell>
          <cell r="DV134">
            <v>1</v>
          </cell>
          <cell r="DW134">
            <v>9</v>
          </cell>
          <cell r="DX134">
            <v>-1</v>
          </cell>
          <cell r="DY134">
            <v>3</v>
          </cell>
          <cell r="DZ134">
            <v>0</v>
          </cell>
          <cell r="EA134">
            <v>0</v>
          </cell>
          <cell r="EB134">
            <v>1</v>
          </cell>
          <cell r="EC134">
            <v>2</v>
          </cell>
          <cell r="ED134">
            <v>2</v>
          </cell>
          <cell r="EE134">
            <v>0</v>
          </cell>
          <cell r="EF134">
            <v>-5</v>
          </cell>
          <cell r="EG134">
            <v>0</v>
          </cell>
          <cell r="EH134">
            <v>10</v>
          </cell>
          <cell r="EI134">
            <v>0</v>
          </cell>
          <cell r="EJ134">
            <v>7</v>
          </cell>
          <cell r="EK134">
            <v>1</v>
          </cell>
          <cell r="EL134">
            <v>1</v>
          </cell>
          <cell r="EM134">
            <v>1</v>
          </cell>
          <cell r="EN134">
            <v>0</v>
          </cell>
          <cell r="EO134" t="str">
            <v xml:space="preserve">Womens Hooper Bayer                                         </v>
          </cell>
        </row>
        <row r="135">
          <cell r="A135" t="str">
            <v>CN3YL6866303</v>
          </cell>
          <cell r="B135" t="str">
            <v>CN3</v>
          </cell>
          <cell r="C135" t="str">
            <v>YL6866</v>
          </cell>
          <cell r="D135">
            <v>303</v>
          </cell>
          <cell r="E135" t="str">
            <v xml:space="preserve">   </v>
          </cell>
          <cell r="F135">
            <v>80709</v>
          </cell>
          <cell r="G135">
            <v>80725</v>
          </cell>
          <cell r="H135">
            <v>90226</v>
          </cell>
          <cell r="I135">
            <v>500</v>
          </cell>
          <cell r="J135">
            <v>525</v>
          </cell>
          <cell r="K135">
            <v>512</v>
          </cell>
          <cell r="L135">
            <v>123</v>
          </cell>
          <cell r="M135">
            <v>123</v>
          </cell>
          <cell r="N135">
            <v>7825000</v>
          </cell>
          <cell r="O135">
            <v>8239350</v>
          </cell>
          <cell r="P135">
            <v>8035328</v>
          </cell>
          <cell r="Q135">
            <v>1930362</v>
          </cell>
          <cell r="R135">
            <v>7296400</v>
          </cell>
          <cell r="S135" t="str">
            <v>*</v>
          </cell>
          <cell r="T135" t="str">
            <v xml:space="preserve"> </v>
          </cell>
          <cell r="U135">
            <v>525</v>
          </cell>
          <cell r="V135">
            <v>8239350</v>
          </cell>
          <cell r="W135">
            <v>123</v>
          </cell>
          <cell r="X135">
            <v>1930362</v>
          </cell>
          <cell r="Y135">
            <v>23.43</v>
          </cell>
          <cell r="Z135">
            <v>23.43</v>
          </cell>
          <cell r="AA135">
            <v>1883280</v>
          </cell>
          <cell r="AB135">
            <v>47082</v>
          </cell>
          <cell r="AC135">
            <v>13</v>
          </cell>
          <cell r="AD135">
            <v>408044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389</v>
          </cell>
          <cell r="AN135">
            <v>12304096</v>
          </cell>
          <cell r="AO135">
            <v>15650</v>
          </cell>
          <cell r="AP135">
            <v>15694</v>
          </cell>
          <cell r="AQ135">
            <v>68000</v>
          </cell>
          <cell r="AR135">
            <v>41000</v>
          </cell>
          <cell r="AS135">
            <v>4.33</v>
          </cell>
          <cell r="AT135">
            <v>35700000</v>
          </cell>
          <cell r="AU135">
            <v>3.81</v>
          </cell>
          <cell r="AV135">
            <v>7173400</v>
          </cell>
          <cell r="AW135">
            <v>2.61</v>
          </cell>
          <cell r="AX135">
            <v>123000</v>
          </cell>
          <cell r="AY135">
            <v>23.43</v>
          </cell>
          <cell r="AZ135">
            <v>0</v>
          </cell>
          <cell r="BA135">
            <v>120</v>
          </cell>
          <cell r="BB135">
            <v>3</v>
          </cell>
          <cell r="BC135">
            <v>123</v>
          </cell>
          <cell r="BD135">
            <v>0</v>
          </cell>
          <cell r="BE135">
            <v>0</v>
          </cell>
          <cell r="BF135">
            <v>14</v>
          </cell>
          <cell r="BG135">
            <v>1</v>
          </cell>
          <cell r="BH135">
            <v>1</v>
          </cell>
          <cell r="BI135">
            <v>8</v>
          </cell>
          <cell r="BJ135">
            <v>2</v>
          </cell>
          <cell r="BK135">
            <v>2</v>
          </cell>
          <cell r="BL135">
            <v>1</v>
          </cell>
          <cell r="BM135">
            <v>1</v>
          </cell>
          <cell r="BN135">
            <v>2</v>
          </cell>
          <cell r="BO135">
            <v>0</v>
          </cell>
          <cell r="BP135">
            <v>6</v>
          </cell>
          <cell r="BQ135">
            <v>1</v>
          </cell>
          <cell r="BR135">
            <v>1</v>
          </cell>
          <cell r="BS135">
            <v>1</v>
          </cell>
          <cell r="BT135">
            <v>0</v>
          </cell>
          <cell r="BU135">
            <v>3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3</v>
          </cell>
          <cell r="CZ135">
            <v>0</v>
          </cell>
          <cell r="DA135">
            <v>0</v>
          </cell>
          <cell r="DB135">
            <v>0</v>
          </cell>
          <cell r="DC135">
            <v>2</v>
          </cell>
          <cell r="DD135">
            <v>1</v>
          </cell>
          <cell r="DE135">
            <v>0</v>
          </cell>
          <cell r="DF135">
            <v>16</v>
          </cell>
          <cell r="DG135">
            <v>2</v>
          </cell>
          <cell r="DH135">
            <v>2</v>
          </cell>
          <cell r="DI135">
            <v>4</v>
          </cell>
          <cell r="DJ135">
            <v>3</v>
          </cell>
          <cell r="DK135">
            <v>5</v>
          </cell>
          <cell r="DL135">
            <v>0</v>
          </cell>
          <cell r="DM135">
            <v>26</v>
          </cell>
          <cell r="DN135">
            <v>6</v>
          </cell>
          <cell r="DO135">
            <v>2</v>
          </cell>
          <cell r="DP135">
            <v>1</v>
          </cell>
          <cell r="DQ135">
            <v>16</v>
          </cell>
          <cell r="DR135">
            <v>1</v>
          </cell>
          <cell r="DS135">
            <v>0</v>
          </cell>
          <cell r="DT135">
            <v>27</v>
          </cell>
          <cell r="DU135">
            <v>10</v>
          </cell>
          <cell r="DV135">
            <v>4</v>
          </cell>
          <cell r="DW135">
            <v>5</v>
          </cell>
          <cell r="DX135">
            <v>3</v>
          </cell>
          <cell r="DY135">
            <v>5</v>
          </cell>
          <cell r="DZ135">
            <v>0</v>
          </cell>
          <cell r="EA135">
            <v>30</v>
          </cell>
          <cell r="EB135">
            <v>3</v>
          </cell>
          <cell r="EC135">
            <v>15</v>
          </cell>
          <cell r="ED135">
            <v>4</v>
          </cell>
          <cell r="EE135">
            <v>4</v>
          </cell>
          <cell r="EF135">
            <v>4</v>
          </cell>
          <cell r="EG135">
            <v>0</v>
          </cell>
          <cell r="EH135">
            <v>7</v>
          </cell>
          <cell r="EI135">
            <v>0</v>
          </cell>
          <cell r="EJ135">
            <v>0</v>
          </cell>
          <cell r="EK135">
            <v>1</v>
          </cell>
          <cell r="EL135">
            <v>2</v>
          </cell>
          <cell r="EM135">
            <v>4</v>
          </cell>
          <cell r="EN135">
            <v>0</v>
          </cell>
          <cell r="EO135" t="str">
            <v xml:space="preserve">Womens Cooper Landing                                       </v>
          </cell>
        </row>
        <row r="136">
          <cell r="A136" t="str">
            <v>CN3YL6866684</v>
          </cell>
          <cell r="B136" t="str">
            <v>CN3</v>
          </cell>
          <cell r="C136" t="str">
            <v>YL6866</v>
          </cell>
          <cell r="D136">
            <v>684</v>
          </cell>
          <cell r="E136" t="str">
            <v xml:space="preserve">   </v>
          </cell>
          <cell r="F136">
            <v>80709</v>
          </cell>
          <cell r="G136">
            <v>80725</v>
          </cell>
          <cell r="H136">
            <v>90226</v>
          </cell>
          <cell r="I136">
            <v>600</v>
          </cell>
          <cell r="J136">
            <v>605</v>
          </cell>
          <cell r="K136">
            <v>605</v>
          </cell>
          <cell r="L136">
            <v>396</v>
          </cell>
          <cell r="M136">
            <v>396</v>
          </cell>
          <cell r="N136">
            <v>9390000</v>
          </cell>
          <cell r="O136">
            <v>9494870</v>
          </cell>
          <cell r="P136">
            <v>9494870</v>
          </cell>
          <cell r="Q136">
            <v>6214824</v>
          </cell>
          <cell r="R136">
            <v>23248484</v>
          </cell>
          <cell r="S136" t="str">
            <v>*</v>
          </cell>
          <cell r="T136" t="str">
            <v xml:space="preserve"> </v>
          </cell>
          <cell r="U136">
            <v>605</v>
          </cell>
          <cell r="V136">
            <v>9494870</v>
          </cell>
          <cell r="W136">
            <v>396</v>
          </cell>
          <cell r="X136">
            <v>6214824</v>
          </cell>
          <cell r="Y136">
            <v>65.290000000000006</v>
          </cell>
          <cell r="Z136">
            <v>65.12</v>
          </cell>
          <cell r="AA136">
            <v>6089272</v>
          </cell>
          <cell r="AB136">
            <v>125552</v>
          </cell>
          <cell r="AC136">
            <v>0</v>
          </cell>
          <cell r="AD136">
            <v>47082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-1</v>
          </cell>
          <cell r="AL136">
            <v>-31388</v>
          </cell>
          <cell r="AM136">
            <v>210</v>
          </cell>
          <cell r="AN136">
            <v>6952442</v>
          </cell>
          <cell r="AO136">
            <v>15650</v>
          </cell>
          <cell r="AP136">
            <v>15694</v>
          </cell>
          <cell r="AQ136">
            <v>68000</v>
          </cell>
          <cell r="AR136">
            <v>41000</v>
          </cell>
          <cell r="AS136">
            <v>4.33</v>
          </cell>
          <cell r="AT136">
            <v>41140000</v>
          </cell>
          <cell r="AU136">
            <v>3.76</v>
          </cell>
          <cell r="AV136">
            <v>22920484</v>
          </cell>
          <cell r="AW136">
            <v>2.61</v>
          </cell>
          <cell r="AX136">
            <v>328000</v>
          </cell>
          <cell r="AY136">
            <v>65.290000000000006</v>
          </cell>
          <cell r="AZ136">
            <v>0</v>
          </cell>
          <cell r="BA136">
            <v>388</v>
          </cell>
          <cell r="BB136">
            <v>8</v>
          </cell>
          <cell r="BC136">
            <v>396</v>
          </cell>
          <cell r="BD136">
            <v>0</v>
          </cell>
          <cell r="BE136">
            <v>0</v>
          </cell>
          <cell r="BF136">
            <v>34</v>
          </cell>
          <cell r="BG136">
            <v>0</v>
          </cell>
          <cell r="BH136">
            <v>1</v>
          </cell>
          <cell r="BI136">
            <v>14</v>
          </cell>
          <cell r="BJ136">
            <v>1</v>
          </cell>
          <cell r="BK136">
            <v>3</v>
          </cell>
          <cell r="BL136">
            <v>2</v>
          </cell>
          <cell r="BM136">
            <v>4</v>
          </cell>
          <cell r="BN136">
            <v>4</v>
          </cell>
          <cell r="BO136">
            <v>0</v>
          </cell>
          <cell r="BP136">
            <v>26</v>
          </cell>
          <cell r="BQ136">
            <v>0</v>
          </cell>
          <cell r="BR136">
            <v>3</v>
          </cell>
          <cell r="BS136">
            <v>6</v>
          </cell>
          <cell r="BT136">
            <v>7</v>
          </cell>
          <cell r="BU136">
            <v>10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6</v>
          </cell>
          <cell r="CZ136">
            <v>0</v>
          </cell>
          <cell r="DA136">
            <v>0</v>
          </cell>
          <cell r="DB136">
            <v>0</v>
          </cell>
          <cell r="DC136">
            <v>1</v>
          </cell>
          <cell r="DD136">
            <v>5</v>
          </cell>
          <cell r="DE136">
            <v>0</v>
          </cell>
          <cell r="DF136">
            <v>40</v>
          </cell>
          <cell r="DG136">
            <v>1</v>
          </cell>
          <cell r="DH136">
            <v>9</v>
          </cell>
          <cell r="DI136">
            <v>1</v>
          </cell>
          <cell r="DJ136">
            <v>12</v>
          </cell>
          <cell r="DK136">
            <v>17</v>
          </cell>
          <cell r="DL136">
            <v>0</v>
          </cell>
          <cell r="DM136">
            <v>110</v>
          </cell>
          <cell r="DN136">
            <v>14</v>
          </cell>
          <cell r="DO136">
            <v>6</v>
          </cell>
          <cell r="DP136">
            <v>18</v>
          </cell>
          <cell r="DQ136">
            <v>70</v>
          </cell>
          <cell r="DR136">
            <v>2</v>
          </cell>
          <cell r="DS136">
            <v>0</v>
          </cell>
          <cell r="DT136">
            <v>95</v>
          </cell>
          <cell r="DU136">
            <v>27</v>
          </cell>
          <cell r="DV136">
            <v>14</v>
          </cell>
          <cell r="DW136">
            <v>23</v>
          </cell>
          <cell r="DX136">
            <v>18</v>
          </cell>
          <cell r="DY136">
            <v>13</v>
          </cell>
          <cell r="DZ136">
            <v>0</v>
          </cell>
          <cell r="EA136">
            <v>92</v>
          </cell>
          <cell r="EB136">
            <v>7</v>
          </cell>
          <cell r="EC136">
            <v>64</v>
          </cell>
          <cell r="ED136">
            <v>6</v>
          </cell>
          <cell r="EE136">
            <v>11</v>
          </cell>
          <cell r="EF136">
            <v>4</v>
          </cell>
          <cell r="EG136">
            <v>0</v>
          </cell>
          <cell r="EH136">
            <v>13</v>
          </cell>
          <cell r="EI136">
            <v>3</v>
          </cell>
          <cell r="EJ136">
            <v>1</v>
          </cell>
          <cell r="EK136">
            <v>2</v>
          </cell>
          <cell r="EL136">
            <v>7</v>
          </cell>
          <cell r="EM136">
            <v>0</v>
          </cell>
          <cell r="EN136">
            <v>0</v>
          </cell>
          <cell r="EO136" t="str">
            <v xml:space="preserve">Womens Cooper Landing                                       </v>
          </cell>
        </row>
        <row r="137">
          <cell r="A137" t="str">
            <v>CN3YL6877529</v>
          </cell>
          <cell r="B137" t="str">
            <v>CN3</v>
          </cell>
          <cell r="C137" t="str">
            <v>YL6877</v>
          </cell>
          <cell r="D137">
            <v>529</v>
          </cell>
          <cell r="E137" t="str">
            <v xml:space="preserve">   </v>
          </cell>
          <cell r="F137">
            <v>80728</v>
          </cell>
          <cell r="G137">
            <v>80812</v>
          </cell>
          <cell r="H137">
            <v>0</v>
          </cell>
          <cell r="I137">
            <v>600</v>
          </cell>
          <cell r="J137">
            <v>604</v>
          </cell>
          <cell r="K137">
            <v>604</v>
          </cell>
          <cell r="L137">
            <v>498</v>
          </cell>
          <cell r="M137">
            <v>498</v>
          </cell>
          <cell r="N137">
            <v>12690000</v>
          </cell>
          <cell r="O137">
            <v>12801176</v>
          </cell>
          <cell r="P137">
            <v>12801176</v>
          </cell>
          <cell r="Q137">
            <v>10554612</v>
          </cell>
          <cell r="R137">
            <v>40959559</v>
          </cell>
          <cell r="S137" t="str">
            <v xml:space="preserve"> </v>
          </cell>
          <cell r="T137" t="str">
            <v xml:space="preserve"> </v>
          </cell>
          <cell r="U137">
            <v>604</v>
          </cell>
          <cell r="V137">
            <v>12801176</v>
          </cell>
          <cell r="W137">
            <v>498</v>
          </cell>
          <cell r="X137">
            <v>10554612</v>
          </cell>
          <cell r="Y137">
            <v>82.45</v>
          </cell>
          <cell r="Z137">
            <v>82.45</v>
          </cell>
          <cell r="AA137">
            <v>10533418</v>
          </cell>
          <cell r="AB137">
            <v>21194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106</v>
          </cell>
          <cell r="AN137">
            <v>4747456</v>
          </cell>
          <cell r="AO137">
            <v>21150</v>
          </cell>
          <cell r="AP137">
            <v>21194</v>
          </cell>
          <cell r="AQ137">
            <v>93000</v>
          </cell>
          <cell r="AR137">
            <v>0</v>
          </cell>
          <cell r="AS137">
            <v>4.3899999999999997</v>
          </cell>
          <cell r="AT137">
            <v>56172000</v>
          </cell>
          <cell r="AU137">
            <v>3.89</v>
          </cell>
          <cell r="AV137">
            <v>40952700</v>
          </cell>
          <cell r="AW137">
            <v>0.32</v>
          </cell>
          <cell r="AX137">
            <v>6859</v>
          </cell>
          <cell r="AY137">
            <v>82.45</v>
          </cell>
          <cell r="AZ137">
            <v>0</v>
          </cell>
          <cell r="BA137">
            <v>497</v>
          </cell>
          <cell r="BB137">
            <v>1</v>
          </cell>
          <cell r="BC137">
            <v>498</v>
          </cell>
          <cell r="BD137">
            <v>0</v>
          </cell>
          <cell r="BE137">
            <v>0</v>
          </cell>
          <cell r="BF137">
            <v>14</v>
          </cell>
          <cell r="BG137">
            <v>1</v>
          </cell>
          <cell r="BH137">
            <v>1</v>
          </cell>
          <cell r="BI137">
            <v>58</v>
          </cell>
          <cell r="BJ137">
            <v>37</v>
          </cell>
          <cell r="BK137">
            <v>8</v>
          </cell>
          <cell r="BL137">
            <v>4</v>
          </cell>
          <cell r="BM137">
            <v>7</v>
          </cell>
          <cell r="BN137">
            <v>2</v>
          </cell>
          <cell r="BO137">
            <v>0</v>
          </cell>
          <cell r="BP137">
            <v>12</v>
          </cell>
          <cell r="BQ137">
            <v>0</v>
          </cell>
          <cell r="BR137">
            <v>4</v>
          </cell>
          <cell r="BS137">
            <v>2</v>
          </cell>
          <cell r="BT137">
            <v>2</v>
          </cell>
          <cell r="BU137">
            <v>4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16</v>
          </cell>
          <cell r="DG137">
            <v>0</v>
          </cell>
          <cell r="DH137">
            <v>0</v>
          </cell>
          <cell r="DI137">
            <v>0</v>
          </cell>
          <cell r="DJ137">
            <v>11</v>
          </cell>
          <cell r="DK137">
            <v>5</v>
          </cell>
          <cell r="DL137">
            <v>0</v>
          </cell>
          <cell r="DM137">
            <v>202</v>
          </cell>
          <cell r="DN137">
            <v>16</v>
          </cell>
          <cell r="DO137">
            <v>15</v>
          </cell>
          <cell r="DP137">
            <v>47</v>
          </cell>
          <cell r="DQ137">
            <v>113</v>
          </cell>
          <cell r="DR137">
            <v>11</v>
          </cell>
          <cell r="DS137">
            <v>0</v>
          </cell>
          <cell r="DT137">
            <v>138</v>
          </cell>
          <cell r="DU137">
            <v>30</v>
          </cell>
          <cell r="DV137">
            <v>45</v>
          </cell>
          <cell r="DW137">
            <v>26</v>
          </cell>
          <cell r="DX137">
            <v>19</v>
          </cell>
          <cell r="DY137">
            <v>18</v>
          </cell>
          <cell r="DZ137">
            <v>0</v>
          </cell>
          <cell r="EA137">
            <v>55</v>
          </cell>
          <cell r="EB137">
            <v>11</v>
          </cell>
          <cell r="EC137">
            <v>20</v>
          </cell>
          <cell r="ED137">
            <v>16</v>
          </cell>
          <cell r="EE137">
            <v>4</v>
          </cell>
          <cell r="EF137">
            <v>4</v>
          </cell>
          <cell r="EG137">
            <v>0</v>
          </cell>
          <cell r="EH137">
            <v>17</v>
          </cell>
          <cell r="EI137">
            <v>2</v>
          </cell>
          <cell r="EJ137">
            <v>5</v>
          </cell>
          <cell r="EK137">
            <v>5</v>
          </cell>
          <cell r="EL137">
            <v>3</v>
          </cell>
          <cell r="EM137">
            <v>2</v>
          </cell>
          <cell r="EN137">
            <v>0</v>
          </cell>
          <cell r="EO137" t="str">
            <v xml:space="preserve">Womens Taunton                                              </v>
          </cell>
        </row>
        <row r="138">
          <cell r="A138" t="str">
            <v>CN3YL6877801</v>
          </cell>
          <cell r="B138" t="str">
            <v>CN3</v>
          </cell>
          <cell r="C138" t="str">
            <v>YL6877</v>
          </cell>
          <cell r="D138">
            <v>801</v>
          </cell>
          <cell r="E138" t="str">
            <v xml:space="preserve">   </v>
          </cell>
          <cell r="F138">
            <v>80728</v>
          </cell>
          <cell r="G138">
            <v>80812</v>
          </cell>
          <cell r="H138">
            <v>0</v>
          </cell>
          <cell r="I138">
            <v>500</v>
          </cell>
          <cell r="J138">
            <v>420</v>
          </cell>
          <cell r="K138">
            <v>420</v>
          </cell>
          <cell r="L138">
            <v>284</v>
          </cell>
          <cell r="M138">
            <v>284</v>
          </cell>
          <cell r="N138">
            <v>10575000</v>
          </cell>
          <cell r="O138">
            <v>8901480</v>
          </cell>
          <cell r="P138">
            <v>8901480</v>
          </cell>
          <cell r="Q138">
            <v>6019096</v>
          </cell>
          <cell r="R138">
            <v>23556309</v>
          </cell>
          <cell r="S138" t="str">
            <v xml:space="preserve"> </v>
          </cell>
          <cell r="T138" t="str">
            <v xml:space="preserve"> </v>
          </cell>
          <cell r="U138">
            <v>420</v>
          </cell>
          <cell r="V138">
            <v>8901480</v>
          </cell>
          <cell r="W138">
            <v>284</v>
          </cell>
          <cell r="X138">
            <v>6019096</v>
          </cell>
          <cell r="Y138">
            <v>67.86</v>
          </cell>
          <cell r="Z138">
            <v>67.86</v>
          </cell>
          <cell r="AA138">
            <v>5997902</v>
          </cell>
          <cell r="AB138">
            <v>21194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21194</v>
          </cell>
          <cell r="AK138">
            <v>1</v>
          </cell>
          <cell r="AL138">
            <v>21194</v>
          </cell>
          <cell r="AM138">
            <v>135</v>
          </cell>
          <cell r="AN138">
            <v>5997902</v>
          </cell>
          <cell r="AO138">
            <v>21150</v>
          </cell>
          <cell r="AP138">
            <v>21194</v>
          </cell>
          <cell r="AQ138">
            <v>93000</v>
          </cell>
          <cell r="AR138">
            <v>0</v>
          </cell>
          <cell r="AS138">
            <v>4.3899999999999997</v>
          </cell>
          <cell r="AT138">
            <v>39060000</v>
          </cell>
          <cell r="AU138">
            <v>3.93</v>
          </cell>
          <cell r="AV138">
            <v>23549450</v>
          </cell>
          <cell r="AW138">
            <v>0.32</v>
          </cell>
          <cell r="AX138">
            <v>6859</v>
          </cell>
          <cell r="AY138">
            <v>67.86</v>
          </cell>
          <cell r="AZ138">
            <v>0</v>
          </cell>
          <cell r="BA138">
            <v>283</v>
          </cell>
          <cell r="BB138">
            <v>1</v>
          </cell>
          <cell r="BC138">
            <v>284</v>
          </cell>
          <cell r="BD138">
            <v>0</v>
          </cell>
          <cell r="BE138">
            <v>0</v>
          </cell>
          <cell r="BF138">
            <v>17</v>
          </cell>
          <cell r="BG138">
            <v>0</v>
          </cell>
          <cell r="BH138">
            <v>1</v>
          </cell>
          <cell r="BI138">
            <v>12</v>
          </cell>
          <cell r="BJ138">
            <v>5</v>
          </cell>
          <cell r="BK138">
            <v>2</v>
          </cell>
          <cell r="BL138">
            <v>2</v>
          </cell>
          <cell r="BM138">
            <v>2</v>
          </cell>
          <cell r="BN138">
            <v>1</v>
          </cell>
          <cell r="BO138">
            <v>0</v>
          </cell>
          <cell r="BP138">
            <v>13</v>
          </cell>
          <cell r="BQ138">
            <v>0</v>
          </cell>
          <cell r="BR138">
            <v>3</v>
          </cell>
          <cell r="BS138">
            <v>2</v>
          </cell>
          <cell r="BT138">
            <v>4</v>
          </cell>
          <cell r="BU138">
            <v>4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20</v>
          </cell>
          <cell r="DG138">
            <v>0</v>
          </cell>
          <cell r="DH138">
            <v>0</v>
          </cell>
          <cell r="DI138">
            <v>1</v>
          </cell>
          <cell r="DJ138">
            <v>6</v>
          </cell>
          <cell r="DK138">
            <v>13</v>
          </cell>
          <cell r="DL138">
            <v>0</v>
          </cell>
          <cell r="DM138">
            <v>129</v>
          </cell>
          <cell r="DN138">
            <v>17</v>
          </cell>
          <cell r="DO138">
            <v>13</v>
          </cell>
          <cell r="DP138">
            <v>19</v>
          </cell>
          <cell r="DQ138">
            <v>78</v>
          </cell>
          <cell r="DR138">
            <v>2</v>
          </cell>
          <cell r="DS138">
            <v>0</v>
          </cell>
          <cell r="DT138">
            <v>89</v>
          </cell>
          <cell r="DU138">
            <v>16</v>
          </cell>
          <cell r="DV138">
            <v>34</v>
          </cell>
          <cell r="DW138">
            <v>18</v>
          </cell>
          <cell r="DX138">
            <v>14</v>
          </cell>
          <cell r="DY138">
            <v>7</v>
          </cell>
          <cell r="DZ138">
            <v>0</v>
          </cell>
          <cell r="EA138">
            <v>17</v>
          </cell>
          <cell r="EB138">
            <v>4</v>
          </cell>
          <cell r="EC138">
            <v>6</v>
          </cell>
          <cell r="ED138">
            <v>5</v>
          </cell>
          <cell r="EE138">
            <v>1</v>
          </cell>
          <cell r="EF138">
            <v>1</v>
          </cell>
          <cell r="EG138">
            <v>0</v>
          </cell>
          <cell r="EH138">
            <v>4</v>
          </cell>
          <cell r="EI138">
            <v>-2</v>
          </cell>
          <cell r="EJ138">
            <v>-1</v>
          </cell>
          <cell r="EK138">
            <v>3</v>
          </cell>
          <cell r="EL138">
            <v>4</v>
          </cell>
          <cell r="EM138">
            <v>0</v>
          </cell>
          <cell r="EN138">
            <v>0</v>
          </cell>
          <cell r="EO138" t="str">
            <v xml:space="preserve">Womens Taunton                                              </v>
          </cell>
        </row>
        <row r="139">
          <cell r="A139" t="str">
            <v>CN3YL8751010</v>
          </cell>
          <cell r="B139" t="str">
            <v>CN3</v>
          </cell>
          <cell r="C139" t="str">
            <v>YL8751</v>
          </cell>
          <cell r="D139">
            <v>10</v>
          </cell>
          <cell r="E139" t="str">
            <v xml:space="preserve">   </v>
          </cell>
          <cell r="F139">
            <v>80605</v>
          </cell>
          <cell r="G139">
            <v>80805</v>
          </cell>
          <cell r="H139">
            <v>90226</v>
          </cell>
          <cell r="I139">
            <v>0</v>
          </cell>
          <cell r="J139">
            <v>1161</v>
          </cell>
          <cell r="K139">
            <v>1066</v>
          </cell>
          <cell r="L139">
            <v>1072</v>
          </cell>
          <cell r="M139">
            <v>1072</v>
          </cell>
          <cell r="N139">
            <v>0</v>
          </cell>
          <cell r="O139">
            <v>52228746</v>
          </cell>
          <cell r="P139">
            <v>47955076</v>
          </cell>
          <cell r="Q139">
            <v>48224992</v>
          </cell>
          <cell r="R139">
            <v>162073305</v>
          </cell>
          <cell r="S139" t="str">
            <v>*</v>
          </cell>
          <cell r="T139" t="str">
            <v>C</v>
          </cell>
          <cell r="U139">
            <v>1161</v>
          </cell>
          <cell r="V139">
            <v>52228746</v>
          </cell>
          <cell r="W139">
            <v>1072</v>
          </cell>
          <cell r="X139">
            <v>48224992</v>
          </cell>
          <cell r="Y139">
            <v>91.82</v>
          </cell>
          <cell r="Z139">
            <v>91.39</v>
          </cell>
          <cell r="AA139">
            <v>27801348</v>
          </cell>
          <cell r="AB139">
            <v>20423644</v>
          </cell>
          <cell r="AC139">
            <v>93</v>
          </cell>
          <cell r="AD139">
            <v>4543586</v>
          </cell>
          <cell r="AE139">
            <v>0</v>
          </cell>
          <cell r="AF139">
            <v>0</v>
          </cell>
          <cell r="AG139">
            <v>2</v>
          </cell>
          <cell r="AH139">
            <v>179944</v>
          </cell>
          <cell r="AI139">
            <v>0</v>
          </cell>
          <cell r="AJ139">
            <v>0</v>
          </cell>
          <cell r="AK139">
            <v>-6</v>
          </cell>
          <cell r="AL139">
            <v>-494846</v>
          </cell>
          <cell r="AM139">
            <v>0</v>
          </cell>
          <cell r="AN139">
            <v>25372104</v>
          </cell>
          <cell r="AO139">
            <v>47590</v>
          </cell>
          <cell r="AP139">
            <v>44986</v>
          </cell>
          <cell r="AQ139">
            <v>198000</v>
          </cell>
          <cell r="AR139">
            <v>119000</v>
          </cell>
          <cell r="AS139">
            <v>4.4000000000000004</v>
          </cell>
          <cell r="AT139">
            <v>229878000</v>
          </cell>
          <cell r="AU139">
            <v>3.9</v>
          </cell>
          <cell r="AV139">
            <v>108495869</v>
          </cell>
          <cell r="AW139">
            <v>2.62</v>
          </cell>
          <cell r="AX139">
            <v>53577436</v>
          </cell>
          <cell r="AY139">
            <v>91.82</v>
          </cell>
          <cell r="AZ139">
            <v>0</v>
          </cell>
          <cell r="BA139">
            <v>618</v>
          </cell>
          <cell r="BB139">
            <v>454</v>
          </cell>
          <cell r="BC139">
            <v>630</v>
          </cell>
          <cell r="BD139">
            <v>442</v>
          </cell>
          <cell r="BE139">
            <v>0</v>
          </cell>
          <cell r="BF139">
            <v>494</v>
          </cell>
          <cell r="BG139">
            <v>1</v>
          </cell>
          <cell r="BH139">
            <v>1</v>
          </cell>
          <cell r="BI139">
            <v>20</v>
          </cell>
          <cell r="BJ139">
            <v>2</v>
          </cell>
          <cell r="BK139">
            <v>4</v>
          </cell>
          <cell r="BL139">
            <v>7</v>
          </cell>
          <cell r="BM139">
            <v>2</v>
          </cell>
          <cell r="BN139">
            <v>5</v>
          </cell>
          <cell r="BO139">
            <v>0</v>
          </cell>
          <cell r="BP139">
            <v>480</v>
          </cell>
          <cell r="BQ139">
            <v>1</v>
          </cell>
          <cell r="BR139">
            <v>13</v>
          </cell>
          <cell r="BS139">
            <v>6</v>
          </cell>
          <cell r="BT139">
            <v>8</v>
          </cell>
          <cell r="BU139">
            <v>452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-38</v>
          </cell>
          <cell r="CS139">
            <v>0</v>
          </cell>
          <cell r="CT139">
            <v>-36</v>
          </cell>
          <cell r="CU139">
            <v>-2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73</v>
          </cell>
          <cell r="DG139">
            <v>0</v>
          </cell>
          <cell r="DH139">
            <v>6</v>
          </cell>
          <cell r="DI139">
            <v>19</v>
          </cell>
          <cell r="DJ139">
            <v>24</v>
          </cell>
          <cell r="DK139">
            <v>24</v>
          </cell>
          <cell r="DL139">
            <v>0</v>
          </cell>
          <cell r="DM139">
            <v>239</v>
          </cell>
          <cell r="DN139">
            <v>22</v>
          </cell>
          <cell r="DO139">
            <v>13</v>
          </cell>
          <cell r="DP139">
            <v>37</v>
          </cell>
          <cell r="DQ139">
            <v>160</v>
          </cell>
          <cell r="DR139">
            <v>7</v>
          </cell>
          <cell r="DS139">
            <v>0</v>
          </cell>
          <cell r="DT139">
            <v>181</v>
          </cell>
          <cell r="DU139">
            <v>33</v>
          </cell>
          <cell r="DV139">
            <v>55</v>
          </cell>
          <cell r="DW139">
            <v>35</v>
          </cell>
          <cell r="DX139">
            <v>38</v>
          </cell>
          <cell r="DY139">
            <v>20</v>
          </cell>
          <cell r="DZ139">
            <v>0</v>
          </cell>
          <cell r="EA139">
            <v>99</v>
          </cell>
          <cell r="EB139">
            <v>21</v>
          </cell>
          <cell r="EC139">
            <v>62</v>
          </cell>
          <cell r="ED139">
            <v>9</v>
          </cell>
          <cell r="EE139">
            <v>7</v>
          </cell>
          <cell r="EF139">
            <v>0</v>
          </cell>
          <cell r="EG139">
            <v>0</v>
          </cell>
          <cell r="EH139">
            <v>18</v>
          </cell>
          <cell r="EI139">
            <v>-1</v>
          </cell>
          <cell r="EJ139">
            <v>8</v>
          </cell>
          <cell r="EK139">
            <v>3</v>
          </cell>
          <cell r="EL139">
            <v>4</v>
          </cell>
          <cell r="EM139">
            <v>4</v>
          </cell>
          <cell r="EN139">
            <v>0</v>
          </cell>
          <cell r="EO139" t="str">
            <v xml:space="preserve"> 쉘러　６１６８８                                           </v>
          </cell>
        </row>
        <row r="140">
          <cell r="A140" t="str">
            <v>CN3YL8751028</v>
          </cell>
          <cell r="B140" t="str">
            <v>CN3</v>
          </cell>
          <cell r="C140" t="str">
            <v>YL8751</v>
          </cell>
          <cell r="D140">
            <v>28</v>
          </cell>
          <cell r="E140" t="str">
            <v xml:space="preserve">   </v>
          </cell>
          <cell r="F140">
            <v>80605</v>
          </cell>
          <cell r="G140">
            <v>80805</v>
          </cell>
          <cell r="H140">
            <v>90226</v>
          </cell>
          <cell r="I140">
            <v>0</v>
          </cell>
          <cell r="J140">
            <v>666</v>
          </cell>
          <cell r="K140">
            <v>261</v>
          </cell>
          <cell r="L140">
            <v>258</v>
          </cell>
          <cell r="M140">
            <v>258</v>
          </cell>
          <cell r="N140">
            <v>0</v>
          </cell>
          <cell r="O140">
            <v>29960676</v>
          </cell>
          <cell r="P140">
            <v>11741346</v>
          </cell>
          <cell r="Q140">
            <v>11606388</v>
          </cell>
          <cell r="R140">
            <v>37055848</v>
          </cell>
          <cell r="S140" t="str">
            <v>*</v>
          </cell>
          <cell r="T140" t="str">
            <v>C</v>
          </cell>
          <cell r="U140">
            <v>666</v>
          </cell>
          <cell r="V140">
            <v>29960676</v>
          </cell>
          <cell r="W140">
            <v>258</v>
          </cell>
          <cell r="X140">
            <v>11606388</v>
          </cell>
          <cell r="Y140">
            <v>38.590000000000003</v>
          </cell>
          <cell r="Z140">
            <v>38.29</v>
          </cell>
          <cell r="AA140">
            <v>5128404</v>
          </cell>
          <cell r="AB140">
            <v>6477984</v>
          </cell>
          <cell r="AC140">
            <v>405</v>
          </cell>
          <cell r="AD140">
            <v>18804148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-1</v>
          </cell>
          <cell r="AL140">
            <v>-134958</v>
          </cell>
          <cell r="AM140">
            <v>4</v>
          </cell>
          <cell r="AN140">
            <v>24472384</v>
          </cell>
          <cell r="AO140">
            <v>47590</v>
          </cell>
          <cell r="AP140">
            <v>44986</v>
          </cell>
          <cell r="AQ140">
            <v>198000</v>
          </cell>
          <cell r="AR140">
            <v>119000</v>
          </cell>
          <cell r="AS140">
            <v>4.4000000000000004</v>
          </cell>
          <cell r="AT140">
            <v>131868000</v>
          </cell>
          <cell r="AU140">
            <v>3.95</v>
          </cell>
          <cell r="AV140">
            <v>20256271</v>
          </cell>
          <cell r="AW140">
            <v>2.59</v>
          </cell>
          <cell r="AX140">
            <v>16799577</v>
          </cell>
          <cell r="AY140">
            <v>38.590000000000003</v>
          </cell>
          <cell r="AZ140">
            <v>0</v>
          </cell>
          <cell r="BA140">
            <v>114</v>
          </cell>
          <cell r="BB140">
            <v>144</v>
          </cell>
          <cell r="BC140">
            <v>116</v>
          </cell>
          <cell r="BD140">
            <v>142</v>
          </cell>
          <cell r="BE140">
            <v>0</v>
          </cell>
          <cell r="BF140">
            <v>169</v>
          </cell>
          <cell r="BG140">
            <v>0</v>
          </cell>
          <cell r="BH140">
            <v>1</v>
          </cell>
          <cell r="BI140">
            <v>5</v>
          </cell>
          <cell r="BJ140">
            <v>0</v>
          </cell>
          <cell r="BK140">
            <v>3</v>
          </cell>
          <cell r="BL140">
            <v>2</v>
          </cell>
          <cell r="BM140">
            <v>-2</v>
          </cell>
          <cell r="BN140">
            <v>2</v>
          </cell>
          <cell r="BO140">
            <v>0</v>
          </cell>
          <cell r="BP140">
            <v>143</v>
          </cell>
          <cell r="BQ140">
            <v>0</v>
          </cell>
          <cell r="BR140">
            <v>0</v>
          </cell>
          <cell r="BS140">
            <v>1</v>
          </cell>
          <cell r="BT140">
            <v>2</v>
          </cell>
          <cell r="BU140">
            <v>140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-5</v>
          </cell>
          <cell r="CS140">
            <v>0</v>
          </cell>
          <cell r="CT140">
            <v>-6</v>
          </cell>
          <cell r="CU140">
            <v>2</v>
          </cell>
          <cell r="CV140">
            <v>0</v>
          </cell>
          <cell r="CW140">
            <v>0</v>
          </cell>
          <cell r="CX140">
            <v>-1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11</v>
          </cell>
          <cell r="DG140">
            <v>0</v>
          </cell>
          <cell r="DH140">
            <v>2</v>
          </cell>
          <cell r="DI140">
            <v>1</v>
          </cell>
          <cell r="DJ140">
            <v>2</v>
          </cell>
          <cell r="DK140">
            <v>6</v>
          </cell>
          <cell r="DL140">
            <v>0</v>
          </cell>
          <cell r="DM140">
            <v>49</v>
          </cell>
          <cell r="DN140">
            <v>2</v>
          </cell>
          <cell r="DO140">
            <v>4</v>
          </cell>
          <cell r="DP140">
            <v>9</v>
          </cell>
          <cell r="DQ140">
            <v>32</v>
          </cell>
          <cell r="DR140">
            <v>2</v>
          </cell>
          <cell r="DS140">
            <v>0</v>
          </cell>
          <cell r="DT140">
            <v>45</v>
          </cell>
          <cell r="DU140">
            <v>6</v>
          </cell>
          <cell r="DV140">
            <v>17</v>
          </cell>
          <cell r="DW140">
            <v>10</v>
          </cell>
          <cell r="DX140">
            <v>5</v>
          </cell>
          <cell r="DY140">
            <v>7</v>
          </cell>
          <cell r="DZ140">
            <v>0</v>
          </cell>
          <cell r="EA140">
            <v>3</v>
          </cell>
          <cell r="EB140">
            <v>-1</v>
          </cell>
          <cell r="EC140">
            <v>4</v>
          </cell>
          <cell r="ED140">
            <v>2</v>
          </cell>
          <cell r="EE140">
            <v>-1</v>
          </cell>
          <cell r="EF140">
            <v>-1</v>
          </cell>
          <cell r="EG140">
            <v>0</v>
          </cell>
          <cell r="EH140">
            <v>7</v>
          </cell>
          <cell r="EI140">
            <v>0</v>
          </cell>
          <cell r="EJ140">
            <v>5</v>
          </cell>
          <cell r="EK140">
            <v>1</v>
          </cell>
          <cell r="EL140">
            <v>1</v>
          </cell>
          <cell r="EM140">
            <v>0</v>
          </cell>
          <cell r="EN140">
            <v>0</v>
          </cell>
          <cell r="EO140" t="str">
            <v xml:space="preserve"> 쉘러　６１６８８                                           </v>
          </cell>
        </row>
        <row r="141">
          <cell r="A141" t="str">
            <v>CN3YL8751094</v>
          </cell>
          <cell r="B141" t="str">
            <v>CN3</v>
          </cell>
          <cell r="C141" t="str">
            <v>YL8751</v>
          </cell>
          <cell r="D141">
            <v>94</v>
          </cell>
          <cell r="E141" t="str">
            <v xml:space="preserve">   </v>
          </cell>
          <cell r="F141">
            <v>80607</v>
          </cell>
          <cell r="G141">
            <v>80814</v>
          </cell>
          <cell r="H141">
            <v>90226</v>
          </cell>
          <cell r="I141">
            <v>0</v>
          </cell>
          <cell r="J141">
            <v>388</v>
          </cell>
          <cell r="K141">
            <v>267</v>
          </cell>
          <cell r="L141">
            <v>200</v>
          </cell>
          <cell r="M141">
            <v>200</v>
          </cell>
          <cell r="N141">
            <v>0</v>
          </cell>
          <cell r="O141">
            <v>17454568</v>
          </cell>
          <cell r="P141">
            <v>12011262</v>
          </cell>
          <cell r="Q141">
            <v>8997200</v>
          </cell>
          <cell r="R141">
            <v>28904158</v>
          </cell>
          <cell r="S141" t="str">
            <v>*</v>
          </cell>
          <cell r="T141" t="str">
            <v>C</v>
          </cell>
          <cell r="U141">
            <v>388</v>
          </cell>
          <cell r="V141">
            <v>17454568</v>
          </cell>
          <cell r="W141">
            <v>200</v>
          </cell>
          <cell r="X141">
            <v>8997200</v>
          </cell>
          <cell r="Y141">
            <v>52.32</v>
          </cell>
          <cell r="Z141">
            <v>53.09</v>
          </cell>
          <cell r="AA141">
            <v>3868796</v>
          </cell>
          <cell r="AB141">
            <v>5128404</v>
          </cell>
          <cell r="AC141">
            <v>121</v>
          </cell>
          <cell r="AD141">
            <v>5803194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3</v>
          </cell>
          <cell r="AL141">
            <v>269916</v>
          </cell>
          <cell r="AM141">
            <v>64</v>
          </cell>
          <cell r="AN141">
            <v>15970030</v>
          </cell>
          <cell r="AO141">
            <v>47590</v>
          </cell>
          <cell r="AP141">
            <v>44986</v>
          </cell>
          <cell r="AQ141">
            <v>198000</v>
          </cell>
          <cell r="AR141">
            <v>119000</v>
          </cell>
          <cell r="AS141">
            <v>4.4000000000000004</v>
          </cell>
          <cell r="AT141">
            <v>76824000</v>
          </cell>
          <cell r="AU141">
            <v>3.96</v>
          </cell>
          <cell r="AV141">
            <v>15338158</v>
          </cell>
          <cell r="AW141">
            <v>2.65</v>
          </cell>
          <cell r="AX141">
            <v>13566000</v>
          </cell>
          <cell r="AY141">
            <v>52.32</v>
          </cell>
          <cell r="AZ141">
            <v>0</v>
          </cell>
          <cell r="BA141">
            <v>86</v>
          </cell>
          <cell r="BB141">
            <v>114</v>
          </cell>
          <cell r="BC141">
            <v>90</v>
          </cell>
          <cell r="BD141">
            <v>110</v>
          </cell>
          <cell r="BE141">
            <v>0</v>
          </cell>
          <cell r="BF141">
            <v>124</v>
          </cell>
          <cell r="BG141">
            <v>0</v>
          </cell>
          <cell r="BH141">
            <v>1</v>
          </cell>
          <cell r="BI141">
            <v>2</v>
          </cell>
          <cell r="BJ141">
            <v>-1</v>
          </cell>
          <cell r="BK141">
            <v>0</v>
          </cell>
          <cell r="BL141">
            <v>1</v>
          </cell>
          <cell r="BM141">
            <v>1</v>
          </cell>
          <cell r="BN141">
            <v>1</v>
          </cell>
          <cell r="BO141">
            <v>0</v>
          </cell>
          <cell r="BP141">
            <v>114</v>
          </cell>
          <cell r="BQ141">
            <v>1</v>
          </cell>
          <cell r="BR141">
            <v>1</v>
          </cell>
          <cell r="BS141">
            <v>0</v>
          </cell>
          <cell r="BT141">
            <v>-1</v>
          </cell>
          <cell r="BU141">
            <v>113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-5</v>
          </cell>
          <cell r="CS141">
            <v>0</v>
          </cell>
          <cell r="CT141">
            <v>-6</v>
          </cell>
          <cell r="CU141">
            <v>0</v>
          </cell>
          <cell r="CV141">
            <v>0</v>
          </cell>
          <cell r="CW141">
            <v>0</v>
          </cell>
          <cell r="CX141">
            <v>1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12</v>
          </cell>
          <cell r="DG141">
            <v>0</v>
          </cell>
          <cell r="DH141">
            <v>-1</v>
          </cell>
          <cell r="DI141">
            <v>5</v>
          </cell>
          <cell r="DJ141">
            <v>6</v>
          </cell>
          <cell r="DK141">
            <v>2</v>
          </cell>
          <cell r="DL141">
            <v>0</v>
          </cell>
          <cell r="DM141">
            <v>26</v>
          </cell>
          <cell r="DN141">
            <v>2</v>
          </cell>
          <cell r="DO141">
            <v>1</v>
          </cell>
          <cell r="DP141">
            <v>2</v>
          </cell>
          <cell r="DQ141">
            <v>22</v>
          </cell>
          <cell r="DR141">
            <v>-1</v>
          </cell>
          <cell r="DS141">
            <v>0</v>
          </cell>
          <cell r="DT141">
            <v>31</v>
          </cell>
          <cell r="DU141">
            <v>6</v>
          </cell>
          <cell r="DV141">
            <v>8</v>
          </cell>
          <cell r="DW141">
            <v>3</v>
          </cell>
          <cell r="DX141">
            <v>10</v>
          </cell>
          <cell r="DY141">
            <v>4</v>
          </cell>
          <cell r="DZ141">
            <v>0</v>
          </cell>
          <cell r="EA141">
            <v>16</v>
          </cell>
          <cell r="EB141">
            <v>2</v>
          </cell>
          <cell r="EC141">
            <v>10</v>
          </cell>
          <cell r="ED141">
            <v>2</v>
          </cell>
          <cell r="EE141">
            <v>0</v>
          </cell>
          <cell r="EF141">
            <v>2</v>
          </cell>
          <cell r="EG141">
            <v>0</v>
          </cell>
          <cell r="EH141">
            <v>4</v>
          </cell>
          <cell r="EI141">
            <v>1</v>
          </cell>
          <cell r="EJ141">
            <v>-2</v>
          </cell>
          <cell r="EK141">
            <v>0</v>
          </cell>
          <cell r="EL141">
            <v>3</v>
          </cell>
          <cell r="EM141">
            <v>2</v>
          </cell>
          <cell r="EN141">
            <v>0</v>
          </cell>
          <cell r="EO141" t="str">
            <v xml:space="preserve"> 쉘러　６１６８８                                           </v>
          </cell>
        </row>
        <row r="142">
          <cell r="A142" t="str">
            <v>CN3YL8756010</v>
          </cell>
          <cell r="B142" t="str">
            <v>CN3</v>
          </cell>
          <cell r="C142" t="str">
            <v>YL8756</v>
          </cell>
          <cell r="D142">
            <v>10</v>
          </cell>
          <cell r="E142" t="str">
            <v xml:space="preserve">   </v>
          </cell>
          <cell r="F142">
            <v>80903</v>
          </cell>
          <cell r="G142">
            <v>80904</v>
          </cell>
          <cell r="H142">
            <v>81114</v>
          </cell>
          <cell r="I142">
            <v>0</v>
          </cell>
          <cell r="J142">
            <v>651</v>
          </cell>
          <cell r="K142">
            <v>642</v>
          </cell>
          <cell r="L142">
            <v>278</v>
          </cell>
          <cell r="M142">
            <v>278</v>
          </cell>
          <cell r="N142">
            <v>0</v>
          </cell>
          <cell r="O142">
            <v>30674469</v>
          </cell>
          <cell r="P142">
            <v>30250398</v>
          </cell>
          <cell r="Q142">
            <v>13099082</v>
          </cell>
          <cell r="R142">
            <v>41891469</v>
          </cell>
          <cell r="S142" t="str">
            <v>*</v>
          </cell>
          <cell r="T142" t="str">
            <v>C</v>
          </cell>
          <cell r="U142">
            <v>651</v>
          </cell>
          <cell r="V142">
            <v>30674469</v>
          </cell>
          <cell r="W142">
            <v>278</v>
          </cell>
          <cell r="X142">
            <v>13099082</v>
          </cell>
          <cell r="Y142">
            <v>42.7</v>
          </cell>
          <cell r="Z142">
            <v>42.7</v>
          </cell>
          <cell r="AA142">
            <v>4287829</v>
          </cell>
          <cell r="AB142">
            <v>8811253</v>
          </cell>
          <cell r="AC142">
            <v>9</v>
          </cell>
          <cell r="AD142">
            <v>2355950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364</v>
          </cell>
          <cell r="AN142">
            <v>35150774</v>
          </cell>
          <cell r="AO142">
            <v>45690</v>
          </cell>
          <cell r="AP142">
            <v>47119</v>
          </cell>
          <cell r="AQ142">
            <v>218000</v>
          </cell>
          <cell r="AR142">
            <v>130000</v>
          </cell>
          <cell r="AS142">
            <v>4.63</v>
          </cell>
          <cell r="AT142">
            <v>141918000</v>
          </cell>
          <cell r="AU142">
            <v>4.13</v>
          </cell>
          <cell r="AV142">
            <v>17697000</v>
          </cell>
          <cell r="AW142">
            <v>2.75</v>
          </cell>
          <cell r="AX142">
            <v>24194469</v>
          </cell>
          <cell r="AY142">
            <v>42.7</v>
          </cell>
          <cell r="AZ142">
            <v>0</v>
          </cell>
          <cell r="BA142">
            <v>91</v>
          </cell>
          <cell r="BB142">
            <v>187</v>
          </cell>
          <cell r="BC142">
            <v>278</v>
          </cell>
          <cell r="BD142">
            <v>0</v>
          </cell>
          <cell r="BE142">
            <v>0</v>
          </cell>
          <cell r="BF142">
            <v>62</v>
          </cell>
          <cell r="BG142">
            <v>1</v>
          </cell>
          <cell r="BH142">
            <v>1</v>
          </cell>
          <cell r="BI142">
            <v>39</v>
          </cell>
          <cell r="BJ142">
            <v>6</v>
          </cell>
          <cell r="BK142">
            <v>11</v>
          </cell>
          <cell r="BL142">
            <v>9</v>
          </cell>
          <cell r="BM142">
            <v>5</v>
          </cell>
          <cell r="BN142">
            <v>8</v>
          </cell>
          <cell r="BO142">
            <v>0</v>
          </cell>
          <cell r="BP142">
            <v>50</v>
          </cell>
          <cell r="BQ142">
            <v>2</v>
          </cell>
          <cell r="BR142">
            <v>13</v>
          </cell>
          <cell r="BS142">
            <v>18</v>
          </cell>
          <cell r="BT142">
            <v>11</v>
          </cell>
          <cell r="BU142">
            <v>6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41</v>
          </cell>
          <cell r="DN142">
            <v>1</v>
          </cell>
          <cell r="DO142">
            <v>4</v>
          </cell>
          <cell r="DP142">
            <v>7</v>
          </cell>
          <cell r="DQ142">
            <v>30</v>
          </cell>
          <cell r="DR142">
            <v>-1</v>
          </cell>
          <cell r="DS142">
            <v>0</v>
          </cell>
          <cell r="DT142">
            <v>41</v>
          </cell>
          <cell r="DU142">
            <v>11</v>
          </cell>
          <cell r="DV142">
            <v>10</v>
          </cell>
          <cell r="DW142">
            <v>8</v>
          </cell>
          <cell r="DX142">
            <v>7</v>
          </cell>
          <cell r="DY142">
            <v>5</v>
          </cell>
          <cell r="DZ142">
            <v>0</v>
          </cell>
          <cell r="EA142">
            <v>65</v>
          </cell>
          <cell r="EB142">
            <v>2</v>
          </cell>
          <cell r="EC142">
            <v>6</v>
          </cell>
          <cell r="ED142">
            <v>20</v>
          </cell>
          <cell r="EE142">
            <v>22</v>
          </cell>
          <cell r="EF142">
            <v>15</v>
          </cell>
          <cell r="EG142">
            <v>0</v>
          </cell>
          <cell r="EH142">
            <v>42</v>
          </cell>
          <cell r="EI142">
            <v>11</v>
          </cell>
          <cell r="EJ142">
            <v>12</v>
          </cell>
          <cell r="EK142">
            <v>10</v>
          </cell>
          <cell r="EL142">
            <v>7</v>
          </cell>
          <cell r="EM142">
            <v>2</v>
          </cell>
          <cell r="EN142">
            <v>0</v>
          </cell>
          <cell r="EO142" t="str">
            <v xml:space="preserve"> 쉘러　６１６８８카고팬츠                                   </v>
          </cell>
        </row>
        <row r="143">
          <cell r="A143" t="str">
            <v>CN3YL8756028</v>
          </cell>
          <cell r="B143" t="str">
            <v>CN3</v>
          </cell>
          <cell r="C143" t="str">
            <v>YL8756</v>
          </cell>
          <cell r="D143">
            <v>28</v>
          </cell>
          <cell r="E143" t="str">
            <v xml:space="preserve">   </v>
          </cell>
          <cell r="F143">
            <v>80903</v>
          </cell>
          <cell r="G143">
            <v>80904</v>
          </cell>
          <cell r="H143">
            <v>81114</v>
          </cell>
          <cell r="I143">
            <v>0</v>
          </cell>
          <cell r="J143">
            <v>606</v>
          </cell>
          <cell r="K143">
            <v>596</v>
          </cell>
          <cell r="L143">
            <v>95</v>
          </cell>
          <cell r="M143">
            <v>95</v>
          </cell>
          <cell r="N143">
            <v>0</v>
          </cell>
          <cell r="O143">
            <v>28554114</v>
          </cell>
          <cell r="P143">
            <v>28082924</v>
          </cell>
          <cell r="Q143">
            <v>4476305</v>
          </cell>
          <cell r="R143">
            <v>14866557</v>
          </cell>
          <cell r="S143" t="str">
            <v>*</v>
          </cell>
          <cell r="T143" t="str">
            <v>C</v>
          </cell>
          <cell r="U143">
            <v>606</v>
          </cell>
          <cell r="V143">
            <v>28554114</v>
          </cell>
          <cell r="W143">
            <v>95</v>
          </cell>
          <cell r="X143">
            <v>4476305</v>
          </cell>
          <cell r="Y143">
            <v>15.68</v>
          </cell>
          <cell r="Z143">
            <v>15.68</v>
          </cell>
          <cell r="AA143">
            <v>1790522</v>
          </cell>
          <cell r="AB143">
            <v>2685783</v>
          </cell>
          <cell r="AC143">
            <v>10</v>
          </cell>
          <cell r="AD143">
            <v>2732902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501</v>
          </cell>
          <cell r="AN143">
            <v>46459334</v>
          </cell>
          <cell r="AO143">
            <v>45690</v>
          </cell>
          <cell r="AP143">
            <v>47119</v>
          </cell>
          <cell r="AQ143">
            <v>218000</v>
          </cell>
          <cell r="AR143">
            <v>130000</v>
          </cell>
          <cell r="AS143">
            <v>4.63</v>
          </cell>
          <cell r="AT143">
            <v>132108000</v>
          </cell>
          <cell r="AU143">
            <v>4.2300000000000004</v>
          </cell>
          <cell r="AV143">
            <v>7572088</v>
          </cell>
          <cell r="AW143">
            <v>2.72</v>
          </cell>
          <cell r="AX143">
            <v>7294469</v>
          </cell>
          <cell r="AY143">
            <v>15.68</v>
          </cell>
          <cell r="AZ143">
            <v>0</v>
          </cell>
          <cell r="BA143">
            <v>38</v>
          </cell>
          <cell r="BB143">
            <v>57</v>
          </cell>
          <cell r="BC143">
            <v>95</v>
          </cell>
          <cell r="BD143">
            <v>0</v>
          </cell>
          <cell r="BE143">
            <v>0</v>
          </cell>
          <cell r="BF143">
            <v>26</v>
          </cell>
          <cell r="BG143">
            <v>0</v>
          </cell>
          <cell r="BH143">
            <v>1</v>
          </cell>
          <cell r="BI143">
            <v>4</v>
          </cell>
          <cell r="BJ143">
            <v>0</v>
          </cell>
          <cell r="BK143">
            <v>2</v>
          </cell>
          <cell r="BL143">
            <v>1</v>
          </cell>
          <cell r="BM143">
            <v>2</v>
          </cell>
          <cell r="BN143">
            <v>-1</v>
          </cell>
          <cell r="BO143">
            <v>0</v>
          </cell>
          <cell r="BP143">
            <v>22</v>
          </cell>
          <cell r="BQ143">
            <v>1</v>
          </cell>
          <cell r="BR143">
            <v>6</v>
          </cell>
          <cell r="BS143">
            <v>7</v>
          </cell>
          <cell r="BT143">
            <v>5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21</v>
          </cell>
          <cell r="DN143">
            <v>-1</v>
          </cell>
          <cell r="DO143">
            <v>4</v>
          </cell>
          <cell r="DP143">
            <v>3</v>
          </cell>
          <cell r="DQ143">
            <v>13</v>
          </cell>
          <cell r="DR143">
            <v>2</v>
          </cell>
          <cell r="DS143">
            <v>0</v>
          </cell>
          <cell r="DT143">
            <v>13</v>
          </cell>
          <cell r="DU143">
            <v>3</v>
          </cell>
          <cell r="DV143">
            <v>2</v>
          </cell>
          <cell r="DW143">
            <v>6</v>
          </cell>
          <cell r="DX143">
            <v>2</v>
          </cell>
          <cell r="DY143">
            <v>0</v>
          </cell>
          <cell r="DZ143">
            <v>0</v>
          </cell>
          <cell r="EA143">
            <v>22</v>
          </cell>
          <cell r="EB143">
            <v>1</v>
          </cell>
          <cell r="EC143">
            <v>3</v>
          </cell>
          <cell r="ED143">
            <v>3</v>
          </cell>
          <cell r="EE143">
            <v>9</v>
          </cell>
          <cell r="EF143">
            <v>6</v>
          </cell>
          <cell r="EG143">
            <v>0</v>
          </cell>
          <cell r="EH143">
            <v>13</v>
          </cell>
          <cell r="EI143">
            <v>1</v>
          </cell>
          <cell r="EJ143">
            <v>9</v>
          </cell>
          <cell r="EK143">
            <v>3</v>
          </cell>
          <cell r="EL143">
            <v>-1</v>
          </cell>
          <cell r="EM143">
            <v>1</v>
          </cell>
          <cell r="EN143">
            <v>0</v>
          </cell>
          <cell r="EO143" t="str">
            <v xml:space="preserve"> 쉘러　６１６８８카고팬츠                                   </v>
          </cell>
        </row>
        <row r="144">
          <cell r="A144" t="str">
            <v>CN3YL8806010</v>
          </cell>
          <cell r="B144" t="str">
            <v>CN3</v>
          </cell>
          <cell r="C144" t="str">
            <v>YL8806</v>
          </cell>
          <cell r="D144">
            <v>10</v>
          </cell>
          <cell r="E144" t="str">
            <v xml:space="preserve">   </v>
          </cell>
          <cell r="F144">
            <v>80717</v>
          </cell>
          <cell r="G144">
            <v>80809</v>
          </cell>
          <cell r="H144">
            <v>80808</v>
          </cell>
          <cell r="I144">
            <v>0</v>
          </cell>
          <cell r="J144">
            <v>572</v>
          </cell>
          <cell r="K144">
            <v>572</v>
          </cell>
          <cell r="L144">
            <v>510</v>
          </cell>
          <cell r="M144">
            <v>510</v>
          </cell>
          <cell r="N144">
            <v>0</v>
          </cell>
          <cell r="O144">
            <v>15487472</v>
          </cell>
          <cell r="P144">
            <v>15487472</v>
          </cell>
          <cell r="Q144">
            <v>13808760</v>
          </cell>
          <cell r="R144">
            <v>43516245</v>
          </cell>
          <cell r="S144" t="str">
            <v>*</v>
          </cell>
          <cell r="T144" t="str">
            <v>C</v>
          </cell>
          <cell r="U144">
            <v>572</v>
          </cell>
          <cell r="V144">
            <v>15487472</v>
          </cell>
          <cell r="W144">
            <v>510</v>
          </cell>
          <cell r="X144">
            <v>13808760</v>
          </cell>
          <cell r="Y144">
            <v>89.16</v>
          </cell>
          <cell r="Z144">
            <v>89.16</v>
          </cell>
          <cell r="AA144">
            <v>-947660</v>
          </cell>
          <cell r="AB144">
            <v>14756420</v>
          </cell>
          <cell r="AC144">
            <v>0</v>
          </cell>
          <cell r="AD144">
            <v>135380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62</v>
          </cell>
          <cell r="AN144">
            <v>3438652</v>
          </cell>
          <cell r="AO144">
            <v>27050</v>
          </cell>
          <cell r="AP144">
            <v>27076</v>
          </cell>
          <cell r="AQ144">
            <v>155000</v>
          </cell>
          <cell r="AR144">
            <v>93000</v>
          </cell>
          <cell r="AS144">
            <v>5.72</v>
          </cell>
          <cell r="AT144">
            <v>88660000</v>
          </cell>
          <cell r="AU144">
            <v>5.72</v>
          </cell>
          <cell r="AV144">
            <v>-5425000</v>
          </cell>
          <cell r="AW144">
            <v>3.32</v>
          </cell>
          <cell r="AX144">
            <v>48941245</v>
          </cell>
          <cell r="AY144">
            <v>89.16</v>
          </cell>
          <cell r="AZ144">
            <v>0</v>
          </cell>
          <cell r="BA144">
            <v>-35</v>
          </cell>
          <cell r="BB144">
            <v>545</v>
          </cell>
          <cell r="BC144">
            <v>510</v>
          </cell>
          <cell r="BD144">
            <v>0</v>
          </cell>
          <cell r="BE144">
            <v>0</v>
          </cell>
          <cell r="BF144">
            <v>36</v>
          </cell>
          <cell r="BG144">
            <v>1</v>
          </cell>
          <cell r="BH144">
            <v>1</v>
          </cell>
          <cell r="BI144">
            <v>-4</v>
          </cell>
          <cell r="BJ144">
            <v>1</v>
          </cell>
          <cell r="BK144">
            <v>-1</v>
          </cell>
          <cell r="BL144">
            <v>-4</v>
          </cell>
          <cell r="BM144">
            <v>0</v>
          </cell>
          <cell r="BN144">
            <v>0</v>
          </cell>
          <cell r="BO144">
            <v>0</v>
          </cell>
          <cell r="BP144">
            <v>8</v>
          </cell>
          <cell r="BQ144">
            <v>0</v>
          </cell>
          <cell r="BR144">
            <v>-2</v>
          </cell>
          <cell r="BS144">
            <v>2</v>
          </cell>
          <cell r="BT144">
            <v>3</v>
          </cell>
          <cell r="BU144">
            <v>5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-32</v>
          </cell>
          <cell r="CZ144">
            <v>0</v>
          </cell>
          <cell r="DA144">
            <v>0</v>
          </cell>
          <cell r="DB144">
            <v>-32</v>
          </cell>
          <cell r="DC144">
            <v>0</v>
          </cell>
          <cell r="DD144">
            <v>0</v>
          </cell>
          <cell r="DE144">
            <v>0</v>
          </cell>
          <cell r="DF144">
            <v>240</v>
          </cell>
          <cell r="DG144">
            <v>0</v>
          </cell>
          <cell r="DH144">
            <v>3</v>
          </cell>
          <cell r="DI144">
            <v>36</v>
          </cell>
          <cell r="DJ144">
            <v>103</v>
          </cell>
          <cell r="DK144">
            <v>98</v>
          </cell>
          <cell r="DL144">
            <v>0</v>
          </cell>
          <cell r="DM144">
            <v>156</v>
          </cell>
          <cell r="DN144">
            <v>52</v>
          </cell>
          <cell r="DO144">
            <v>16</v>
          </cell>
          <cell r="DP144">
            <v>54</v>
          </cell>
          <cell r="DQ144">
            <v>34</v>
          </cell>
          <cell r="DR144">
            <v>0</v>
          </cell>
          <cell r="DS144">
            <v>0</v>
          </cell>
          <cell r="DT144">
            <v>108</v>
          </cell>
          <cell r="DU144">
            <v>70</v>
          </cell>
          <cell r="DV144">
            <v>22</v>
          </cell>
          <cell r="DW144">
            <v>6</v>
          </cell>
          <cell r="DX144">
            <v>6</v>
          </cell>
          <cell r="DY144">
            <v>4</v>
          </cell>
          <cell r="DZ144">
            <v>0</v>
          </cell>
          <cell r="EA144">
            <v>12</v>
          </cell>
          <cell r="EB144">
            <v>1</v>
          </cell>
          <cell r="EC144">
            <v>8</v>
          </cell>
          <cell r="ED144">
            <v>3</v>
          </cell>
          <cell r="EE144">
            <v>3</v>
          </cell>
          <cell r="EF144">
            <v>-3</v>
          </cell>
          <cell r="EG144">
            <v>0</v>
          </cell>
          <cell r="EH144">
            <v>22</v>
          </cell>
          <cell r="EI144">
            <v>-1</v>
          </cell>
          <cell r="EJ144">
            <v>21</v>
          </cell>
          <cell r="EK144">
            <v>0</v>
          </cell>
          <cell r="EL144">
            <v>0</v>
          </cell>
          <cell r="EM144">
            <v>2</v>
          </cell>
          <cell r="EN144">
            <v>0</v>
          </cell>
          <cell r="EO144" t="str">
            <v xml:space="preserve">Grand Island Pants                                          </v>
          </cell>
        </row>
        <row r="145">
          <cell r="A145" t="str">
            <v>CN3YL8806053</v>
          </cell>
          <cell r="B145" t="str">
            <v>CN3</v>
          </cell>
          <cell r="C145" t="str">
            <v>YL8806</v>
          </cell>
          <cell r="D145">
            <v>53</v>
          </cell>
          <cell r="E145" t="str">
            <v xml:space="preserve">   </v>
          </cell>
          <cell r="F145">
            <v>80717</v>
          </cell>
          <cell r="G145">
            <v>80809</v>
          </cell>
          <cell r="H145">
            <v>80808</v>
          </cell>
          <cell r="I145">
            <v>0</v>
          </cell>
          <cell r="J145">
            <v>417</v>
          </cell>
          <cell r="K145">
            <v>416</v>
          </cell>
          <cell r="L145">
            <v>129</v>
          </cell>
          <cell r="M145">
            <v>129</v>
          </cell>
          <cell r="N145">
            <v>0</v>
          </cell>
          <cell r="O145">
            <v>11290692</v>
          </cell>
          <cell r="P145">
            <v>11263616</v>
          </cell>
          <cell r="Q145">
            <v>3492804</v>
          </cell>
          <cell r="R145">
            <v>9922822</v>
          </cell>
          <cell r="S145" t="str">
            <v>*</v>
          </cell>
          <cell r="T145" t="str">
            <v>C</v>
          </cell>
          <cell r="U145">
            <v>417</v>
          </cell>
          <cell r="V145">
            <v>11290692</v>
          </cell>
          <cell r="W145">
            <v>129</v>
          </cell>
          <cell r="X145">
            <v>3492804</v>
          </cell>
          <cell r="Y145">
            <v>30.7</v>
          </cell>
          <cell r="Z145">
            <v>30.46</v>
          </cell>
          <cell r="AA145">
            <v>-649824</v>
          </cell>
          <cell r="AB145">
            <v>4142628</v>
          </cell>
          <cell r="AC145">
            <v>1</v>
          </cell>
          <cell r="AD145">
            <v>1326724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-1</v>
          </cell>
          <cell r="AL145">
            <v>-54152</v>
          </cell>
          <cell r="AM145">
            <v>288</v>
          </cell>
          <cell r="AN145">
            <v>14702268</v>
          </cell>
          <cell r="AO145">
            <v>27050</v>
          </cell>
          <cell r="AP145">
            <v>27076</v>
          </cell>
          <cell r="AQ145">
            <v>155000</v>
          </cell>
          <cell r="AR145">
            <v>93000</v>
          </cell>
          <cell r="AS145">
            <v>5.72</v>
          </cell>
          <cell r="AT145">
            <v>64635000</v>
          </cell>
          <cell r="AU145">
            <v>5.72</v>
          </cell>
          <cell r="AV145">
            <v>-3720000</v>
          </cell>
          <cell r="AW145">
            <v>3.29</v>
          </cell>
          <cell r="AX145">
            <v>13642822</v>
          </cell>
          <cell r="AY145">
            <v>30.7</v>
          </cell>
          <cell r="AZ145">
            <v>0</v>
          </cell>
          <cell r="BA145">
            <v>-24</v>
          </cell>
          <cell r="BB145">
            <v>153</v>
          </cell>
          <cell r="BC145">
            <v>129</v>
          </cell>
          <cell r="BD145">
            <v>0</v>
          </cell>
          <cell r="BE145">
            <v>0</v>
          </cell>
          <cell r="BF145">
            <v>34</v>
          </cell>
          <cell r="BG145">
            <v>0</v>
          </cell>
          <cell r="BH145">
            <v>1</v>
          </cell>
          <cell r="BI145">
            <v>5</v>
          </cell>
          <cell r="BJ145">
            <v>0</v>
          </cell>
          <cell r="BK145">
            <v>1</v>
          </cell>
          <cell r="BL145">
            <v>2</v>
          </cell>
          <cell r="BM145">
            <v>2</v>
          </cell>
          <cell r="BN145">
            <v>0</v>
          </cell>
          <cell r="BO145">
            <v>0</v>
          </cell>
          <cell r="BP145">
            <v>14</v>
          </cell>
          <cell r="BQ145">
            <v>0</v>
          </cell>
          <cell r="BR145">
            <v>5</v>
          </cell>
          <cell r="BS145">
            <v>5</v>
          </cell>
          <cell r="BT145">
            <v>4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-24</v>
          </cell>
          <cell r="CZ145">
            <v>0</v>
          </cell>
          <cell r="DA145">
            <v>0</v>
          </cell>
          <cell r="DB145">
            <v>-24</v>
          </cell>
          <cell r="DC145">
            <v>0</v>
          </cell>
          <cell r="DD145">
            <v>0</v>
          </cell>
          <cell r="DE145">
            <v>0</v>
          </cell>
          <cell r="DF145">
            <v>37</v>
          </cell>
          <cell r="DG145">
            <v>0</v>
          </cell>
          <cell r="DH145">
            <v>1</v>
          </cell>
          <cell r="DI145">
            <v>3</v>
          </cell>
          <cell r="DJ145">
            <v>13</v>
          </cell>
          <cell r="DK145">
            <v>20</v>
          </cell>
          <cell r="DL145">
            <v>0</v>
          </cell>
          <cell r="DM145">
            <v>29</v>
          </cell>
          <cell r="DN145">
            <v>4</v>
          </cell>
          <cell r="DO145">
            <v>6</v>
          </cell>
          <cell r="DP145">
            <v>9</v>
          </cell>
          <cell r="DQ145">
            <v>10</v>
          </cell>
          <cell r="DR145">
            <v>0</v>
          </cell>
          <cell r="DS145">
            <v>0</v>
          </cell>
          <cell r="DT145">
            <v>52</v>
          </cell>
          <cell r="DU145">
            <v>15</v>
          </cell>
          <cell r="DV145">
            <v>7</v>
          </cell>
          <cell r="DW145">
            <v>14</v>
          </cell>
          <cell r="DX145">
            <v>15</v>
          </cell>
          <cell r="DY145">
            <v>1</v>
          </cell>
          <cell r="DZ145">
            <v>0</v>
          </cell>
          <cell r="EA145">
            <v>7</v>
          </cell>
          <cell r="EB145">
            <v>3</v>
          </cell>
          <cell r="EC145">
            <v>2</v>
          </cell>
          <cell r="ED145">
            <v>1</v>
          </cell>
          <cell r="EE145">
            <v>0</v>
          </cell>
          <cell r="EF145">
            <v>1</v>
          </cell>
          <cell r="EG145">
            <v>0</v>
          </cell>
          <cell r="EH145">
            <v>9</v>
          </cell>
          <cell r="EI145">
            <v>2</v>
          </cell>
          <cell r="EJ145">
            <v>6</v>
          </cell>
          <cell r="EK145">
            <v>1</v>
          </cell>
          <cell r="EL145">
            <v>0</v>
          </cell>
          <cell r="EM145">
            <v>0</v>
          </cell>
          <cell r="EN145">
            <v>0</v>
          </cell>
          <cell r="EO145" t="str">
            <v xml:space="preserve">Grand Island Pants                                          </v>
          </cell>
        </row>
        <row r="146">
          <cell r="A146" t="str">
            <v>CN3YL8852010</v>
          </cell>
          <cell r="B146" t="str">
            <v>CN3</v>
          </cell>
          <cell r="C146" t="str">
            <v>YL8852</v>
          </cell>
          <cell r="D146">
            <v>10</v>
          </cell>
          <cell r="E146" t="str">
            <v xml:space="preserve">   </v>
          </cell>
          <cell r="F146">
            <v>80925</v>
          </cell>
          <cell r="G146">
            <v>80926</v>
          </cell>
          <cell r="H146">
            <v>90130</v>
          </cell>
          <cell r="I146">
            <v>1100</v>
          </cell>
          <cell r="J146">
            <v>744</v>
          </cell>
          <cell r="K146">
            <v>744</v>
          </cell>
          <cell r="L146">
            <v>310</v>
          </cell>
          <cell r="M146">
            <v>310</v>
          </cell>
          <cell r="N146">
            <v>63321500</v>
          </cell>
          <cell r="O146">
            <v>41726496</v>
          </cell>
          <cell r="P146">
            <v>41726496</v>
          </cell>
          <cell r="Q146">
            <v>17386040</v>
          </cell>
          <cell r="R146">
            <v>53977585</v>
          </cell>
          <cell r="S146" t="str">
            <v>*</v>
          </cell>
          <cell r="T146" t="str">
            <v xml:space="preserve"> </v>
          </cell>
          <cell r="U146">
            <v>744</v>
          </cell>
          <cell r="V146">
            <v>41726496</v>
          </cell>
          <cell r="W146">
            <v>310</v>
          </cell>
          <cell r="X146">
            <v>17386040</v>
          </cell>
          <cell r="Y146">
            <v>41.67</v>
          </cell>
          <cell r="Z146">
            <v>41.67</v>
          </cell>
          <cell r="AA146">
            <v>11889808</v>
          </cell>
          <cell r="AB146">
            <v>5496232</v>
          </cell>
          <cell r="AC146">
            <v>0</v>
          </cell>
          <cell r="AD146">
            <v>2075108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434</v>
          </cell>
          <cell r="AN146">
            <v>51989868</v>
          </cell>
          <cell r="AO146">
            <v>57565</v>
          </cell>
          <cell r="AP146">
            <v>56084</v>
          </cell>
          <cell r="AQ146">
            <v>238000</v>
          </cell>
          <cell r="AR146">
            <v>143000</v>
          </cell>
          <cell r="AS146">
            <v>4.24</v>
          </cell>
          <cell r="AT146">
            <v>177072000</v>
          </cell>
          <cell r="AU146">
            <v>3.36</v>
          </cell>
          <cell r="AV146">
            <v>39963585</v>
          </cell>
          <cell r="AW146">
            <v>2.5499999999999998</v>
          </cell>
          <cell r="AX146">
            <v>14014000</v>
          </cell>
          <cell r="AY146">
            <v>41.67</v>
          </cell>
          <cell r="AZ146">
            <v>0</v>
          </cell>
          <cell r="BA146">
            <v>212</v>
          </cell>
          <cell r="BB146">
            <v>98</v>
          </cell>
          <cell r="BC146">
            <v>310</v>
          </cell>
          <cell r="BD146">
            <v>0</v>
          </cell>
          <cell r="BE146">
            <v>0</v>
          </cell>
          <cell r="BF146">
            <v>124</v>
          </cell>
          <cell r="BG146">
            <v>1</v>
          </cell>
          <cell r="BH146">
            <v>1</v>
          </cell>
          <cell r="BI146">
            <v>8</v>
          </cell>
          <cell r="BJ146">
            <v>-6</v>
          </cell>
          <cell r="BK146">
            <v>0</v>
          </cell>
          <cell r="BL146">
            <v>4</v>
          </cell>
          <cell r="BM146">
            <v>2</v>
          </cell>
          <cell r="BN146">
            <v>8</v>
          </cell>
          <cell r="BO146">
            <v>0</v>
          </cell>
          <cell r="BP146">
            <v>96</v>
          </cell>
          <cell r="BQ146">
            <v>4</v>
          </cell>
          <cell r="BR146">
            <v>25</v>
          </cell>
          <cell r="BS146">
            <v>29</v>
          </cell>
          <cell r="BT146">
            <v>20</v>
          </cell>
          <cell r="BU146">
            <v>18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30</v>
          </cell>
          <cell r="DN146">
            <v>0</v>
          </cell>
          <cell r="DO146">
            <v>0</v>
          </cell>
          <cell r="DP146">
            <v>0</v>
          </cell>
          <cell r="DQ146">
            <v>30</v>
          </cell>
          <cell r="DR146">
            <v>0</v>
          </cell>
          <cell r="DS146">
            <v>0</v>
          </cell>
          <cell r="DT146">
            <v>53</v>
          </cell>
          <cell r="DU146">
            <v>7</v>
          </cell>
          <cell r="DV146">
            <v>16</v>
          </cell>
          <cell r="DW146">
            <v>15</v>
          </cell>
          <cell r="DX146">
            <v>9</v>
          </cell>
          <cell r="DY146">
            <v>6</v>
          </cell>
          <cell r="DZ146">
            <v>0</v>
          </cell>
          <cell r="EA146">
            <v>37</v>
          </cell>
          <cell r="EB146">
            <v>6</v>
          </cell>
          <cell r="EC146">
            <v>8</v>
          </cell>
          <cell r="ED146">
            <v>13</v>
          </cell>
          <cell r="EE146">
            <v>4</v>
          </cell>
          <cell r="EF146">
            <v>6</v>
          </cell>
          <cell r="EG146">
            <v>0</v>
          </cell>
          <cell r="EH146">
            <v>86</v>
          </cell>
          <cell r="EI146">
            <v>2</v>
          </cell>
          <cell r="EJ146">
            <v>4</v>
          </cell>
          <cell r="EK146">
            <v>-1</v>
          </cell>
          <cell r="EL146">
            <v>85</v>
          </cell>
          <cell r="EM146">
            <v>-4</v>
          </cell>
          <cell r="EN146">
            <v>0</v>
          </cell>
          <cell r="EO146" t="str">
            <v xml:space="preserve"> Womens Bloomington                                         </v>
          </cell>
        </row>
        <row r="147">
          <cell r="A147" t="str">
            <v>CN3YL8852969</v>
          </cell>
          <cell r="B147" t="str">
            <v>CN3</v>
          </cell>
          <cell r="C147" t="str">
            <v>YL8852</v>
          </cell>
          <cell r="D147">
            <v>969</v>
          </cell>
          <cell r="E147" t="str">
            <v xml:space="preserve">   </v>
          </cell>
          <cell r="F147">
            <v>80925</v>
          </cell>
          <cell r="G147">
            <v>80926</v>
          </cell>
          <cell r="H147">
            <v>90130</v>
          </cell>
          <cell r="I147">
            <v>600</v>
          </cell>
          <cell r="J147">
            <v>603</v>
          </cell>
          <cell r="K147">
            <v>597</v>
          </cell>
          <cell r="L147">
            <v>93</v>
          </cell>
          <cell r="M147">
            <v>93</v>
          </cell>
          <cell r="N147">
            <v>34539000</v>
          </cell>
          <cell r="O147">
            <v>33818652</v>
          </cell>
          <cell r="P147">
            <v>33482148</v>
          </cell>
          <cell r="Q147">
            <v>5215812</v>
          </cell>
          <cell r="R147">
            <v>15650571</v>
          </cell>
          <cell r="S147" t="str">
            <v>*</v>
          </cell>
          <cell r="T147" t="str">
            <v xml:space="preserve"> </v>
          </cell>
          <cell r="U147">
            <v>603</v>
          </cell>
          <cell r="V147">
            <v>33818652</v>
          </cell>
          <cell r="W147">
            <v>93</v>
          </cell>
          <cell r="X147">
            <v>5215812</v>
          </cell>
          <cell r="Y147">
            <v>15.42</v>
          </cell>
          <cell r="Z147">
            <v>15.42</v>
          </cell>
          <cell r="AA147">
            <v>3308956</v>
          </cell>
          <cell r="AB147">
            <v>1906856</v>
          </cell>
          <cell r="AC147">
            <v>6</v>
          </cell>
          <cell r="AD147">
            <v>2748116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504</v>
          </cell>
          <cell r="AN147">
            <v>56140084</v>
          </cell>
          <cell r="AO147">
            <v>57565</v>
          </cell>
          <cell r="AP147">
            <v>56084</v>
          </cell>
          <cell r="AQ147">
            <v>238000</v>
          </cell>
          <cell r="AR147">
            <v>143000</v>
          </cell>
          <cell r="AS147">
            <v>4.24</v>
          </cell>
          <cell r="AT147">
            <v>143514000</v>
          </cell>
          <cell r="AU147">
            <v>3.3</v>
          </cell>
          <cell r="AV147">
            <v>10924712</v>
          </cell>
          <cell r="AW147">
            <v>2.48</v>
          </cell>
          <cell r="AX147">
            <v>4725859</v>
          </cell>
          <cell r="AY147">
            <v>15.42</v>
          </cell>
          <cell r="AZ147">
            <v>0</v>
          </cell>
          <cell r="BA147">
            <v>59</v>
          </cell>
          <cell r="BB147">
            <v>34</v>
          </cell>
          <cell r="BC147">
            <v>93</v>
          </cell>
          <cell r="BD147">
            <v>0</v>
          </cell>
          <cell r="BE147">
            <v>0</v>
          </cell>
          <cell r="BF147">
            <v>44</v>
          </cell>
          <cell r="BG147">
            <v>0</v>
          </cell>
          <cell r="BH147">
            <v>1</v>
          </cell>
          <cell r="BI147">
            <v>3</v>
          </cell>
          <cell r="BJ147">
            <v>-2</v>
          </cell>
          <cell r="BK147">
            <v>0</v>
          </cell>
          <cell r="BL147">
            <v>0</v>
          </cell>
          <cell r="BM147">
            <v>0</v>
          </cell>
          <cell r="BN147">
            <v>5</v>
          </cell>
          <cell r="BO147">
            <v>0</v>
          </cell>
          <cell r="BP147">
            <v>30</v>
          </cell>
          <cell r="BQ147">
            <v>3</v>
          </cell>
          <cell r="BR147">
            <v>10</v>
          </cell>
          <cell r="BS147">
            <v>14</v>
          </cell>
          <cell r="BT147">
            <v>-1</v>
          </cell>
          <cell r="BU147">
            <v>4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4</v>
          </cell>
          <cell r="DN147">
            <v>0</v>
          </cell>
          <cell r="DO147">
            <v>0</v>
          </cell>
          <cell r="DP147">
            <v>0</v>
          </cell>
          <cell r="DQ147">
            <v>4</v>
          </cell>
          <cell r="DR147">
            <v>0</v>
          </cell>
          <cell r="DS147">
            <v>0</v>
          </cell>
          <cell r="DT147">
            <v>17</v>
          </cell>
          <cell r="DU147">
            <v>2</v>
          </cell>
          <cell r="DV147">
            <v>6</v>
          </cell>
          <cell r="DW147">
            <v>5</v>
          </cell>
          <cell r="DX147">
            <v>4</v>
          </cell>
          <cell r="DY147">
            <v>0</v>
          </cell>
          <cell r="DZ147">
            <v>0</v>
          </cell>
          <cell r="EA147">
            <v>12</v>
          </cell>
          <cell r="EB147">
            <v>3</v>
          </cell>
          <cell r="EC147">
            <v>6</v>
          </cell>
          <cell r="ED147">
            <v>2</v>
          </cell>
          <cell r="EE147">
            <v>0</v>
          </cell>
          <cell r="EF147">
            <v>1</v>
          </cell>
          <cell r="EG147">
            <v>0</v>
          </cell>
          <cell r="EH147">
            <v>27</v>
          </cell>
          <cell r="EI147">
            <v>-1</v>
          </cell>
          <cell r="EJ147">
            <v>1</v>
          </cell>
          <cell r="EK147">
            <v>3</v>
          </cell>
          <cell r="EL147">
            <v>26</v>
          </cell>
          <cell r="EM147">
            <v>-2</v>
          </cell>
          <cell r="EN147">
            <v>0</v>
          </cell>
          <cell r="EO147" t="str">
            <v xml:space="preserve"> Womens Bloomington                                         </v>
          </cell>
        </row>
        <row r="148">
          <cell r="A148" t="str">
            <v>CN3YL8853010</v>
          </cell>
          <cell r="B148" t="str">
            <v>CN3</v>
          </cell>
          <cell r="C148" t="str">
            <v>YL8853</v>
          </cell>
          <cell r="D148">
            <v>10</v>
          </cell>
          <cell r="E148" t="str">
            <v xml:space="preserve">   </v>
          </cell>
          <cell r="F148">
            <v>80728</v>
          </cell>
          <cell r="G148">
            <v>80812</v>
          </cell>
          <cell r="H148">
            <v>0</v>
          </cell>
          <cell r="I148">
            <v>1200</v>
          </cell>
          <cell r="J148">
            <v>1179</v>
          </cell>
          <cell r="K148">
            <v>1179</v>
          </cell>
          <cell r="L148">
            <v>1142</v>
          </cell>
          <cell r="M148">
            <v>1142</v>
          </cell>
          <cell r="N148">
            <v>35700000</v>
          </cell>
          <cell r="O148">
            <v>34934949</v>
          </cell>
          <cell r="P148">
            <v>34934949</v>
          </cell>
          <cell r="Q148">
            <v>33838602</v>
          </cell>
          <cell r="R148">
            <v>128586392</v>
          </cell>
          <cell r="S148" t="str">
            <v xml:space="preserve"> </v>
          </cell>
          <cell r="T148" t="str">
            <v xml:space="preserve"> </v>
          </cell>
          <cell r="U148">
            <v>1179</v>
          </cell>
          <cell r="V148">
            <v>34934949</v>
          </cell>
          <cell r="W148">
            <v>1142</v>
          </cell>
          <cell r="X148">
            <v>33838602</v>
          </cell>
          <cell r="Y148">
            <v>96.86</v>
          </cell>
          <cell r="Z148">
            <v>96.86</v>
          </cell>
          <cell r="AA148">
            <v>33690447</v>
          </cell>
          <cell r="AB148">
            <v>148155</v>
          </cell>
          <cell r="AC148">
            <v>0</v>
          </cell>
          <cell r="AD148">
            <v>503727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37</v>
          </cell>
          <cell r="AN148">
            <v>1303764</v>
          </cell>
          <cell r="AO148">
            <v>29750</v>
          </cell>
          <cell r="AP148">
            <v>29631</v>
          </cell>
          <cell r="AQ148">
            <v>118000</v>
          </cell>
          <cell r="AR148">
            <v>0</v>
          </cell>
          <cell r="AS148">
            <v>3.98</v>
          </cell>
          <cell r="AT148">
            <v>139122000</v>
          </cell>
          <cell r="AU148">
            <v>3.82</v>
          </cell>
          <cell r="AV148">
            <v>128552097</v>
          </cell>
          <cell r="AW148">
            <v>0.23</v>
          </cell>
          <cell r="AX148">
            <v>34295</v>
          </cell>
          <cell r="AY148">
            <v>96.86</v>
          </cell>
          <cell r="AZ148">
            <v>0</v>
          </cell>
          <cell r="BA148">
            <v>1137</v>
          </cell>
          <cell r="BB148">
            <v>5</v>
          </cell>
          <cell r="BC148">
            <v>1015</v>
          </cell>
          <cell r="BD148">
            <v>127</v>
          </cell>
          <cell r="BE148">
            <v>0</v>
          </cell>
          <cell r="BF148">
            <v>65</v>
          </cell>
          <cell r="BG148">
            <v>1</v>
          </cell>
          <cell r="BH148">
            <v>1</v>
          </cell>
          <cell r="BI148">
            <v>-3</v>
          </cell>
          <cell r="BJ148">
            <v>-1</v>
          </cell>
          <cell r="BK148">
            <v>-2</v>
          </cell>
          <cell r="BL148">
            <v>0</v>
          </cell>
          <cell r="BM148">
            <v>-1</v>
          </cell>
          <cell r="BN148">
            <v>1</v>
          </cell>
          <cell r="BO148">
            <v>0</v>
          </cell>
          <cell r="BP148">
            <v>-13</v>
          </cell>
          <cell r="BQ148">
            <v>0</v>
          </cell>
          <cell r="BR148">
            <v>-19</v>
          </cell>
          <cell r="BS148">
            <v>3</v>
          </cell>
          <cell r="BT148">
            <v>0</v>
          </cell>
          <cell r="BU148">
            <v>3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328</v>
          </cell>
          <cell r="DN148">
            <v>102</v>
          </cell>
          <cell r="DO148">
            <v>44</v>
          </cell>
          <cell r="DP148">
            <v>60</v>
          </cell>
          <cell r="DQ148">
            <v>93</v>
          </cell>
          <cell r="DR148">
            <v>29</v>
          </cell>
          <cell r="DS148">
            <v>0</v>
          </cell>
          <cell r="DT148">
            <v>471</v>
          </cell>
          <cell r="DU148">
            <v>114</v>
          </cell>
          <cell r="DV148">
            <v>117</v>
          </cell>
          <cell r="DW148">
            <v>99</v>
          </cell>
          <cell r="DX148">
            <v>84</v>
          </cell>
          <cell r="DY148">
            <v>57</v>
          </cell>
          <cell r="DZ148">
            <v>0</v>
          </cell>
          <cell r="EA148">
            <v>182</v>
          </cell>
          <cell r="EB148">
            <v>36</v>
          </cell>
          <cell r="EC148">
            <v>79</v>
          </cell>
          <cell r="ED148">
            <v>29</v>
          </cell>
          <cell r="EE148">
            <v>24</v>
          </cell>
          <cell r="EF148">
            <v>14</v>
          </cell>
          <cell r="EG148">
            <v>0</v>
          </cell>
          <cell r="EH148">
            <v>177</v>
          </cell>
          <cell r="EI148">
            <v>8</v>
          </cell>
          <cell r="EJ148">
            <v>13</v>
          </cell>
          <cell r="EK148">
            <v>8</v>
          </cell>
          <cell r="EL148">
            <v>1</v>
          </cell>
          <cell r="EM148">
            <v>147</v>
          </cell>
          <cell r="EN148">
            <v>0</v>
          </cell>
          <cell r="EO148" t="str">
            <v xml:space="preserve"> Womens Flint                                               </v>
          </cell>
        </row>
        <row r="149">
          <cell r="A149" t="str">
            <v>CN3YL8853331</v>
          </cell>
          <cell r="B149" t="str">
            <v>CN3</v>
          </cell>
          <cell r="C149" t="str">
            <v>YL8853</v>
          </cell>
          <cell r="D149">
            <v>331</v>
          </cell>
          <cell r="E149" t="str">
            <v xml:space="preserve">   </v>
          </cell>
          <cell r="F149">
            <v>80728</v>
          </cell>
          <cell r="G149">
            <v>80812</v>
          </cell>
          <cell r="H149">
            <v>0</v>
          </cell>
          <cell r="I149">
            <v>250</v>
          </cell>
          <cell r="J149">
            <v>244</v>
          </cell>
          <cell r="K149">
            <v>244</v>
          </cell>
          <cell r="L149">
            <v>100</v>
          </cell>
          <cell r="M149">
            <v>100</v>
          </cell>
          <cell r="N149">
            <v>7437500</v>
          </cell>
          <cell r="O149">
            <v>7229964</v>
          </cell>
          <cell r="P149">
            <v>7229964</v>
          </cell>
          <cell r="Q149">
            <v>2963100</v>
          </cell>
          <cell r="R149">
            <v>10858818</v>
          </cell>
          <cell r="S149" t="str">
            <v xml:space="preserve"> </v>
          </cell>
          <cell r="T149" t="str">
            <v xml:space="preserve"> </v>
          </cell>
          <cell r="U149">
            <v>244</v>
          </cell>
          <cell r="V149">
            <v>7229964</v>
          </cell>
          <cell r="W149">
            <v>100</v>
          </cell>
          <cell r="X149">
            <v>2963100</v>
          </cell>
          <cell r="Y149">
            <v>40.98</v>
          </cell>
          <cell r="Z149">
            <v>40.98</v>
          </cell>
          <cell r="AA149">
            <v>2903838</v>
          </cell>
          <cell r="AB149">
            <v>59262</v>
          </cell>
          <cell r="AC149">
            <v>0</v>
          </cell>
          <cell r="AD149">
            <v>2340849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144</v>
          </cell>
          <cell r="AN149">
            <v>6548451</v>
          </cell>
          <cell r="AO149">
            <v>29750</v>
          </cell>
          <cell r="AP149">
            <v>29631</v>
          </cell>
          <cell r="AQ149">
            <v>118000</v>
          </cell>
          <cell r="AR149">
            <v>0</v>
          </cell>
          <cell r="AS149">
            <v>3.98</v>
          </cell>
          <cell r="AT149">
            <v>28792000</v>
          </cell>
          <cell r="AU149">
            <v>3.73</v>
          </cell>
          <cell r="AV149">
            <v>10845100</v>
          </cell>
          <cell r="AW149">
            <v>0.23</v>
          </cell>
          <cell r="AX149">
            <v>13718</v>
          </cell>
          <cell r="AY149">
            <v>40.98</v>
          </cell>
          <cell r="AZ149">
            <v>0</v>
          </cell>
          <cell r="BA149">
            <v>98</v>
          </cell>
          <cell r="BB149">
            <v>2</v>
          </cell>
          <cell r="BC149">
            <v>95</v>
          </cell>
          <cell r="BD149">
            <v>5</v>
          </cell>
          <cell r="BE149">
            <v>0</v>
          </cell>
          <cell r="BF149">
            <v>15</v>
          </cell>
          <cell r="BG149">
            <v>0</v>
          </cell>
          <cell r="BH149">
            <v>1</v>
          </cell>
          <cell r="BI149">
            <v>3</v>
          </cell>
          <cell r="BJ149">
            <v>0</v>
          </cell>
          <cell r="BK149">
            <v>2</v>
          </cell>
          <cell r="BL149">
            <v>0</v>
          </cell>
          <cell r="BM149">
            <v>0</v>
          </cell>
          <cell r="BN149">
            <v>1</v>
          </cell>
          <cell r="BO149">
            <v>0</v>
          </cell>
          <cell r="BP149">
            <v>12</v>
          </cell>
          <cell r="BQ149">
            <v>1</v>
          </cell>
          <cell r="BR149">
            <v>2</v>
          </cell>
          <cell r="BS149">
            <v>2</v>
          </cell>
          <cell r="BT149">
            <v>4</v>
          </cell>
          <cell r="BU149">
            <v>3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36</v>
          </cell>
          <cell r="DN149">
            <v>13</v>
          </cell>
          <cell r="DO149">
            <v>3</v>
          </cell>
          <cell r="DP149">
            <v>6</v>
          </cell>
          <cell r="DQ149">
            <v>11</v>
          </cell>
          <cell r="DR149">
            <v>3</v>
          </cell>
          <cell r="DS149">
            <v>0</v>
          </cell>
          <cell r="DT149">
            <v>27</v>
          </cell>
          <cell r="DU149">
            <v>8</v>
          </cell>
          <cell r="DV149">
            <v>7</v>
          </cell>
          <cell r="DW149">
            <v>3</v>
          </cell>
          <cell r="DX149">
            <v>4</v>
          </cell>
          <cell r="DY149">
            <v>5</v>
          </cell>
          <cell r="DZ149">
            <v>0</v>
          </cell>
          <cell r="EA149">
            <v>8</v>
          </cell>
          <cell r="EB149">
            <v>2</v>
          </cell>
          <cell r="EC149">
            <v>4</v>
          </cell>
          <cell r="ED149">
            <v>2</v>
          </cell>
          <cell r="EE149">
            <v>0</v>
          </cell>
          <cell r="EF149">
            <v>0</v>
          </cell>
          <cell r="EG149">
            <v>0</v>
          </cell>
          <cell r="EH149">
            <v>14</v>
          </cell>
          <cell r="EI149">
            <v>3</v>
          </cell>
          <cell r="EJ149">
            <v>2</v>
          </cell>
          <cell r="EK149">
            <v>1</v>
          </cell>
          <cell r="EL149">
            <v>3</v>
          </cell>
          <cell r="EM149">
            <v>5</v>
          </cell>
          <cell r="EN149">
            <v>0</v>
          </cell>
          <cell r="EO149" t="str">
            <v xml:space="preserve"> Womens Flint                                               </v>
          </cell>
        </row>
        <row r="150">
          <cell r="A150" t="str">
            <v>CN3YL8853527</v>
          </cell>
          <cell r="B150" t="str">
            <v>CN3</v>
          </cell>
          <cell r="C150" t="str">
            <v>YL8853</v>
          </cell>
          <cell r="D150">
            <v>527</v>
          </cell>
          <cell r="E150" t="str">
            <v xml:space="preserve">   </v>
          </cell>
          <cell r="F150">
            <v>80728</v>
          </cell>
          <cell r="G150">
            <v>80812</v>
          </cell>
          <cell r="H150">
            <v>0</v>
          </cell>
          <cell r="I150">
            <v>250</v>
          </cell>
          <cell r="J150">
            <v>249</v>
          </cell>
          <cell r="K150">
            <v>249</v>
          </cell>
          <cell r="L150">
            <v>118</v>
          </cell>
          <cell r="M150">
            <v>118</v>
          </cell>
          <cell r="N150">
            <v>7437500</v>
          </cell>
          <cell r="O150">
            <v>7378119</v>
          </cell>
          <cell r="P150">
            <v>7378119</v>
          </cell>
          <cell r="Q150">
            <v>3496458</v>
          </cell>
          <cell r="R150">
            <v>13530497</v>
          </cell>
          <cell r="S150" t="str">
            <v xml:space="preserve"> </v>
          </cell>
          <cell r="T150" t="str">
            <v xml:space="preserve"> </v>
          </cell>
          <cell r="U150">
            <v>249</v>
          </cell>
          <cell r="V150">
            <v>7378119</v>
          </cell>
          <cell r="W150">
            <v>118</v>
          </cell>
          <cell r="X150">
            <v>3496458</v>
          </cell>
          <cell r="Y150">
            <v>47.79</v>
          </cell>
          <cell r="Z150">
            <v>48.19</v>
          </cell>
          <cell r="AA150">
            <v>3496458</v>
          </cell>
          <cell r="AB150">
            <v>0</v>
          </cell>
          <cell r="AC150">
            <v>0</v>
          </cell>
          <cell r="AD150">
            <v>1926015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</v>
          </cell>
          <cell r="AL150">
            <v>59262</v>
          </cell>
          <cell r="AM150">
            <v>130</v>
          </cell>
          <cell r="AN150">
            <v>5807676</v>
          </cell>
          <cell r="AO150">
            <v>29750</v>
          </cell>
          <cell r="AP150">
            <v>29631</v>
          </cell>
          <cell r="AQ150">
            <v>118000</v>
          </cell>
          <cell r="AR150">
            <v>0</v>
          </cell>
          <cell r="AS150">
            <v>3.98</v>
          </cell>
          <cell r="AT150">
            <v>29382000</v>
          </cell>
          <cell r="AU150">
            <v>3.87</v>
          </cell>
          <cell r="AV150">
            <v>13530497</v>
          </cell>
          <cell r="AW150">
            <v>0</v>
          </cell>
          <cell r="AX150">
            <v>0</v>
          </cell>
          <cell r="AY150">
            <v>47.79</v>
          </cell>
          <cell r="AZ150">
            <v>0</v>
          </cell>
          <cell r="BA150">
            <v>118</v>
          </cell>
          <cell r="BB150">
            <v>0</v>
          </cell>
          <cell r="BC150">
            <v>63</v>
          </cell>
          <cell r="BD150">
            <v>55</v>
          </cell>
          <cell r="BE150">
            <v>0</v>
          </cell>
          <cell r="BF150">
            <v>4</v>
          </cell>
          <cell r="BG150">
            <v>0</v>
          </cell>
          <cell r="BH150">
            <v>1</v>
          </cell>
          <cell r="BI150">
            <v>1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1</v>
          </cell>
          <cell r="BO150">
            <v>0</v>
          </cell>
          <cell r="BP150">
            <v>1</v>
          </cell>
          <cell r="BQ150">
            <v>0</v>
          </cell>
          <cell r="BR150">
            <v>0</v>
          </cell>
          <cell r="BS150">
            <v>0</v>
          </cell>
          <cell r="BT150">
            <v>1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23</v>
          </cell>
          <cell r="DN150">
            <v>8</v>
          </cell>
          <cell r="DO150">
            <v>5</v>
          </cell>
          <cell r="DP150">
            <v>2</v>
          </cell>
          <cell r="DQ150">
            <v>7</v>
          </cell>
          <cell r="DR150">
            <v>1</v>
          </cell>
          <cell r="DS150">
            <v>0</v>
          </cell>
          <cell r="DT150">
            <v>19</v>
          </cell>
          <cell r="DU150">
            <v>5</v>
          </cell>
          <cell r="DV150">
            <v>6</v>
          </cell>
          <cell r="DW150">
            <v>6</v>
          </cell>
          <cell r="DX150">
            <v>-2</v>
          </cell>
          <cell r="DY150">
            <v>4</v>
          </cell>
          <cell r="DZ150">
            <v>0</v>
          </cell>
          <cell r="EA150">
            <v>13</v>
          </cell>
          <cell r="EB150">
            <v>1</v>
          </cell>
          <cell r="EC150">
            <v>6</v>
          </cell>
          <cell r="ED150">
            <v>3</v>
          </cell>
          <cell r="EE150">
            <v>1</v>
          </cell>
          <cell r="EF150">
            <v>2</v>
          </cell>
          <cell r="EG150">
            <v>0</v>
          </cell>
          <cell r="EH150">
            <v>61</v>
          </cell>
          <cell r="EI150">
            <v>1</v>
          </cell>
          <cell r="EJ150">
            <v>2</v>
          </cell>
          <cell r="EK150">
            <v>0</v>
          </cell>
          <cell r="EL150">
            <v>2</v>
          </cell>
          <cell r="EM150">
            <v>56</v>
          </cell>
          <cell r="EN150">
            <v>0</v>
          </cell>
          <cell r="EO150" t="str">
            <v xml:space="preserve"> Womens Flint                                               </v>
          </cell>
        </row>
        <row r="151">
          <cell r="A151" t="str">
            <v>CN3YL8853696</v>
          </cell>
          <cell r="B151" t="str">
            <v>CN3</v>
          </cell>
          <cell r="C151" t="str">
            <v>YL8853</v>
          </cell>
          <cell r="D151">
            <v>696</v>
          </cell>
          <cell r="E151" t="str">
            <v xml:space="preserve">   </v>
          </cell>
          <cell r="F151">
            <v>80728</v>
          </cell>
          <cell r="G151">
            <v>80812</v>
          </cell>
          <cell r="H151">
            <v>0</v>
          </cell>
          <cell r="I151">
            <v>250</v>
          </cell>
          <cell r="J151">
            <v>238</v>
          </cell>
          <cell r="K151">
            <v>238</v>
          </cell>
          <cell r="L151">
            <v>45</v>
          </cell>
          <cell r="M151">
            <v>45</v>
          </cell>
          <cell r="N151">
            <v>7437500</v>
          </cell>
          <cell r="O151">
            <v>7052178</v>
          </cell>
          <cell r="P151">
            <v>7052178</v>
          </cell>
          <cell r="Q151">
            <v>1333395</v>
          </cell>
          <cell r="R151">
            <v>4972500</v>
          </cell>
          <cell r="S151" t="str">
            <v xml:space="preserve"> </v>
          </cell>
          <cell r="T151" t="str">
            <v xml:space="preserve"> </v>
          </cell>
          <cell r="U151">
            <v>238</v>
          </cell>
          <cell r="V151">
            <v>7052178</v>
          </cell>
          <cell r="W151">
            <v>45</v>
          </cell>
          <cell r="X151">
            <v>1333395</v>
          </cell>
          <cell r="Y151">
            <v>18.489999999999998</v>
          </cell>
          <cell r="Z151">
            <v>18.07</v>
          </cell>
          <cell r="AA151">
            <v>1333395</v>
          </cell>
          <cell r="AB151">
            <v>0</v>
          </cell>
          <cell r="AC151">
            <v>0</v>
          </cell>
          <cell r="AD151">
            <v>3526089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-1</v>
          </cell>
          <cell r="AL151">
            <v>-59262</v>
          </cell>
          <cell r="AM151">
            <v>194</v>
          </cell>
          <cell r="AN151">
            <v>8030001</v>
          </cell>
          <cell r="AO151">
            <v>29750</v>
          </cell>
          <cell r="AP151">
            <v>29631</v>
          </cell>
          <cell r="AQ151">
            <v>118000</v>
          </cell>
          <cell r="AR151">
            <v>0</v>
          </cell>
          <cell r="AS151">
            <v>3.98</v>
          </cell>
          <cell r="AT151">
            <v>28084000</v>
          </cell>
          <cell r="AU151">
            <v>3.73</v>
          </cell>
          <cell r="AV151">
            <v>4972500</v>
          </cell>
          <cell r="AW151">
            <v>0</v>
          </cell>
          <cell r="AX151">
            <v>0</v>
          </cell>
          <cell r="AY151">
            <v>18.489999999999998</v>
          </cell>
          <cell r="AZ151">
            <v>0</v>
          </cell>
          <cell r="BA151">
            <v>45</v>
          </cell>
          <cell r="BB151">
            <v>0</v>
          </cell>
          <cell r="BC151">
            <v>40</v>
          </cell>
          <cell r="BD151">
            <v>5</v>
          </cell>
          <cell r="BE151">
            <v>0</v>
          </cell>
          <cell r="BF151">
            <v>2</v>
          </cell>
          <cell r="BG151">
            <v>0</v>
          </cell>
          <cell r="BH151">
            <v>1</v>
          </cell>
          <cell r="BI151">
            <v>3</v>
          </cell>
          <cell r="BJ151">
            <v>0</v>
          </cell>
          <cell r="BK151">
            <v>1</v>
          </cell>
          <cell r="BL151">
            <v>0</v>
          </cell>
          <cell r="BM151">
            <v>0</v>
          </cell>
          <cell r="BN151">
            <v>2</v>
          </cell>
          <cell r="BO151">
            <v>0</v>
          </cell>
          <cell r="BP151">
            <v>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2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9</v>
          </cell>
          <cell r="DN151">
            <v>0</v>
          </cell>
          <cell r="DO151">
            <v>3</v>
          </cell>
          <cell r="DP151">
            <v>3</v>
          </cell>
          <cell r="DQ151">
            <v>3</v>
          </cell>
          <cell r="DR151">
            <v>0</v>
          </cell>
          <cell r="DS151">
            <v>0</v>
          </cell>
          <cell r="DT151">
            <v>9</v>
          </cell>
          <cell r="DU151">
            <v>1</v>
          </cell>
          <cell r="DV151">
            <v>2</v>
          </cell>
          <cell r="DW151">
            <v>4</v>
          </cell>
          <cell r="DX151">
            <v>0</v>
          </cell>
          <cell r="DY151">
            <v>2</v>
          </cell>
          <cell r="DZ151">
            <v>0</v>
          </cell>
          <cell r="EA151">
            <v>12</v>
          </cell>
          <cell r="EB151">
            <v>3</v>
          </cell>
          <cell r="EC151">
            <v>9</v>
          </cell>
          <cell r="ED151">
            <v>3</v>
          </cell>
          <cell r="EE151">
            <v>-3</v>
          </cell>
          <cell r="EF151">
            <v>0</v>
          </cell>
          <cell r="EG151">
            <v>0</v>
          </cell>
          <cell r="EH151">
            <v>10</v>
          </cell>
          <cell r="EI151">
            <v>1</v>
          </cell>
          <cell r="EJ151">
            <v>2</v>
          </cell>
          <cell r="EK151">
            <v>3</v>
          </cell>
          <cell r="EL151">
            <v>0</v>
          </cell>
          <cell r="EM151">
            <v>4</v>
          </cell>
          <cell r="EN151">
            <v>0</v>
          </cell>
          <cell r="EO151" t="str">
            <v xml:space="preserve"> Womens Flint                                               </v>
          </cell>
        </row>
        <row r="152">
          <cell r="A152" t="str">
            <v>CN3YL8854094</v>
          </cell>
          <cell r="B152" t="str">
            <v>CN3</v>
          </cell>
          <cell r="C152" t="str">
            <v>YL8854</v>
          </cell>
          <cell r="D152">
            <v>94</v>
          </cell>
          <cell r="E152" t="str">
            <v xml:space="preserve">   </v>
          </cell>
          <cell r="F152">
            <v>80904</v>
          </cell>
          <cell r="G152">
            <v>80905</v>
          </cell>
          <cell r="H152">
            <v>0</v>
          </cell>
          <cell r="I152">
            <v>1000</v>
          </cell>
          <cell r="J152">
            <v>995</v>
          </cell>
          <cell r="K152">
            <v>994</v>
          </cell>
          <cell r="L152">
            <v>599</v>
          </cell>
          <cell r="M152">
            <v>599</v>
          </cell>
          <cell r="N152">
            <v>21350000</v>
          </cell>
          <cell r="O152">
            <v>21243250</v>
          </cell>
          <cell r="P152">
            <v>21221900</v>
          </cell>
          <cell r="Q152">
            <v>12788650</v>
          </cell>
          <cell r="R152">
            <v>53197872</v>
          </cell>
          <cell r="S152" t="str">
            <v xml:space="preserve"> </v>
          </cell>
          <cell r="T152" t="str">
            <v xml:space="preserve"> </v>
          </cell>
          <cell r="U152">
            <v>995</v>
          </cell>
          <cell r="V152">
            <v>21243250</v>
          </cell>
          <cell r="W152">
            <v>599</v>
          </cell>
          <cell r="X152">
            <v>12788650</v>
          </cell>
          <cell r="Y152">
            <v>60.1</v>
          </cell>
          <cell r="Z152">
            <v>60</v>
          </cell>
          <cell r="AA152">
            <v>12703250</v>
          </cell>
          <cell r="AB152">
            <v>85400</v>
          </cell>
          <cell r="AC152">
            <v>1</v>
          </cell>
          <cell r="AD152">
            <v>21350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-1</v>
          </cell>
          <cell r="AL152">
            <v>-42700</v>
          </cell>
          <cell r="AM152">
            <v>396</v>
          </cell>
          <cell r="AN152">
            <v>17720500</v>
          </cell>
          <cell r="AO152">
            <v>21350</v>
          </cell>
          <cell r="AP152">
            <v>21350</v>
          </cell>
          <cell r="AQ152">
            <v>98000</v>
          </cell>
          <cell r="AR152">
            <v>0</v>
          </cell>
          <cell r="AS152">
            <v>4.59</v>
          </cell>
          <cell r="AT152">
            <v>97510000</v>
          </cell>
          <cell r="AU152">
            <v>4.1900000000000004</v>
          </cell>
          <cell r="AV152">
            <v>53170436</v>
          </cell>
          <cell r="AW152">
            <v>0.32</v>
          </cell>
          <cell r="AX152">
            <v>27436</v>
          </cell>
          <cell r="AY152">
            <v>60.1</v>
          </cell>
          <cell r="AZ152">
            <v>0</v>
          </cell>
          <cell r="BA152">
            <v>595</v>
          </cell>
          <cell r="BB152">
            <v>4</v>
          </cell>
          <cell r="BC152">
            <v>599</v>
          </cell>
          <cell r="BD152">
            <v>0</v>
          </cell>
          <cell r="BE152">
            <v>0</v>
          </cell>
          <cell r="BF152">
            <v>43</v>
          </cell>
          <cell r="BG152">
            <v>1</v>
          </cell>
          <cell r="BH152">
            <v>1</v>
          </cell>
          <cell r="BI152">
            <v>14</v>
          </cell>
          <cell r="BJ152">
            <v>4</v>
          </cell>
          <cell r="BK152">
            <v>2</v>
          </cell>
          <cell r="BL152">
            <v>3</v>
          </cell>
          <cell r="BM152">
            <v>3</v>
          </cell>
          <cell r="BN152">
            <v>2</v>
          </cell>
          <cell r="BO152">
            <v>0</v>
          </cell>
          <cell r="BP152">
            <v>37</v>
          </cell>
          <cell r="BQ152">
            <v>3</v>
          </cell>
          <cell r="BR152">
            <v>7</v>
          </cell>
          <cell r="BS152">
            <v>8</v>
          </cell>
          <cell r="BT152">
            <v>10</v>
          </cell>
          <cell r="BU152">
            <v>9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189</v>
          </cell>
          <cell r="DN152">
            <v>9</v>
          </cell>
          <cell r="DO152">
            <v>10</v>
          </cell>
          <cell r="DP152">
            <v>25</v>
          </cell>
          <cell r="DQ152">
            <v>141</v>
          </cell>
          <cell r="DR152">
            <v>4</v>
          </cell>
          <cell r="DS152">
            <v>0</v>
          </cell>
          <cell r="DT152">
            <v>287</v>
          </cell>
          <cell r="DU152">
            <v>61</v>
          </cell>
          <cell r="DV152">
            <v>78</v>
          </cell>
          <cell r="DW152">
            <v>63</v>
          </cell>
          <cell r="DX152">
            <v>59</v>
          </cell>
          <cell r="DY152">
            <v>26</v>
          </cell>
          <cell r="DZ152">
            <v>0</v>
          </cell>
          <cell r="EA152">
            <v>66</v>
          </cell>
          <cell r="EB152">
            <v>13</v>
          </cell>
          <cell r="EC152">
            <v>25</v>
          </cell>
          <cell r="ED152">
            <v>15</v>
          </cell>
          <cell r="EE152">
            <v>7</v>
          </cell>
          <cell r="EF152">
            <v>6</v>
          </cell>
          <cell r="EG152">
            <v>0</v>
          </cell>
          <cell r="EH152">
            <v>6</v>
          </cell>
          <cell r="EI152">
            <v>-1</v>
          </cell>
          <cell r="EJ152">
            <v>3</v>
          </cell>
          <cell r="EK152">
            <v>1</v>
          </cell>
          <cell r="EL152">
            <v>4</v>
          </cell>
          <cell r="EM152">
            <v>-1</v>
          </cell>
          <cell r="EN152">
            <v>0</v>
          </cell>
          <cell r="EO152" t="str">
            <v xml:space="preserve">Womens Elgin                                                </v>
          </cell>
        </row>
        <row r="153">
          <cell r="A153" t="str">
            <v>CN3YL8854221</v>
          </cell>
          <cell r="B153" t="str">
            <v>CN3</v>
          </cell>
          <cell r="C153" t="str">
            <v>YL8854</v>
          </cell>
          <cell r="D153">
            <v>221</v>
          </cell>
          <cell r="E153" t="str">
            <v xml:space="preserve">   </v>
          </cell>
          <cell r="F153">
            <v>80910</v>
          </cell>
          <cell r="G153">
            <v>80910</v>
          </cell>
          <cell r="H153">
            <v>0</v>
          </cell>
          <cell r="I153">
            <v>600</v>
          </cell>
          <cell r="J153">
            <v>600</v>
          </cell>
          <cell r="K153">
            <v>600</v>
          </cell>
          <cell r="L153">
            <v>333</v>
          </cell>
          <cell r="M153">
            <v>333</v>
          </cell>
          <cell r="N153">
            <v>12810000</v>
          </cell>
          <cell r="O153">
            <v>12810000</v>
          </cell>
          <cell r="P153">
            <v>12810000</v>
          </cell>
          <cell r="Q153">
            <v>7109550</v>
          </cell>
          <cell r="R153">
            <v>29585295</v>
          </cell>
          <cell r="S153" t="str">
            <v xml:space="preserve"> </v>
          </cell>
          <cell r="T153" t="str">
            <v xml:space="preserve"> </v>
          </cell>
          <cell r="U153">
            <v>600</v>
          </cell>
          <cell r="V153">
            <v>12810000</v>
          </cell>
          <cell r="W153">
            <v>333</v>
          </cell>
          <cell r="X153">
            <v>7109550</v>
          </cell>
          <cell r="Y153">
            <v>55.5</v>
          </cell>
          <cell r="Z153">
            <v>55.5</v>
          </cell>
          <cell r="AA153">
            <v>7088200</v>
          </cell>
          <cell r="AB153">
            <v>21350</v>
          </cell>
          <cell r="AC153">
            <v>0</v>
          </cell>
          <cell r="AD153">
            <v>64050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267</v>
          </cell>
          <cell r="AN153">
            <v>11998700</v>
          </cell>
          <cell r="AO153">
            <v>21350</v>
          </cell>
          <cell r="AP153">
            <v>21350</v>
          </cell>
          <cell r="AQ153">
            <v>98000</v>
          </cell>
          <cell r="AR153">
            <v>0</v>
          </cell>
          <cell r="AS153">
            <v>4.59</v>
          </cell>
          <cell r="AT153">
            <v>58800000</v>
          </cell>
          <cell r="AU153">
            <v>4.17</v>
          </cell>
          <cell r="AV153">
            <v>29578436</v>
          </cell>
          <cell r="AW153">
            <v>0.32</v>
          </cell>
          <cell r="AX153">
            <v>6859</v>
          </cell>
          <cell r="AY153">
            <v>55.5</v>
          </cell>
          <cell r="AZ153">
            <v>0</v>
          </cell>
          <cell r="BA153">
            <v>332</v>
          </cell>
          <cell r="BB153">
            <v>1</v>
          </cell>
          <cell r="BC153">
            <v>333</v>
          </cell>
          <cell r="BD153">
            <v>0</v>
          </cell>
          <cell r="BE153">
            <v>0</v>
          </cell>
          <cell r="BF153">
            <v>37</v>
          </cell>
          <cell r="BG153">
            <v>0</v>
          </cell>
          <cell r="BH153">
            <v>1</v>
          </cell>
          <cell r="BI153">
            <v>16</v>
          </cell>
          <cell r="BJ153">
            <v>4</v>
          </cell>
          <cell r="BK153">
            <v>4</v>
          </cell>
          <cell r="BL153">
            <v>2</v>
          </cell>
          <cell r="BM153">
            <v>3</v>
          </cell>
          <cell r="BN153">
            <v>3</v>
          </cell>
          <cell r="BO153">
            <v>0</v>
          </cell>
          <cell r="BP153">
            <v>31</v>
          </cell>
          <cell r="BQ153">
            <v>0</v>
          </cell>
          <cell r="BR153">
            <v>9</v>
          </cell>
          <cell r="BS153">
            <v>10</v>
          </cell>
          <cell r="BT153">
            <v>8</v>
          </cell>
          <cell r="BU153">
            <v>4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90</v>
          </cell>
          <cell r="DN153">
            <v>0</v>
          </cell>
          <cell r="DO153">
            <v>3</v>
          </cell>
          <cell r="DP153">
            <v>16</v>
          </cell>
          <cell r="DQ153">
            <v>69</v>
          </cell>
          <cell r="DR153">
            <v>2</v>
          </cell>
          <cell r="DS153">
            <v>0</v>
          </cell>
          <cell r="DT153">
            <v>151</v>
          </cell>
          <cell r="DU153">
            <v>40</v>
          </cell>
          <cell r="DV153">
            <v>42</v>
          </cell>
          <cell r="DW153">
            <v>33</v>
          </cell>
          <cell r="DX153">
            <v>26</v>
          </cell>
          <cell r="DY153">
            <v>10</v>
          </cell>
          <cell r="DZ153">
            <v>0</v>
          </cell>
          <cell r="EA153">
            <v>35</v>
          </cell>
          <cell r="EB153">
            <v>9</v>
          </cell>
          <cell r="EC153">
            <v>12</v>
          </cell>
          <cell r="ED153">
            <v>8</v>
          </cell>
          <cell r="EE153">
            <v>3</v>
          </cell>
          <cell r="EF153">
            <v>3</v>
          </cell>
          <cell r="EG153">
            <v>0</v>
          </cell>
          <cell r="EH153">
            <v>10</v>
          </cell>
          <cell r="EI153">
            <v>2</v>
          </cell>
          <cell r="EJ153">
            <v>1</v>
          </cell>
          <cell r="EK153">
            <v>4</v>
          </cell>
          <cell r="EL153">
            <v>3</v>
          </cell>
          <cell r="EM153">
            <v>0</v>
          </cell>
          <cell r="EN153">
            <v>0</v>
          </cell>
          <cell r="EO153" t="str">
            <v xml:space="preserve">Womens Elgin                                                </v>
          </cell>
        </row>
        <row r="154">
          <cell r="A154" t="str">
            <v>CN3YL8854564</v>
          </cell>
          <cell r="B154" t="str">
            <v>CN3</v>
          </cell>
          <cell r="C154" t="str">
            <v>YL8854</v>
          </cell>
          <cell r="D154">
            <v>564</v>
          </cell>
          <cell r="E154" t="str">
            <v xml:space="preserve">   </v>
          </cell>
          <cell r="F154">
            <v>80910</v>
          </cell>
          <cell r="G154">
            <v>80911</v>
          </cell>
          <cell r="H154">
            <v>0</v>
          </cell>
          <cell r="I154">
            <v>600</v>
          </cell>
          <cell r="J154">
            <v>559</v>
          </cell>
          <cell r="K154">
            <v>558</v>
          </cell>
          <cell r="L154">
            <v>282</v>
          </cell>
          <cell r="M154">
            <v>282</v>
          </cell>
          <cell r="N154">
            <v>12810000</v>
          </cell>
          <cell r="O154">
            <v>11934650</v>
          </cell>
          <cell r="P154">
            <v>11913300</v>
          </cell>
          <cell r="Q154">
            <v>6020700</v>
          </cell>
          <cell r="R154">
            <v>24984267</v>
          </cell>
          <cell r="S154" t="str">
            <v xml:space="preserve"> </v>
          </cell>
          <cell r="T154" t="str">
            <v xml:space="preserve"> </v>
          </cell>
          <cell r="U154">
            <v>559</v>
          </cell>
          <cell r="V154">
            <v>11934650</v>
          </cell>
          <cell r="W154">
            <v>282</v>
          </cell>
          <cell r="X154">
            <v>6020700</v>
          </cell>
          <cell r="Y154">
            <v>50.09</v>
          </cell>
          <cell r="Z154">
            <v>49.73</v>
          </cell>
          <cell r="AA154">
            <v>5956650</v>
          </cell>
          <cell r="AB154">
            <v>64050</v>
          </cell>
          <cell r="AC154">
            <v>1</v>
          </cell>
          <cell r="AD154">
            <v>64050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-2</v>
          </cell>
          <cell r="AL154">
            <v>-85400</v>
          </cell>
          <cell r="AM154">
            <v>278</v>
          </cell>
          <cell r="AN154">
            <v>12254900</v>
          </cell>
          <cell r="AO154">
            <v>21350</v>
          </cell>
          <cell r="AP154">
            <v>21350</v>
          </cell>
          <cell r="AQ154">
            <v>98000</v>
          </cell>
          <cell r="AR154">
            <v>0</v>
          </cell>
          <cell r="AS154">
            <v>4.59</v>
          </cell>
          <cell r="AT154">
            <v>54782000</v>
          </cell>
          <cell r="AU154">
            <v>4.1900000000000004</v>
          </cell>
          <cell r="AV154">
            <v>24963690</v>
          </cell>
          <cell r="AW154">
            <v>0.32</v>
          </cell>
          <cell r="AX154">
            <v>20577</v>
          </cell>
          <cell r="AY154">
            <v>50.09</v>
          </cell>
          <cell r="AZ154">
            <v>0</v>
          </cell>
          <cell r="BA154">
            <v>279</v>
          </cell>
          <cell r="BB154">
            <v>3</v>
          </cell>
          <cell r="BC154">
            <v>282</v>
          </cell>
          <cell r="BD154">
            <v>0</v>
          </cell>
          <cell r="BE154">
            <v>0</v>
          </cell>
          <cell r="BF154">
            <v>25</v>
          </cell>
          <cell r="BG154">
            <v>0</v>
          </cell>
          <cell r="BH154">
            <v>1</v>
          </cell>
          <cell r="BI154">
            <v>2</v>
          </cell>
          <cell r="BJ154">
            <v>1</v>
          </cell>
          <cell r="BK154">
            <v>0</v>
          </cell>
          <cell r="BL154">
            <v>0</v>
          </cell>
          <cell r="BM154">
            <v>0</v>
          </cell>
          <cell r="BN154">
            <v>1</v>
          </cell>
          <cell r="BO154">
            <v>0</v>
          </cell>
          <cell r="BP154">
            <v>19</v>
          </cell>
          <cell r="BQ154">
            <v>2</v>
          </cell>
          <cell r="BR154">
            <v>7</v>
          </cell>
          <cell r="BS154">
            <v>3</v>
          </cell>
          <cell r="BT154">
            <v>5</v>
          </cell>
          <cell r="BU154">
            <v>2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86</v>
          </cell>
          <cell r="DN154">
            <v>0</v>
          </cell>
          <cell r="DO154">
            <v>1</v>
          </cell>
          <cell r="DP154">
            <v>14</v>
          </cell>
          <cell r="DQ154">
            <v>67</v>
          </cell>
          <cell r="DR154">
            <v>4</v>
          </cell>
          <cell r="DS154">
            <v>0</v>
          </cell>
          <cell r="DT154">
            <v>133</v>
          </cell>
          <cell r="DU154">
            <v>26</v>
          </cell>
          <cell r="DV154">
            <v>39</v>
          </cell>
          <cell r="DW154">
            <v>30</v>
          </cell>
          <cell r="DX154">
            <v>23</v>
          </cell>
          <cell r="DY154">
            <v>15</v>
          </cell>
          <cell r="DZ154">
            <v>0</v>
          </cell>
          <cell r="EA154">
            <v>36</v>
          </cell>
          <cell r="EB154">
            <v>7</v>
          </cell>
          <cell r="EC154">
            <v>15</v>
          </cell>
          <cell r="ED154">
            <v>7</v>
          </cell>
          <cell r="EE154">
            <v>4</v>
          </cell>
          <cell r="EF154">
            <v>3</v>
          </cell>
          <cell r="EG154">
            <v>0</v>
          </cell>
          <cell r="EH154">
            <v>6</v>
          </cell>
          <cell r="EI154">
            <v>1</v>
          </cell>
          <cell r="EJ154">
            <v>4</v>
          </cell>
          <cell r="EK154">
            <v>0</v>
          </cell>
          <cell r="EL154">
            <v>1</v>
          </cell>
          <cell r="EM154">
            <v>0</v>
          </cell>
          <cell r="EN154">
            <v>0</v>
          </cell>
          <cell r="EO154" t="str">
            <v xml:space="preserve">Womens Elgin                                                </v>
          </cell>
        </row>
        <row r="155">
          <cell r="A155" t="str">
            <v>CN3YL8855010</v>
          </cell>
          <cell r="B155" t="str">
            <v>CN3</v>
          </cell>
          <cell r="C155" t="str">
            <v>YL8855</v>
          </cell>
          <cell r="D155">
            <v>10</v>
          </cell>
          <cell r="E155" t="str">
            <v xml:space="preserve">   </v>
          </cell>
          <cell r="F155">
            <v>80820</v>
          </cell>
          <cell r="G155">
            <v>80823</v>
          </cell>
          <cell r="H155">
            <v>0</v>
          </cell>
          <cell r="I155">
            <v>1300</v>
          </cell>
          <cell r="J155">
            <v>1067</v>
          </cell>
          <cell r="K155">
            <v>1067</v>
          </cell>
          <cell r="L155">
            <v>1067</v>
          </cell>
          <cell r="M155">
            <v>1067</v>
          </cell>
          <cell r="N155">
            <v>37141000</v>
          </cell>
          <cell r="O155">
            <v>29801310</v>
          </cell>
          <cell r="P155">
            <v>29801310</v>
          </cell>
          <cell r="Q155">
            <v>29801310</v>
          </cell>
          <cell r="R155">
            <v>157915800</v>
          </cell>
          <cell r="S155" t="str">
            <v xml:space="preserve"> </v>
          </cell>
          <cell r="T155" t="str">
            <v>C</v>
          </cell>
          <cell r="U155">
            <v>1067</v>
          </cell>
          <cell r="V155">
            <v>29801310</v>
          </cell>
          <cell r="W155">
            <v>1067</v>
          </cell>
          <cell r="X155">
            <v>29801310</v>
          </cell>
          <cell r="Y155">
            <v>100</v>
          </cell>
          <cell r="Z155">
            <v>100</v>
          </cell>
          <cell r="AA155">
            <v>29801310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28570</v>
          </cell>
          <cell r="AP155">
            <v>27930</v>
          </cell>
          <cell r="AQ155">
            <v>158000</v>
          </cell>
          <cell r="AR155">
            <v>0</v>
          </cell>
          <cell r="AS155">
            <v>5.66</v>
          </cell>
          <cell r="AT155">
            <v>168586000</v>
          </cell>
          <cell r="AU155">
            <v>5.3</v>
          </cell>
          <cell r="AV155">
            <v>157915800</v>
          </cell>
          <cell r="AW155">
            <v>0</v>
          </cell>
          <cell r="AX155">
            <v>0</v>
          </cell>
          <cell r="AY155">
            <v>100</v>
          </cell>
          <cell r="AZ155">
            <v>0</v>
          </cell>
          <cell r="BA155">
            <v>1067</v>
          </cell>
          <cell r="BB155">
            <v>0</v>
          </cell>
          <cell r="BC155">
            <v>1067</v>
          </cell>
          <cell r="BD155">
            <v>0</v>
          </cell>
          <cell r="BE155">
            <v>0</v>
          </cell>
          <cell r="BF155">
            <v>0</v>
          </cell>
          <cell r="BG155">
            <v>1</v>
          </cell>
          <cell r="BH155">
            <v>1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32</v>
          </cell>
          <cell r="DG155">
            <v>0</v>
          </cell>
          <cell r="DH155">
            <v>0</v>
          </cell>
          <cell r="DI155">
            <v>0</v>
          </cell>
          <cell r="DJ155">
            <v>1</v>
          </cell>
          <cell r="DK155">
            <v>31</v>
          </cell>
          <cell r="DL155">
            <v>0</v>
          </cell>
          <cell r="DM155">
            <v>384</v>
          </cell>
          <cell r="DN155">
            <v>40</v>
          </cell>
          <cell r="DO155">
            <v>33</v>
          </cell>
          <cell r="DP155">
            <v>77</v>
          </cell>
          <cell r="DQ155">
            <v>229</v>
          </cell>
          <cell r="DR155">
            <v>5</v>
          </cell>
          <cell r="DS155">
            <v>0</v>
          </cell>
          <cell r="DT155">
            <v>266</v>
          </cell>
          <cell r="DU155">
            <v>48</v>
          </cell>
          <cell r="DV155">
            <v>63</v>
          </cell>
          <cell r="DW155">
            <v>73</v>
          </cell>
          <cell r="DX155">
            <v>54</v>
          </cell>
          <cell r="DY155">
            <v>28</v>
          </cell>
          <cell r="DZ155">
            <v>0</v>
          </cell>
          <cell r="EA155">
            <v>37</v>
          </cell>
          <cell r="EB155">
            <v>7</v>
          </cell>
          <cell r="EC155">
            <v>20</v>
          </cell>
          <cell r="ED155">
            <v>6</v>
          </cell>
          <cell r="EE155">
            <v>0</v>
          </cell>
          <cell r="EF155">
            <v>4</v>
          </cell>
          <cell r="EG155">
            <v>0</v>
          </cell>
          <cell r="EH155">
            <v>348</v>
          </cell>
          <cell r="EI155">
            <v>348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 t="str">
            <v xml:space="preserve"> Womens Sand Point                                          </v>
          </cell>
        </row>
        <row r="156">
          <cell r="A156" t="str">
            <v>CN3YL8855094</v>
          </cell>
          <cell r="B156" t="str">
            <v>CN3</v>
          </cell>
          <cell r="C156" t="str">
            <v>YL8855</v>
          </cell>
          <cell r="D156">
            <v>94</v>
          </cell>
          <cell r="E156" t="str">
            <v xml:space="preserve">   </v>
          </cell>
          <cell r="F156">
            <v>80820</v>
          </cell>
          <cell r="G156">
            <v>80823</v>
          </cell>
          <cell r="H156">
            <v>0</v>
          </cell>
          <cell r="I156">
            <v>500</v>
          </cell>
          <cell r="J156">
            <v>413</v>
          </cell>
          <cell r="K156">
            <v>413</v>
          </cell>
          <cell r="L156">
            <v>112</v>
          </cell>
          <cell r="M156">
            <v>112</v>
          </cell>
          <cell r="N156">
            <v>14285000</v>
          </cell>
          <cell r="O156">
            <v>11535090</v>
          </cell>
          <cell r="P156">
            <v>11535090</v>
          </cell>
          <cell r="Q156">
            <v>3128160</v>
          </cell>
          <cell r="R156">
            <v>15985826</v>
          </cell>
          <cell r="S156" t="str">
            <v xml:space="preserve"> </v>
          </cell>
          <cell r="T156" t="str">
            <v xml:space="preserve"> </v>
          </cell>
          <cell r="U156">
            <v>413</v>
          </cell>
          <cell r="V156">
            <v>11535090</v>
          </cell>
          <cell r="W156">
            <v>112</v>
          </cell>
          <cell r="X156">
            <v>3128160</v>
          </cell>
          <cell r="Y156">
            <v>26.88</v>
          </cell>
          <cell r="Z156">
            <v>26.63</v>
          </cell>
          <cell r="AA156">
            <v>3128160</v>
          </cell>
          <cell r="AB156">
            <v>0</v>
          </cell>
          <cell r="AC156">
            <v>0</v>
          </cell>
          <cell r="AD156">
            <v>83790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-1</v>
          </cell>
          <cell r="AL156">
            <v>-55860</v>
          </cell>
          <cell r="AM156">
            <v>302</v>
          </cell>
          <cell r="AN156">
            <v>16953510</v>
          </cell>
          <cell r="AO156">
            <v>28570</v>
          </cell>
          <cell r="AP156">
            <v>27930</v>
          </cell>
          <cell r="AQ156">
            <v>158000</v>
          </cell>
          <cell r="AR156">
            <v>0</v>
          </cell>
          <cell r="AS156">
            <v>5.66</v>
          </cell>
          <cell r="AT156">
            <v>65254000</v>
          </cell>
          <cell r="AU156">
            <v>5.1100000000000003</v>
          </cell>
          <cell r="AV156">
            <v>15985826</v>
          </cell>
          <cell r="AW156">
            <v>0</v>
          </cell>
          <cell r="AX156">
            <v>0</v>
          </cell>
          <cell r="AY156">
            <v>26.88</v>
          </cell>
          <cell r="AZ156">
            <v>0</v>
          </cell>
          <cell r="BA156">
            <v>112</v>
          </cell>
          <cell r="BB156">
            <v>0</v>
          </cell>
          <cell r="BC156">
            <v>112</v>
          </cell>
          <cell r="BD156">
            <v>0</v>
          </cell>
          <cell r="BE156">
            <v>0</v>
          </cell>
          <cell r="BF156">
            <v>14</v>
          </cell>
          <cell r="BG156">
            <v>0</v>
          </cell>
          <cell r="BH156">
            <v>1</v>
          </cell>
          <cell r="BI156">
            <v>3</v>
          </cell>
          <cell r="BJ156">
            <v>1</v>
          </cell>
          <cell r="BK156">
            <v>0</v>
          </cell>
          <cell r="BL156">
            <v>1</v>
          </cell>
          <cell r="BM156">
            <v>1</v>
          </cell>
          <cell r="BN156">
            <v>0</v>
          </cell>
          <cell r="BO156">
            <v>0</v>
          </cell>
          <cell r="BP156">
            <v>6</v>
          </cell>
          <cell r="BQ156">
            <v>1</v>
          </cell>
          <cell r="BR156">
            <v>3</v>
          </cell>
          <cell r="BS156">
            <v>2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9</v>
          </cell>
          <cell r="DG156">
            <v>0</v>
          </cell>
          <cell r="DH156">
            <v>0</v>
          </cell>
          <cell r="DI156">
            <v>0</v>
          </cell>
          <cell r="DJ156">
            <v>1</v>
          </cell>
          <cell r="DK156">
            <v>8</v>
          </cell>
          <cell r="DL156">
            <v>0</v>
          </cell>
          <cell r="DM156">
            <v>53</v>
          </cell>
          <cell r="DN156">
            <v>8</v>
          </cell>
          <cell r="DO156">
            <v>6</v>
          </cell>
          <cell r="DP156">
            <v>8</v>
          </cell>
          <cell r="DQ156">
            <v>28</v>
          </cell>
          <cell r="DR156">
            <v>3</v>
          </cell>
          <cell r="DS156">
            <v>0</v>
          </cell>
          <cell r="DT156">
            <v>29</v>
          </cell>
          <cell r="DU156">
            <v>3</v>
          </cell>
          <cell r="DV156">
            <v>12</v>
          </cell>
          <cell r="DW156">
            <v>6</v>
          </cell>
          <cell r="DX156">
            <v>5</v>
          </cell>
          <cell r="DY156">
            <v>3</v>
          </cell>
          <cell r="DZ156">
            <v>0</v>
          </cell>
          <cell r="EA156">
            <v>7</v>
          </cell>
          <cell r="EB156">
            <v>0</v>
          </cell>
          <cell r="EC156">
            <v>3</v>
          </cell>
          <cell r="ED156">
            <v>3</v>
          </cell>
          <cell r="EE156">
            <v>1</v>
          </cell>
          <cell r="EF156">
            <v>0</v>
          </cell>
          <cell r="EG156">
            <v>0</v>
          </cell>
          <cell r="EH156">
            <v>5</v>
          </cell>
          <cell r="EI156">
            <v>2</v>
          </cell>
          <cell r="EJ156">
            <v>1</v>
          </cell>
          <cell r="EK156">
            <v>-1</v>
          </cell>
          <cell r="EL156">
            <v>3</v>
          </cell>
          <cell r="EM156">
            <v>0</v>
          </cell>
          <cell r="EN156">
            <v>0</v>
          </cell>
          <cell r="EO156" t="str">
            <v xml:space="preserve"> Womens Sand Point                                          </v>
          </cell>
        </row>
        <row r="157">
          <cell r="A157" t="str">
            <v>CN3YL8855415</v>
          </cell>
          <cell r="B157" t="str">
            <v>CN3</v>
          </cell>
          <cell r="C157" t="str">
            <v>YL8855</v>
          </cell>
          <cell r="D157">
            <v>415</v>
          </cell>
          <cell r="E157" t="str">
            <v xml:space="preserve">   </v>
          </cell>
          <cell r="F157">
            <v>80820</v>
          </cell>
          <cell r="G157">
            <v>80823</v>
          </cell>
          <cell r="H157">
            <v>0</v>
          </cell>
          <cell r="I157">
            <v>600</v>
          </cell>
          <cell r="J157">
            <v>560</v>
          </cell>
          <cell r="K157">
            <v>560</v>
          </cell>
          <cell r="L157">
            <v>278</v>
          </cell>
          <cell r="M157">
            <v>278</v>
          </cell>
          <cell r="N157">
            <v>17142000</v>
          </cell>
          <cell r="O157">
            <v>15640800</v>
          </cell>
          <cell r="P157">
            <v>15640800</v>
          </cell>
          <cell r="Q157">
            <v>7764540</v>
          </cell>
          <cell r="R157">
            <v>40048564</v>
          </cell>
          <cell r="S157" t="str">
            <v xml:space="preserve"> </v>
          </cell>
          <cell r="T157" t="str">
            <v xml:space="preserve"> </v>
          </cell>
          <cell r="U157">
            <v>560</v>
          </cell>
          <cell r="V157">
            <v>15640800</v>
          </cell>
          <cell r="W157">
            <v>278</v>
          </cell>
          <cell r="X157">
            <v>7764540</v>
          </cell>
          <cell r="Y157">
            <v>49.64</v>
          </cell>
          <cell r="Z157">
            <v>49.64</v>
          </cell>
          <cell r="AA157">
            <v>7764540</v>
          </cell>
          <cell r="AB157">
            <v>0</v>
          </cell>
          <cell r="AC157">
            <v>0</v>
          </cell>
          <cell r="AD157">
            <v>111720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282</v>
          </cell>
          <cell r="AN157">
            <v>16394910</v>
          </cell>
          <cell r="AO157">
            <v>28570</v>
          </cell>
          <cell r="AP157">
            <v>27930</v>
          </cell>
          <cell r="AQ157">
            <v>158000</v>
          </cell>
          <cell r="AR157">
            <v>0</v>
          </cell>
          <cell r="AS157">
            <v>5.66</v>
          </cell>
          <cell r="AT157">
            <v>88480000</v>
          </cell>
          <cell r="AU157">
            <v>5.16</v>
          </cell>
          <cell r="AV157">
            <v>40048564</v>
          </cell>
          <cell r="AW157">
            <v>0</v>
          </cell>
          <cell r="AX157">
            <v>0</v>
          </cell>
          <cell r="AY157">
            <v>49.64</v>
          </cell>
          <cell r="AZ157">
            <v>0</v>
          </cell>
          <cell r="BA157">
            <v>278</v>
          </cell>
          <cell r="BB157">
            <v>0</v>
          </cell>
          <cell r="BC157">
            <v>278</v>
          </cell>
          <cell r="BD157">
            <v>0</v>
          </cell>
          <cell r="BE157">
            <v>0</v>
          </cell>
          <cell r="BF157">
            <v>29</v>
          </cell>
          <cell r="BG157">
            <v>0</v>
          </cell>
          <cell r="BH157">
            <v>1</v>
          </cell>
          <cell r="BI157">
            <v>7</v>
          </cell>
          <cell r="BJ157">
            <v>0</v>
          </cell>
          <cell r="BK157">
            <v>1</v>
          </cell>
          <cell r="BL157">
            <v>1</v>
          </cell>
          <cell r="BM157">
            <v>2</v>
          </cell>
          <cell r="BN157">
            <v>3</v>
          </cell>
          <cell r="BO157">
            <v>0</v>
          </cell>
          <cell r="BP157">
            <v>27</v>
          </cell>
          <cell r="BQ157">
            <v>0</v>
          </cell>
          <cell r="BR157">
            <v>7</v>
          </cell>
          <cell r="BS157">
            <v>5</v>
          </cell>
          <cell r="BT157">
            <v>9</v>
          </cell>
          <cell r="BU157">
            <v>6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19</v>
          </cell>
          <cell r="DG157">
            <v>0</v>
          </cell>
          <cell r="DH157">
            <v>0</v>
          </cell>
          <cell r="DI157">
            <v>0</v>
          </cell>
          <cell r="DJ157">
            <v>4</v>
          </cell>
          <cell r="DK157">
            <v>15</v>
          </cell>
          <cell r="DL157">
            <v>0</v>
          </cell>
          <cell r="DM157">
            <v>141</v>
          </cell>
          <cell r="DN157">
            <v>23</v>
          </cell>
          <cell r="DO157">
            <v>17</v>
          </cell>
          <cell r="DP157">
            <v>21</v>
          </cell>
          <cell r="DQ157">
            <v>80</v>
          </cell>
          <cell r="DR157">
            <v>0</v>
          </cell>
          <cell r="DS157">
            <v>0</v>
          </cell>
          <cell r="DT157">
            <v>61</v>
          </cell>
          <cell r="DU157">
            <v>10</v>
          </cell>
          <cell r="DV157">
            <v>16</v>
          </cell>
          <cell r="DW157">
            <v>17</v>
          </cell>
          <cell r="DX157">
            <v>16</v>
          </cell>
          <cell r="DY157">
            <v>2</v>
          </cell>
          <cell r="DZ157">
            <v>0</v>
          </cell>
          <cell r="EA157">
            <v>20</v>
          </cell>
          <cell r="EB157">
            <v>4</v>
          </cell>
          <cell r="EC157">
            <v>8</v>
          </cell>
          <cell r="ED157">
            <v>5</v>
          </cell>
          <cell r="EE157">
            <v>2</v>
          </cell>
          <cell r="EF157">
            <v>1</v>
          </cell>
          <cell r="EG157">
            <v>0</v>
          </cell>
          <cell r="EH157">
            <v>3</v>
          </cell>
          <cell r="EI157">
            <v>0</v>
          </cell>
          <cell r="EJ157">
            <v>0</v>
          </cell>
          <cell r="EK157">
            <v>2</v>
          </cell>
          <cell r="EL157">
            <v>0</v>
          </cell>
          <cell r="EM157">
            <v>1</v>
          </cell>
          <cell r="EN157">
            <v>0</v>
          </cell>
          <cell r="EO157" t="str">
            <v xml:space="preserve"> Womens Sand Point                                          </v>
          </cell>
        </row>
        <row r="158">
          <cell r="A158" t="str">
            <v>CN3YL8856010</v>
          </cell>
          <cell r="B158" t="str">
            <v>CN3</v>
          </cell>
          <cell r="C158" t="str">
            <v>YL8856</v>
          </cell>
          <cell r="D158">
            <v>10</v>
          </cell>
          <cell r="E158" t="str">
            <v xml:space="preserve">   </v>
          </cell>
          <cell r="F158">
            <v>80904</v>
          </cell>
          <cell r="G158">
            <v>80902</v>
          </cell>
          <cell r="H158">
            <v>90226</v>
          </cell>
          <cell r="I158">
            <v>1200</v>
          </cell>
          <cell r="J158">
            <v>1195</v>
          </cell>
          <cell r="K158">
            <v>1193</v>
          </cell>
          <cell r="L158">
            <v>812</v>
          </cell>
          <cell r="M158">
            <v>812</v>
          </cell>
          <cell r="N158">
            <v>28140000</v>
          </cell>
          <cell r="O158">
            <v>28032719</v>
          </cell>
          <cell r="P158">
            <v>27986693</v>
          </cell>
          <cell r="Q158">
            <v>19054300</v>
          </cell>
          <cell r="R158">
            <v>114204941</v>
          </cell>
          <cell r="S158" t="str">
            <v>*</v>
          </cell>
          <cell r="T158" t="str">
            <v xml:space="preserve"> </v>
          </cell>
          <cell r="U158">
            <v>1195</v>
          </cell>
          <cell r="V158">
            <v>28032719</v>
          </cell>
          <cell r="W158">
            <v>812</v>
          </cell>
          <cell r="X158">
            <v>19054300</v>
          </cell>
          <cell r="Y158">
            <v>67.95</v>
          </cell>
          <cell r="Z158">
            <v>67.97</v>
          </cell>
          <cell r="AA158">
            <v>18444106</v>
          </cell>
          <cell r="AB158">
            <v>610194</v>
          </cell>
          <cell r="AC158">
            <v>2</v>
          </cell>
          <cell r="AD158">
            <v>46938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381</v>
          </cell>
          <cell r="AN158">
            <v>19690491</v>
          </cell>
          <cell r="AO158">
            <v>23450</v>
          </cell>
          <cell r="AP158">
            <v>23469</v>
          </cell>
          <cell r="AQ158">
            <v>158000</v>
          </cell>
          <cell r="AR158">
            <v>95000</v>
          </cell>
          <cell r="AS158">
            <v>6.74</v>
          </cell>
          <cell r="AT158">
            <v>188810000</v>
          </cell>
          <cell r="AU158">
            <v>6.09</v>
          </cell>
          <cell r="AV158">
            <v>112263787</v>
          </cell>
          <cell r="AW158">
            <v>3.18</v>
          </cell>
          <cell r="AX158">
            <v>1941154</v>
          </cell>
          <cell r="AY158">
            <v>67.95</v>
          </cell>
          <cell r="AZ158">
            <v>0</v>
          </cell>
          <cell r="BA158">
            <v>786</v>
          </cell>
          <cell r="BB158">
            <v>26</v>
          </cell>
          <cell r="BC158">
            <v>812</v>
          </cell>
          <cell r="BD158">
            <v>0</v>
          </cell>
          <cell r="BE158">
            <v>0</v>
          </cell>
          <cell r="BF158">
            <v>93</v>
          </cell>
          <cell r="BG158">
            <v>1</v>
          </cell>
          <cell r="BH158">
            <v>1</v>
          </cell>
          <cell r="BI158">
            <v>80</v>
          </cell>
          <cell r="BJ158">
            <v>10</v>
          </cell>
          <cell r="BK158">
            <v>26</v>
          </cell>
          <cell r="BL158">
            <v>23</v>
          </cell>
          <cell r="BM158">
            <v>12</v>
          </cell>
          <cell r="BN158">
            <v>9</v>
          </cell>
          <cell r="BO158">
            <v>0</v>
          </cell>
          <cell r="BP158">
            <v>75</v>
          </cell>
          <cell r="BQ158">
            <v>5</v>
          </cell>
          <cell r="BR158">
            <v>16</v>
          </cell>
          <cell r="BS158">
            <v>13</v>
          </cell>
          <cell r="BT158">
            <v>14</v>
          </cell>
          <cell r="BU158">
            <v>27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158</v>
          </cell>
          <cell r="DN158">
            <v>0</v>
          </cell>
          <cell r="DO158">
            <v>3</v>
          </cell>
          <cell r="DP158">
            <v>30</v>
          </cell>
          <cell r="DQ158">
            <v>122</v>
          </cell>
          <cell r="DR158">
            <v>3</v>
          </cell>
          <cell r="DS158">
            <v>0</v>
          </cell>
          <cell r="DT158">
            <v>305</v>
          </cell>
          <cell r="DU158">
            <v>41</v>
          </cell>
          <cell r="DV158">
            <v>64</v>
          </cell>
          <cell r="DW158">
            <v>83</v>
          </cell>
          <cell r="DX158">
            <v>73</v>
          </cell>
          <cell r="DY158">
            <v>44</v>
          </cell>
          <cell r="DZ158">
            <v>0</v>
          </cell>
          <cell r="EA158">
            <v>154</v>
          </cell>
          <cell r="EB158">
            <v>26</v>
          </cell>
          <cell r="EC158">
            <v>77</v>
          </cell>
          <cell r="ED158">
            <v>33</v>
          </cell>
          <cell r="EE158">
            <v>7</v>
          </cell>
          <cell r="EF158">
            <v>11</v>
          </cell>
          <cell r="EG158">
            <v>0</v>
          </cell>
          <cell r="EH158">
            <v>40</v>
          </cell>
          <cell r="EI158">
            <v>4</v>
          </cell>
          <cell r="EJ158">
            <v>12</v>
          </cell>
          <cell r="EK158">
            <v>5</v>
          </cell>
          <cell r="EL158">
            <v>13</v>
          </cell>
          <cell r="EM158">
            <v>6</v>
          </cell>
          <cell r="EN158">
            <v>0</v>
          </cell>
          <cell r="EO158" t="str">
            <v xml:space="preserve">Womens Sand Key Park                                        </v>
          </cell>
        </row>
        <row r="159">
          <cell r="A159" t="str">
            <v>CN3YL8856028</v>
          </cell>
          <cell r="B159" t="str">
            <v>CN3</v>
          </cell>
          <cell r="C159" t="str">
            <v>YL8856</v>
          </cell>
          <cell r="D159">
            <v>28</v>
          </cell>
          <cell r="E159" t="str">
            <v xml:space="preserve">   </v>
          </cell>
          <cell r="F159">
            <v>80910</v>
          </cell>
          <cell r="G159">
            <v>80910</v>
          </cell>
          <cell r="H159">
            <v>90226</v>
          </cell>
          <cell r="I159">
            <v>600</v>
          </cell>
          <cell r="J159">
            <v>598</v>
          </cell>
          <cell r="K159">
            <v>598</v>
          </cell>
          <cell r="L159">
            <v>150</v>
          </cell>
          <cell r="M159">
            <v>150</v>
          </cell>
          <cell r="N159">
            <v>14070000</v>
          </cell>
          <cell r="O159">
            <v>14024894</v>
          </cell>
          <cell r="P159">
            <v>14025214</v>
          </cell>
          <cell r="Q159">
            <v>3519774</v>
          </cell>
          <cell r="R159">
            <v>20669519</v>
          </cell>
          <cell r="S159" t="str">
            <v>*</v>
          </cell>
          <cell r="T159" t="str">
            <v xml:space="preserve"> </v>
          </cell>
          <cell r="U159">
            <v>598</v>
          </cell>
          <cell r="V159">
            <v>14024894</v>
          </cell>
          <cell r="W159">
            <v>150</v>
          </cell>
          <cell r="X159">
            <v>3519774</v>
          </cell>
          <cell r="Y159">
            <v>25.08</v>
          </cell>
          <cell r="Z159">
            <v>25.1</v>
          </cell>
          <cell r="AA159">
            <v>3355491</v>
          </cell>
          <cell r="AB159">
            <v>164283</v>
          </cell>
          <cell r="AC159">
            <v>0</v>
          </cell>
          <cell r="AD159">
            <v>46938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448</v>
          </cell>
          <cell r="AN159">
            <v>21333321</v>
          </cell>
          <cell r="AO159">
            <v>23450</v>
          </cell>
          <cell r="AP159">
            <v>23469</v>
          </cell>
          <cell r="AQ159">
            <v>158000</v>
          </cell>
          <cell r="AR159">
            <v>95000</v>
          </cell>
          <cell r="AS159">
            <v>6.74</v>
          </cell>
          <cell r="AT159">
            <v>94484000</v>
          </cell>
          <cell r="AU159">
            <v>5.99</v>
          </cell>
          <cell r="AV159">
            <v>20092660</v>
          </cell>
          <cell r="AW159">
            <v>3.51</v>
          </cell>
          <cell r="AX159">
            <v>576859</v>
          </cell>
          <cell r="AY159">
            <v>25.08</v>
          </cell>
          <cell r="AZ159">
            <v>0</v>
          </cell>
          <cell r="BA159">
            <v>143</v>
          </cell>
          <cell r="BB159">
            <v>7</v>
          </cell>
          <cell r="BC159">
            <v>150</v>
          </cell>
          <cell r="BD159">
            <v>0</v>
          </cell>
          <cell r="BE159">
            <v>0</v>
          </cell>
          <cell r="BF159">
            <v>29</v>
          </cell>
          <cell r="BG159">
            <v>0</v>
          </cell>
          <cell r="BH159">
            <v>1</v>
          </cell>
          <cell r="BI159">
            <v>17</v>
          </cell>
          <cell r="BJ159">
            <v>2</v>
          </cell>
          <cell r="BK159">
            <v>3</v>
          </cell>
          <cell r="BL159">
            <v>7</v>
          </cell>
          <cell r="BM159">
            <v>2</v>
          </cell>
          <cell r="BN159">
            <v>3</v>
          </cell>
          <cell r="BO159">
            <v>0</v>
          </cell>
          <cell r="BP159">
            <v>15</v>
          </cell>
          <cell r="BQ159">
            <v>1</v>
          </cell>
          <cell r="BR159">
            <v>4</v>
          </cell>
          <cell r="BS159">
            <v>3</v>
          </cell>
          <cell r="BT159">
            <v>1</v>
          </cell>
          <cell r="BU159">
            <v>6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36</v>
          </cell>
          <cell r="DN159">
            <v>0</v>
          </cell>
          <cell r="DO159">
            <v>0</v>
          </cell>
          <cell r="DP159">
            <v>2</v>
          </cell>
          <cell r="DQ159">
            <v>34</v>
          </cell>
          <cell r="DR159">
            <v>0</v>
          </cell>
          <cell r="DS159">
            <v>0</v>
          </cell>
          <cell r="DT159">
            <v>59</v>
          </cell>
          <cell r="DU159">
            <v>9</v>
          </cell>
          <cell r="DV159">
            <v>15</v>
          </cell>
          <cell r="DW159">
            <v>9</v>
          </cell>
          <cell r="DX159">
            <v>18</v>
          </cell>
          <cell r="DY159">
            <v>8</v>
          </cell>
          <cell r="DZ159">
            <v>0</v>
          </cell>
          <cell r="EA159">
            <v>16</v>
          </cell>
          <cell r="EB159">
            <v>6</v>
          </cell>
          <cell r="EC159">
            <v>4</v>
          </cell>
          <cell r="ED159">
            <v>1</v>
          </cell>
          <cell r="EE159">
            <v>1</v>
          </cell>
          <cell r="EF159">
            <v>4</v>
          </cell>
          <cell r="EG159">
            <v>0</v>
          </cell>
          <cell r="EH159">
            <v>7</v>
          </cell>
          <cell r="EI159">
            <v>1</v>
          </cell>
          <cell r="EJ159">
            <v>3</v>
          </cell>
          <cell r="EK159">
            <v>1</v>
          </cell>
          <cell r="EL159">
            <v>0</v>
          </cell>
          <cell r="EM159">
            <v>2</v>
          </cell>
          <cell r="EN159">
            <v>0</v>
          </cell>
          <cell r="EO159" t="str">
            <v xml:space="preserve">Womens Sand Key Park                                        </v>
          </cell>
        </row>
        <row r="160">
          <cell r="A160" t="str">
            <v>CN3YL8869010</v>
          </cell>
          <cell r="B160" t="str">
            <v>CN3</v>
          </cell>
          <cell r="C160" t="str">
            <v>YL8869</v>
          </cell>
          <cell r="D160">
            <v>10</v>
          </cell>
          <cell r="E160" t="str">
            <v xml:space="preserve">   </v>
          </cell>
          <cell r="F160">
            <v>80820</v>
          </cell>
          <cell r="G160">
            <v>80823</v>
          </cell>
          <cell r="H160">
            <v>90211</v>
          </cell>
          <cell r="I160">
            <v>1100</v>
          </cell>
          <cell r="J160">
            <v>1102</v>
          </cell>
          <cell r="K160">
            <v>1069</v>
          </cell>
          <cell r="L160">
            <v>752</v>
          </cell>
          <cell r="M160">
            <v>752</v>
          </cell>
          <cell r="N160">
            <v>29128000</v>
          </cell>
          <cell r="O160">
            <v>29131370</v>
          </cell>
          <cell r="P160">
            <v>28259015</v>
          </cell>
          <cell r="Q160">
            <v>19879120</v>
          </cell>
          <cell r="R160">
            <v>92731983</v>
          </cell>
          <cell r="S160" t="str">
            <v>*</v>
          </cell>
          <cell r="T160" t="str">
            <v xml:space="preserve"> </v>
          </cell>
          <cell r="U160">
            <v>1102</v>
          </cell>
          <cell r="V160">
            <v>29131370</v>
          </cell>
          <cell r="W160">
            <v>752</v>
          </cell>
          <cell r="X160">
            <v>19879120</v>
          </cell>
          <cell r="Y160">
            <v>68.239999999999995</v>
          </cell>
          <cell r="Z160">
            <v>68.239999999999995</v>
          </cell>
          <cell r="AA160">
            <v>18610240</v>
          </cell>
          <cell r="AB160">
            <v>1268880</v>
          </cell>
          <cell r="AC160">
            <v>33</v>
          </cell>
          <cell r="AD160">
            <v>872355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317</v>
          </cell>
          <cell r="AN160">
            <v>19138940</v>
          </cell>
          <cell r="AO160">
            <v>26480</v>
          </cell>
          <cell r="AP160">
            <v>26435</v>
          </cell>
          <cell r="AQ160">
            <v>138000</v>
          </cell>
          <cell r="AR160">
            <v>83000</v>
          </cell>
          <cell r="AS160">
            <v>5.22</v>
          </cell>
          <cell r="AT160">
            <v>152076000</v>
          </cell>
          <cell r="AU160">
            <v>4.7699999999999996</v>
          </cell>
          <cell r="AV160">
            <v>88824124</v>
          </cell>
          <cell r="AW160">
            <v>3.08</v>
          </cell>
          <cell r="AX160">
            <v>3907859</v>
          </cell>
          <cell r="AY160">
            <v>68.239999999999995</v>
          </cell>
          <cell r="AZ160">
            <v>0</v>
          </cell>
          <cell r="BA160">
            <v>704</v>
          </cell>
          <cell r="BB160">
            <v>48</v>
          </cell>
          <cell r="BC160">
            <v>752</v>
          </cell>
          <cell r="BD160">
            <v>0</v>
          </cell>
          <cell r="BE160">
            <v>0</v>
          </cell>
          <cell r="BF160">
            <v>71</v>
          </cell>
          <cell r="BG160">
            <v>1</v>
          </cell>
          <cell r="BH160">
            <v>1</v>
          </cell>
          <cell r="BI160">
            <v>21</v>
          </cell>
          <cell r="BJ160">
            <v>4</v>
          </cell>
          <cell r="BK160">
            <v>3</v>
          </cell>
          <cell r="BL160">
            <v>5</v>
          </cell>
          <cell r="BM160">
            <v>4</v>
          </cell>
          <cell r="BN160">
            <v>5</v>
          </cell>
          <cell r="BO160">
            <v>0</v>
          </cell>
          <cell r="BP160">
            <v>57</v>
          </cell>
          <cell r="BQ160">
            <v>3</v>
          </cell>
          <cell r="BR160">
            <v>7</v>
          </cell>
          <cell r="BS160">
            <v>13</v>
          </cell>
          <cell r="BT160">
            <v>21</v>
          </cell>
          <cell r="BU160">
            <v>13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39</v>
          </cell>
          <cell r="DG160">
            <v>0</v>
          </cell>
          <cell r="DH160">
            <v>0</v>
          </cell>
          <cell r="DI160">
            <v>0</v>
          </cell>
          <cell r="DJ160">
            <v>5</v>
          </cell>
          <cell r="DK160">
            <v>34</v>
          </cell>
          <cell r="DL160">
            <v>0</v>
          </cell>
          <cell r="DM160">
            <v>255</v>
          </cell>
          <cell r="DN160">
            <v>44</v>
          </cell>
          <cell r="DO160">
            <v>23</v>
          </cell>
          <cell r="DP160">
            <v>48</v>
          </cell>
          <cell r="DQ160">
            <v>136</v>
          </cell>
          <cell r="DR160">
            <v>4</v>
          </cell>
          <cell r="DS160">
            <v>0</v>
          </cell>
          <cell r="DT160">
            <v>268</v>
          </cell>
          <cell r="DU160">
            <v>85</v>
          </cell>
          <cell r="DV160">
            <v>65</v>
          </cell>
          <cell r="DW160">
            <v>60</v>
          </cell>
          <cell r="DX160">
            <v>29</v>
          </cell>
          <cell r="DY160">
            <v>29</v>
          </cell>
          <cell r="DZ160">
            <v>0</v>
          </cell>
          <cell r="EA160">
            <v>87</v>
          </cell>
          <cell r="EB160">
            <v>18</v>
          </cell>
          <cell r="EC160">
            <v>29</v>
          </cell>
          <cell r="ED160">
            <v>19</v>
          </cell>
          <cell r="EE160">
            <v>11</v>
          </cell>
          <cell r="EF160">
            <v>10</v>
          </cell>
          <cell r="EG160">
            <v>0</v>
          </cell>
          <cell r="EH160">
            <v>25</v>
          </cell>
          <cell r="EI160">
            <v>2</v>
          </cell>
          <cell r="EJ160">
            <v>7</v>
          </cell>
          <cell r="EK160">
            <v>4</v>
          </cell>
          <cell r="EL160">
            <v>9</v>
          </cell>
          <cell r="EM160">
            <v>3</v>
          </cell>
          <cell r="EN160">
            <v>0</v>
          </cell>
          <cell r="EO160" t="str">
            <v xml:space="preserve"> Womens Skyline                                             </v>
          </cell>
        </row>
        <row r="161">
          <cell r="A161" t="str">
            <v>CN3YL8869230</v>
          </cell>
          <cell r="B161" t="str">
            <v>CN3</v>
          </cell>
          <cell r="C161" t="str">
            <v>YL8869</v>
          </cell>
          <cell r="D161">
            <v>230</v>
          </cell>
          <cell r="E161" t="str">
            <v xml:space="preserve">   </v>
          </cell>
          <cell r="F161">
            <v>80820</v>
          </cell>
          <cell r="G161">
            <v>80823</v>
          </cell>
          <cell r="H161">
            <v>90211</v>
          </cell>
          <cell r="I161">
            <v>500</v>
          </cell>
          <cell r="J161">
            <v>500</v>
          </cell>
          <cell r="K161">
            <v>480</v>
          </cell>
          <cell r="L161">
            <v>235</v>
          </cell>
          <cell r="M161">
            <v>235</v>
          </cell>
          <cell r="N161">
            <v>13240000</v>
          </cell>
          <cell r="O161">
            <v>13217500</v>
          </cell>
          <cell r="P161">
            <v>12688800</v>
          </cell>
          <cell r="Q161">
            <v>6212225</v>
          </cell>
          <cell r="R161">
            <v>29325220</v>
          </cell>
          <cell r="S161" t="str">
            <v>*</v>
          </cell>
          <cell r="T161" t="str">
            <v xml:space="preserve"> </v>
          </cell>
          <cell r="U161">
            <v>500</v>
          </cell>
          <cell r="V161">
            <v>13217500</v>
          </cell>
          <cell r="W161">
            <v>235</v>
          </cell>
          <cell r="X161">
            <v>6212225</v>
          </cell>
          <cell r="Y161">
            <v>47</v>
          </cell>
          <cell r="Z161">
            <v>47</v>
          </cell>
          <cell r="AA161">
            <v>5974310</v>
          </cell>
          <cell r="AB161">
            <v>237915</v>
          </cell>
          <cell r="AC161">
            <v>20</v>
          </cell>
          <cell r="AD161">
            <v>528700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245</v>
          </cell>
          <cell r="AN161">
            <v>13799070</v>
          </cell>
          <cell r="AO161">
            <v>26480</v>
          </cell>
          <cell r="AP161">
            <v>26435</v>
          </cell>
          <cell r="AQ161">
            <v>138000</v>
          </cell>
          <cell r="AR161">
            <v>83000</v>
          </cell>
          <cell r="AS161">
            <v>5.22</v>
          </cell>
          <cell r="AT161">
            <v>69000000</v>
          </cell>
          <cell r="AU161">
            <v>4.78</v>
          </cell>
          <cell r="AV161">
            <v>28578220</v>
          </cell>
          <cell r="AW161">
            <v>3.14</v>
          </cell>
          <cell r="AX161">
            <v>747000</v>
          </cell>
          <cell r="AY161">
            <v>47</v>
          </cell>
          <cell r="AZ161">
            <v>0</v>
          </cell>
          <cell r="BA161">
            <v>226</v>
          </cell>
          <cell r="BB161">
            <v>9</v>
          </cell>
          <cell r="BC161">
            <v>235</v>
          </cell>
          <cell r="BD161">
            <v>0</v>
          </cell>
          <cell r="BE161">
            <v>0</v>
          </cell>
          <cell r="BF161">
            <v>24</v>
          </cell>
          <cell r="BG161">
            <v>0</v>
          </cell>
          <cell r="BH161">
            <v>1</v>
          </cell>
          <cell r="BI161">
            <v>8</v>
          </cell>
          <cell r="BJ161">
            <v>1</v>
          </cell>
          <cell r="BK161">
            <v>2</v>
          </cell>
          <cell r="BL161">
            <v>2</v>
          </cell>
          <cell r="BM161">
            <v>0</v>
          </cell>
          <cell r="BN161">
            <v>3</v>
          </cell>
          <cell r="BO161">
            <v>0</v>
          </cell>
          <cell r="BP161">
            <v>12</v>
          </cell>
          <cell r="BQ161">
            <v>0</v>
          </cell>
          <cell r="BR161">
            <v>1</v>
          </cell>
          <cell r="BS161">
            <v>10</v>
          </cell>
          <cell r="BT161">
            <v>1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19</v>
          </cell>
          <cell r="DG161">
            <v>0</v>
          </cell>
          <cell r="DH161">
            <v>0</v>
          </cell>
          <cell r="DI161">
            <v>0</v>
          </cell>
          <cell r="DJ161">
            <v>2</v>
          </cell>
          <cell r="DK161">
            <v>17</v>
          </cell>
          <cell r="DL161">
            <v>0</v>
          </cell>
          <cell r="DM161">
            <v>93</v>
          </cell>
          <cell r="DN161">
            <v>18</v>
          </cell>
          <cell r="DO161">
            <v>15</v>
          </cell>
          <cell r="DP161">
            <v>16</v>
          </cell>
          <cell r="DQ161">
            <v>43</v>
          </cell>
          <cell r="DR161">
            <v>1</v>
          </cell>
          <cell r="DS161">
            <v>0</v>
          </cell>
          <cell r="DT161">
            <v>80</v>
          </cell>
          <cell r="DU161">
            <v>25</v>
          </cell>
          <cell r="DV161">
            <v>20</v>
          </cell>
          <cell r="DW161">
            <v>19</v>
          </cell>
          <cell r="DX161">
            <v>11</v>
          </cell>
          <cell r="DY161">
            <v>5</v>
          </cell>
          <cell r="DZ161">
            <v>0</v>
          </cell>
          <cell r="EA161">
            <v>12</v>
          </cell>
          <cell r="EB161">
            <v>3</v>
          </cell>
          <cell r="EC161">
            <v>8</v>
          </cell>
          <cell r="ED161">
            <v>0</v>
          </cell>
          <cell r="EE161">
            <v>1</v>
          </cell>
          <cell r="EF161">
            <v>0</v>
          </cell>
          <cell r="EG161">
            <v>0</v>
          </cell>
          <cell r="EH161">
            <v>11</v>
          </cell>
          <cell r="EI161">
            <v>4</v>
          </cell>
          <cell r="EJ161">
            <v>1</v>
          </cell>
          <cell r="EK161">
            <v>3</v>
          </cell>
          <cell r="EL161">
            <v>3</v>
          </cell>
          <cell r="EM161">
            <v>0</v>
          </cell>
          <cell r="EN161">
            <v>0</v>
          </cell>
          <cell r="EO161" t="str">
            <v xml:space="preserve"> Womens Skyline                                             </v>
          </cell>
        </row>
        <row r="162">
          <cell r="A162" t="str">
            <v>CN3YM1851094</v>
          </cell>
          <cell r="B162" t="str">
            <v>CN3</v>
          </cell>
          <cell r="C162" t="str">
            <v>YM1851</v>
          </cell>
          <cell r="D162">
            <v>94</v>
          </cell>
          <cell r="E162" t="str">
            <v xml:space="preserve">   </v>
          </cell>
          <cell r="F162">
            <v>80910</v>
          </cell>
          <cell r="G162">
            <v>80910</v>
          </cell>
          <cell r="H162">
            <v>0</v>
          </cell>
          <cell r="I162">
            <v>600</v>
          </cell>
          <cell r="J162">
            <v>596</v>
          </cell>
          <cell r="K162">
            <v>596</v>
          </cell>
          <cell r="L162">
            <v>310</v>
          </cell>
          <cell r="M162">
            <v>310</v>
          </cell>
          <cell r="N162">
            <v>15570000</v>
          </cell>
          <cell r="O162">
            <v>15482888</v>
          </cell>
          <cell r="P162">
            <v>15482888</v>
          </cell>
          <cell r="Q162">
            <v>8053180</v>
          </cell>
          <cell r="R162">
            <v>30357860</v>
          </cell>
          <cell r="S162" t="str">
            <v xml:space="preserve"> </v>
          </cell>
          <cell r="T162" t="str">
            <v xml:space="preserve"> </v>
          </cell>
          <cell r="U162">
            <v>596</v>
          </cell>
          <cell r="V162">
            <v>15482888</v>
          </cell>
          <cell r="W162">
            <v>310</v>
          </cell>
          <cell r="X162">
            <v>8053180</v>
          </cell>
          <cell r="Y162">
            <v>52.01</v>
          </cell>
          <cell r="Z162">
            <v>52.01</v>
          </cell>
          <cell r="AA162">
            <v>8053180</v>
          </cell>
          <cell r="AB162">
            <v>0</v>
          </cell>
          <cell r="AC162">
            <v>0</v>
          </cell>
          <cell r="AD162">
            <v>77934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286</v>
          </cell>
          <cell r="AN162">
            <v>15404954</v>
          </cell>
          <cell r="AO162">
            <v>25950</v>
          </cell>
          <cell r="AP162">
            <v>25978</v>
          </cell>
          <cell r="AQ162">
            <v>108000</v>
          </cell>
          <cell r="AR162">
            <v>0</v>
          </cell>
          <cell r="AS162">
            <v>4.16</v>
          </cell>
          <cell r="AT162">
            <v>64368000</v>
          </cell>
          <cell r="AU162">
            <v>3.77</v>
          </cell>
          <cell r="AV162">
            <v>30357860</v>
          </cell>
          <cell r="AW162">
            <v>0</v>
          </cell>
          <cell r="AX162">
            <v>0</v>
          </cell>
          <cell r="AY162">
            <v>52.01</v>
          </cell>
          <cell r="AZ162">
            <v>0</v>
          </cell>
          <cell r="BA162">
            <v>310</v>
          </cell>
          <cell r="BB162">
            <v>0</v>
          </cell>
          <cell r="BC162">
            <v>310</v>
          </cell>
          <cell r="BD162">
            <v>0</v>
          </cell>
          <cell r="BE162">
            <v>0</v>
          </cell>
          <cell r="BF162">
            <v>28</v>
          </cell>
          <cell r="BG162">
            <v>1</v>
          </cell>
          <cell r="BH162">
            <v>1</v>
          </cell>
          <cell r="BI162">
            <v>18</v>
          </cell>
          <cell r="BJ162">
            <v>0</v>
          </cell>
          <cell r="BK162">
            <v>6</v>
          </cell>
          <cell r="BL162">
            <v>7</v>
          </cell>
          <cell r="BM162">
            <v>4</v>
          </cell>
          <cell r="BN162">
            <v>1</v>
          </cell>
          <cell r="BO162">
            <v>0</v>
          </cell>
          <cell r="BP162">
            <v>24</v>
          </cell>
          <cell r="BQ162">
            <v>0</v>
          </cell>
          <cell r="BR162">
            <v>7</v>
          </cell>
          <cell r="BS162">
            <v>8</v>
          </cell>
          <cell r="BT162">
            <v>5</v>
          </cell>
          <cell r="BU162">
            <v>4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70</v>
          </cell>
          <cell r="DN162">
            <v>0</v>
          </cell>
          <cell r="DO162">
            <v>3</v>
          </cell>
          <cell r="DP162">
            <v>11</v>
          </cell>
          <cell r="DQ162">
            <v>50</v>
          </cell>
          <cell r="DR162">
            <v>6</v>
          </cell>
          <cell r="DS162">
            <v>0</v>
          </cell>
          <cell r="DT162">
            <v>112</v>
          </cell>
          <cell r="DU162">
            <v>13</v>
          </cell>
          <cell r="DV162">
            <v>38</v>
          </cell>
          <cell r="DW162">
            <v>27</v>
          </cell>
          <cell r="DX162">
            <v>25</v>
          </cell>
          <cell r="DY162">
            <v>9</v>
          </cell>
          <cell r="DZ162">
            <v>0</v>
          </cell>
          <cell r="EA162">
            <v>75</v>
          </cell>
          <cell r="EB162">
            <v>7</v>
          </cell>
          <cell r="EC162">
            <v>43</v>
          </cell>
          <cell r="ED162">
            <v>7</v>
          </cell>
          <cell r="EE162">
            <v>4</v>
          </cell>
          <cell r="EF162">
            <v>14</v>
          </cell>
          <cell r="EG162">
            <v>0</v>
          </cell>
          <cell r="EH162">
            <v>11</v>
          </cell>
          <cell r="EI162">
            <v>5</v>
          </cell>
          <cell r="EJ162">
            <v>2</v>
          </cell>
          <cell r="EK162">
            <v>1</v>
          </cell>
          <cell r="EL162">
            <v>4</v>
          </cell>
          <cell r="EM162">
            <v>-1</v>
          </cell>
          <cell r="EN162">
            <v>0</v>
          </cell>
          <cell r="EO162" t="str">
            <v xml:space="preserve">Mans Dexter Vest                                            </v>
          </cell>
        </row>
        <row r="163">
          <cell r="A163" t="str">
            <v>CN3YM1851642</v>
          </cell>
          <cell r="B163" t="str">
            <v>CN3</v>
          </cell>
          <cell r="C163" t="str">
            <v>YM1851</v>
          </cell>
          <cell r="D163">
            <v>642</v>
          </cell>
          <cell r="E163" t="str">
            <v xml:space="preserve">   </v>
          </cell>
          <cell r="F163">
            <v>80910</v>
          </cell>
          <cell r="G163">
            <v>80910</v>
          </cell>
          <cell r="H163">
            <v>0</v>
          </cell>
          <cell r="I163">
            <v>400</v>
          </cell>
          <cell r="J163">
            <v>398</v>
          </cell>
          <cell r="K163">
            <v>398</v>
          </cell>
          <cell r="L163">
            <v>110</v>
          </cell>
          <cell r="M163">
            <v>110</v>
          </cell>
          <cell r="N163">
            <v>10380000</v>
          </cell>
          <cell r="O163">
            <v>10339244</v>
          </cell>
          <cell r="P163">
            <v>10339244</v>
          </cell>
          <cell r="Q163">
            <v>2857580</v>
          </cell>
          <cell r="R163">
            <v>10964060</v>
          </cell>
          <cell r="S163" t="str">
            <v xml:space="preserve"> </v>
          </cell>
          <cell r="T163" t="str">
            <v xml:space="preserve"> </v>
          </cell>
          <cell r="U163">
            <v>398</v>
          </cell>
          <cell r="V163">
            <v>10339244</v>
          </cell>
          <cell r="W163">
            <v>110</v>
          </cell>
          <cell r="X163">
            <v>2857580</v>
          </cell>
          <cell r="Y163">
            <v>27.64</v>
          </cell>
          <cell r="Z163">
            <v>27.64</v>
          </cell>
          <cell r="AA163">
            <v>2857580</v>
          </cell>
          <cell r="AB163">
            <v>0</v>
          </cell>
          <cell r="AC163">
            <v>0</v>
          </cell>
          <cell r="AD163">
            <v>51956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288</v>
          </cell>
          <cell r="AN163">
            <v>15041262</v>
          </cell>
          <cell r="AO163">
            <v>25950</v>
          </cell>
          <cell r="AP163">
            <v>25978</v>
          </cell>
          <cell r="AQ163">
            <v>108000</v>
          </cell>
          <cell r="AR163">
            <v>0</v>
          </cell>
          <cell r="AS163">
            <v>4.16</v>
          </cell>
          <cell r="AT163">
            <v>42984000</v>
          </cell>
          <cell r="AU163">
            <v>3.84</v>
          </cell>
          <cell r="AV163">
            <v>10964060</v>
          </cell>
          <cell r="AW163">
            <v>0</v>
          </cell>
          <cell r="AX163">
            <v>0</v>
          </cell>
          <cell r="AY163">
            <v>27.64</v>
          </cell>
          <cell r="AZ163">
            <v>0</v>
          </cell>
          <cell r="BA163">
            <v>110</v>
          </cell>
          <cell r="BB163">
            <v>0</v>
          </cell>
          <cell r="BC163">
            <v>110</v>
          </cell>
          <cell r="BD163">
            <v>0</v>
          </cell>
          <cell r="BE163">
            <v>0</v>
          </cell>
          <cell r="BF163">
            <v>9</v>
          </cell>
          <cell r="BG163">
            <v>0</v>
          </cell>
          <cell r="BH163">
            <v>1</v>
          </cell>
          <cell r="BI163">
            <v>5</v>
          </cell>
          <cell r="BJ163">
            <v>2</v>
          </cell>
          <cell r="BK163">
            <v>1</v>
          </cell>
          <cell r="BL163">
            <v>0</v>
          </cell>
          <cell r="BM163">
            <v>2</v>
          </cell>
          <cell r="BN163">
            <v>0</v>
          </cell>
          <cell r="BO163">
            <v>0</v>
          </cell>
          <cell r="BP163">
            <v>5</v>
          </cell>
          <cell r="BQ163">
            <v>0</v>
          </cell>
          <cell r="BR163">
            <v>1</v>
          </cell>
          <cell r="BS163">
            <v>3</v>
          </cell>
          <cell r="BT163">
            <v>2</v>
          </cell>
          <cell r="BU163">
            <v>-1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28</v>
          </cell>
          <cell r="DN163">
            <v>0</v>
          </cell>
          <cell r="DO163">
            <v>5</v>
          </cell>
          <cell r="DP163">
            <v>7</v>
          </cell>
          <cell r="DQ163">
            <v>15</v>
          </cell>
          <cell r="DR163">
            <v>1</v>
          </cell>
          <cell r="DS163">
            <v>0</v>
          </cell>
          <cell r="DT163">
            <v>56</v>
          </cell>
          <cell r="DU163">
            <v>9</v>
          </cell>
          <cell r="DV163">
            <v>15</v>
          </cell>
          <cell r="DW163">
            <v>14</v>
          </cell>
          <cell r="DX163">
            <v>12</v>
          </cell>
          <cell r="DY163">
            <v>6</v>
          </cell>
          <cell r="DZ163">
            <v>0</v>
          </cell>
          <cell r="EA163">
            <v>12</v>
          </cell>
          <cell r="EB163">
            <v>0</v>
          </cell>
          <cell r="EC163">
            <v>6</v>
          </cell>
          <cell r="ED163">
            <v>3</v>
          </cell>
          <cell r="EE163">
            <v>3</v>
          </cell>
          <cell r="EF163">
            <v>0</v>
          </cell>
          <cell r="EG163">
            <v>0</v>
          </cell>
          <cell r="EH163">
            <v>4</v>
          </cell>
          <cell r="EI163">
            <v>2</v>
          </cell>
          <cell r="EJ163">
            <v>1</v>
          </cell>
          <cell r="EK163">
            <v>0</v>
          </cell>
          <cell r="EL163">
            <v>1</v>
          </cell>
          <cell r="EM163">
            <v>0</v>
          </cell>
          <cell r="EN163">
            <v>0</v>
          </cell>
          <cell r="EO163" t="str">
            <v xml:space="preserve">Mans Dexter Vest                                            </v>
          </cell>
        </row>
        <row r="164">
          <cell r="A164" t="str">
            <v>CN3YM1853009</v>
          </cell>
          <cell r="B164" t="str">
            <v>CN3</v>
          </cell>
          <cell r="C164" t="str">
            <v>YM1853</v>
          </cell>
          <cell r="D164">
            <v>9</v>
          </cell>
          <cell r="E164" t="str">
            <v xml:space="preserve">   </v>
          </cell>
          <cell r="F164">
            <v>81001</v>
          </cell>
          <cell r="G164">
            <v>81001</v>
          </cell>
          <cell r="H164">
            <v>0</v>
          </cell>
          <cell r="I164">
            <v>300</v>
          </cell>
          <cell r="J164">
            <v>572</v>
          </cell>
          <cell r="K164">
            <v>572</v>
          </cell>
          <cell r="L164">
            <v>254</v>
          </cell>
          <cell r="M164">
            <v>254</v>
          </cell>
          <cell r="N164">
            <v>9795000</v>
          </cell>
          <cell r="O164">
            <v>17941924</v>
          </cell>
          <cell r="P164">
            <v>17941924</v>
          </cell>
          <cell r="Q164">
            <v>7967218</v>
          </cell>
          <cell r="R164">
            <v>32770100</v>
          </cell>
          <cell r="S164" t="str">
            <v xml:space="preserve"> </v>
          </cell>
          <cell r="T164" t="str">
            <v xml:space="preserve"> </v>
          </cell>
          <cell r="U164">
            <v>572</v>
          </cell>
          <cell r="V164">
            <v>17941924</v>
          </cell>
          <cell r="W164">
            <v>254</v>
          </cell>
          <cell r="X164">
            <v>7967218</v>
          </cell>
          <cell r="Y164">
            <v>44.58</v>
          </cell>
          <cell r="Z164">
            <v>44.76</v>
          </cell>
          <cell r="AA164">
            <v>7967218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1</v>
          </cell>
          <cell r="AL164">
            <v>62734</v>
          </cell>
          <cell r="AM164">
            <v>317</v>
          </cell>
          <cell r="AN164">
            <v>20796321</v>
          </cell>
          <cell r="AO164">
            <v>32650</v>
          </cell>
          <cell r="AP164">
            <v>31367</v>
          </cell>
          <cell r="AQ164">
            <v>138000</v>
          </cell>
          <cell r="AR164">
            <v>0</v>
          </cell>
          <cell r="AS164">
            <v>4.4000000000000004</v>
          </cell>
          <cell r="AT164">
            <v>78936000</v>
          </cell>
          <cell r="AU164">
            <v>4.1100000000000003</v>
          </cell>
          <cell r="AV164">
            <v>32770100</v>
          </cell>
          <cell r="AW164">
            <v>0</v>
          </cell>
          <cell r="AX164">
            <v>0</v>
          </cell>
          <cell r="AY164">
            <v>44.58</v>
          </cell>
          <cell r="AZ164">
            <v>0</v>
          </cell>
          <cell r="BA164">
            <v>254</v>
          </cell>
          <cell r="BB164">
            <v>0</v>
          </cell>
          <cell r="BC164">
            <v>254</v>
          </cell>
          <cell r="BD164">
            <v>0</v>
          </cell>
          <cell r="BE164">
            <v>0</v>
          </cell>
          <cell r="BF164">
            <v>39</v>
          </cell>
          <cell r="BG164">
            <v>1</v>
          </cell>
          <cell r="BH164">
            <v>1</v>
          </cell>
          <cell r="BI164">
            <v>55</v>
          </cell>
          <cell r="BJ164">
            <v>8</v>
          </cell>
          <cell r="BK164">
            <v>13</v>
          </cell>
          <cell r="BL164">
            <v>15</v>
          </cell>
          <cell r="BM164">
            <v>14</v>
          </cell>
          <cell r="BN164">
            <v>5</v>
          </cell>
          <cell r="BO164">
            <v>0</v>
          </cell>
          <cell r="BP164">
            <v>29</v>
          </cell>
          <cell r="BQ164">
            <v>2</v>
          </cell>
          <cell r="BR164">
            <v>6</v>
          </cell>
          <cell r="BS164">
            <v>7</v>
          </cell>
          <cell r="BT164">
            <v>11</v>
          </cell>
          <cell r="BU164">
            <v>3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58</v>
          </cell>
          <cell r="DU164">
            <v>9</v>
          </cell>
          <cell r="DV164">
            <v>19</v>
          </cell>
          <cell r="DW164">
            <v>11</v>
          </cell>
          <cell r="DX164">
            <v>10</v>
          </cell>
          <cell r="DY164">
            <v>9</v>
          </cell>
          <cell r="DZ164">
            <v>0</v>
          </cell>
          <cell r="EA164">
            <v>67</v>
          </cell>
          <cell r="EB164">
            <v>10</v>
          </cell>
          <cell r="EC164">
            <v>22</v>
          </cell>
          <cell r="ED164">
            <v>11</v>
          </cell>
          <cell r="EE164">
            <v>13</v>
          </cell>
          <cell r="EF164">
            <v>11</v>
          </cell>
          <cell r="EG164">
            <v>0</v>
          </cell>
          <cell r="EH164">
            <v>45</v>
          </cell>
          <cell r="EI164">
            <v>12</v>
          </cell>
          <cell r="EJ164">
            <v>10</v>
          </cell>
          <cell r="EK164">
            <v>10</v>
          </cell>
          <cell r="EL164">
            <v>11</v>
          </cell>
          <cell r="EM164">
            <v>2</v>
          </cell>
          <cell r="EN164">
            <v>0</v>
          </cell>
          <cell r="EO164" t="str">
            <v xml:space="preserve"> MENS METHUEN VEST                                          </v>
          </cell>
        </row>
        <row r="165">
          <cell r="A165" t="str">
            <v>CN3YM1853407</v>
          </cell>
          <cell r="B165" t="str">
            <v>CN3</v>
          </cell>
          <cell r="C165" t="str">
            <v>YM1853</v>
          </cell>
          <cell r="D165">
            <v>407</v>
          </cell>
          <cell r="E165" t="str">
            <v xml:space="preserve">   </v>
          </cell>
          <cell r="F165">
            <v>81001</v>
          </cell>
          <cell r="G165">
            <v>81001</v>
          </cell>
          <cell r="H165">
            <v>0</v>
          </cell>
          <cell r="I165">
            <v>600</v>
          </cell>
          <cell r="J165">
            <v>820</v>
          </cell>
          <cell r="K165">
            <v>820</v>
          </cell>
          <cell r="L165">
            <v>653</v>
          </cell>
          <cell r="M165">
            <v>653</v>
          </cell>
          <cell r="N165">
            <v>19590000</v>
          </cell>
          <cell r="O165">
            <v>25720940</v>
          </cell>
          <cell r="P165">
            <v>25720940</v>
          </cell>
          <cell r="Q165">
            <v>20482651</v>
          </cell>
          <cell r="R165">
            <v>80484730</v>
          </cell>
          <cell r="S165" t="str">
            <v xml:space="preserve"> </v>
          </cell>
          <cell r="T165" t="str">
            <v xml:space="preserve"> </v>
          </cell>
          <cell r="U165">
            <v>820</v>
          </cell>
          <cell r="V165">
            <v>25720940</v>
          </cell>
          <cell r="W165">
            <v>653</v>
          </cell>
          <cell r="X165">
            <v>20482651</v>
          </cell>
          <cell r="Y165">
            <v>79.760000000000005</v>
          </cell>
          <cell r="Z165">
            <v>79.88</v>
          </cell>
          <cell r="AA165">
            <v>20419917</v>
          </cell>
          <cell r="AB165">
            <v>62734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1</v>
          </cell>
          <cell r="AL165">
            <v>62734</v>
          </cell>
          <cell r="AM165">
            <v>166</v>
          </cell>
          <cell r="AN165">
            <v>11323487</v>
          </cell>
          <cell r="AO165">
            <v>32650</v>
          </cell>
          <cell r="AP165">
            <v>31367</v>
          </cell>
          <cell r="AQ165">
            <v>138000</v>
          </cell>
          <cell r="AR165">
            <v>0</v>
          </cell>
          <cell r="AS165">
            <v>4.4000000000000004</v>
          </cell>
          <cell r="AT165">
            <v>113160000</v>
          </cell>
          <cell r="AU165">
            <v>3.94</v>
          </cell>
          <cell r="AV165">
            <v>80471012</v>
          </cell>
          <cell r="AW165">
            <v>0.22</v>
          </cell>
          <cell r="AX165">
            <v>13718</v>
          </cell>
          <cell r="AY165">
            <v>79.760000000000005</v>
          </cell>
          <cell r="AZ165">
            <v>0</v>
          </cell>
          <cell r="BA165">
            <v>651</v>
          </cell>
          <cell r="BB165">
            <v>2</v>
          </cell>
          <cell r="BC165">
            <v>653</v>
          </cell>
          <cell r="BD165">
            <v>0</v>
          </cell>
          <cell r="BE165">
            <v>0</v>
          </cell>
          <cell r="BF165">
            <v>95</v>
          </cell>
          <cell r="BG165">
            <v>0</v>
          </cell>
          <cell r="BH165">
            <v>1</v>
          </cell>
          <cell r="BI165">
            <v>242</v>
          </cell>
          <cell r="BJ165">
            <v>13</v>
          </cell>
          <cell r="BK165">
            <v>18</v>
          </cell>
          <cell r="BL165">
            <v>194</v>
          </cell>
          <cell r="BM165">
            <v>16</v>
          </cell>
          <cell r="BN165">
            <v>1</v>
          </cell>
          <cell r="BO165">
            <v>0</v>
          </cell>
          <cell r="BP165">
            <v>29</v>
          </cell>
          <cell r="BQ165">
            <v>2</v>
          </cell>
          <cell r="BR165">
            <v>19</v>
          </cell>
          <cell r="BS165">
            <v>0</v>
          </cell>
          <cell r="BT165">
            <v>13</v>
          </cell>
          <cell r="BU165">
            <v>-5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132</v>
          </cell>
          <cell r="DU165">
            <v>15</v>
          </cell>
          <cell r="DV165">
            <v>21</v>
          </cell>
          <cell r="DW165">
            <v>24</v>
          </cell>
          <cell r="DX165">
            <v>43</v>
          </cell>
          <cell r="DY165">
            <v>29</v>
          </cell>
          <cell r="DZ165">
            <v>0</v>
          </cell>
          <cell r="EA165">
            <v>153</v>
          </cell>
          <cell r="EB165">
            <v>18</v>
          </cell>
          <cell r="EC165">
            <v>48</v>
          </cell>
          <cell r="ED165">
            <v>34</v>
          </cell>
          <cell r="EE165">
            <v>25</v>
          </cell>
          <cell r="EF165">
            <v>28</v>
          </cell>
          <cell r="EG165">
            <v>0</v>
          </cell>
          <cell r="EH165">
            <v>97</v>
          </cell>
          <cell r="EI165">
            <v>24</v>
          </cell>
          <cell r="EJ165">
            <v>19</v>
          </cell>
          <cell r="EK165">
            <v>20</v>
          </cell>
          <cell r="EL165">
            <v>24</v>
          </cell>
          <cell r="EM165">
            <v>10</v>
          </cell>
          <cell r="EN165">
            <v>0</v>
          </cell>
          <cell r="EO165" t="str">
            <v xml:space="preserve"> MENS METHUEN VEST                                          </v>
          </cell>
        </row>
        <row r="166">
          <cell r="A166" t="str">
            <v>CN3YM1853855</v>
          </cell>
          <cell r="B166" t="str">
            <v>CN3</v>
          </cell>
          <cell r="C166" t="str">
            <v>YM1853</v>
          </cell>
          <cell r="D166">
            <v>855</v>
          </cell>
          <cell r="E166" t="str">
            <v xml:space="preserve">   </v>
          </cell>
          <cell r="F166">
            <v>81001</v>
          </cell>
          <cell r="G166">
            <v>81001</v>
          </cell>
          <cell r="H166">
            <v>0</v>
          </cell>
          <cell r="I166">
            <v>300</v>
          </cell>
          <cell r="J166">
            <v>408</v>
          </cell>
          <cell r="K166">
            <v>408</v>
          </cell>
          <cell r="L166">
            <v>213</v>
          </cell>
          <cell r="M166">
            <v>213</v>
          </cell>
          <cell r="N166">
            <v>9795000</v>
          </cell>
          <cell r="O166">
            <v>12797736</v>
          </cell>
          <cell r="P166">
            <v>12797736</v>
          </cell>
          <cell r="Q166">
            <v>6681171</v>
          </cell>
          <cell r="R166">
            <v>27269832</v>
          </cell>
          <cell r="S166" t="str">
            <v xml:space="preserve"> </v>
          </cell>
          <cell r="T166" t="str">
            <v xml:space="preserve"> </v>
          </cell>
          <cell r="U166">
            <v>408</v>
          </cell>
          <cell r="V166">
            <v>12797736</v>
          </cell>
          <cell r="W166">
            <v>213</v>
          </cell>
          <cell r="X166">
            <v>6681171</v>
          </cell>
          <cell r="Y166">
            <v>52.21</v>
          </cell>
          <cell r="Z166">
            <v>52.21</v>
          </cell>
          <cell r="AA166">
            <v>6681171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195</v>
          </cell>
          <cell r="AN166">
            <v>12484066</v>
          </cell>
          <cell r="AO166">
            <v>32650</v>
          </cell>
          <cell r="AP166">
            <v>31367</v>
          </cell>
          <cell r="AQ166">
            <v>138000</v>
          </cell>
          <cell r="AR166">
            <v>0</v>
          </cell>
          <cell r="AS166">
            <v>4.4000000000000004</v>
          </cell>
          <cell r="AT166">
            <v>56304000</v>
          </cell>
          <cell r="AU166">
            <v>4.08</v>
          </cell>
          <cell r="AV166">
            <v>27269832</v>
          </cell>
          <cell r="AW166">
            <v>0</v>
          </cell>
          <cell r="AX166">
            <v>0</v>
          </cell>
          <cell r="AY166">
            <v>52.21</v>
          </cell>
          <cell r="AZ166">
            <v>0</v>
          </cell>
          <cell r="BA166">
            <v>213</v>
          </cell>
          <cell r="BB166">
            <v>0</v>
          </cell>
          <cell r="BC166">
            <v>213</v>
          </cell>
          <cell r="BD166">
            <v>0</v>
          </cell>
          <cell r="BE166">
            <v>0</v>
          </cell>
          <cell r="BF166">
            <v>18</v>
          </cell>
          <cell r="BG166">
            <v>0</v>
          </cell>
          <cell r="BH166">
            <v>1</v>
          </cell>
          <cell r="BI166">
            <v>37</v>
          </cell>
          <cell r="BJ166">
            <v>9</v>
          </cell>
          <cell r="BK166">
            <v>9</v>
          </cell>
          <cell r="BL166">
            <v>10</v>
          </cell>
          <cell r="BM166">
            <v>5</v>
          </cell>
          <cell r="BN166">
            <v>4</v>
          </cell>
          <cell r="BO166">
            <v>0</v>
          </cell>
          <cell r="BP166">
            <v>8</v>
          </cell>
          <cell r="BQ166">
            <v>1</v>
          </cell>
          <cell r="BR166">
            <v>0</v>
          </cell>
          <cell r="BS166">
            <v>3</v>
          </cell>
          <cell r="BT166">
            <v>4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62</v>
          </cell>
          <cell r="DU166">
            <v>8</v>
          </cell>
          <cell r="DV166">
            <v>12</v>
          </cell>
          <cell r="DW166">
            <v>13</v>
          </cell>
          <cell r="DX166">
            <v>17</v>
          </cell>
          <cell r="DY166">
            <v>12</v>
          </cell>
          <cell r="DZ166">
            <v>0</v>
          </cell>
          <cell r="EA166">
            <v>66</v>
          </cell>
          <cell r="EB166">
            <v>7</v>
          </cell>
          <cell r="EC166">
            <v>20</v>
          </cell>
          <cell r="ED166">
            <v>16</v>
          </cell>
          <cell r="EE166">
            <v>9</v>
          </cell>
          <cell r="EF166">
            <v>14</v>
          </cell>
          <cell r="EG166">
            <v>0</v>
          </cell>
          <cell r="EH166">
            <v>40</v>
          </cell>
          <cell r="EI166">
            <v>4</v>
          </cell>
          <cell r="EJ166">
            <v>14</v>
          </cell>
          <cell r="EK166">
            <v>8</v>
          </cell>
          <cell r="EL166">
            <v>9</v>
          </cell>
          <cell r="EM166">
            <v>5</v>
          </cell>
          <cell r="EN166">
            <v>0</v>
          </cell>
          <cell r="EO166" t="str">
            <v xml:space="preserve"> MENS METHUEN VEST                                          </v>
          </cell>
        </row>
        <row r="167">
          <cell r="A167" t="str">
            <v>CN3YM1854010</v>
          </cell>
          <cell r="B167" t="str">
            <v>CN3</v>
          </cell>
          <cell r="C167" t="str">
            <v>YM1854</v>
          </cell>
          <cell r="D167">
            <v>10</v>
          </cell>
          <cell r="E167" t="str">
            <v xml:space="preserve">   </v>
          </cell>
          <cell r="F167">
            <v>80916</v>
          </cell>
          <cell r="G167">
            <v>80917</v>
          </cell>
          <cell r="H167">
            <v>90107</v>
          </cell>
          <cell r="I167">
            <v>600</v>
          </cell>
          <cell r="J167">
            <v>601</v>
          </cell>
          <cell r="K167">
            <v>587</v>
          </cell>
          <cell r="L167">
            <v>241</v>
          </cell>
          <cell r="M167">
            <v>241</v>
          </cell>
          <cell r="N167">
            <v>15690000</v>
          </cell>
          <cell r="O167">
            <v>15700524</v>
          </cell>
          <cell r="P167">
            <v>15334788</v>
          </cell>
          <cell r="Q167">
            <v>6295884</v>
          </cell>
          <cell r="R167">
            <v>22023300</v>
          </cell>
          <cell r="S167" t="str">
            <v>*</v>
          </cell>
          <cell r="T167" t="str">
            <v xml:space="preserve"> </v>
          </cell>
          <cell r="U167">
            <v>601</v>
          </cell>
          <cell r="V167">
            <v>15700524</v>
          </cell>
          <cell r="W167">
            <v>241</v>
          </cell>
          <cell r="X167">
            <v>6295884</v>
          </cell>
          <cell r="Y167">
            <v>40.1</v>
          </cell>
          <cell r="Z167">
            <v>40.1</v>
          </cell>
          <cell r="AA167">
            <v>3448368</v>
          </cell>
          <cell r="AB167">
            <v>2847516</v>
          </cell>
          <cell r="AC167">
            <v>14</v>
          </cell>
          <cell r="AD167">
            <v>888216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346</v>
          </cell>
          <cell r="AN167">
            <v>19044396</v>
          </cell>
          <cell r="AO167">
            <v>26150</v>
          </cell>
          <cell r="AP167">
            <v>26124</v>
          </cell>
          <cell r="AQ167">
            <v>118000</v>
          </cell>
          <cell r="AR167">
            <v>70000</v>
          </cell>
          <cell r="AS167">
            <v>4.5199999999999996</v>
          </cell>
          <cell r="AT167">
            <v>70918000</v>
          </cell>
          <cell r="AU167">
            <v>4.17</v>
          </cell>
          <cell r="AV167">
            <v>14393300</v>
          </cell>
          <cell r="AW167">
            <v>2.68</v>
          </cell>
          <cell r="AX167">
            <v>7630000</v>
          </cell>
          <cell r="AY167">
            <v>40.1</v>
          </cell>
          <cell r="AZ167">
            <v>0</v>
          </cell>
          <cell r="BA167">
            <v>132</v>
          </cell>
          <cell r="BB167">
            <v>109</v>
          </cell>
          <cell r="BC167">
            <v>241</v>
          </cell>
          <cell r="BD167">
            <v>0</v>
          </cell>
          <cell r="BE167">
            <v>0</v>
          </cell>
          <cell r="BF167">
            <v>61</v>
          </cell>
          <cell r="BG167">
            <v>1</v>
          </cell>
          <cell r="BH167">
            <v>1</v>
          </cell>
          <cell r="BI167">
            <v>70</v>
          </cell>
          <cell r="BJ167">
            <v>4</v>
          </cell>
          <cell r="BK167">
            <v>20</v>
          </cell>
          <cell r="BL167">
            <v>15</v>
          </cell>
          <cell r="BM167">
            <v>12</v>
          </cell>
          <cell r="BN167">
            <v>19</v>
          </cell>
          <cell r="BO167">
            <v>0</v>
          </cell>
          <cell r="BP167">
            <v>43</v>
          </cell>
          <cell r="BQ167">
            <v>-1</v>
          </cell>
          <cell r="BR167">
            <v>15</v>
          </cell>
          <cell r="BS167">
            <v>10</v>
          </cell>
          <cell r="BT167">
            <v>13</v>
          </cell>
          <cell r="BU167">
            <v>6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27</v>
          </cell>
          <cell r="DN167">
            <v>0</v>
          </cell>
          <cell r="DO167">
            <v>0</v>
          </cell>
          <cell r="DP167">
            <v>5</v>
          </cell>
          <cell r="DQ167">
            <v>21</v>
          </cell>
          <cell r="DR167">
            <v>1</v>
          </cell>
          <cell r="DS167">
            <v>0</v>
          </cell>
          <cell r="DT167">
            <v>38</v>
          </cell>
          <cell r="DU167">
            <v>6</v>
          </cell>
          <cell r="DV167">
            <v>6</v>
          </cell>
          <cell r="DW167">
            <v>7</v>
          </cell>
          <cell r="DX167">
            <v>12</v>
          </cell>
          <cell r="DY167">
            <v>7</v>
          </cell>
          <cell r="DZ167">
            <v>0</v>
          </cell>
          <cell r="EA167">
            <v>35</v>
          </cell>
          <cell r="EB167">
            <v>8</v>
          </cell>
          <cell r="EC167">
            <v>16</v>
          </cell>
          <cell r="ED167">
            <v>3</v>
          </cell>
          <cell r="EE167">
            <v>4</v>
          </cell>
          <cell r="EF167">
            <v>4</v>
          </cell>
          <cell r="EG167">
            <v>0</v>
          </cell>
          <cell r="EH167">
            <v>28</v>
          </cell>
          <cell r="EI167">
            <v>7</v>
          </cell>
          <cell r="EJ167">
            <v>5</v>
          </cell>
          <cell r="EK167">
            <v>8</v>
          </cell>
          <cell r="EL167">
            <v>5</v>
          </cell>
          <cell r="EM167">
            <v>3</v>
          </cell>
          <cell r="EN167">
            <v>0</v>
          </cell>
          <cell r="EO167" t="str">
            <v xml:space="preserve">Mans Neskowin Vest                                          </v>
          </cell>
        </row>
        <row r="168">
          <cell r="A168" t="str">
            <v>CN3YM1855010</v>
          </cell>
          <cell r="B168" t="str">
            <v>CN3</v>
          </cell>
          <cell r="C168" t="str">
            <v>YM1855</v>
          </cell>
          <cell r="D168">
            <v>10</v>
          </cell>
          <cell r="E168" t="str">
            <v xml:space="preserve">   </v>
          </cell>
          <cell r="F168">
            <v>80909</v>
          </cell>
          <cell r="G168">
            <v>80909</v>
          </cell>
          <cell r="H168">
            <v>90130</v>
          </cell>
          <cell r="I168">
            <v>600</v>
          </cell>
          <cell r="J168">
            <v>605</v>
          </cell>
          <cell r="K168">
            <v>591</v>
          </cell>
          <cell r="L168">
            <v>270</v>
          </cell>
          <cell r="M168">
            <v>270</v>
          </cell>
          <cell r="N168">
            <v>15955200</v>
          </cell>
          <cell r="O168">
            <v>16015560</v>
          </cell>
          <cell r="P168">
            <v>15644952</v>
          </cell>
          <cell r="Q168">
            <v>7147440</v>
          </cell>
          <cell r="R168">
            <v>27143300</v>
          </cell>
          <cell r="S168" t="str">
            <v>*</v>
          </cell>
          <cell r="T168" t="str">
            <v xml:space="preserve"> </v>
          </cell>
          <cell r="U168">
            <v>605</v>
          </cell>
          <cell r="V168">
            <v>16015560</v>
          </cell>
          <cell r="W168">
            <v>270</v>
          </cell>
          <cell r="X168">
            <v>7147440</v>
          </cell>
          <cell r="Y168">
            <v>44.63</v>
          </cell>
          <cell r="Z168">
            <v>44.63</v>
          </cell>
          <cell r="AA168">
            <v>5638536</v>
          </cell>
          <cell r="AB168">
            <v>1508904</v>
          </cell>
          <cell r="AC168">
            <v>14</v>
          </cell>
          <cell r="AD168">
            <v>370608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321</v>
          </cell>
          <cell r="AN168">
            <v>18662760</v>
          </cell>
          <cell r="AO168">
            <v>26592</v>
          </cell>
          <cell r="AP168">
            <v>26472</v>
          </cell>
          <cell r="AQ168">
            <v>118000</v>
          </cell>
          <cell r="AR168">
            <v>71000</v>
          </cell>
          <cell r="AS168">
            <v>4.46</v>
          </cell>
          <cell r="AT168">
            <v>71390000</v>
          </cell>
          <cell r="AU168">
            <v>4.0999999999999996</v>
          </cell>
          <cell r="AV168">
            <v>23096300</v>
          </cell>
          <cell r="AW168">
            <v>2.68</v>
          </cell>
          <cell r="AX168">
            <v>4047000</v>
          </cell>
          <cell r="AY168">
            <v>44.63</v>
          </cell>
          <cell r="AZ168">
            <v>0</v>
          </cell>
          <cell r="BA168">
            <v>213</v>
          </cell>
          <cell r="BB168">
            <v>57</v>
          </cell>
          <cell r="BC168">
            <v>270</v>
          </cell>
          <cell r="BD168">
            <v>0</v>
          </cell>
          <cell r="BE168">
            <v>0</v>
          </cell>
          <cell r="BF168">
            <v>67</v>
          </cell>
          <cell r="BG168">
            <v>1</v>
          </cell>
          <cell r="BH168">
            <v>1</v>
          </cell>
          <cell r="BI168">
            <v>49</v>
          </cell>
          <cell r="BJ168">
            <v>7</v>
          </cell>
          <cell r="BK168">
            <v>16</v>
          </cell>
          <cell r="BL168">
            <v>8</v>
          </cell>
          <cell r="BM168">
            <v>8</v>
          </cell>
          <cell r="BN168">
            <v>10</v>
          </cell>
          <cell r="BO168">
            <v>0</v>
          </cell>
          <cell r="BP168">
            <v>49</v>
          </cell>
          <cell r="BQ168">
            <v>5</v>
          </cell>
          <cell r="BR168">
            <v>15</v>
          </cell>
          <cell r="BS168">
            <v>11</v>
          </cell>
          <cell r="BT168">
            <v>17</v>
          </cell>
          <cell r="BU168">
            <v>1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36</v>
          </cell>
          <cell r="DN168">
            <v>0</v>
          </cell>
          <cell r="DO168">
            <v>3</v>
          </cell>
          <cell r="DP168">
            <v>2</v>
          </cell>
          <cell r="DQ168">
            <v>28</v>
          </cell>
          <cell r="DR168">
            <v>3</v>
          </cell>
          <cell r="DS168">
            <v>0</v>
          </cell>
          <cell r="DT168">
            <v>38</v>
          </cell>
          <cell r="DU168">
            <v>4</v>
          </cell>
          <cell r="DV168">
            <v>5</v>
          </cell>
          <cell r="DW168">
            <v>9</v>
          </cell>
          <cell r="DX168">
            <v>10</v>
          </cell>
          <cell r="DY168">
            <v>10</v>
          </cell>
          <cell r="DZ168">
            <v>0</v>
          </cell>
          <cell r="EA168">
            <v>55</v>
          </cell>
          <cell r="EB168">
            <v>11</v>
          </cell>
          <cell r="EC168">
            <v>11</v>
          </cell>
          <cell r="ED168">
            <v>8</v>
          </cell>
          <cell r="EE168">
            <v>11</v>
          </cell>
          <cell r="EF168">
            <v>14</v>
          </cell>
          <cell r="EG168">
            <v>0</v>
          </cell>
          <cell r="EH168">
            <v>43</v>
          </cell>
          <cell r="EI168">
            <v>14</v>
          </cell>
          <cell r="EJ168">
            <v>6</v>
          </cell>
          <cell r="EK168">
            <v>6</v>
          </cell>
          <cell r="EL168">
            <v>12</v>
          </cell>
          <cell r="EM168">
            <v>5</v>
          </cell>
          <cell r="EN168">
            <v>0</v>
          </cell>
          <cell r="EO168" t="str">
            <v xml:space="preserve"> MENS VERBENA VEST                                          </v>
          </cell>
        </row>
        <row r="169">
          <cell r="A169" t="str">
            <v>CN3YM1855400</v>
          </cell>
          <cell r="B169" t="str">
            <v>CN3</v>
          </cell>
          <cell r="C169" t="str">
            <v>YM1855</v>
          </cell>
          <cell r="D169">
            <v>400</v>
          </cell>
          <cell r="E169" t="str">
            <v xml:space="preserve">   </v>
          </cell>
          <cell r="F169">
            <v>80909</v>
          </cell>
          <cell r="G169">
            <v>80909</v>
          </cell>
          <cell r="H169">
            <v>90130</v>
          </cell>
          <cell r="I169">
            <v>600</v>
          </cell>
          <cell r="J169">
            <v>611</v>
          </cell>
          <cell r="K169">
            <v>600</v>
          </cell>
          <cell r="L169">
            <v>176</v>
          </cell>
          <cell r="M169">
            <v>176</v>
          </cell>
          <cell r="N169">
            <v>15955200</v>
          </cell>
          <cell r="O169">
            <v>16174392</v>
          </cell>
          <cell r="P169">
            <v>15883200</v>
          </cell>
          <cell r="Q169">
            <v>4659072</v>
          </cell>
          <cell r="R169">
            <v>16559800</v>
          </cell>
          <cell r="S169" t="str">
            <v>*</v>
          </cell>
          <cell r="T169" t="str">
            <v xml:space="preserve"> </v>
          </cell>
          <cell r="U169">
            <v>611</v>
          </cell>
          <cell r="V169">
            <v>16174392</v>
          </cell>
          <cell r="W169">
            <v>176</v>
          </cell>
          <cell r="X169">
            <v>4659072</v>
          </cell>
          <cell r="Y169">
            <v>28.81</v>
          </cell>
          <cell r="Z169">
            <v>28.81</v>
          </cell>
          <cell r="AA169">
            <v>3309000</v>
          </cell>
          <cell r="AB169">
            <v>1350072</v>
          </cell>
          <cell r="AC169">
            <v>11</v>
          </cell>
          <cell r="AD169">
            <v>582384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424</v>
          </cell>
          <cell r="AN169">
            <v>23586552</v>
          </cell>
          <cell r="AO169">
            <v>26592</v>
          </cell>
          <cell r="AP169">
            <v>26472</v>
          </cell>
          <cell r="AQ169">
            <v>118000</v>
          </cell>
          <cell r="AR169">
            <v>71000</v>
          </cell>
          <cell r="AS169">
            <v>4.46</v>
          </cell>
          <cell r="AT169">
            <v>72098000</v>
          </cell>
          <cell r="AU169">
            <v>3.91</v>
          </cell>
          <cell r="AV169">
            <v>12938800</v>
          </cell>
          <cell r="AW169">
            <v>2.68</v>
          </cell>
          <cell r="AX169">
            <v>3621000</v>
          </cell>
          <cell r="AY169">
            <v>28.81</v>
          </cell>
          <cell r="AZ169">
            <v>0</v>
          </cell>
          <cell r="BA169">
            <v>125</v>
          </cell>
          <cell r="BB169">
            <v>51</v>
          </cell>
          <cell r="BC169">
            <v>176</v>
          </cell>
          <cell r="BD169">
            <v>0</v>
          </cell>
          <cell r="BE169">
            <v>0</v>
          </cell>
          <cell r="BF169">
            <v>61</v>
          </cell>
          <cell r="BG169">
            <v>0</v>
          </cell>
          <cell r="BH169">
            <v>1</v>
          </cell>
          <cell r="BI169">
            <v>26</v>
          </cell>
          <cell r="BJ169">
            <v>2</v>
          </cell>
          <cell r="BK169">
            <v>5</v>
          </cell>
          <cell r="BL169">
            <v>4</v>
          </cell>
          <cell r="BM169">
            <v>7</v>
          </cell>
          <cell r="BN169">
            <v>8</v>
          </cell>
          <cell r="BO169">
            <v>0</v>
          </cell>
          <cell r="BP169">
            <v>43</v>
          </cell>
          <cell r="BQ169">
            <v>4</v>
          </cell>
          <cell r="BR169">
            <v>18</v>
          </cell>
          <cell r="BS169">
            <v>9</v>
          </cell>
          <cell r="BT169">
            <v>9</v>
          </cell>
          <cell r="BU169">
            <v>3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25</v>
          </cell>
          <cell r="DN169">
            <v>0</v>
          </cell>
          <cell r="DO169">
            <v>2</v>
          </cell>
          <cell r="DP169">
            <v>4</v>
          </cell>
          <cell r="DQ169">
            <v>18</v>
          </cell>
          <cell r="DR169">
            <v>1</v>
          </cell>
          <cell r="DS169">
            <v>0</v>
          </cell>
          <cell r="DT169">
            <v>7</v>
          </cell>
          <cell r="DU169">
            <v>-1</v>
          </cell>
          <cell r="DV169">
            <v>6</v>
          </cell>
          <cell r="DW169">
            <v>-3</v>
          </cell>
          <cell r="DX169">
            <v>3</v>
          </cell>
          <cell r="DY169">
            <v>2</v>
          </cell>
          <cell r="DZ169">
            <v>0</v>
          </cell>
          <cell r="EA169">
            <v>48</v>
          </cell>
          <cell r="EB169">
            <v>2</v>
          </cell>
          <cell r="EC169">
            <v>35</v>
          </cell>
          <cell r="ED169">
            <v>4</v>
          </cell>
          <cell r="EE169">
            <v>5</v>
          </cell>
          <cell r="EF169">
            <v>2</v>
          </cell>
          <cell r="EG169">
            <v>0</v>
          </cell>
          <cell r="EH169">
            <v>27</v>
          </cell>
          <cell r="EI169">
            <v>6</v>
          </cell>
          <cell r="EJ169">
            <v>5</v>
          </cell>
          <cell r="EK169">
            <v>6</v>
          </cell>
          <cell r="EL169">
            <v>9</v>
          </cell>
          <cell r="EM169">
            <v>1</v>
          </cell>
          <cell r="EN169">
            <v>0</v>
          </cell>
          <cell r="EO169" t="str">
            <v xml:space="preserve"> MENS VERBENA VEST                                          </v>
          </cell>
        </row>
        <row r="170">
          <cell r="A170" t="str">
            <v>CN3YM3801007</v>
          </cell>
          <cell r="B170" t="str">
            <v>CN3</v>
          </cell>
          <cell r="C170" t="str">
            <v>YM3801</v>
          </cell>
          <cell r="D170">
            <v>7</v>
          </cell>
          <cell r="E170" t="str">
            <v xml:space="preserve">   </v>
          </cell>
          <cell r="F170">
            <v>80708</v>
          </cell>
          <cell r="G170">
            <v>80807</v>
          </cell>
          <cell r="H170">
            <v>0</v>
          </cell>
          <cell r="I170">
            <v>1500</v>
          </cell>
          <cell r="J170">
            <v>1508</v>
          </cell>
          <cell r="K170">
            <v>1508</v>
          </cell>
          <cell r="L170">
            <v>1361</v>
          </cell>
          <cell r="M170">
            <v>1361</v>
          </cell>
          <cell r="N170">
            <v>109236000</v>
          </cell>
          <cell r="O170">
            <v>118914848</v>
          </cell>
          <cell r="P170">
            <v>118914848</v>
          </cell>
          <cell r="Q170">
            <v>107323016</v>
          </cell>
          <cell r="R170">
            <v>341335837</v>
          </cell>
          <cell r="S170" t="str">
            <v xml:space="preserve"> </v>
          </cell>
          <cell r="T170" t="str">
            <v xml:space="preserve"> </v>
          </cell>
          <cell r="U170">
            <v>1508</v>
          </cell>
          <cell r="V170">
            <v>118914848</v>
          </cell>
          <cell r="W170">
            <v>1361</v>
          </cell>
          <cell r="X170">
            <v>107323016</v>
          </cell>
          <cell r="Y170">
            <v>90.45</v>
          </cell>
          <cell r="Z170">
            <v>90.65</v>
          </cell>
          <cell r="AA170">
            <v>107086448</v>
          </cell>
          <cell r="AB170">
            <v>236568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3</v>
          </cell>
          <cell r="AL170">
            <v>473136</v>
          </cell>
          <cell r="AM170">
            <v>144</v>
          </cell>
          <cell r="AN170">
            <v>26653328</v>
          </cell>
          <cell r="AO170">
            <v>72824</v>
          </cell>
          <cell r="AP170">
            <v>78856</v>
          </cell>
          <cell r="AQ170">
            <v>278000</v>
          </cell>
          <cell r="AR170">
            <v>0</v>
          </cell>
          <cell r="AS170">
            <v>3.53</v>
          </cell>
          <cell r="AT170">
            <v>419224000</v>
          </cell>
          <cell r="AU170">
            <v>3.19</v>
          </cell>
          <cell r="AV170">
            <v>341315260</v>
          </cell>
          <cell r="AW170">
            <v>0.09</v>
          </cell>
          <cell r="AX170">
            <v>20577</v>
          </cell>
          <cell r="AY170">
            <v>90.45</v>
          </cell>
          <cell r="AZ170">
            <v>0</v>
          </cell>
          <cell r="BA170">
            <v>1358</v>
          </cell>
          <cell r="BB170">
            <v>3</v>
          </cell>
          <cell r="BC170">
            <v>1361</v>
          </cell>
          <cell r="BD170">
            <v>0</v>
          </cell>
          <cell r="BE170">
            <v>0</v>
          </cell>
          <cell r="BF170">
            <v>94</v>
          </cell>
          <cell r="BG170">
            <v>1</v>
          </cell>
          <cell r="BH170">
            <v>1</v>
          </cell>
          <cell r="BI170">
            <v>60</v>
          </cell>
          <cell r="BJ170">
            <v>14</v>
          </cell>
          <cell r="BK170">
            <v>18</v>
          </cell>
          <cell r="BL170">
            <v>10</v>
          </cell>
          <cell r="BM170">
            <v>12</v>
          </cell>
          <cell r="BN170">
            <v>6</v>
          </cell>
          <cell r="BO170">
            <v>0</v>
          </cell>
          <cell r="BP170">
            <v>50</v>
          </cell>
          <cell r="BQ170">
            <v>8</v>
          </cell>
          <cell r="BR170">
            <v>11</v>
          </cell>
          <cell r="BS170">
            <v>17</v>
          </cell>
          <cell r="BT170">
            <v>6</v>
          </cell>
          <cell r="BU170">
            <v>8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51</v>
          </cell>
          <cell r="DG170">
            <v>0</v>
          </cell>
          <cell r="DH170">
            <v>11</v>
          </cell>
          <cell r="DI170">
            <v>12</v>
          </cell>
          <cell r="DJ170">
            <v>9</v>
          </cell>
          <cell r="DK170">
            <v>19</v>
          </cell>
          <cell r="DL170">
            <v>0</v>
          </cell>
          <cell r="DM170">
            <v>223</v>
          </cell>
          <cell r="DN170">
            <v>33</v>
          </cell>
          <cell r="DO170">
            <v>14</v>
          </cell>
          <cell r="DP170">
            <v>19</v>
          </cell>
          <cell r="DQ170">
            <v>140</v>
          </cell>
          <cell r="DR170">
            <v>17</v>
          </cell>
          <cell r="DS170">
            <v>0</v>
          </cell>
          <cell r="DT170">
            <v>366</v>
          </cell>
          <cell r="DU170">
            <v>65</v>
          </cell>
          <cell r="DV170">
            <v>80</v>
          </cell>
          <cell r="DW170">
            <v>63</v>
          </cell>
          <cell r="DX170">
            <v>107</v>
          </cell>
          <cell r="DY170">
            <v>51</v>
          </cell>
          <cell r="DZ170">
            <v>0</v>
          </cell>
          <cell r="EA170">
            <v>480</v>
          </cell>
          <cell r="EB170">
            <v>55</v>
          </cell>
          <cell r="EC170">
            <v>162</v>
          </cell>
          <cell r="ED170">
            <v>89</v>
          </cell>
          <cell r="EE170">
            <v>63</v>
          </cell>
          <cell r="EF170">
            <v>111</v>
          </cell>
          <cell r="EG170">
            <v>0</v>
          </cell>
          <cell r="EH170">
            <v>131</v>
          </cell>
          <cell r="EI170">
            <v>30</v>
          </cell>
          <cell r="EJ170">
            <v>31</v>
          </cell>
          <cell r="EK170">
            <v>28</v>
          </cell>
          <cell r="EL170">
            <v>35</v>
          </cell>
          <cell r="EM170">
            <v>7</v>
          </cell>
          <cell r="EN170">
            <v>0</v>
          </cell>
          <cell r="EO170" t="str">
            <v xml:space="preserve">BEAR CREEK JACKET                                           </v>
          </cell>
        </row>
        <row r="171">
          <cell r="A171" t="str">
            <v>CN3YM3801094</v>
          </cell>
          <cell r="B171" t="str">
            <v>CN3</v>
          </cell>
          <cell r="C171" t="str">
            <v>YM3801</v>
          </cell>
          <cell r="D171">
            <v>94</v>
          </cell>
          <cell r="E171" t="str">
            <v xml:space="preserve">   </v>
          </cell>
          <cell r="F171">
            <v>80708</v>
          </cell>
          <cell r="G171">
            <v>80807</v>
          </cell>
          <cell r="H171">
            <v>0</v>
          </cell>
          <cell r="I171">
            <v>800</v>
          </cell>
          <cell r="J171">
            <v>804</v>
          </cell>
          <cell r="K171">
            <v>804</v>
          </cell>
          <cell r="L171">
            <v>591</v>
          </cell>
          <cell r="M171">
            <v>591</v>
          </cell>
          <cell r="N171">
            <v>58259200</v>
          </cell>
          <cell r="O171">
            <v>63400224</v>
          </cell>
          <cell r="P171">
            <v>63400224</v>
          </cell>
          <cell r="Q171">
            <v>46603896</v>
          </cell>
          <cell r="R171">
            <v>147051759</v>
          </cell>
          <cell r="S171" t="str">
            <v xml:space="preserve"> </v>
          </cell>
          <cell r="T171" t="str">
            <v xml:space="preserve"> </v>
          </cell>
          <cell r="U171">
            <v>804</v>
          </cell>
          <cell r="V171">
            <v>63400224</v>
          </cell>
          <cell r="W171">
            <v>591</v>
          </cell>
          <cell r="X171">
            <v>46603896</v>
          </cell>
          <cell r="Y171">
            <v>73.760000000000005</v>
          </cell>
          <cell r="Z171">
            <v>74</v>
          </cell>
          <cell r="AA171">
            <v>46525040</v>
          </cell>
          <cell r="AB171">
            <v>78856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2</v>
          </cell>
          <cell r="AL171">
            <v>315424</v>
          </cell>
          <cell r="AM171">
            <v>211</v>
          </cell>
          <cell r="AN171">
            <v>36352616</v>
          </cell>
          <cell r="AO171">
            <v>72824</v>
          </cell>
          <cell r="AP171">
            <v>78856</v>
          </cell>
          <cell r="AQ171">
            <v>278000</v>
          </cell>
          <cell r="AR171">
            <v>0</v>
          </cell>
          <cell r="AS171">
            <v>3.53</v>
          </cell>
          <cell r="AT171">
            <v>223512000</v>
          </cell>
          <cell r="AU171">
            <v>3.16</v>
          </cell>
          <cell r="AV171">
            <v>147044900</v>
          </cell>
          <cell r="AW171">
            <v>0.09</v>
          </cell>
          <cell r="AX171">
            <v>6859</v>
          </cell>
          <cell r="AY171">
            <v>73.760000000000005</v>
          </cell>
          <cell r="AZ171">
            <v>0</v>
          </cell>
          <cell r="BA171">
            <v>590</v>
          </cell>
          <cell r="BB171">
            <v>1</v>
          </cell>
          <cell r="BC171">
            <v>591</v>
          </cell>
          <cell r="BD171">
            <v>0</v>
          </cell>
          <cell r="BE171">
            <v>0</v>
          </cell>
          <cell r="BF171">
            <v>87</v>
          </cell>
          <cell r="BG171">
            <v>0</v>
          </cell>
          <cell r="BH171">
            <v>1</v>
          </cell>
          <cell r="BI171">
            <v>68</v>
          </cell>
          <cell r="BJ171">
            <v>15</v>
          </cell>
          <cell r="BK171">
            <v>41</v>
          </cell>
          <cell r="BL171">
            <v>10</v>
          </cell>
          <cell r="BM171">
            <v>2</v>
          </cell>
          <cell r="BN171">
            <v>0</v>
          </cell>
          <cell r="BO171">
            <v>0</v>
          </cell>
          <cell r="BP171">
            <v>39</v>
          </cell>
          <cell r="BQ171">
            <v>3</v>
          </cell>
          <cell r="BR171">
            <v>7</v>
          </cell>
          <cell r="BS171">
            <v>4</v>
          </cell>
          <cell r="BT171">
            <v>21</v>
          </cell>
          <cell r="BU171">
            <v>4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28</v>
          </cell>
          <cell r="DG171">
            <v>0</v>
          </cell>
          <cell r="DH171">
            <v>9</v>
          </cell>
          <cell r="DI171">
            <v>2</v>
          </cell>
          <cell r="DJ171">
            <v>7</v>
          </cell>
          <cell r="DK171">
            <v>10</v>
          </cell>
          <cell r="DL171">
            <v>0</v>
          </cell>
          <cell r="DM171">
            <v>101</v>
          </cell>
          <cell r="DN171">
            <v>3</v>
          </cell>
          <cell r="DO171">
            <v>10</v>
          </cell>
          <cell r="DP171">
            <v>11</v>
          </cell>
          <cell r="DQ171">
            <v>73</v>
          </cell>
          <cell r="DR171">
            <v>4</v>
          </cell>
          <cell r="DS171">
            <v>0</v>
          </cell>
          <cell r="DT171">
            <v>105</v>
          </cell>
          <cell r="DU171">
            <v>22</v>
          </cell>
          <cell r="DV171">
            <v>22</v>
          </cell>
          <cell r="DW171">
            <v>19</v>
          </cell>
          <cell r="DX171">
            <v>23</v>
          </cell>
          <cell r="DY171">
            <v>19</v>
          </cell>
          <cell r="DZ171">
            <v>0</v>
          </cell>
          <cell r="EA171">
            <v>190</v>
          </cell>
          <cell r="EB171">
            <v>26</v>
          </cell>
          <cell r="EC171">
            <v>73</v>
          </cell>
          <cell r="ED171">
            <v>50</v>
          </cell>
          <cell r="EE171">
            <v>13</v>
          </cell>
          <cell r="EF171">
            <v>28</v>
          </cell>
          <cell r="EG171">
            <v>0</v>
          </cell>
          <cell r="EH171">
            <v>60</v>
          </cell>
          <cell r="EI171">
            <v>16</v>
          </cell>
          <cell r="EJ171">
            <v>13</v>
          </cell>
          <cell r="EK171">
            <v>3</v>
          </cell>
          <cell r="EL171">
            <v>19</v>
          </cell>
          <cell r="EM171">
            <v>9</v>
          </cell>
          <cell r="EN171">
            <v>0</v>
          </cell>
          <cell r="EO171" t="str">
            <v xml:space="preserve">BEAR CREEK JACKET                                           </v>
          </cell>
        </row>
        <row r="172">
          <cell r="A172" t="str">
            <v>CN3YM3801628</v>
          </cell>
          <cell r="B172" t="str">
            <v>CN3</v>
          </cell>
          <cell r="C172" t="str">
            <v>YM3801</v>
          </cell>
          <cell r="D172">
            <v>628</v>
          </cell>
          <cell r="E172" t="str">
            <v xml:space="preserve">   </v>
          </cell>
          <cell r="F172">
            <v>80708</v>
          </cell>
          <cell r="G172">
            <v>80818</v>
          </cell>
          <cell r="H172">
            <v>0</v>
          </cell>
          <cell r="I172">
            <v>500</v>
          </cell>
          <cell r="J172">
            <v>503</v>
          </cell>
          <cell r="K172">
            <v>503</v>
          </cell>
          <cell r="L172">
            <v>225</v>
          </cell>
          <cell r="M172">
            <v>225</v>
          </cell>
          <cell r="N172">
            <v>36412000</v>
          </cell>
          <cell r="O172">
            <v>39664568</v>
          </cell>
          <cell r="P172">
            <v>39664568</v>
          </cell>
          <cell r="Q172">
            <v>17742600</v>
          </cell>
          <cell r="R172">
            <v>53710900</v>
          </cell>
          <cell r="S172" t="str">
            <v xml:space="preserve"> </v>
          </cell>
          <cell r="T172" t="str">
            <v xml:space="preserve"> </v>
          </cell>
          <cell r="U172">
            <v>503</v>
          </cell>
          <cell r="V172">
            <v>39664568</v>
          </cell>
          <cell r="W172">
            <v>225</v>
          </cell>
          <cell r="X172">
            <v>17742600</v>
          </cell>
          <cell r="Y172">
            <v>45.33</v>
          </cell>
          <cell r="Z172">
            <v>45.73</v>
          </cell>
          <cell r="AA172">
            <v>17742600</v>
          </cell>
          <cell r="AB172">
            <v>0</v>
          </cell>
          <cell r="AC172">
            <v>0</v>
          </cell>
          <cell r="AD172">
            <v>315424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3</v>
          </cell>
          <cell r="AL172">
            <v>394280</v>
          </cell>
          <cell r="AM172">
            <v>275</v>
          </cell>
          <cell r="AN172">
            <v>44317072</v>
          </cell>
          <cell r="AO172">
            <v>72824</v>
          </cell>
          <cell r="AP172">
            <v>78856</v>
          </cell>
          <cell r="AQ172">
            <v>278000</v>
          </cell>
          <cell r="AR172">
            <v>0</v>
          </cell>
          <cell r="AS172">
            <v>3.53</v>
          </cell>
          <cell r="AT172">
            <v>139834000</v>
          </cell>
          <cell r="AU172">
            <v>3.03</v>
          </cell>
          <cell r="AV172">
            <v>53710900</v>
          </cell>
          <cell r="AW172">
            <v>0</v>
          </cell>
          <cell r="AX172">
            <v>0</v>
          </cell>
          <cell r="AY172">
            <v>45.33</v>
          </cell>
          <cell r="AZ172">
            <v>0</v>
          </cell>
          <cell r="BA172">
            <v>225</v>
          </cell>
          <cell r="BB172">
            <v>0</v>
          </cell>
          <cell r="BC172">
            <v>225</v>
          </cell>
          <cell r="BD172">
            <v>0</v>
          </cell>
          <cell r="BE172">
            <v>0</v>
          </cell>
          <cell r="BF172">
            <v>23</v>
          </cell>
          <cell r="BG172">
            <v>0</v>
          </cell>
          <cell r="BH172">
            <v>1</v>
          </cell>
          <cell r="BI172">
            <v>2</v>
          </cell>
          <cell r="BJ172">
            <v>3</v>
          </cell>
          <cell r="BK172">
            <v>2</v>
          </cell>
          <cell r="BL172">
            <v>-2</v>
          </cell>
          <cell r="BM172">
            <v>4</v>
          </cell>
          <cell r="BN172">
            <v>-5</v>
          </cell>
          <cell r="BO172">
            <v>0</v>
          </cell>
          <cell r="BP172">
            <v>15</v>
          </cell>
          <cell r="BQ172">
            <v>0</v>
          </cell>
          <cell r="BR172">
            <v>1</v>
          </cell>
          <cell r="BS172">
            <v>5</v>
          </cell>
          <cell r="BT172">
            <v>6</v>
          </cell>
          <cell r="BU172">
            <v>3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8</v>
          </cell>
          <cell r="DG172">
            <v>0</v>
          </cell>
          <cell r="DH172">
            <v>1</v>
          </cell>
          <cell r="DI172">
            <v>0</v>
          </cell>
          <cell r="DJ172">
            <v>2</v>
          </cell>
          <cell r="DK172">
            <v>5</v>
          </cell>
          <cell r="DL172">
            <v>0</v>
          </cell>
          <cell r="DM172">
            <v>48</v>
          </cell>
          <cell r="DN172">
            <v>6</v>
          </cell>
          <cell r="DO172">
            <v>5</v>
          </cell>
          <cell r="DP172">
            <v>6</v>
          </cell>
          <cell r="DQ172">
            <v>30</v>
          </cell>
          <cell r="DR172">
            <v>1</v>
          </cell>
          <cell r="DS172">
            <v>0</v>
          </cell>
          <cell r="DT172">
            <v>54</v>
          </cell>
          <cell r="DU172">
            <v>17</v>
          </cell>
          <cell r="DV172">
            <v>10</v>
          </cell>
          <cell r="DW172">
            <v>10</v>
          </cell>
          <cell r="DX172">
            <v>6</v>
          </cell>
          <cell r="DY172">
            <v>11</v>
          </cell>
          <cell r="DZ172">
            <v>0</v>
          </cell>
          <cell r="EA172">
            <v>63</v>
          </cell>
          <cell r="EB172">
            <v>4</v>
          </cell>
          <cell r="EC172">
            <v>62</v>
          </cell>
          <cell r="ED172">
            <v>6</v>
          </cell>
          <cell r="EE172">
            <v>-7</v>
          </cell>
          <cell r="EF172">
            <v>-2</v>
          </cell>
          <cell r="EG172">
            <v>0</v>
          </cell>
          <cell r="EH172">
            <v>35</v>
          </cell>
          <cell r="EI172">
            <v>19</v>
          </cell>
          <cell r="EJ172">
            <v>13</v>
          </cell>
          <cell r="EK172">
            <v>2</v>
          </cell>
          <cell r="EL172">
            <v>-1</v>
          </cell>
          <cell r="EM172">
            <v>2</v>
          </cell>
          <cell r="EN172">
            <v>0</v>
          </cell>
          <cell r="EO172" t="str">
            <v xml:space="preserve">BEAR CREEK JACKET                                           </v>
          </cell>
        </row>
        <row r="173">
          <cell r="A173" t="str">
            <v>CN3YM3811425</v>
          </cell>
          <cell r="B173" t="str">
            <v>CN3</v>
          </cell>
          <cell r="C173" t="str">
            <v>YM3811</v>
          </cell>
          <cell r="D173">
            <v>425</v>
          </cell>
          <cell r="E173" t="str">
            <v xml:space="preserve">   </v>
          </cell>
          <cell r="F173">
            <v>80523</v>
          </cell>
          <cell r="G173">
            <v>80523</v>
          </cell>
          <cell r="H173">
            <v>0</v>
          </cell>
          <cell r="I173">
            <v>1500</v>
          </cell>
          <cell r="J173">
            <v>470</v>
          </cell>
          <cell r="K173">
            <v>470</v>
          </cell>
          <cell r="L173">
            <v>469</v>
          </cell>
          <cell r="M173">
            <v>469</v>
          </cell>
          <cell r="N173">
            <v>54225000</v>
          </cell>
          <cell r="O173">
            <v>18989380</v>
          </cell>
          <cell r="P173">
            <v>18849149</v>
          </cell>
          <cell r="Q173">
            <v>18729046</v>
          </cell>
          <cell r="R173">
            <v>65732475</v>
          </cell>
          <cell r="S173" t="str">
            <v xml:space="preserve"> </v>
          </cell>
          <cell r="T173" t="str">
            <v>C</v>
          </cell>
          <cell r="U173">
            <v>470</v>
          </cell>
          <cell r="V173">
            <v>18989380</v>
          </cell>
          <cell r="W173">
            <v>469</v>
          </cell>
          <cell r="X173">
            <v>18729046</v>
          </cell>
          <cell r="Y173">
            <v>100</v>
          </cell>
          <cell r="Z173">
            <v>99.05</v>
          </cell>
          <cell r="AA173">
            <v>18729046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1</v>
          </cell>
          <cell r="AL173">
            <v>79808</v>
          </cell>
          <cell r="AM173">
            <v>0</v>
          </cell>
          <cell r="AN173">
            <v>0</v>
          </cell>
          <cell r="AO173">
            <v>36150</v>
          </cell>
          <cell r="AP173">
            <v>39904</v>
          </cell>
          <cell r="AQ173">
            <v>158000</v>
          </cell>
          <cell r="AR173">
            <v>0</v>
          </cell>
          <cell r="AS173">
            <v>3.91</v>
          </cell>
          <cell r="AT173">
            <v>74260000</v>
          </cell>
          <cell r="AU173">
            <v>3.51</v>
          </cell>
          <cell r="AV173">
            <v>65732475</v>
          </cell>
          <cell r="AW173">
            <v>0</v>
          </cell>
          <cell r="AX173">
            <v>0</v>
          </cell>
          <cell r="AY173">
            <v>100</v>
          </cell>
          <cell r="AZ173">
            <v>0</v>
          </cell>
          <cell r="BA173">
            <v>469</v>
          </cell>
          <cell r="BB173">
            <v>0</v>
          </cell>
          <cell r="BC173">
            <v>468</v>
          </cell>
          <cell r="BD173">
            <v>1</v>
          </cell>
          <cell r="BE173">
            <v>0</v>
          </cell>
          <cell r="BF173">
            <v>1</v>
          </cell>
          <cell r="BG173">
            <v>1</v>
          </cell>
          <cell r="BH173">
            <v>1</v>
          </cell>
          <cell r="BI173">
            <v>1</v>
          </cell>
          <cell r="BJ173">
            <v>0</v>
          </cell>
          <cell r="BK173">
            <v>0</v>
          </cell>
          <cell r="BL173">
            <v>0</v>
          </cell>
          <cell r="BM173">
            <v>1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30</v>
          </cell>
          <cell r="CL173">
            <v>0</v>
          </cell>
          <cell r="CM173">
            <v>0</v>
          </cell>
          <cell r="CN173">
            <v>0</v>
          </cell>
          <cell r="CO173">
            <v>10</v>
          </cell>
          <cell r="CP173">
            <v>20</v>
          </cell>
          <cell r="CQ173">
            <v>0</v>
          </cell>
          <cell r="CR173">
            <v>70</v>
          </cell>
          <cell r="CS173">
            <v>11</v>
          </cell>
          <cell r="CT173">
            <v>52</v>
          </cell>
          <cell r="CU173">
            <v>36</v>
          </cell>
          <cell r="CV173">
            <v>-64</v>
          </cell>
          <cell r="CW173">
            <v>29</v>
          </cell>
          <cell r="CX173">
            <v>6</v>
          </cell>
          <cell r="CY173">
            <v>82</v>
          </cell>
          <cell r="CZ173">
            <v>24</v>
          </cell>
          <cell r="DA173">
            <v>19</v>
          </cell>
          <cell r="DB173">
            <v>20</v>
          </cell>
          <cell r="DC173">
            <v>9</v>
          </cell>
          <cell r="DD173">
            <v>10</v>
          </cell>
          <cell r="DE173">
            <v>0</v>
          </cell>
          <cell r="DF173">
            <v>62</v>
          </cell>
          <cell r="DG173">
            <v>8</v>
          </cell>
          <cell r="DH173">
            <v>7</v>
          </cell>
          <cell r="DI173">
            <v>19</v>
          </cell>
          <cell r="DJ173">
            <v>11</v>
          </cell>
          <cell r="DK173">
            <v>17</v>
          </cell>
          <cell r="DL173">
            <v>0</v>
          </cell>
          <cell r="DM173">
            <v>67</v>
          </cell>
          <cell r="DN173">
            <v>14</v>
          </cell>
          <cell r="DO173">
            <v>12</v>
          </cell>
          <cell r="DP173">
            <v>7</v>
          </cell>
          <cell r="DQ173">
            <v>31</v>
          </cell>
          <cell r="DR173">
            <v>3</v>
          </cell>
          <cell r="DS173">
            <v>0</v>
          </cell>
          <cell r="DT173">
            <v>141</v>
          </cell>
          <cell r="DU173">
            <v>5</v>
          </cell>
          <cell r="DV173">
            <v>48</v>
          </cell>
          <cell r="DW173">
            <v>2</v>
          </cell>
          <cell r="DX173">
            <v>65</v>
          </cell>
          <cell r="DY173">
            <v>21</v>
          </cell>
          <cell r="DZ173">
            <v>0</v>
          </cell>
          <cell r="EA173">
            <v>17</v>
          </cell>
          <cell r="EB173">
            <v>0</v>
          </cell>
          <cell r="EC173">
            <v>2</v>
          </cell>
          <cell r="ED173">
            <v>-1</v>
          </cell>
          <cell r="EE173">
            <v>1</v>
          </cell>
          <cell r="EF173">
            <v>15</v>
          </cell>
          <cell r="EG173">
            <v>0</v>
          </cell>
          <cell r="EH173">
            <v>-1</v>
          </cell>
          <cell r="EI173">
            <v>0</v>
          </cell>
          <cell r="EJ173">
            <v>0</v>
          </cell>
          <cell r="EK173">
            <v>-1</v>
          </cell>
          <cell r="EL173">
            <v>0</v>
          </cell>
          <cell r="EM173">
            <v>0</v>
          </cell>
          <cell r="EN173">
            <v>0</v>
          </cell>
          <cell r="EO173" t="str">
            <v xml:space="preserve">COTTONWOOD LAKE JACKET                                      </v>
          </cell>
        </row>
        <row r="174">
          <cell r="A174" t="str">
            <v>CN3YM3811809</v>
          </cell>
          <cell r="B174" t="str">
            <v>CN3</v>
          </cell>
          <cell r="C174" t="str">
            <v>YM3811</v>
          </cell>
          <cell r="D174">
            <v>809</v>
          </cell>
          <cell r="E174" t="str">
            <v xml:space="preserve">   </v>
          </cell>
          <cell r="F174">
            <v>80530</v>
          </cell>
          <cell r="G174">
            <v>80601</v>
          </cell>
          <cell r="H174">
            <v>0</v>
          </cell>
          <cell r="I174">
            <v>500</v>
          </cell>
          <cell r="J174">
            <v>58</v>
          </cell>
          <cell r="K174">
            <v>58</v>
          </cell>
          <cell r="L174">
            <v>58</v>
          </cell>
          <cell r="M174">
            <v>58</v>
          </cell>
          <cell r="N174">
            <v>18075000</v>
          </cell>
          <cell r="O174">
            <v>2549870</v>
          </cell>
          <cell r="P174">
            <v>2314432</v>
          </cell>
          <cell r="Q174">
            <v>2316308</v>
          </cell>
          <cell r="R174">
            <v>7845819</v>
          </cell>
          <cell r="S174" t="str">
            <v xml:space="preserve"> </v>
          </cell>
          <cell r="T174" t="str">
            <v>C</v>
          </cell>
          <cell r="U174">
            <v>58</v>
          </cell>
          <cell r="V174">
            <v>2549870</v>
          </cell>
          <cell r="W174">
            <v>58</v>
          </cell>
          <cell r="X174">
            <v>2316308</v>
          </cell>
          <cell r="Y174">
            <v>100</v>
          </cell>
          <cell r="Z174">
            <v>90.84</v>
          </cell>
          <cell r="AA174">
            <v>2316308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36150</v>
          </cell>
          <cell r="AP174">
            <v>39904</v>
          </cell>
          <cell r="AQ174">
            <v>158000</v>
          </cell>
          <cell r="AR174">
            <v>0</v>
          </cell>
          <cell r="AS174">
            <v>3.59</v>
          </cell>
          <cell r="AT174">
            <v>9164000</v>
          </cell>
          <cell r="AU174">
            <v>3.39</v>
          </cell>
          <cell r="AV174">
            <v>7845819</v>
          </cell>
          <cell r="AW174">
            <v>0</v>
          </cell>
          <cell r="AX174">
            <v>0</v>
          </cell>
          <cell r="AY174">
            <v>100</v>
          </cell>
          <cell r="AZ174">
            <v>0</v>
          </cell>
          <cell r="BA174">
            <v>58</v>
          </cell>
          <cell r="BB174">
            <v>0</v>
          </cell>
          <cell r="BC174">
            <v>58</v>
          </cell>
          <cell r="BD174">
            <v>0</v>
          </cell>
          <cell r="BE174">
            <v>0</v>
          </cell>
          <cell r="BF174">
            <v>-1</v>
          </cell>
          <cell r="BG174">
            <v>0</v>
          </cell>
          <cell r="BH174">
            <v>1</v>
          </cell>
          <cell r="BI174">
            <v>-1</v>
          </cell>
          <cell r="BJ174">
            <v>0</v>
          </cell>
          <cell r="BK174">
            <v>0</v>
          </cell>
          <cell r="BL174">
            <v>0</v>
          </cell>
          <cell r="BM174">
            <v>-1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4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4</v>
          </cell>
          <cell r="CQ174">
            <v>0</v>
          </cell>
          <cell r="CR174">
            <v>-22</v>
          </cell>
          <cell r="CS174">
            <v>2</v>
          </cell>
          <cell r="CT174">
            <v>20</v>
          </cell>
          <cell r="CU174">
            <v>11</v>
          </cell>
          <cell r="CV174">
            <v>-67</v>
          </cell>
          <cell r="CW174">
            <v>12</v>
          </cell>
          <cell r="CX174">
            <v>0</v>
          </cell>
          <cell r="CY174">
            <v>31</v>
          </cell>
          <cell r="CZ174">
            <v>19</v>
          </cell>
          <cell r="DA174">
            <v>4</v>
          </cell>
          <cell r="DB174">
            <v>3</v>
          </cell>
          <cell r="DC174">
            <v>4</v>
          </cell>
          <cell r="DD174">
            <v>1</v>
          </cell>
          <cell r="DE174">
            <v>0</v>
          </cell>
          <cell r="DF174">
            <v>20</v>
          </cell>
          <cell r="DG174">
            <v>1</v>
          </cell>
          <cell r="DH174">
            <v>3</v>
          </cell>
          <cell r="DI174">
            <v>6</v>
          </cell>
          <cell r="DJ174">
            <v>7</v>
          </cell>
          <cell r="DK174">
            <v>3</v>
          </cell>
          <cell r="DL174">
            <v>0</v>
          </cell>
          <cell r="DM174">
            <v>9</v>
          </cell>
          <cell r="DN174">
            <v>2</v>
          </cell>
          <cell r="DO174">
            <v>4</v>
          </cell>
          <cell r="DP174">
            <v>-2</v>
          </cell>
          <cell r="DQ174">
            <v>5</v>
          </cell>
          <cell r="DR174">
            <v>0</v>
          </cell>
          <cell r="DS174">
            <v>0</v>
          </cell>
          <cell r="DT174">
            <v>13</v>
          </cell>
          <cell r="DU174">
            <v>2</v>
          </cell>
          <cell r="DV174">
            <v>4</v>
          </cell>
          <cell r="DW174">
            <v>4</v>
          </cell>
          <cell r="DX174">
            <v>2</v>
          </cell>
          <cell r="DY174">
            <v>1</v>
          </cell>
          <cell r="DZ174">
            <v>0</v>
          </cell>
          <cell r="EA174">
            <v>3</v>
          </cell>
          <cell r="EB174">
            <v>-1</v>
          </cell>
          <cell r="EC174">
            <v>-1</v>
          </cell>
          <cell r="ED174">
            <v>0</v>
          </cell>
          <cell r="EE174">
            <v>0</v>
          </cell>
          <cell r="EF174">
            <v>5</v>
          </cell>
          <cell r="EG174">
            <v>0</v>
          </cell>
          <cell r="EH174">
            <v>1</v>
          </cell>
          <cell r="EI174">
            <v>0</v>
          </cell>
          <cell r="EJ174">
            <v>0</v>
          </cell>
          <cell r="EK174">
            <v>1</v>
          </cell>
          <cell r="EL174">
            <v>0</v>
          </cell>
          <cell r="EM174">
            <v>0</v>
          </cell>
          <cell r="EN174">
            <v>0</v>
          </cell>
          <cell r="EO174" t="str">
            <v xml:space="preserve">COTTONWOOD LAKE JACKET                                      </v>
          </cell>
        </row>
        <row r="175">
          <cell r="A175" t="str">
            <v>CN3YM3814094</v>
          </cell>
          <cell r="B175" t="str">
            <v>CN3</v>
          </cell>
          <cell r="C175" t="str">
            <v>YM3814</v>
          </cell>
          <cell r="D175">
            <v>94</v>
          </cell>
          <cell r="E175" t="str">
            <v xml:space="preserve">   </v>
          </cell>
          <cell r="F175">
            <v>80730</v>
          </cell>
          <cell r="G175">
            <v>80730</v>
          </cell>
          <cell r="H175">
            <v>0</v>
          </cell>
          <cell r="I175">
            <v>0</v>
          </cell>
          <cell r="J175">
            <v>-45</v>
          </cell>
          <cell r="K175">
            <v>-45</v>
          </cell>
          <cell r="L175">
            <v>-45</v>
          </cell>
          <cell r="M175">
            <v>-45</v>
          </cell>
          <cell r="N175">
            <v>0</v>
          </cell>
          <cell r="O175">
            <v>-1373310</v>
          </cell>
          <cell r="P175">
            <v>-1373310</v>
          </cell>
          <cell r="Q175">
            <v>-1373310</v>
          </cell>
          <cell r="R175">
            <v>-5440331</v>
          </cell>
          <cell r="S175" t="str">
            <v xml:space="preserve"> </v>
          </cell>
          <cell r="T175" t="str">
            <v>C</v>
          </cell>
          <cell r="U175">
            <v>-45</v>
          </cell>
          <cell r="V175">
            <v>-1373310</v>
          </cell>
          <cell r="W175">
            <v>-45</v>
          </cell>
          <cell r="X175">
            <v>-1373310</v>
          </cell>
          <cell r="Y175">
            <v>100</v>
          </cell>
          <cell r="Z175">
            <v>100</v>
          </cell>
          <cell r="AA175">
            <v>-1373310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30200</v>
          </cell>
          <cell r="AP175">
            <v>30518</v>
          </cell>
          <cell r="AQ175">
            <v>118000</v>
          </cell>
          <cell r="AR175">
            <v>0</v>
          </cell>
          <cell r="AS175">
            <v>3.87</v>
          </cell>
          <cell r="AT175">
            <v>-5310000</v>
          </cell>
          <cell r="AU175">
            <v>3.96</v>
          </cell>
          <cell r="AV175">
            <v>-5440331</v>
          </cell>
          <cell r="AW175">
            <v>0</v>
          </cell>
          <cell r="AX175">
            <v>0</v>
          </cell>
          <cell r="AY175">
            <v>100</v>
          </cell>
          <cell r="AZ175">
            <v>0</v>
          </cell>
          <cell r="BA175">
            <v>-45</v>
          </cell>
          <cell r="BB175">
            <v>0</v>
          </cell>
          <cell r="BC175">
            <v>-45</v>
          </cell>
          <cell r="BD175">
            <v>0</v>
          </cell>
          <cell r="BE175">
            <v>0</v>
          </cell>
          <cell r="BF175">
            <v>0</v>
          </cell>
          <cell r="BG175">
            <v>1</v>
          </cell>
          <cell r="BH175">
            <v>1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-68</v>
          </cell>
          <cell r="CZ175">
            <v>1</v>
          </cell>
          <cell r="DA175">
            <v>0</v>
          </cell>
          <cell r="DB175">
            <v>0</v>
          </cell>
          <cell r="DC175">
            <v>0</v>
          </cell>
          <cell r="DD175">
            <v>-69</v>
          </cell>
          <cell r="DE175">
            <v>0</v>
          </cell>
          <cell r="DF175">
            <v>23</v>
          </cell>
          <cell r="DG175">
            <v>3</v>
          </cell>
          <cell r="DH175">
            <v>7</v>
          </cell>
          <cell r="DI175">
            <v>5</v>
          </cell>
          <cell r="DJ175">
            <v>8</v>
          </cell>
          <cell r="DK175">
            <v>0</v>
          </cell>
          <cell r="DL175">
            <v>0</v>
          </cell>
          <cell r="DM175">
            <v>5</v>
          </cell>
          <cell r="DN175">
            <v>5</v>
          </cell>
          <cell r="DO175">
            <v>0</v>
          </cell>
          <cell r="DP175">
            <v>0</v>
          </cell>
          <cell r="DQ175">
            <v>2</v>
          </cell>
          <cell r="DR175">
            <v>-2</v>
          </cell>
          <cell r="DS175">
            <v>0</v>
          </cell>
          <cell r="DT175">
            <v>-5</v>
          </cell>
          <cell r="DU175">
            <v>-3</v>
          </cell>
          <cell r="DV175">
            <v>-2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1</v>
          </cell>
          <cell r="ED175">
            <v>-1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 t="str">
            <v xml:space="preserve">EAGLE RIVER JACKET                                          </v>
          </cell>
        </row>
        <row r="176">
          <cell r="A176" t="str">
            <v>CN3YM3814434</v>
          </cell>
          <cell r="B176" t="str">
            <v>CN3</v>
          </cell>
          <cell r="C176" t="str">
            <v>YM3814</v>
          </cell>
          <cell r="D176">
            <v>434</v>
          </cell>
          <cell r="E176" t="str">
            <v xml:space="preserve">   </v>
          </cell>
          <cell r="F176">
            <v>80730</v>
          </cell>
          <cell r="G176">
            <v>80730</v>
          </cell>
          <cell r="H176">
            <v>0</v>
          </cell>
          <cell r="I176">
            <v>0</v>
          </cell>
          <cell r="J176">
            <v>-35</v>
          </cell>
          <cell r="K176">
            <v>-35</v>
          </cell>
          <cell r="L176">
            <v>-35</v>
          </cell>
          <cell r="M176">
            <v>-35</v>
          </cell>
          <cell r="N176">
            <v>0</v>
          </cell>
          <cell r="O176">
            <v>-1068130</v>
          </cell>
          <cell r="P176">
            <v>-1068130</v>
          </cell>
          <cell r="Q176">
            <v>-1068130</v>
          </cell>
          <cell r="R176">
            <v>-4283400</v>
          </cell>
          <cell r="S176" t="str">
            <v xml:space="preserve"> </v>
          </cell>
          <cell r="T176" t="str">
            <v>C</v>
          </cell>
          <cell r="U176">
            <v>-35</v>
          </cell>
          <cell r="V176">
            <v>-1068130</v>
          </cell>
          <cell r="W176">
            <v>-35</v>
          </cell>
          <cell r="X176">
            <v>-1068130</v>
          </cell>
          <cell r="Y176">
            <v>100</v>
          </cell>
          <cell r="Z176">
            <v>100</v>
          </cell>
          <cell r="AA176">
            <v>-1068130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30200</v>
          </cell>
          <cell r="AP176">
            <v>30518</v>
          </cell>
          <cell r="AQ176">
            <v>118000</v>
          </cell>
          <cell r="AR176">
            <v>0</v>
          </cell>
          <cell r="AS176">
            <v>3.87</v>
          </cell>
          <cell r="AT176">
            <v>-4130000</v>
          </cell>
          <cell r="AU176">
            <v>4.01</v>
          </cell>
          <cell r="AV176">
            <v>-4283400</v>
          </cell>
          <cell r="AW176">
            <v>0</v>
          </cell>
          <cell r="AX176">
            <v>0</v>
          </cell>
          <cell r="AY176">
            <v>100</v>
          </cell>
          <cell r="AZ176">
            <v>0</v>
          </cell>
          <cell r="BA176">
            <v>-35</v>
          </cell>
          <cell r="BB176">
            <v>0</v>
          </cell>
          <cell r="BC176">
            <v>-35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1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-53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-53</v>
          </cell>
          <cell r="DE176">
            <v>0</v>
          </cell>
          <cell r="DF176">
            <v>23</v>
          </cell>
          <cell r="DG176">
            <v>2</v>
          </cell>
          <cell r="DH176">
            <v>7</v>
          </cell>
          <cell r="DI176">
            <v>9</v>
          </cell>
          <cell r="DJ176">
            <v>4</v>
          </cell>
          <cell r="DK176">
            <v>1</v>
          </cell>
          <cell r="DL176">
            <v>0</v>
          </cell>
          <cell r="DM176">
            <v>4</v>
          </cell>
          <cell r="DN176">
            <v>5</v>
          </cell>
          <cell r="DO176">
            <v>4</v>
          </cell>
          <cell r="DP176">
            <v>-5</v>
          </cell>
          <cell r="DQ176">
            <v>0</v>
          </cell>
          <cell r="DR176">
            <v>0</v>
          </cell>
          <cell r="DS176">
            <v>0</v>
          </cell>
          <cell r="DT176">
            <v>-4</v>
          </cell>
          <cell r="DU176">
            <v>-3</v>
          </cell>
          <cell r="DV176">
            <v>0</v>
          </cell>
          <cell r="DW176">
            <v>-1</v>
          </cell>
          <cell r="DX176">
            <v>0</v>
          </cell>
          <cell r="DY176">
            <v>0</v>
          </cell>
          <cell r="DZ176">
            <v>0</v>
          </cell>
          <cell r="EA176">
            <v>-5</v>
          </cell>
          <cell r="EB176">
            <v>-1</v>
          </cell>
          <cell r="EC176">
            <v>-2</v>
          </cell>
          <cell r="ED176">
            <v>0</v>
          </cell>
          <cell r="EE176">
            <v>0</v>
          </cell>
          <cell r="EF176">
            <v>-2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 t="str">
            <v xml:space="preserve">EAGLE RIVER JACKET                                          </v>
          </cell>
        </row>
        <row r="177">
          <cell r="A177" t="str">
            <v>CN3YM3820010</v>
          </cell>
          <cell r="B177" t="str">
            <v>CN3</v>
          </cell>
          <cell r="C177" t="str">
            <v>YM3820</v>
          </cell>
          <cell r="D177">
            <v>10</v>
          </cell>
          <cell r="E177" t="str">
            <v xml:space="preserve">   </v>
          </cell>
          <cell r="F177">
            <v>80623</v>
          </cell>
          <cell r="G177">
            <v>80807</v>
          </cell>
          <cell r="H177">
            <v>0</v>
          </cell>
          <cell r="I177">
            <v>37</v>
          </cell>
          <cell r="J177">
            <v>1307</v>
          </cell>
          <cell r="K177">
            <v>1307</v>
          </cell>
          <cell r="L177">
            <v>1306</v>
          </cell>
          <cell r="M177">
            <v>1306</v>
          </cell>
          <cell r="N177">
            <v>1496650</v>
          </cell>
          <cell r="O177">
            <v>38105049</v>
          </cell>
          <cell r="P177">
            <v>38117490</v>
          </cell>
          <cell r="Q177">
            <v>38268258</v>
          </cell>
          <cell r="R177">
            <v>152370251</v>
          </cell>
          <cell r="S177" t="str">
            <v xml:space="preserve"> </v>
          </cell>
          <cell r="T177" t="str">
            <v>C</v>
          </cell>
          <cell r="U177">
            <v>1307</v>
          </cell>
          <cell r="V177">
            <v>38105049</v>
          </cell>
          <cell r="W177">
            <v>1306</v>
          </cell>
          <cell r="X177">
            <v>38268258</v>
          </cell>
          <cell r="Y177">
            <v>99.92</v>
          </cell>
          <cell r="Z177">
            <v>100.43</v>
          </cell>
          <cell r="AA177">
            <v>38238791</v>
          </cell>
          <cell r="AB177">
            <v>29467</v>
          </cell>
          <cell r="AC177">
            <v>0</v>
          </cell>
          <cell r="AD177">
            <v>383071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1</v>
          </cell>
          <cell r="AN177">
            <v>8899034</v>
          </cell>
          <cell r="AO177">
            <v>40450</v>
          </cell>
          <cell r="AP177">
            <v>29467</v>
          </cell>
          <cell r="AQ177">
            <v>138000</v>
          </cell>
          <cell r="AR177">
            <v>0</v>
          </cell>
          <cell r="AS177">
            <v>4.7300000000000004</v>
          </cell>
          <cell r="AT177">
            <v>180366000</v>
          </cell>
          <cell r="AU177">
            <v>3.98</v>
          </cell>
          <cell r="AV177">
            <v>152363392</v>
          </cell>
          <cell r="AW177">
            <v>0.23</v>
          </cell>
          <cell r="AX177">
            <v>6859</v>
          </cell>
          <cell r="AY177">
            <v>99.92</v>
          </cell>
          <cell r="AZ177">
            <v>0</v>
          </cell>
          <cell r="BA177">
            <v>1305</v>
          </cell>
          <cell r="BB177">
            <v>1</v>
          </cell>
          <cell r="BC177">
            <v>1306</v>
          </cell>
          <cell r="BD177">
            <v>0</v>
          </cell>
          <cell r="BE177">
            <v>0</v>
          </cell>
          <cell r="BF177">
            <v>314</v>
          </cell>
          <cell r="BG177">
            <v>1</v>
          </cell>
          <cell r="BH177">
            <v>1</v>
          </cell>
          <cell r="BI177">
            <v>184</v>
          </cell>
          <cell r="BJ177">
            <v>6</v>
          </cell>
          <cell r="BK177">
            <v>140</v>
          </cell>
          <cell r="BL177">
            <v>25</v>
          </cell>
          <cell r="BM177">
            <v>8</v>
          </cell>
          <cell r="BN177">
            <v>5</v>
          </cell>
          <cell r="BO177">
            <v>0</v>
          </cell>
          <cell r="BP177">
            <v>304</v>
          </cell>
          <cell r="BQ177">
            <v>2</v>
          </cell>
          <cell r="BR177">
            <v>301</v>
          </cell>
          <cell r="BS177">
            <v>0</v>
          </cell>
          <cell r="BT177">
            <v>1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-6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-6</v>
          </cell>
          <cell r="CX177">
            <v>0</v>
          </cell>
          <cell r="CY177">
            <v>2</v>
          </cell>
          <cell r="CZ177">
            <v>0</v>
          </cell>
          <cell r="DA177">
            <v>1</v>
          </cell>
          <cell r="DB177">
            <v>0</v>
          </cell>
          <cell r="DC177">
            <v>1</v>
          </cell>
          <cell r="DD177">
            <v>0</v>
          </cell>
          <cell r="DE177">
            <v>0</v>
          </cell>
          <cell r="DF177">
            <v>39</v>
          </cell>
          <cell r="DG177">
            <v>0</v>
          </cell>
          <cell r="DH177">
            <v>6</v>
          </cell>
          <cell r="DI177">
            <v>8</v>
          </cell>
          <cell r="DJ177">
            <v>14</v>
          </cell>
          <cell r="DK177">
            <v>11</v>
          </cell>
          <cell r="DL177">
            <v>0</v>
          </cell>
          <cell r="DM177">
            <v>141</v>
          </cell>
          <cell r="DN177">
            <v>21</v>
          </cell>
          <cell r="DO177">
            <v>12</v>
          </cell>
          <cell r="DP177">
            <v>16</v>
          </cell>
          <cell r="DQ177">
            <v>79</v>
          </cell>
          <cell r="DR177">
            <v>13</v>
          </cell>
          <cell r="DS177">
            <v>0</v>
          </cell>
          <cell r="DT177">
            <v>500</v>
          </cell>
          <cell r="DU177">
            <v>43</v>
          </cell>
          <cell r="DV177">
            <v>293</v>
          </cell>
          <cell r="DW177">
            <v>45</v>
          </cell>
          <cell r="DX177">
            <v>84</v>
          </cell>
          <cell r="DY177">
            <v>35</v>
          </cell>
          <cell r="DZ177">
            <v>0</v>
          </cell>
          <cell r="EA177">
            <v>63</v>
          </cell>
          <cell r="EB177">
            <v>6</v>
          </cell>
          <cell r="EC177">
            <v>32</v>
          </cell>
          <cell r="ED177">
            <v>13</v>
          </cell>
          <cell r="EE177">
            <v>4</v>
          </cell>
          <cell r="EF177">
            <v>8</v>
          </cell>
          <cell r="EG177">
            <v>0</v>
          </cell>
          <cell r="EH177">
            <v>79</v>
          </cell>
          <cell r="EI177">
            <v>7</v>
          </cell>
          <cell r="EJ177">
            <v>2</v>
          </cell>
          <cell r="EK177">
            <v>6</v>
          </cell>
          <cell r="EL177">
            <v>63</v>
          </cell>
          <cell r="EM177">
            <v>1</v>
          </cell>
          <cell r="EN177">
            <v>0</v>
          </cell>
          <cell r="EO177" t="str">
            <v xml:space="preserve">HORSESHOE RIDGE JACKET                                      </v>
          </cell>
        </row>
        <row r="178">
          <cell r="A178" t="str">
            <v>CN3YM3824010</v>
          </cell>
          <cell r="B178" t="str">
            <v>CN3</v>
          </cell>
          <cell r="C178" t="str">
            <v>YM3824</v>
          </cell>
          <cell r="D178">
            <v>10</v>
          </cell>
          <cell r="E178" t="str">
            <v xml:space="preserve">   </v>
          </cell>
          <cell r="F178">
            <v>80704</v>
          </cell>
          <cell r="G178">
            <v>80704</v>
          </cell>
          <cell r="H178">
            <v>0</v>
          </cell>
          <cell r="I178">
            <v>516</v>
          </cell>
          <cell r="J178">
            <v>210</v>
          </cell>
          <cell r="K178">
            <v>210</v>
          </cell>
          <cell r="L178">
            <v>208</v>
          </cell>
          <cell r="M178">
            <v>208</v>
          </cell>
          <cell r="N178">
            <v>19427400</v>
          </cell>
          <cell r="O178">
            <v>7924560</v>
          </cell>
          <cell r="P178">
            <v>7924560</v>
          </cell>
          <cell r="Q178">
            <v>7849088</v>
          </cell>
          <cell r="R178">
            <v>29864514</v>
          </cell>
          <cell r="S178" t="str">
            <v xml:space="preserve"> </v>
          </cell>
          <cell r="T178" t="str">
            <v>C</v>
          </cell>
          <cell r="U178">
            <v>210</v>
          </cell>
          <cell r="V178">
            <v>7924560</v>
          </cell>
          <cell r="W178">
            <v>208</v>
          </cell>
          <cell r="X178">
            <v>7849088</v>
          </cell>
          <cell r="Y178">
            <v>99.05</v>
          </cell>
          <cell r="Z178">
            <v>99.05</v>
          </cell>
          <cell r="AA178">
            <v>7849088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2</v>
          </cell>
          <cell r="AN178">
            <v>150944</v>
          </cell>
          <cell r="AO178">
            <v>37650</v>
          </cell>
          <cell r="AP178">
            <v>37736</v>
          </cell>
          <cell r="AQ178">
            <v>158000</v>
          </cell>
          <cell r="AR178">
            <v>0</v>
          </cell>
          <cell r="AS178">
            <v>4.1900000000000004</v>
          </cell>
          <cell r="AT178">
            <v>33180000</v>
          </cell>
          <cell r="AU178">
            <v>3.8</v>
          </cell>
          <cell r="AV178">
            <v>29864514</v>
          </cell>
          <cell r="AW178">
            <v>0</v>
          </cell>
          <cell r="AX178">
            <v>0</v>
          </cell>
          <cell r="AY178">
            <v>99.05</v>
          </cell>
          <cell r="AZ178">
            <v>0</v>
          </cell>
          <cell r="BA178">
            <v>208</v>
          </cell>
          <cell r="BB178">
            <v>0</v>
          </cell>
          <cell r="BC178">
            <v>208</v>
          </cell>
          <cell r="BD178">
            <v>0</v>
          </cell>
          <cell r="BE178">
            <v>0</v>
          </cell>
          <cell r="BF178">
            <v>0</v>
          </cell>
          <cell r="BG178">
            <v>1</v>
          </cell>
          <cell r="BH178">
            <v>1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45</v>
          </cell>
          <cell r="CZ178">
            <v>10</v>
          </cell>
          <cell r="DA178">
            <v>15</v>
          </cell>
          <cell r="DB178">
            <v>5</v>
          </cell>
          <cell r="DC178">
            <v>13</v>
          </cell>
          <cell r="DD178">
            <v>2</v>
          </cell>
          <cell r="DE178">
            <v>0</v>
          </cell>
          <cell r="DF178">
            <v>36</v>
          </cell>
          <cell r="DG178">
            <v>3</v>
          </cell>
          <cell r="DH178">
            <v>6</v>
          </cell>
          <cell r="DI178">
            <v>17</v>
          </cell>
          <cell r="DJ178">
            <v>5</v>
          </cell>
          <cell r="DK178">
            <v>5</v>
          </cell>
          <cell r="DL178">
            <v>0</v>
          </cell>
          <cell r="DM178">
            <v>56</v>
          </cell>
          <cell r="DN178">
            <v>8</v>
          </cell>
          <cell r="DO178">
            <v>4</v>
          </cell>
          <cell r="DP178">
            <v>8</v>
          </cell>
          <cell r="DQ178">
            <v>35</v>
          </cell>
          <cell r="DR178">
            <v>1</v>
          </cell>
          <cell r="DS178">
            <v>0</v>
          </cell>
          <cell r="DT178">
            <v>47</v>
          </cell>
          <cell r="DU178">
            <v>16</v>
          </cell>
          <cell r="DV178">
            <v>13</v>
          </cell>
          <cell r="DW178">
            <v>12</v>
          </cell>
          <cell r="DX178">
            <v>6</v>
          </cell>
          <cell r="DY178">
            <v>0</v>
          </cell>
          <cell r="DZ178">
            <v>0</v>
          </cell>
          <cell r="EA178">
            <v>26</v>
          </cell>
          <cell r="EB178">
            <v>-1</v>
          </cell>
          <cell r="EC178">
            <v>3</v>
          </cell>
          <cell r="ED178">
            <v>-1</v>
          </cell>
          <cell r="EE178">
            <v>0</v>
          </cell>
          <cell r="EF178">
            <v>25</v>
          </cell>
          <cell r="EG178">
            <v>0</v>
          </cell>
          <cell r="EH178">
            <v>-2</v>
          </cell>
          <cell r="EI178">
            <v>-5</v>
          </cell>
          <cell r="EJ178">
            <v>3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 t="str">
            <v xml:space="preserve"> JACKET                                                     </v>
          </cell>
        </row>
        <row r="179">
          <cell r="A179" t="str">
            <v>CN3YM3824331</v>
          </cell>
          <cell r="B179" t="str">
            <v>CN3</v>
          </cell>
          <cell r="C179" t="str">
            <v>YM3824</v>
          </cell>
          <cell r="D179">
            <v>331</v>
          </cell>
          <cell r="E179" t="str">
            <v xml:space="preserve">   </v>
          </cell>
          <cell r="F179">
            <v>80704</v>
          </cell>
          <cell r="G179">
            <v>80704</v>
          </cell>
          <cell r="H179">
            <v>0</v>
          </cell>
          <cell r="I179">
            <v>395</v>
          </cell>
          <cell r="J179">
            <v>93</v>
          </cell>
          <cell r="K179">
            <v>93</v>
          </cell>
          <cell r="L179">
            <v>90</v>
          </cell>
          <cell r="M179">
            <v>90</v>
          </cell>
          <cell r="N179">
            <v>14871750</v>
          </cell>
          <cell r="O179">
            <v>3509448</v>
          </cell>
          <cell r="P179">
            <v>3509448</v>
          </cell>
          <cell r="Q179">
            <v>3396240</v>
          </cell>
          <cell r="R179">
            <v>12663876</v>
          </cell>
          <cell r="S179" t="str">
            <v xml:space="preserve"> </v>
          </cell>
          <cell r="T179" t="str">
            <v>C</v>
          </cell>
          <cell r="U179">
            <v>93</v>
          </cell>
          <cell r="V179">
            <v>3509448</v>
          </cell>
          <cell r="W179">
            <v>90</v>
          </cell>
          <cell r="X179">
            <v>3396240</v>
          </cell>
          <cell r="Y179">
            <v>96.77</v>
          </cell>
          <cell r="Z179">
            <v>96.77</v>
          </cell>
          <cell r="AA179">
            <v>3396240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3</v>
          </cell>
          <cell r="AN179">
            <v>226416</v>
          </cell>
          <cell r="AO179">
            <v>37650</v>
          </cell>
          <cell r="AP179">
            <v>37736</v>
          </cell>
          <cell r="AQ179">
            <v>158000</v>
          </cell>
          <cell r="AR179">
            <v>0</v>
          </cell>
          <cell r="AS179">
            <v>4.1900000000000004</v>
          </cell>
          <cell r="AT179">
            <v>14694000</v>
          </cell>
          <cell r="AU179">
            <v>3.73</v>
          </cell>
          <cell r="AV179">
            <v>12663876</v>
          </cell>
          <cell r="AW179">
            <v>0</v>
          </cell>
          <cell r="AX179">
            <v>0</v>
          </cell>
          <cell r="AY179">
            <v>96.77</v>
          </cell>
          <cell r="AZ179">
            <v>0</v>
          </cell>
          <cell r="BA179">
            <v>90</v>
          </cell>
          <cell r="BB179">
            <v>0</v>
          </cell>
          <cell r="BC179">
            <v>90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1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47</v>
          </cell>
          <cell r="CZ179">
            <v>2</v>
          </cell>
          <cell r="DA179">
            <v>8</v>
          </cell>
          <cell r="DB179">
            <v>14</v>
          </cell>
          <cell r="DC179">
            <v>21</v>
          </cell>
          <cell r="DD179">
            <v>2</v>
          </cell>
          <cell r="DE179">
            <v>0</v>
          </cell>
          <cell r="DF179">
            <v>9</v>
          </cell>
          <cell r="DG179">
            <v>2</v>
          </cell>
          <cell r="DH179">
            <v>2</v>
          </cell>
          <cell r="DI179">
            <v>2</v>
          </cell>
          <cell r="DJ179">
            <v>3</v>
          </cell>
          <cell r="DK179">
            <v>0</v>
          </cell>
          <cell r="DL179">
            <v>0</v>
          </cell>
          <cell r="DM179">
            <v>22</v>
          </cell>
          <cell r="DN179">
            <v>1</v>
          </cell>
          <cell r="DO179">
            <v>3</v>
          </cell>
          <cell r="DP179">
            <v>4</v>
          </cell>
          <cell r="DQ179">
            <v>13</v>
          </cell>
          <cell r="DR179">
            <v>1</v>
          </cell>
          <cell r="DS179">
            <v>0</v>
          </cell>
          <cell r="DT179">
            <v>6</v>
          </cell>
          <cell r="DU179">
            <v>0</v>
          </cell>
          <cell r="DV179">
            <v>3</v>
          </cell>
          <cell r="DW179">
            <v>4</v>
          </cell>
          <cell r="DX179">
            <v>-1</v>
          </cell>
          <cell r="DY179">
            <v>0</v>
          </cell>
          <cell r="DZ179">
            <v>0</v>
          </cell>
          <cell r="EA179">
            <v>10</v>
          </cell>
          <cell r="EB179">
            <v>0</v>
          </cell>
          <cell r="EC179">
            <v>2</v>
          </cell>
          <cell r="ED179">
            <v>0</v>
          </cell>
          <cell r="EE179">
            <v>0</v>
          </cell>
          <cell r="EF179">
            <v>8</v>
          </cell>
          <cell r="EG179">
            <v>0</v>
          </cell>
          <cell r="EH179">
            <v>-4</v>
          </cell>
          <cell r="EI179">
            <v>-6</v>
          </cell>
          <cell r="EJ179">
            <v>2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 t="str">
            <v xml:space="preserve"> JACKET                                                     </v>
          </cell>
        </row>
        <row r="180">
          <cell r="A180" t="str">
            <v>CN3YM3851010</v>
          </cell>
          <cell r="B180" t="str">
            <v>CN3</v>
          </cell>
          <cell r="C180" t="str">
            <v>YM3851</v>
          </cell>
          <cell r="D180">
            <v>10</v>
          </cell>
          <cell r="E180" t="str">
            <v xml:space="preserve">   </v>
          </cell>
          <cell r="F180">
            <v>80708</v>
          </cell>
          <cell r="G180">
            <v>80807</v>
          </cell>
          <cell r="H180">
            <v>81203</v>
          </cell>
          <cell r="I180">
            <v>1500</v>
          </cell>
          <cell r="J180">
            <v>1504</v>
          </cell>
          <cell r="K180">
            <v>1448</v>
          </cell>
          <cell r="L180">
            <v>610</v>
          </cell>
          <cell r="M180">
            <v>610</v>
          </cell>
          <cell r="N180">
            <v>137914500</v>
          </cell>
          <cell r="O180">
            <v>135514912</v>
          </cell>
          <cell r="P180">
            <v>130469144</v>
          </cell>
          <cell r="Q180">
            <v>54962830</v>
          </cell>
          <cell r="R180">
            <v>162709900</v>
          </cell>
          <cell r="S180" t="str">
            <v>*</v>
          </cell>
          <cell r="T180" t="str">
            <v xml:space="preserve"> </v>
          </cell>
          <cell r="U180">
            <v>1504</v>
          </cell>
          <cell r="V180">
            <v>135514912</v>
          </cell>
          <cell r="W180">
            <v>610</v>
          </cell>
          <cell r="X180">
            <v>54962830</v>
          </cell>
          <cell r="Y180">
            <v>40.89</v>
          </cell>
          <cell r="Z180">
            <v>41.22</v>
          </cell>
          <cell r="AA180">
            <v>13335244</v>
          </cell>
          <cell r="AB180">
            <v>41627586</v>
          </cell>
          <cell r="AC180">
            <v>56</v>
          </cell>
          <cell r="AD180">
            <v>14146171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5</v>
          </cell>
          <cell r="AL180">
            <v>901030</v>
          </cell>
          <cell r="AM180">
            <v>833</v>
          </cell>
          <cell r="AN180">
            <v>156058396</v>
          </cell>
          <cell r="AO180">
            <v>91943</v>
          </cell>
          <cell r="AP180">
            <v>90103</v>
          </cell>
          <cell r="AQ180">
            <v>358000</v>
          </cell>
          <cell r="AR180">
            <v>250000</v>
          </cell>
          <cell r="AS180">
            <v>3.97</v>
          </cell>
          <cell r="AT180">
            <v>538432000</v>
          </cell>
          <cell r="AU180">
            <v>3.55</v>
          </cell>
          <cell r="AV180">
            <v>47290400</v>
          </cell>
          <cell r="AW180">
            <v>2.77</v>
          </cell>
          <cell r="AX180">
            <v>115419500</v>
          </cell>
          <cell r="AY180">
            <v>40.89</v>
          </cell>
          <cell r="AZ180">
            <v>0</v>
          </cell>
          <cell r="BA180">
            <v>148</v>
          </cell>
          <cell r="BB180">
            <v>462</v>
          </cell>
          <cell r="BC180">
            <v>610</v>
          </cell>
          <cell r="BD180">
            <v>0</v>
          </cell>
          <cell r="BE180">
            <v>0</v>
          </cell>
          <cell r="BF180">
            <v>155</v>
          </cell>
          <cell r="BG180">
            <v>1</v>
          </cell>
          <cell r="BH180">
            <v>1</v>
          </cell>
          <cell r="BI180">
            <v>182</v>
          </cell>
          <cell r="BJ180">
            <v>53</v>
          </cell>
          <cell r="BK180">
            <v>46</v>
          </cell>
          <cell r="BL180">
            <v>45</v>
          </cell>
          <cell r="BM180">
            <v>23</v>
          </cell>
          <cell r="BN180">
            <v>15</v>
          </cell>
          <cell r="BO180">
            <v>0</v>
          </cell>
          <cell r="BP180">
            <v>111</v>
          </cell>
          <cell r="BQ180">
            <v>7</v>
          </cell>
          <cell r="BR180">
            <v>32</v>
          </cell>
          <cell r="BS180">
            <v>23</v>
          </cell>
          <cell r="BT180">
            <v>24</v>
          </cell>
          <cell r="BU180">
            <v>25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15</v>
          </cell>
          <cell r="DG180">
            <v>0</v>
          </cell>
          <cell r="DH180">
            <v>1</v>
          </cell>
          <cell r="DI180">
            <v>3</v>
          </cell>
          <cell r="DJ180">
            <v>7</v>
          </cell>
          <cell r="DK180">
            <v>4</v>
          </cell>
          <cell r="DL180">
            <v>0</v>
          </cell>
          <cell r="DM180">
            <v>40</v>
          </cell>
          <cell r="DN180">
            <v>6</v>
          </cell>
          <cell r="DO180">
            <v>5</v>
          </cell>
          <cell r="DP180">
            <v>3</v>
          </cell>
          <cell r="DQ180">
            <v>24</v>
          </cell>
          <cell r="DR180">
            <v>2</v>
          </cell>
          <cell r="DS180">
            <v>0</v>
          </cell>
          <cell r="DT180">
            <v>32</v>
          </cell>
          <cell r="DU180">
            <v>8</v>
          </cell>
          <cell r="DV180">
            <v>5</v>
          </cell>
          <cell r="DW180">
            <v>9</v>
          </cell>
          <cell r="DX180">
            <v>4</v>
          </cell>
          <cell r="DY180">
            <v>6</v>
          </cell>
          <cell r="DZ180">
            <v>0</v>
          </cell>
          <cell r="EA180">
            <v>66</v>
          </cell>
          <cell r="EB180">
            <v>4</v>
          </cell>
          <cell r="EC180">
            <v>29</v>
          </cell>
          <cell r="ED180">
            <v>8</v>
          </cell>
          <cell r="EE180">
            <v>12</v>
          </cell>
          <cell r="EF180">
            <v>13</v>
          </cell>
          <cell r="EG180">
            <v>0</v>
          </cell>
          <cell r="EH180">
            <v>164</v>
          </cell>
          <cell r="EI180">
            <v>23</v>
          </cell>
          <cell r="EJ180">
            <v>40</v>
          </cell>
          <cell r="EK180">
            <v>25</v>
          </cell>
          <cell r="EL180">
            <v>53</v>
          </cell>
          <cell r="EM180">
            <v>23</v>
          </cell>
          <cell r="EN180">
            <v>0</v>
          </cell>
          <cell r="EO180" t="str">
            <v xml:space="preserve">MYRTLE BEACH JACKET                                         </v>
          </cell>
        </row>
        <row r="181">
          <cell r="A181" t="str">
            <v>CN3YM3852010</v>
          </cell>
          <cell r="B181" t="str">
            <v>CN3</v>
          </cell>
          <cell r="C181" t="str">
            <v>YM3852</v>
          </cell>
          <cell r="D181">
            <v>10</v>
          </cell>
          <cell r="E181" t="str">
            <v xml:space="preserve">   </v>
          </cell>
          <cell r="F181">
            <v>80828</v>
          </cell>
          <cell r="G181">
            <v>80828</v>
          </cell>
          <cell r="H181">
            <v>0</v>
          </cell>
          <cell r="I181">
            <v>3000</v>
          </cell>
          <cell r="J181">
            <v>3036</v>
          </cell>
          <cell r="K181">
            <v>3035</v>
          </cell>
          <cell r="L181">
            <v>3039</v>
          </cell>
          <cell r="M181">
            <v>3039</v>
          </cell>
          <cell r="N181">
            <v>221616000</v>
          </cell>
          <cell r="O181">
            <v>234490245</v>
          </cell>
          <cell r="P181">
            <v>242706624</v>
          </cell>
          <cell r="Q181">
            <v>244375299</v>
          </cell>
          <cell r="R181">
            <v>679053975</v>
          </cell>
          <cell r="S181" t="str">
            <v xml:space="preserve"> </v>
          </cell>
          <cell r="T181" t="str">
            <v xml:space="preserve"> </v>
          </cell>
          <cell r="U181">
            <v>3036</v>
          </cell>
          <cell r="V181">
            <v>234490245</v>
          </cell>
          <cell r="W181">
            <v>3039</v>
          </cell>
          <cell r="X181">
            <v>244375299</v>
          </cell>
          <cell r="Y181">
            <v>100.07</v>
          </cell>
          <cell r="Z181">
            <v>104.15</v>
          </cell>
          <cell r="AA181">
            <v>243566129</v>
          </cell>
          <cell r="AB181">
            <v>809170</v>
          </cell>
          <cell r="AC181">
            <v>1</v>
          </cell>
          <cell r="AD181">
            <v>566419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-1</v>
          </cell>
          <cell r="AL181">
            <v>-161834</v>
          </cell>
          <cell r="AM181">
            <v>-3</v>
          </cell>
          <cell r="AN181">
            <v>-242751</v>
          </cell>
          <cell r="AO181">
            <v>73872</v>
          </cell>
          <cell r="AP181">
            <v>80917</v>
          </cell>
          <cell r="AQ181">
            <v>238000</v>
          </cell>
          <cell r="AR181">
            <v>0</v>
          </cell>
          <cell r="AS181">
            <v>3.08</v>
          </cell>
          <cell r="AT181">
            <v>722568000</v>
          </cell>
          <cell r="AU181">
            <v>2.79</v>
          </cell>
          <cell r="AV181">
            <v>678985385</v>
          </cell>
          <cell r="AW181">
            <v>0.08</v>
          </cell>
          <cell r="AX181">
            <v>68590</v>
          </cell>
          <cell r="AY181">
            <v>100.07</v>
          </cell>
          <cell r="AZ181">
            <v>0</v>
          </cell>
          <cell r="BA181">
            <v>3029</v>
          </cell>
          <cell r="BB181">
            <v>10</v>
          </cell>
          <cell r="BC181">
            <v>2979</v>
          </cell>
          <cell r="BD181">
            <v>60</v>
          </cell>
          <cell r="BE181">
            <v>0</v>
          </cell>
          <cell r="BF181">
            <v>46</v>
          </cell>
          <cell r="BG181">
            <v>1</v>
          </cell>
          <cell r="BH181">
            <v>1</v>
          </cell>
          <cell r="BI181">
            <v>5</v>
          </cell>
          <cell r="BJ181">
            <v>1</v>
          </cell>
          <cell r="BK181">
            <v>0</v>
          </cell>
          <cell r="BL181">
            <v>1</v>
          </cell>
          <cell r="BM181">
            <v>0</v>
          </cell>
          <cell r="BN181">
            <v>3</v>
          </cell>
          <cell r="BO181">
            <v>0</v>
          </cell>
          <cell r="BP181">
            <v>8</v>
          </cell>
          <cell r="BQ181">
            <v>0</v>
          </cell>
          <cell r="BR181">
            <v>5</v>
          </cell>
          <cell r="BS181">
            <v>3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1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1</v>
          </cell>
          <cell r="DL181">
            <v>0</v>
          </cell>
          <cell r="DM181">
            <v>605</v>
          </cell>
          <cell r="DN181">
            <v>197</v>
          </cell>
          <cell r="DO181">
            <v>119</v>
          </cell>
          <cell r="DP181">
            <v>145</v>
          </cell>
          <cell r="DQ181">
            <v>103</v>
          </cell>
          <cell r="DR181">
            <v>41</v>
          </cell>
          <cell r="DS181">
            <v>0</v>
          </cell>
          <cell r="DT181">
            <v>1748</v>
          </cell>
          <cell r="DU181">
            <v>237</v>
          </cell>
          <cell r="DV181">
            <v>432</v>
          </cell>
          <cell r="DW181">
            <v>390</v>
          </cell>
          <cell r="DX181">
            <v>414</v>
          </cell>
          <cell r="DY181">
            <v>275</v>
          </cell>
          <cell r="DZ181">
            <v>0</v>
          </cell>
          <cell r="EA181">
            <v>564</v>
          </cell>
          <cell r="EB181">
            <v>163</v>
          </cell>
          <cell r="EC181">
            <v>320</v>
          </cell>
          <cell r="ED181">
            <v>55</v>
          </cell>
          <cell r="EE181">
            <v>18</v>
          </cell>
          <cell r="EF181">
            <v>8</v>
          </cell>
          <cell r="EG181">
            <v>0</v>
          </cell>
          <cell r="EH181">
            <v>108</v>
          </cell>
          <cell r="EI181">
            <v>18</v>
          </cell>
          <cell r="EJ181">
            <v>19</v>
          </cell>
          <cell r="EK181">
            <v>20</v>
          </cell>
          <cell r="EL181">
            <v>-5</v>
          </cell>
          <cell r="EM181">
            <v>56</v>
          </cell>
          <cell r="EN181">
            <v>0</v>
          </cell>
          <cell r="EO181" t="str">
            <v xml:space="preserve">MANS SYLVAN SPRINGS JACKET                                  </v>
          </cell>
        </row>
        <row r="182">
          <cell r="A182" t="str">
            <v>CN3YM3852979</v>
          </cell>
          <cell r="B182" t="str">
            <v>CN3</v>
          </cell>
          <cell r="C182" t="str">
            <v>YM3852</v>
          </cell>
          <cell r="D182">
            <v>979</v>
          </cell>
          <cell r="E182" t="str">
            <v xml:space="preserve">   </v>
          </cell>
          <cell r="F182">
            <v>80828</v>
          </cell>
          <cell r="G182">
            <v>80828</v>
          </cell>
          <cell r="H182">
            <v>0</v>
          </cell>
          <cell r="I182">
            <v>1500</v>
          </cell>
          <cell r="J182">
            <v>1494</v>
          </cell>
          <cell r="K182">
            <v>1493</v>
          </cell>
          <cell r="L182">
            <v>1490</v>
          </cell>
          <cell r="M182">
            <v>1490</v>
          </cell>
          <cell r="N182">
            <v>110808000</v>
          </cell>
          <cell r="O182">
            <v>117573304</v>
          </cell>
          <cell r="P182">
            <v>119533627</v>
          </cell>
          <cell r="Q182">
            <v>119682182</v>
          </cell>
          <cell r="R182">
            <v>329657918</v>
          </cell>
          <cell r="S182" t="str">
            <v xml:space="preserve"> </v>
          </cell>
          <cell r="T182" t="str">
            <v xml:space="preserve"> </v>
          </cell>
          <cell r="U182">
            <v>1494</v>
          </cell>
          <cell r="V182">
            <v>117573304</v>
          </cell>
          <cell r="W182">
            <v>1490</v>
          </cell>
          <cell r="X182">
            <v>119682182</v>
          </cell>
          <cell r="Y182">
            <v>99.8</v>
          </cell>
          <cell r="Z182">
            <v>101.93</v>
          </cell>
          <cell r="AA182">
            <v>119520348</v>
          </cell>
          <cell r="AB182">
            <v>161834</v>
          </cell>
          <cell r="AC182">
            <v>1</v>
          </cell>
          <cell r="AD182">
            <v>1294672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1</v>
          </cell>
          <cell r="AL182">
            <v>161834</v>
          </cell>
          <cell r="AM182">
            <v>2</v>
          </cell>
          <cell r="AN182">
            <v>566419</v>
          </cell>
          <cell r="AO182">
            <v>73872</v>
          </cell>
          <cell r="AP182">
            <v>80917</v>
          </cell>
          <cell r="AQ182">
            <v>238000</v>
          </cell>
          <cell r="AR182">
            <v>0</v>
          </cell>
          <cell r="AS182">
            <v>3.02</v>
          </cell>
          <cell r="AT182">
            <v>355572000</v>
          </cell>
          <cell r="AU182">
            <v>2.76</v>
          </cell>
          <cell r="AV182">
            <v>329644200</v>
          </cell>
          <cell r="AW182">
            <v>0.08</v>
          </cell>
          <cell r="AX182">
            <v>13718</v>
          </cell>
          <cell r="AY182">
            <v>99.8</v>
          </cell>
          <cell r="AZ182">
            <v>0</v>
          </cell>
          <cell r="BA182">
            <v>1488</v>
          </cell>
          <cell r="BB182">
            <v>2</v>
          </cell>
          <cell r="BC182">
            <v>1331</v>
          </cell>
          <cell r="BD182">
            <v>159</v>
          </cell>
          <cell r="BE182">
            <v>0</v>
          </cell>
          <cell r="BF182">
            <v>121</v>
          </cell>
          <cell r="BG182">
            <v>0</v>
          </cell>
          <cell r="BH182">
            <v>1</v>
          </cell>
          <cell r="BI182">
            <v>-4</v>
          </cell>
          <cell r="BJ182">
            <v>-10</v>
          </cell>
          <cell r="BK182">
            <v>0</v>
          </cell>
          <cell r="BL182">
            <v>2</v>
          </cell>
          <cell r="BM182">
            <v>1</v>
          </cell>
          <cell r="BN182">
            <v>3</v>
          </cell>
          <cell r="BO182">
            <v>0</v>
          </cell>
          <cell r="BP182">
            <v>17</v>
          </cell>
          <cell r="BQ182">
            <v>0</v>
          </cell>
          <cell r="BR182">
            <v>-9</v>
          </cell>
          <cell r="BS182">
            <v>23</v>
          </cell>
          <cell r="BT182">
            <v>3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1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1</v>
          </cell>
          <cell r="DL182">
            <v>0</v>
          </cell>
          <cell r="DM182">
            <v>352</v>
          </cell>
          <cell r="DN182">
            <v>78</v>
          </cell>
          <cell r="DO182">
            <v>87</v>
          </cell>
          <cell r="DP182">
            <v>100</v>
          </cell>
          <cell r="DQ182">
            <v>56</v>
          </cell>
          <cell r="DR182">
            <v>31</v>
          </cell>
          <cell r="DS182">
            <v>0</v>
          </cell>
          <cell r="DT182">
            <v>645</v>
          </cell>
          <cell r="DU182">
            <v>155</v>
          </cell>
          <cell r="DV182">
            <v>133</v>
          </cell>
          <cell r="DW182">
            <v>117</v>
          </cell>
          <cell r="DX182">
            <v>107</v>
          </cell>
          <cell r="DY182">
            <v>133</v>
          </cell>
          <cell r="DZ182">
            <v>0</v>
          </cell>
          <cell r="EA182">
            <v>328</v>
          </cell>
          <cell r="EB182">
            <v>45</v>
          </cell>
          <cell r="EC182">
            <v>129</v>
          </cell>
          <cell r="ED182">
            <v>71</v>
          </cell>
          <cell r="EE182">
            <v>36</v>
          </cell>
          <cell r="EF182">
            <v>47</v>
          </cell>
          <cell r="EG182">
            <v>0</v>
          </cell>
          <cell r="EH182">
            <v>151</v>
          </cell>
          <cell r="EI182">
            <v>-2</v>
          </cell>
          <cell r="EJ182">
            <v>22</v>
          </cell>
          <cell r="EK182">
            <v>12</v>
          </cell>
          <cell r="EL182">
            <v>-19</v>
          </cell>
          <cell r="EM182">
            <v>138</v>
          </cell>
          <cell r="EN182">
            <v>0</v>
          </cell>
          <cell r="EO182" t="str">
            <v xml:space="preserve">MANS SYLVAN SPRINGS JACKET                                  </v>
          </cell>
        </row>
        <row r="183">
          <cell r="A183" t="str">
            <v>CN3YM3853094</v>
          </cell>
          <cell r="B183" t="str">
            <v>CN3</v>
          </cell>
          <cell r="C183" t="str">
            <v>YM3853</v>
          </cell>
          <cell r="D183">
            <v>94</v>
          </cell>
          <cell r="E183" t="str">
            <v xml:space="preserve">   </v>
          </cell>
          <cell r="F183">
            <v>80813</v>
          </cell>
          <cell r="G183">
            <v>80818</v>
          </cell>
          <cell r="H183">
            <v>0</v>
          </cell>
          <cell r="I183">
            <v>1500</v>
          </cell>
          <cell r="J183">
            <v>1512</v>
          </cell>
          <cell r="K183">
            <v>1511</v>
          </cell>
          <cell r="L183">
            <v>716</v>
          </cell>
          <cell r="M183">
            <v>716</v>
          </cell>
          <cell r="N183">
            <v>123975000</v>
          </cell>
          <cell r="O183">
            <v>124960752</v>
          </cell>
          <cell r="P183">
            <v>124878106</v>
          </cell>
          <cell r="Q183">
            <v>59174536</v>
          </cell>
          <cell r="R183">
            <v>207280118</v>
          </cell>
          <cell r="S183" t="str">
            <v xml:space="preserve"> </v>
          </cell>
          <cell r="T183" t="str">
            <v xml:space="preserve"> </v>
          </cell>
          <cell r="U183">
            <v>1512</v>
          </cell>
          <cell r="V183">
            <v>124960752</v>
          </cell>
          <cell r="W183">
            <v>716</v>
          </cell>
          <cell r="X183">
            <v>59174536</v>
          </cell>
          <cell r="Y183">
            <v>47.62</v>
          </cell>
          <cell r="Z183">
            <v>47.88</v>
          </cell>
          <cell r="AA183">
            <v>59009244</v>
          </cell>
          <cell r="AB183">
            <v>165292</v>
          </cell>
          <cell r="AC183">
            <v>1</v>
          </cell>
          <cell r="AD183">
            <v>165292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4</v>
          </cell>
          <cell r="AL183">
            <v>661168</v>
          </cell>
          <cell r="AM183">
            <v>791</v>
          </cell>
          <cell r="AN183">
            <v>135208856</v>
          </cell>
          <cell r="AO183">
            <v>82650</v>
          </cell>
          <cell r="AP183">
            <v>82646</v>
          </cell>
          <cell r="AQ183">
            <v>328000</v>
          </cell>
          <cell r="AR183">
            <v>0</v>
          </cell>
          <cell r="AS183">
            <v>3.97</v>
          </cell>
          <cell r="AT183">
            <v>495936000</v>
          </cell>
          <cell r="AU183">
            <v>3.51</v>
          </cell>
          <cell r="AV183">
            <v>207266400</v>
          </cell>
          <cell r="AW183">
            <v>0.08</v>
          </cell>
          <cell r="AX183">
            <v>13718</v>
          </cell>
          <cell r="AY183">
            <v>47.62</v>
          </cell>
          <cell r="AZ183">
            <v>0</v>
          </cell>
          <cell r="BA183">
            <v>714</v>
          </cell>
          <cell r="BB183">
            <v>2</v>
          </cell>
          <cell r="BC183">
            <v>716</v>
          </cell>
          <cell r="BD183">
            <v>0</v>
          </cell>
          <cell r="BE183">
            <v>0</v>
          </cell>
          <cell r="BF183">
            <v>78</v>
          </cell>
          <cell r="BG183">
            <v>1</v>
          </cell>
          <cell r="BH183">
            <v>1</v>
          </cell>
          <cell r="BI183">
            <v>114</v>
          </cell>
          <cell r="BJ183">
            <v>23</v>
          </cell>
          <cell r="BK183">
            <v>13</v>
          </cell>
          <cell r="BL183">
            <v>58</v>
          </cell>
          <cell r="BM183">
            <v>16</v>
          </cell>
          <cell r="BN183">
            <v>4</v>
          </cell>
          <cell r="BO183">
            <v>0</v>
          </cell>
          <cell r="BP183">
            <v>54</v>
          </cell>
          <cell r="BQ183">
            <v>7</v>
          </cell>
          <cell r="BR183">
            <v>12</v>
          </cell>
          <cell r="BS183">
            <v>6</v>
          </cell>
          <cell r="BT183">
            <v>17</v>
          </cell>
          <cell r="BU183">
            <v>12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4</v>
          </cell>
          <cell r="DG183">
            <v>0</v>
          </cell>
          <cell r="DH183">
            <v>0</v>
          </cell>
          <cell r="DI183">
            <v>0</v>
          </cell>
          <cell r="DJ183">
            <v>3</v>
          </cell>
          <cell r="DK183">
            <v>1</v>
          </cell>
          <cell r="DL183">
            <v>0</v>
          </cell>
          <cell r="DM183">
            <v>98</v>
          </cell>
          <cell r="DN183">
            <v>7</v>
          </cell>
          <cell r="DO183">
            <v>11</v>
          </cell>
          <cell r="DP183">
            <v>14</v>
          </cell>
          <cell r="DQ183">
            <v>53</v>
          </cell>
          <cell r="DR183">
            <v>13</v>
          </cell>
          <cell r="DS183">
            <v>0</v>
          </cell>
          <cell r="DT183">
            <v>116</v>
          </cell>
          <cell r="DU183">
            <v>17</v>
          </cell>
          <cell r="DV183">
            <v>19</v>
          </cell>
          <cell r="DW183">
            <v>27</v>
          </cell>
          <cell r="DX183">
            <v>22</v>
          </cell>
          <cell r="DY183">
            <v>31</v>
          </cell>
          <cell r="DZ183">
            <v>0</v>
          </cell>
          <cell r="EA183">
            <v>203</v>
          </cell>
          <cell r="EB183">
            <v>34</v>
          </cell>
          <cell r="EC183">
            <v>72</v>
          </cell>
          <cell r="ED183">
            <v>38</v>
          </cell>
          <cell r="EE183">
            <v>46</v>
          </cell>
          <cell r="EF183">
            <v>13</v>
          </cell>
          <cell r="EG183">
            <v>0</v>
          </cell>
          <cell r="EH183">
            <v>127</v>
          </cell>
          <cell r="EI183">
            <v>31</v>
          </cell>
          <cell r="EJ183">
            <v>31</v>
          </cell>
          <cell r="EK183">
            <v>19</v>
          </cell>
          <cell r="EL183">
            <v>26</v>
          </cell>
          <cell r="EM183">
            <v>20</v>
          </cell>
          <cell r="EN183">
            <v>0</v>
          </cell>
          <cell r="EO183" t="str">
            <v xml:space="preserve">MANS EXETER JACKET                                          </v>
          </cell>
        </row>
        <row r="184">
          <cell r="A184" t="str">
            <v>CN3YM3853425</v>
          </cell>
          <cell r="B184" t="str">
            <v>CN3</v>
          </cell>
          <cell r="C184" t="str">
            <v>YM3853</v>
          </cell>
          <cell r="D184">
            <v>425</v>
          </cell>
          <cell r="E184" t="str">
            <v xml:space="preserve">   </v>
          </cell>
          <cell r="F184">
            <v>80813</v>
          </cell>
          <cell r="G184">
            <v>80818</v>
          </cell>
          <cell r="H184">
            <v>0</v>
          </cell>
          <cell r="I184">
            <v>1500</v>
          </cell>
          <cell r="J184">
            <v>1511</v>
          </cell>
          <cell r="K184">
            <v>1511</v>
          </cell>
          <cell r="L184">
            <v>1398</v>
          </cell>
          <cell r="M184">
            <v>1398</v>
          </cell>
          <cell r="N184">
            <v>123975000</v>
          </cell>
          <cell r="O184">
            <v>124878106</v>
          </cell>
          <cell r="P184">
            <v>124878106</v>
          </cell>
          <cell r="Q184">
            <v>115539108</v>
          </cell>
          <cell r="R184">
            <v>400432977</v>
          </cell>
          <cell r="S184" t="str">
            <v xml:space="preserve"> </v>
          </cell>
          <cell r="T184" t="str">
            <v xml:space="preserve"> </v>
          </cell>
          <cell r="U184">
            <v>1511</v>
          </cell>
          <cell r="V184">
            <v>124878106</v>
          </cell>
          <cell r="W184">
            <v>1398</v>
          </cell>
          <cell r="X184">
            <v>115539108</v>
          </cell>
          <cell r="Y184">
            <v>92.52</v>
          </cell>
          <cell r="Z184">
            <v>92.52</v>
          </cell>
          <cell r="AA184">
            <v>115291170</v>
          </cell>
          <cell r="AB184">
            <v>247938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113</v>
          </cell>
          <cell r="AN184">
            <v>21901190</v>
          </cell>
          <cell r="AO184">
            <v>82650</v>
          </cell>
          <cell r="AP184">
            <v>82646</v>
          </cell>
          <cell r="AQ184">
            <v>328000</v>
          </cell>
          <cell r="AR184">
            <v>0</v>
          </cell>
          <cell r="AS184">
            <v>3.97</v>
          </cell>
          <cell r="AT184">
            <v>495608000</v>
          </cell>
          <cell r="AU184">
            <v>3.47</v>
          </cell>
          <cell r="AV184">
            <v>400412400</v>
          </cell>
          <cell r="AW184">
            <v>0.08</v>
          </cell>
          <cell r="AX184">
            <v>20577</v>
          </cell>
          <cell r="AY184">
            <v>92.52</v>
          </cell>
          <cell r="AZ184">
            <v>0</v>
          </cell>
          <cell r="BA184">
            <v>1395</v>
          </cell>
          <cell r="BB184">
            <v>3</v>
          </cell>
          <cell r="BC184">
            <v>1398</v>
          </cell>
          <cell r="BD184">
            <v>0</v>
          </cell>
          <cell r="BE184">
            <v>0</v>
          </cell>
          <cell r="BF184">
            <v>81</v>
          </cell>
          <cell r="BG184">
            <v>0</v>
          </cell>
          <cell r="BH184">
            <v>1</v>
          </cell>
          <cell r="BI184">
            <v>100</v>
          </cell>
          <cell r="BJ184">
            <v>19</v>
          </cell>
          <cell r="BK184">
            <v>38</v>
          </cell>
          <cell r="BL184">
            <v>24</v>
          </cell>
          <cell r="BM184">
            <v>14</v>
          </cell>
          <cell r="BN184">
            <v>5</v>
          </cell>
          <cell r="BO184">
            <v>0</v>
          </cell>
          <cell r="BP184">
            <v>39</v>
          </cell>
          <cell r="BQ184">
            <v>3</v>
          </cell>
          <cell r="BR184">
            <v>19</v>
          </cell>
          <cell r="BS184">
            <v>2</v>
          </cell>
          <cell r="BT184">
            <v>9</v>
          </cell>
          <cell r="BU184">
            <v>6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21</v>
          </cell>
          <cell r="DG184">
            <v>0</v>
          </cell>
          <cell r="DH184">
            <v>0</v>
          </cell>
          <cell r="DI184">
            <v>0</v>
          </cell>
          <cell r="DJ184">
            <v>9</v>
          </cell>
          <cell r="DK184">
            <v>12</v>
          </cell>
          <cell r="DL184">
            <v>0</v>
          </cell>
          <cell r="DM184">
            <v>241</v>
          </cell>
          <cell r="DN184">
            <v>19</v>
          </cell>
          <cell r="DO184">
            <v>20</v>
          </cell>
          <cell r="DP184">
            <v>26</v>
          </cell>
          <cell r="DQ184">
            <v>165</v>
          </cell>
          <cell r="DR184">
            <v>11</v>
          </cell>
          <cell r="DS184">
            <v>0</v>
          </cell>
          <cell r="DT184">
            <v>351</v>
          </cell>
          <cell r="DU184">
            <v>55</v>
          </cell>
          <cell r="DV184">
            <v>67</v>
          </cell>
          <cell r="DW184">
            <v>72</v>
          </cell>
          <cell r="DX184">
            <v>93</v>
          </cell>
          <cell r="DY184">
            <v>64</v>
          </cell>
          <cell r="DZ184">
            <v>0</v>
          </cell>
          <cell r="EA184">
            <v>514</v>
          </cell>
          <cell r="EB184">
            <v>43</v>
          </cell>
          <cell r="EC184">
            <v>268</v>
          </cell>
          <cell r="ED184">
            <v>83</v>
          </cell>
          <cell r="EE184">
            <v>56</v>
          </cell>
          <cell r="EF184">
            <v>64</v>
          </cell>
          <cell r="EG184">
            <v>0</v>
          </cell>
          <cell r="EH184">
            <v>132</v>
          </cell>
          <cell r="EI184">
            <v>73</v>
          </cell>
          <cell r="EJ184">
            <v>11</v>
          </cell>
          <cell r="EK184">
            <v>21</v>
          </cell>
          <cell r="EL184">
            <v>22</v>
          </cell>
          <cell r="EM184">
            <v>5</v>
          </cell>
          <cell r="EN184">
            <v>0</v>
          </cell>
          <cell r="EO184" t="str">
            <v xml:space="preserve">MANS EXETER JACKET                                          </v>
          </cell>
        </row>
        <row r="185">
          <cell r="A185" t="str">
            <v>CN3YM3853861</v>
          </cell>
          <cell r="B185" t="str">
            <v>CN3</v>
          </cell>
          <cell r="C185" t="str">
            <v>YM3853</v>
          </cell>
          <cell r="D185">
            <v>861</v>
          </cell>
          <cell r="E185" t="str">
            <v xml:space="preserve">   </v>
          </cell>
          <cell r="F185">
            <v>80829</v>
          </cell>
          <cell r="G185">
            <v>80903</v>
          </cell>
          <cell r="H185">
            <v>0</v>
          </cell>
          <cell r="I185">
            <v>500</v>
          </cell>
          <cell r="J185">
            <v>501</v>
          </cell>
          <cell r="K185">
            <v>501</v>
          </cell>
          <cell r="L185">
            <v>347</v>
          </cell>
          <cell r="M185">
            <v>347</v>
          </cell>
          <cell r="N185">
            <v>41325000</v>
          </cell>
          <cell r="O185">
            <v>41405646</v>
          </cell>
          <cell r="P185">
            <v>41405646</v>
          </cell>
          <cell r="Q185">
            <v>28678162</v>
          </cell>
          <cell r="R185">
            <v>100536631</v>
          </cell>
          <cell r="S185" t="str">
            <v xml:space="preserve"> </v>
          </cell>
          <cell r="T185" t="str">
            <v xml:space="preserve"> </v>
          </cell>
          <cell r="U185">
            <v>501</v>
          </cell>
          <cell r="V185">
            <v>41405646</v>
          </cell>
          <cell r="W185">
            <v>347</v>
          </cell>
          <cell r="X185">
            <v>28678162</v>
          </cell>
          <cell r="Y185">
            <v>69.459999999999994</v>
          </cell>
          <cell r="Z185">
            <v>69.66</v>
          </cell>
          <cell r="AA185">
            <v>28678162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1</v>
          </cell>
          <cell r="AL185">
            <v>165292</v>
          </cell>
          <cell r="AM185">
            <v>153</v>
          </cell>
          <cell r="AN185">
            <v>27025242</v>
          </cell>
          <cell r="AO185">
            <v>82650</v>
          </cell>
          <cell r="AP185">
            <v>82646</v>
          </cell>
          <cell r="AQ185">
            <v>328000</v>
          </cell>
          <cell r="AR185">
            <v>0</v>
          </cell>
          <cell r="AS185">
            <v>3.97</v>
          </cell>
          <cell r="AT185">
            <v>164328000</v>
          </cell>
          <cell r="AU185">
            <v>3.51</v>
          </cell>
          <cell r="AV185">
            <v>100536631</v>
          </cell>
          <cell r="AW185">
            <v>0</v>
          </cell>
          <cell r="AX185">
            <v>0</v>
          </cell>
          <cell r="AY185">
            <v>69.459999999999994</v>
          </cell>
          <cell r="AZ185">
            <v>0</v>
          </cell>
          <cell r="BA185">
            <v>347</v>
          </cell>
          <cell r="BB185">
            <v>0</v>
          </cell>
          <cell r="BC185">
            <v>347</v>
          </cell>
          <cell r="BD185">
            <v>0</v>
          </cell>
          <cell r="BE185">
            <v>0</v>
          </cell>
          <cell r="BF185">
            <v>25</v>
          </cell>
          <cell r="BG185">
            <v>0</v>
          </cell>
          <cell r="BH185">
            <v>1</v>
          </cell>
          <cell r="BI185">
            <v>28</v>
          </cell>
          <cell r="BJ185">
            <v>3</v>
          </cell>
          <cell r="BK185">
            <v>6</v>
          </cell>
          <cell r="BL185">
            <v>10</v>
          </cell>
          <cell r="BM185">
            <v>4</v>
          </cell>
          <cell r="BN185">
            <v>5</v>
          </cell>
          <cell r="BO185">
            <v>0</v>
          </cell>
          <cell r="BP185">
            <v>21</v>
          </cell>
          <cell r="BQ185">
            <v>-1</v>
          </cell>
          <cell r="BR185">
            <v>7</v>
          </cell>
          <cell r="BS185">
            <v>5</v>
          </cell>
          <cell r="BT185">
            <v>8</v>
          </cell>
          <cell r="BU185">
            <v>2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138</v>
          </cell>
          <cell r="DN185">
            <v>13</v>
          </cell>
          <cell r="DO185">
            <v>14</v>
          </cell>
          <cell r="DP185">
            <v>14</v>
          </cell>
          <cell r="DQ185">
            <v>96</v>
          </cell>
          <cell r="DR185">
            <v>1</v>
          </cell>
          <cell r="DS185">
            <v>0</v>
          </cell>
          <cell r="DT185">
            <v>84</v>
          </cell>
          <cell r="DU185">
            <v>16</v>
          </cell>
          <cell r="DV185">
            <v>21</v>
          </cell>
          <cell r="DW185">
            <v>13</v>
          </cell>
          <cell r="DX185">
            <v>18</v>
          </cell>
          <cell r="DY185">
            <v>16</v>
          </cell>
          <cell r="DZ185">
            <v>0</v>
          </cell>
          <cell r="EA185">
            <v>61</v>
          </cell>
          <cell r="EB185">
            <v>7</v>
          </cell>
          <cell r="EC185">
            <v>25</v>
          </cell>
          <cell r="ED185">
            <v>10</v>
          </cell>
          <cell r="EE185">
            <v>10</v>
          </cell>
          <cell r="EF185">
            <v>9</v>
          </cell>
          <cell r="EG185">
            <v>0</v>
          </cell>
          <cell r="EH185">
            <v>15</v>
          </cell>
          <cell r="EI185">
            <v>-2</v>
          </cell>
          <cell r="EJ185">
            <v>8</v>
          </cell>
          <cell r="EK185">
            <v>5</v>
          </cell>
          <cell r="EL185">
            <v>2</v>
          </cell>
          <cell r="EM185">
            <v>2</v>
          </cell>
          <cell r="EN185">
            <v>0</v>
          </cell>
          <cell r="EO185" t="str">
            <v xml:space="preserve">MANS EXETER JACKET                                          </v>
          </cell>
        </row>
        <row r="186">
          <cell r="A186" t="str">
            <v>CN3YM3855094</v>
          </cell>
          <cell r="B186" t="str">
            <v>CN3</v>
          </cell>
          <cell r="C186" t="str">
            <v>YM3855</v>
          </cell>
          <cell r="D186">
            <v>94</v>
          </cell>
          <cell r="E186" t="str">
            <v xml:space="preserve">   </v>
          </cell>
          <cell r="F186">
            <v>80813</v>
          </cell>
          <cell r="G186">
            <v>80818</v>
          </cell>
          <cell r="H186">
            <v>0</v>
          </cell>
          <cell r="I186">
            <v>1500</v>
          </cell>
          <cell r="J186">
            <v>1509</v>
          </cell>
          <cell r="K186">
            <v>1383</v>
          </cell>
          <cell r="L186">
            <v>672</v>
          </cell>
          <cell r="M186">
            <v>672</v>
          </cell>
          <cell r="N186">
            <v>145212000</v>
          </cell>
          <cell r="O186">
            <v>146197154</v>
          </cell>
          <cell r="P186">
            <v>133989448</v>
          </cell>
          <cell r="Q186">
            <v>65104067</v>
          </cell>
          <cell r="R186">
            <v>238767440</v>
          </cell>
          <cell r="S186" t="str">
            <v xml:space="preserve"> </v>
          </cell>
          <cell r="T186" t="str">
            <v xml:space="preserve"> </v>
          </cell>
          <cell r="U186">
            <v>1509</v>
          </cell>
          <cell r="V186">
            <v>146197154</v>
          </cell>
          <cell r="W186">
            <v>672</v>
          </cell>
          <cell r="X186">
            <v>65104067</v>
          </cell>
          <cell r="Y186">
            <v>44.67</v>
          </cell>
          <cell r="Z186">
            <v>44.6</v>
          </cell>
          <cell r="AA186">
            <v>64716543</v>
          </cell>
          <cell r="AB186">
            <v>387524</v>
          </cell>
          <cell r="AC186">
            <v>126</v>
          </cell>
          <cell r="AD186">
            <v>27514204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2</v>
          </cell>
          <cell r="AJ186">
            <v>387524</v>
          </cell>
          <cell r="AK186">
            <v>2</v>
          </cell>
          <cell r="AL186">
            <v>96881</v>
          </cell>
          <cell r="AM186">
            <v>707</v>
          </cell>
          <cell r="AN186">
            <v>138636711</v>
          </cell>
          <cell r="AO186">
            <v>96808</v>
          </cell>
          <cell r="AP186">
            <v>96881</v>
          </cell>
          <cell r="AQ186">
            <v>398000</v>
          </cell>
          <cell r="AR186">
            <v>0</v>
          </cell>
          <cell r="AS186">
            <v>4.1100000000000003</v>
          </cell>
          <cell r="AT186">
            <v>600582000</v>
          </cell>
          <cell r="AU186">
            <v>3.69</v>
          </cell>
          <cell r="AV186">
            <v>238740004</v>
          </cell>
          <cell r="AW186">
            <v>7.0000000000000007E-2</v>
          </cell>
          <cell r="AX186">
            <v>27436</v>
          </cell>
          <cell r="AY186">
            <v>44.67</v>
          </cell>
          <cell r="AZ186">
            <v>0</v>
          </cell>
          <cell r="BA186">
            <v>668</v>
          </cell>
          <cell r="BB186">
            <v>4</v>
          </cell>
          <cell r="BC186">
            <v>672</v>
          </cell>
          <cell r="BD186">
            <v>0</v>
          </cell>
          <cell r="BE186">
            <v>0</v>
          </cell>
          <cell r="BF186">
            <v>62</v>
          </cell>
          <cell r="BG186">
            <v>1</v>
          </cell>
          <cell r="BH186">
            <v>1</v>
          </cell>
          <cell r="BI186">
            <v>87</v>
          </cell>
          <cell r="BJ186">
            <v>15</v>
          </cell>
          <cell r="BK186">
            <v>23</v>
          </cell>
          <cell r="BL186">
            <v>17</v>
          </cell>
          <cell r="BM186">
            <v>19</v>
          </cell>
          <cell r="BN186">
            <v>13</v>
          </cell>
          <cell r="BO186">
            <v>0</v>
          </cell>
          <cell r="BP186">
            <v>46</v>
          </cell>
          <cell r="BQ186">
            <v>1</v>
          </cell>
          <cell r="BR186">
            <v>15</v>
          </cell>
          <cell r="BS186">
            <v>12</v>
          </cell>
          <cell r="BT186">
            <v>15</v>
          </cell>
          <cell r="BU186">
            <v>3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7</v>
          </cell>
          <cell r="DG186">
            <v>0</v>
          </cell>
          <cell r="DH186">
            <v>0</v>
          </cell>
          <cell r="DI186">
            <v>0</v>
          </cell>
          <cell r="DJ186">
            <v>3</v>
          </cell>
          <cell r="DK186">
            <v>4</v>
          </cell>
          <cell r="DL186">
            <v>0</v>
          </cell>
          <cell r="DM186">
            <v>91</v>
          </cell>
          <cell r="DN186">
            <v>9</v>
          </cell>
          <cell r="DO186">
            <v>6</v>
          </cell>
          <cell r="DP186">
            <v>6</v>
          </cell>
          <cell r="DQ186">
            <v>68</v>
          </cell>
          <cell r="DR186">
            <v>2</v>
          </cell>
          <cell r="DS186">
            <v>0</v>
          </cell>
          <cell r="DT186">
            <v>149</v>
          </cell>
          <cell r="DU186">
            <v>23</v>
          </cell>
          <cell r="DV186">
            <v>36</v>
          </cell>
          <cell r="DW186">
            <v>32</v>
          </cell>
          <cell r="DX186">
            <v>42</v>
          </cell>
          <cell r="DY186">
            <v>16</v>
          </cell>
          <cell r="DZ186">
            <v>0</v>
          </cell>
          <cell r="EA186">
            <v>187</v>
          </cell>
          <cell r="EB186">
            <v>28</v>
          </cell>
          <cell r="EC186">
            <v>105</v>
          </cell>
          <cell r="ED186">
            <v>9</v>
          </cell>
          <cell r="EE186">
            <v>37</v>
          </cell>
          <cell r="EF186">
            <v>8</v>
          </cell>
          <cell r="EG186">
            <v>0</v>
          </cell>
          <cell r="EH186">
            <v>105</v>
          </cell>
          <cell r="EI186">
            <v>14</v>
          </cell>
          <cell r="EJ186">
            <v>31</v>
          </cell>
          <cell r="EK186">
            <v>22</v>
          </cell>
          <cell r="EL186">
            <v>25</v>
          </cell>
          <cell r="EM186">
            <v>13</v>
          </cell>
          <cell r="EN186">
            <v>0</v>
          </cell>
          <cell r="EO186" t="str">
            <v xml:space="preserve">MANS GUSTAVUS JACKET                                        </v>
          </cell>
        </row>
        <row r="187">
          <cell r="A187" t="str">
            <v>CN3YM3855249</v>
          </cell>
          <cell r="B187" t="str">
            <v>CN3</v>
          </cell>
          <cell r="C187" t="str">
            <v>YM3855</v>
          </cell>
          <cell r="D187">
            <v>249</v>
          </cell>
          <cell r="E187" t="str">
            <v xml:space="preserve">   </v>
          </cell>
          <cell r="F187">
            <v>80813</v>
          </cell>
          <cell r="G187">
            <v>80818</v>
          </cell>
          <cell r="H187">
            <v>0</v>
          </cell>
          <cell r="I187">
            <v>500</v>
          </cell>
          <cell r="J187">
            <v>501</v>
          </cell>
          <cell r="K187">
            <v>501</v>
          </cell>
          <cell r="L187">
            <v>483</v>
          </cell>
          <cell r="M187">
            <v>483</v>
          </cell>
          <cell r="N187">
            <v>48404000</v>
          </cell>
          <cell r="O187">
            <v>48539886</v>
          </cell>
          <cell r="P187">
            <v>48539401</v>
          </cell>
          <cell r="Q187">
            <v>46793653</v>
          </cell>
          <cell r="R187">
            <v>167295817</v>
          </cell>
          <cell r="S187" t="str">
            <v xml:space="preserve"> </v>
          </cell>
          <cell r="T187" t="str">
            <v xml:space="preserve"> </v>
          </cell>
          <cell r="U187">
            <v>501</v>
          </cell>
          <cell r="V187">
            <v>48539886</v>
          </cell>
          <cell r="W187">
            <v>483</v>
          </cell>
          <cell r="X187">
            <v>46793653</v>
          </cell>
          <cell r="Y187">
            <v>96.41</v>
          </cell>
          <cell r="Z187">
            <v>96.4</v>
          </cell>
          <cell r="AA187">
            <v>46793653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18</v>
          </cell>
          <cell r="AN187">
            <v>4359645</v>
          </cell>
          <cell r="AO187">
            <v>96808</v>
          </cell>
          <cell r="AP187">
            <v>96881</v>
          </cell>
          <cell r="AQ187">
            <v>398000</v>
          </cell>
          <cell r="AR187">
            <v>0</v>
          </cell>
          <cell r="AS187">
            <v>4.1100000000000003</v>
          </cell>
          <cell r="AT187">
            <v>199398000</v>
          </cell>
          <cell r="AU187">
            <v>3.58</v>
          </cell>
          <cell r="AV187">
            <v>167295817</v>
          </cell>
          <cell r="AW187">
            <v>0</v>
          </cell>
          <cell r="AX187">
            <v>0</v>
          </cell>
          <cell r="AY187">
            <v>96.41</v>
          </cell>
          <cell r="AZ187">
            <v>0</v>
          </cell>
          <cell r="BA187">
            <v>483</v>
          </cell>
          <cell r="BB187">
            <v>0</v>
          </cell>
          <cell r="BC187">
            <v>482</v>
          </cell>
          <cell r="BD187">
            <v>1</v>
          </cell>
          <cell r="BE187">
            <v>0</v>
          </cell>
          <cell r="BF187">
            <v>13</v>
          </cell>
          <cell r="BG187">
            <v>0</v>
          </cell>
          <cell r="BH187">
            <v>1</v>
          </cell>
          <cell r="BI187">
            <v>2</v>
          </cell>
          <cell r="BJ187">
            <v>0</v>
          </cell>
          <cell r="BK187">
            <v>1</v>
          </cell>
          <cell r="BL187">
            <v>-1</v>
          </cell>
          <cell r="BM187">
            <v>1</v>
          </cell>
          <cell r="BN187">
            <v>1</v>
          </cell>
          <cell r="BO187">
            <v>0</v>
          </cell>
          <cell r="BP187">
            <v>9</v>
          </cell>
          <cell r="BQ187">
            <v>1</v>
          </cell>
          <cell r="BR187">
            <v>0</v>
          </cell>
          <cell r="BS187">
            <v>0</v>
          </cell>
          <cell r="BT187">
            <v>4</v>
          </cell>
          <cell r="BU187">
            <v>4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26</v>
          </cell>
          <cell r="DG187">
            <v>0</v>
          </cell>
          <cell r="DH187">
            <v>0</v>
          </cell>
          <cell r="DI187">
            <v>0</v>
          </cell>
          <cell r="DJ187">
            <v>6</v>
          </cell>
          <cell r="DK187">
            <v>20</v>
          </cell>
          <cell r="DL187">
            <v>0</v>
          </cell>
          <cell r="DM187">
            <v>217</v>
          </cell>
          <cell r="DN187">
            <v>34</v>
          </cell>
          <cell r="DO187">
            <v>19</v>
          </cell>
          <cell r="DP187">
            <v>20</v>
          </cell>
          <cell r="DQ187">
            <v>141</v>
          </cell>
          <cell r="DR187">
            <v>3</v>
          </cell>
          <cell r="DS187">
            <v>0</v>
          </cell>
          <cell r="DT187">
            <v>212</v>
          </cell>
          <cell r="DU187">
            <v>47</v>
          </cell>
          <cell r="DV187">
            <v>57</v>
          </cell>
          <cell r="DW187">
            <v>32</v>
          </cell>
          <cell r="DX187">
            <v>53</v>
          </cell>
          <cell r="DY187">
            <v>23</v>
          </cell>
          <cell r="DZ187">
            <v>0</v>
          </cell>
          <cell r="EA187">
            <v>16</v>
          </cell>
          <cell r="EB187">
            <v>2</v>
          </cell>
          <cell r="EC187">
            <v>5</v>
          </cell>
          <cell r="ED187">
            <v>7</v>
          </cell>
          <cell r="EE187">
            <v>3</v>
          </cell>
          <cell r="EF187">
            <v>-1</v>
          </cell>
          <cell r="EG187">
            <v>0</v>
          </cell>
          <cell r="EH187">
            <v>1</v>
          </cell>
          <cell r="EI187">
            <v>-1</v>
          </cell>
          <cell r="EJ187">
            <v>0</v>
          </cell>
          <cell r="EK187">
            <v>-1</v>
          </cell>
          <cell r="EL187">
            <v>4</v>
          </cell>
          <cell r="EM187">
            <v>-1</v>
          </cell>
          <cell r="EN187">
            <v>0</v>
          </cell>
          <cell r="EO187" t="str">
            <v xml:space="preserve">MANS GUSTAVUS JACKET                                        </v>
          </cell>
        </row>
        <row r="188">
          <cell r="A188" t="str">
            <v>CN3YM3855588</v>
          </cell>
          <cell r="B188" t="str">
            <v>CN3</v>
          </cell>
          <cell r="C188" t="str">
            <v>YM3855</v>
          </cell>
          <cell r="D188">
            <v>588</v>
          </cell>
          <cell r="E188" t="str">
            <v xml:space="preserve">   </v>
          </cell>
          <cell r="F188">
            <v>80813</v>
          </cell>
          <cell r="G188">
            <v>80818</v>
          </cell>
          <cell r="H188">
            <v>0</v>
          </cell>
          <cell r="I188">
            <v>351</v>
          </cell>
          <cell r="J188">
            <v>350</v>
          </cell>
          <cell r="K188">
            <v>350</v>
          </cell>
          <cell r="L188">
            <v>231</v>
          </cell>
          <cell r="M188">
            <v>231</v>
          </cell>
          <cell r="N188">
            <v>33979608</v>
          </cell>
          <cell r="O188">
            <v>33909225</v>
          </cell>
          <cell r="P188">
            <v>33909125</v>
          </cell>
          <cell r="Q188">
            <v>22379541</v>
          </cell>
          <cell r="R188">
            <v>82105424</v>
          </cell>
          <cell r="S188" t="str">
            <v xml:space="preserve"> </v>
          </cell>
          <cell r="T188" t="str">
            <v xml:space="preserve"> </v>
          </cell>
          <cell r="U188">
            <v>350</v>
          </cell>
          <cell r="V188">
            <v>33909225</v>
          </cell>
          <cell r="W188">
            <v>231</v>
          </cell>
          <cell r="X188">
            <v>22379541</v>
          </cell>
          <cell r="Y188">
            <v>66.569999999999993</v>
          </cell>
          <cell r="Z188">
            <v>67.14</v>
          </cell>
          <cell r="AA188">
            <v>22379541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2</v>
          </cell>
          <cell r="AL188">
            <v>387524</v>
          </cell>
          <cell r="AM188">
            <v>117</v>
          </cell>
          <cell r="AN188">
            <v>23348321</v>
          </cell>
          <cell r="AO188">
            <v>96808</v>
          </cell>
          <cell r="AP188">
            <v>96881</v>
          </cell>
          <cell r="AQ188">
            <v>398000</v>
          </cell>
          <cell r="AR188">
            <v>0</v>
          </cell>
          <cell r="AS188">
            <v>4.1100000000000003</v>
          </cell>
          <cell r="AT188">
            <v>139300000</v>
          </cell>
          <cell r="AU188">
            <v>3.67</v>
          </cell>
          <cell r="AV188">
            <v>82105424</v>
          </cell>
          <cell r="AW188">
            <v>0</v>
          </cell>
          <cell r="AX188">
            <v>0</v>
          </cell>
          <cell r="AY188">
            <v>66.569999999999993</v>
          </cell>
          <cell r="AZ188">
            <v>0</v>
          </cell>
          <cell r="BA188">
            <v>231</v>
          </cell>
          <cell r="BB188">
            <v>0</v>
          </cell>
          <cell r="BC188">
            <v>231</v>
          </cell>
          <cell r="BD188">
            <v>0</v>
          </cell>
          <cell r="BE188">
            <v>0</v>
          </cell>
          <cell r="BF188">
            <v>11</v>
          </cell>
          <cell r="BG188">
            <v>0</v>
          </cell>
          <cell r="BH188">
            <v>1</v>
          </cell>
          <cell r="BI188">
            <v>15</v>
          </cell>
          <cell r="BJ188">
            <v>2</v>
          </cell>
          <cell r="BK188">
            <v>7</v>
          </cell>
          <cell r="BL188">
            <v>4</v>
          </cell>
          <cell r="BM188">
            <v>2</v>
          </cell>
          <cell r="BN188">
            <v>0</v>
          </cell>
          <cell r="BO188">
            <v>0</v>
          </cell>
          <cell r="BP188">
            <v>7</v>
          </cell>
          <cell r="BQ188">
            <v>0</v>
          </cell>
          <cell r="BR188">
            <v>5</v>
          </cell>
          <cell r="BS188">
            <v>1</v>
          </cell>
          <cell r="BT188">
            <v>0</v>
          </cell>
          <cell r="BU188">
            <v>1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6</v>
          </cell>
          <cell r="DG188">
            <v>0</v>
          </cell>
          <cell r="DH188">
            <v>0</v>
          </cell>
          <cell r="DI188">
            <v>0</v>
          </cell>
          <cell r="DJ188">
            <v>3</v>
          </cell>
          <cell r="DK188">
            <v>3</v>
          </cell>
          <cell r="DL188">
            <v>0</v>
          </cell>
          <cell r="DM188">
            <v>70</v>
          </cell>
          <cell r="DN188">
            <v>3</v>
          </cell>
          <cell r="DO188">
            <v>26</v>
          </cell>
          <cell r="DP188">
            <v>5</v>
          </cell>
          <cell r="DQ188">
            <v>34</v>
          </cell>
          <cell r="DR188">
            <v>2</v>
          </cell>
          <cell r="DS188">
            <v>0</v>
          </cell>
          <cell r="DT188">
            <v>64</v>
          </cell>
          <cell r="DU188">
            <v>4</v>
          </cell>
          <cell r="DV188">
            <v>12</v>
          </cell>
          <cell r="DW188">
            <v>7</v>
          </cell>
          <cell r="DX188">
            <v>20</v>
          </cell>
          <cell r="DY188">
            <v>21</v>
          </cell>
          <cell r="DZ188">
            <v>0</v>
          </cell>
          <cell r="EA188">
            <v>47</v>
          </cell>
          <cell r="EB188">
            <v>11</v>
          </cell>
          <cell r="EC188">
            <v>18</v>
          </cell>
          <cell r="ED188">
            <v>4</v>
          </cell>
          <cell r="EE188">
            <v>10</v>
          </cell>
          <cell r="EF188">
            <v>4</v>
          </cell>
          <cell r="EG188">
            <v>0</v>
          </cell>
          <cell r="EH188">
            <v>22</v>
          </cell>
          <cell r="EI188">
            <v>3</v>
          </cell>
          <cell r="EJ188">
            <v>4</v>
          </cell>
          <cell r="EK188">
            <v>4</v>
          </cell>
          <cell r="EL188">
            <v>7</v>
          </cell>
          <cell r="EM188">
            <v>4</v>
          </cell>
          <cell r="EN188">
            <v>0</v>
          </cell>
          <cell r="EO188" t="str">
            <v xml:space="preserve">MANS GUSTAVUS JACKET                                        </v>
          </cell>
        </row>
        <row r="189">
          <cell r="A189" t="str">
            <v>CN3YM3855985</v>
          </cell>
          <cell r="B189" t="str">
            <v>CN3</v>
          </cell>
          <cell r="C189" t="str">
            <v>YM3855</v>
          </cell>
          <cell r="D189">
            <v>985</v>
          </cell>
          <cell r="E189" t="str">
            <v xml:space="preserve">   </v>
          </cell>
          <cell r="F189">
            <v>80813</v>
          </cell>
          <cell r="G189">
            <v>80818</v>
          </cell>
          <cell r="H189">
            <v>0</v>
          </cell>
          <cell r="I189">
            <v>1700</v>
          </cell>
          <cell r="J189">
            <v>1708</v>
          </cell>
          <cell r="K189">
            <v>1375</v>
          </cell>
          <cell r="L189">
            <v>573</v>
          </cell>
          <cell r="M189">
            <v>573</v>
          </cell>
          <cell r="N189">
            <v>164573600</v>
          </cell>
          <cell r="O189">
            <v>165476963</v>
          </cell>
          <cell r="P189">
            <v>133214680</v>
          </cell>
          <cell r="Q189">
            <v>55512928</v>
          </cell>
          <cell r="R189">
            <v>199438568</v>
          </cell>
          <cell r="S189" t="str">
            <v xml:space="preserve"> </v>
          </cell>
          <cell r="T189" t="str">
            <v xml:space="preserve"> </v>
          </cell>
          <cell r="U189">
            <v>1708</v>
          </cell>
          <cell r="V189">
            <v>165476963</v>
          </cell>
          <cell r="W189">
            <v>573</v>
          </cell>
          <cell r="X189">
            <v>55512928</v>
          </cell>
          <cell r="Y189">
            <v>33.840000000000003</v>
          </cell>
          <cell r="Z189">
            <v>34.07</v>
          </cell>
          <cell r="AA189">
            <v>55416047</v>
          </cell>
          <cell r="AB189">
            <v>96881</v>
          </cell>
          <cell r="AC189">
            <v>333</v>
          </cell>
          <cell r="AD189">
            <v>66654128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5</v>
          </cell>
          <cell r="AL189">
            <v>871929</v>
          </cell>
          <cell r="AM189">
            <v>797</v>
          </cell>
          <cell r="AN189">
            <v>156656577</v>
          </cell>
          <cell r="AO189">
            <v>96808</v>
          </cell>
          <cell r="AP189">
            <v>96881</v>
          </cell>
          <cell r="AQ189">
            <v>398000</v>
          </cell>
          <cell r="AR189">
            <v>0</v>
          </cell>
          <cell r="AS189">
            <v>4.1100000000000003</v>
          </cell>
          <cell r="AT189">
            <v>679784000</v>
          </cell>
          <cell r="AU189">
            <v>3.6</v>
          </cell>
          <cell r="AV189">
            <v>199431709</v>
          </cell>
          <cell r="AW189">
            <v>7.0000000000000007E-2</v>
          </cell>
          <cell r="AX189">
            <v>6859</v>
          </cell>
          <cell r="AY189">
            <v>33.840000000000003</v>
          </cell>
          <cell r="AZ189">
            <v>0</v>
          </cell>
          <cell r="BA189">
            <v>572</v>
          </cell>
          <cell r="BB189">
            <v>1</v>
          </cell>
          <cell r="BC189">
            <v>573</v>
          </cell>
          <cell r="BD189">
            <v>0</v>
          </cell>
          <cell r="BE189">
            <v>0</v>
          </cell>
          <cell r="BF189">
            <v>54</v>
          </cell>
          <cell r="BG189">
            <v>0</v>
          </cell>
          <cell r="BH189">
            <v>1</v>
          </cell>
          <cell r="BI189">
            <v>52</v>
          </cell>
          <cell r="BJ189">
            <v>10</v>
          </cell>
          <cell r="BK189">
            <v>11</v>
          </cell>
          <cell r="BL189">
            <v>8</v>
          </cell>
          <cell r="BM189">
            <v>8</v>
          </cell>
          <cell r="BN189">
            <v>15</v>
          </cell>
          <cell r="BO189">
            <v>0</v>
          </cell>
          <cell r="BP189">
            <v>44</v>
          </cell>
          <cell r="BQ189">
            <v>0</v>
          </cell>
          <cell r="BR189">
            <v>6</v>
          </cell>
          <cell r="BS189">
            <v>12</v>
          </cell>
          <cell r="BT189">
            <v>21</v>
          </cell>
          <cell r="BU189">
            <v>5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23</v>
          </cell>
          <cell r="DG189">
            <v>0</v>
          </cell>
          <cell r="DH189">
            <v>0</v>
          </cell>
          <cell r="DI189">
            <v>0</v>
          </cell>
          <cell r="DJ189">
            <v>8</v>
          </cell>
          <cell r="DK189">
            <v>15</v>
          </cell>
          <cell r="DL189">
            <v>0</v>
          </cell>
          <cell r="DM189">
            <v>143</v>
          </cell>
          <cell r="DN189">
            <v>22</v>
          </cell>
          <cell r="DO189">
            <v>12</v>
          </cell>
          <cell r="DP189">
            <v>19</v>
          </cell>
          <cell r="DQ189">
            <v>88</v>
          </cell>
          <cell r="DR189">
            <v>2</v>
          </cell>
          <cell r="DS189">
            <v>0</v>
          </cell>
          <cell r="DT189">
            <v>132</v>
          </cell>
          <cell r="DU189">
            <v>46</v>
          </cell>
          <cell r="DV189">
            <v>33</v>
          </cell>
          <cell r="DW189">
            <v>23</v>
          </cell>
          <cell r="DX189">
            <v>21</v>
          </cell>
          <cell r="DY189">
            <v>9</v>
          </cell>
          <cell r="DZ189">
            <v>0</v>
          </cell>
          <cell r="EA189">
            <v>146</v>
          </cell>
          <cell r="EB189">
            <v>15</v>
          </cell>
          <cell r="EC189">
            <v>75</v>
          </cell>
          <cell r="ED189">
            <v>25</v>
          </cell>
          <cell r="EE189">
            <v>14</v>
          </cell>
          <cell r="EF189">
            <v>17</v>
          </cell>
          <cell r="EG189">
            <v>0</v>
          </cell>
          <cell r="EH189">
            <v>33</v>
          </cell>
          <cell r="EI189">
            <v>2</v>
          </cell>
          <cell r="EJ189">
            <v>4</v>
          </cell>
          <cell r="EK189">
            <v>6</v>
          </cell>
          <cell r="EL189">
            <v>16</v>
          </cell>
          <cell r="EM189">
            <v>5</v>
          </cell>
          <cell r="EN189">
            <v>0</v>
          </cell>
          <cell r="EO189" t="str">
            <v xml:space="preserve">MANS GUSTAVUS JACKET                                        </v>
          </cell>
        </row>
        <row r="190">
          <cell r="A190" t="str">
            <v>CN3YM3856010</v>
          </cell>
          <cell r="B190" t="str">
            <v>CN3</v>
          </cell>
          <cell r="C190" t="str">
            <v>YM3856</v>
          </cell>
          <cell r="D190">
            <v>10</v>
          </cell>
          <cell r="E190" t="str">
            <v xml:space="preserve">   </v>
          </cell>
          <cell r="F190">
            <v>80829</v>
          </cell>
          <cell r="G190">
            <v>80904</v>
          </cell>
          <cell r="H190">
            <v>0</v>
          </cell>
          <cell r="I190">
            <v>700</v>
          </cell>
          <cell r="J190">
            <v>701</v>
          </cell>
          <cell r="K190">
            <v>699</v>
          </cell>
          <cell r="L190">
            <v>425</v>
          </cell>
          <cell r="M190">
            <v>425</v>
          </cell>
          <cell r="N190">
            <v>79345000</v>
          </cell>
          <cell r="O190">
            <v>79468164</v>
          </cell>
          <cell r="P190">
            <v>79241436</v>
          </cell>
          <cell r="Q190">
            <v>48179700</v>
          </cell>
          <cell r="R190">
            <v>180759859</v>
          </cell>
          <cell r="S190" t="str">
            <v xml:space="preserve"> </v>
          </cell>
          <cell r="T190" t="str">
            <v xml:space="preserve"> </v>
          </cell>
          <cell r="U190">
            <v>701</v>
          </cell>
          <cell r="V190">
            <v>79468164</v>
          </cell>
          <cell r="W190">
            <v>425</v>
          </cell>
          <cell r="X190">
            <v>48179700</v>
          </cell>
          <cell r="Y190">
            <v>60.77</v>
          </cell>
          <cell r="Z190">
            <v>60.77</v>
          </cell>
          <cell r="AA190">
            <v>48066336</v>
          </cell>
          <cell r="AB190">
            <v>113364</v>
          </cell>
          <cell r="AC190">
            <v>2</v>
          </cell>
          <cell r="AD190">
            <v>226728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1</v>
          </cell>
          <cell r="AL190">
            <v>113364</v>
          </cell>
          <cell r="AM190">
            <v>273</v>
          </cell>
          <cell r="AN190">
            <v>64957572</v>
          </cell>
          <cell r="AO190">
            <v>113350</v>
          </cell>
          <cell r="AP190">
            <v>113364</v>
          </cell>
          <cell r="AQ190">
            <v>478000</v>
          </cell>
          <cell r="AR190">
            <v>0</v>
          </cell>
          <cell r="AS190">
            <v>4.22</v>
          </cell>
          <cell r="AT190">
            <v>335078000</v>
          </cell>
          <cell r="AU190">
            <v>3.76</v>
          </cell>
          <cell r="AV190">
            <v>180753000</v>
          </cell>
          <cell r="AW190">
            <v>0.06</v>
          </cell>
          <cell r="AX190">
            <v>6859</v>
          </cell>
          <cell r="AY190">
            <v>60.77</v>
          </cell>
          <cell r="AZ190">
            <v>0</v>
          </cell>
          <cell r="BA190">
            <v>424</v>
          </cell>
          <cell r="BB190">
            <v>1</v>
          </cell>
          <cell r="BC190">
            <v>425</v>
          </cell>
          <cell r="BD190">
            <v>0</v>
          </cell>
          <cell r="BE190">
            <v>0</v>
          </cell>
          <cell r="BF190">
            <v>42</v>
          </cell>
          <cell r="BG190">
            <v>1</v>
          </cell>
          <cell r="BH190">
            <v>1</v>
          </cell>
          <cell r="BI190">
            <v>65</v>
          </cell>
          <cell r="BJ190">
            <v>13</v>
          </cell>
          <cell r="BK190">
            <v>13</v>
          </cell>
          <cell r="BL190">
            <v>19</v>
          </cell>
          <cell r="BM190">
            <v>13</v>
          </cell>
          <cell r="BN190">
            <v>7</v>
          </cell>
          <cell r="BO190">
            <v>0</v>
          </cell>
          <cell r="BP190">
            <v>24</v>
          </cell>
          <cell r="BQ190">
            <v>1</v>
          </cell>
          <cell r="BR190">
            <v>8</v>
          </cell>
          <cell r="BS190">
            <v>8</v>
          </cell>
          <cell r="BT190">
            <v>-1</v>
          </cell>
          <cell r="BU190">
            <v>8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81</v>
          </cell>
          <cell r="DN190">
            <v>3</v>
          </cell>
          <cell r="DO190">
            <v>7</v>
          </cell>
          <cell r="DP190">
            <v>6</v>
          </cell>
          <cell r="DQ190">
            <v>57</v>
          </cell>
          <cell r="DR190">
            <v>8</v>
          </cell>
          <cell r="DS190">
            <v>0</v>
          </cell>
          <cell r="DT190">
            <v>98</v>
          </cell>
          <cell r="DU190">
            <v>18</v>
          </cell>
          <cell r="DV190">
            <v>25</v>
          </cell>
          <cell r="DW190">
            <v>10</v>
          </cell>
          <cell r="DX190">
            <v>23</v>
          </cell>
          <cell r="DY190">
            <v>22</v>
          </cell>
          <cell r="DZ190">
            <v>0</v>
          </cell>
          <cell r="EA190">
            <v>114</v>
          </cell>
          <cell r="EB190">
            <v>11</v>
          </cell>
          <cell r="EC190">
            <v>35</v>
          </cell>
          <cell r="ED190">
            <v>30</v>
          </cell>
          <cell r="EE190">
            <v>18</v>
          </cell>
          <cell r="EF190">
            <v>20</v>
          </cell>
          <cell r="EG190">
            <v>0</v>
          </cell>
          <cell r="EH190">
            <v>43</v>
          </cell>
          <cell r="EI190">
            <v>10</v>
          </cell>
          <cell r="EJ190">
            <v>8</v>
          </cell>
          <cell r="EK190">
            <v>11</v>
          </cell>
          <cell r="EL190">
            <v>10</v>
          </cell>
          <cell r="EM190">
            <v>4</v>
          </cell>
          <cell r="EN190">
            <v>0</v>
          </cell>
          <cell r="EO190" t="str">
            <v xml:space="preserve">Durkee JKT                                                  </v>
          </cell>
        </row>
        <row r="191">
          <cell r="A191" t="str">
            <v>CN3YM3856979</v>
          </cell>
          <cell r="B191" t="str">
            <v>CN3</v>
          </cell>
          <cell r="C191" t="str">
            <v>YM3856</v>
          </cell>
          <cell r="D191">
            <v>979</v>
          </cell>
          <cell r="E191" t="str">
            <v xml:space="preserve">   </v>
          </cell>
          <cell r="F191">
            <v>80829</v>
          </cell>
          <cell r="G191">
            <v>80904</v>
          </cell>
          <cell r="H191">
            <v>0</v>
          </cell>
          <cell r="I191">
            <v>500</v>
          </cell>
          <cell r="J191">
            <v>502</v>
          </cell>
          <cell r="K191">
            <v>502</v>
          </cell>
          <cell r="L191">
            <v>215</v>
          </cell>
          <cell r="M191">
            <v>215</v>
          </cell>
          <cell r="N191">
            <v>56675000</v>
          </cell>
          <cell r="O191">
            <v>56908728</v>
          </cell>
          <cell r="P191">
            <v>56908728</v>
          </cell>
          <cell r="Q191">
            <v>24373260</v>
          </cell>
          <cell r="R191">
            <v>89582241</v>
          </cell>
          <cell r="S191" t="str">
            <v xml:space="preserve"> </v>
          </cell>
          <cell r="T191" t="str">
            <v xml:space="preserve"> </v>
          </cell>
          <cell r="U191">
            <v>502</v>
          </cell>
          <cell r="V191">
            <v>56908728</v>
          </cell>
          <cell r="W191">
            <v>215</v>
          </cell>
          <cell r="X191">
            <v>24373260</v>
          </cell>
          <cell r="Y191">
            <v>42.83</v>
          </cell>
          <cell r="Z191">
            <v>42.83</v>
          </cell>
          <cell r="AA191">
            <v>24373260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287</v>
          </cell>
          <cell r="AN191">
            <v>67111488</v>
          </cell>
          <cell r="AO191">
            <v>113350</v>
          </cell>
          <cell r="AP191">
            <v>113364</v>
          </cell>
          <cell r="AQ191">
            <v>478000</v>
          </cell>
          <cell r="AR191">
            <v>0</v>
          </cell>
          <cell r="AS191">
            <v>4.22</v>
          </cell>
          <cell r="AT191">
            <v>239956000</v>
          </cell>
          <cell r="AU191">
            <v>3.68</v>
          </cell>
          <cell r="AV191">
            <v>89582241</v>
          </cell>
          <cell r="AW191">
            <v>0</v>
          </cell>
          <cell r="AX191">
            <v>0</v>
          </cell>
          <cell r="AY191">
            <v>42.83</v>
          </cell>
          <cell r="AZ191">
            <v>0</v>
          </cell>
          <cell r="BA191">
            <v>215</v>
          </cell>
          <cell r="BB191">
            <v>0</v>
          </cell>
          <cell r="BC191">
            <v>215</v>
          </cell>
          <cell r="BD191">
            <v>0</v>
          </cell>
          <cell r="BE191">
            <v>0</v>
          </cell>
          <cell r="BF191">
            <v>22</v>
          </cell>
          <cell r="BG191">
            <v>0</v>
          </cell>
          <cell r="BH191">
            <v>1</v>
          </cell>
          <cell r="BI191">
            <v>16</v>
          </cell>
          <cell r="BJ191">
            <v>5</v>
          </cell>
          <cell r="BK191">
            <v>3</v>
          </cell>
          <cell r="BL191">
            <v>4</v>
          </cell>
          <cell r="BM191">
            <v>2</v>
          </cell>
          <cell r="BN191">
            <v>2</v>
          </cell>
          <cell r="BO191">
            <v>0</v>
          </cell>
          <cell r="BP191">
            <v>18</v>
          </cell>
          <cell r="BQ191">
            <v>0</v>
          </cell>
          <cell r="BR191">
            <v>4</v>
          </cell>
          <cell r="BS191">
            <v>5</v>
          </cell>
          <cell r="BT191">
            <v>2</v>
          </cell>
          <cell r="BU191">
            <v>7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72</v>
          </cell>
          <cell r="DN191">
            <v>4</v>
          </cell>
          <cell r="DO191">
            <v>7</v>
          </cell>
          <cell r="DP191">
            <v>8</v>
          </cell>
          <cell r="DQ191">
            <v>51</v>
          </cell>
          <cell r="DR191">
            <v>2</v>
          </cell>
          <cell r="DS191">
            <v>0</v>
          </cell>
          <cell r="DT191">
            <v>51</v>
          </cell>
          <cell r="DU191">
            <v>14</v>
          </cell>
          <cell r="DV191">
            <v>5</v>
          </cell>
          <cell r="DW191">
            <v>12</v>
          </cell>
          <cell r="DX191">
            <v>11</v>
          </cell>
          <cell r="DY191">
            <v>9</v>
          </cell>
          <cell r="DZ191">
            <v>0</v>
          </cell>
          <cell r="EA191">
            <v>42</v>
          </cell>
          <cell r="EB191">
            <v>8</v>
          </cell>
          <cell r="EC191">
            <v>11</v>
          </cell>
          <cell r="ED191">
            <v>9</v>
          </cell>
          <cell r="EE191">
            <v>5</v>
          </cell>
          <cell r="EF191">
            <v>9</v>
          </cell>
          <cell r="EG191">
            <v>0</v>
          </cell>
          <cell r="EH191">
            <v>16</v>
          </cell>
          <cell r="EI191">
            <v>6</v>
          </cell>
          <cell r="EJ191">
            <v>2</v>
          </cell>
          <cell r="EK191">
            <v>2</v>
          </cell>
          <cell r="EL191">
            <v>4</v>
          </cell>
          <cell r="EM191">
            <v>2</v>
          </cell>
          <cell r="EN191">
            <v>0</v>
          </cell>
          <cell r="EO191" t="str">
            <v xml:space="preserve">Durkee JKT                                                  </v>
          </cell>
        </row>
        <row r="192">
          <cell r="A192" t="str">
            <v>CN3YM3857094</v>
          </cell>
          <cell r="B192" t="str">
            <v>CN3</v>
          </cell>
          <cell r="C192" t="str">
            <v>YM3857</v>
          </cell>
          <cell r="D192">
            <v>94</v>
          </cell>
          <cell r="E192" t="str">
            <v xml:space="preserve">   </v>
          </cell>
          <cell r="F192">
            <v>80916</v>
          </cell>
          <cell r="G192">
            <v>80917</v>
          </cell>
          <cell r="H192">
            <v>0</v>
          </cell>
          <cell r="I192">
            <v>600</v>
          </cell>
          <cell r="J192">
            <v>601</v>
          </cell>
          <cell r="K192">
            <v>601</v>
          </cell>
          <cell r="L192">
            <v>404</v>
          </cell>
          <cell r="M192">
            <v>404</v>
          </cell>
          <cell r="N192">
            <v>72210000</v>
          </cell>
          <cell r="O192">
            <v>72345976</v>
          </cell>
          <cell r="P192">
            <v>72345976</v>
          </cell>
          <cell r="Q192">
            <v>48631904</v>
          </cell>
          <cell r="R192">
            <v>173401172</v>
          </cell>
          <cell r="S192" t="str">
            <v xml:space="preserve"> </v>
          </cell>
          <cell r="T192" t="str">
            <v xml:space="preserve"> </v>
          </cell>
          <cell r="U192">
            <v>601</v>
          </cell>
          <cell r="V192">
            <v>72345976</v>
          </cell>
          <cell r="W192">
            <v>404</v>
          </cell>
          <cell r="X192">
            <v>48631904</v>
          </cell>
          <cell r="Y192">
            <v>67.22</v>
          </cell>
          <cell r="Z192">
            <v>67.22</v>
          </cell>
          <cell r="AA192">
            <v>48391152</v>
          </cell>
          <cell r="AB192">
            <v>240752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197</v>
          </cell>
          <cell r="AN192">
            <v>50919048</v>
          </cell>
          <cell r="AO192">
            <v>120350</v>
          </cell>
          <cell r="AP192">
            <v>120376</v>
          </cell>
          <cell r="AQ192">
            <v>498000</v>
          </cell>
          <cell r="AR192">
            <v>0</v>
          </cell>
          <cell r="AS192">
            <v>4.1399999999999997</v>
          </cell>
          <cell r="AT192">
            <v>299298000</v>
          </cell>
          <cell r="AU192">
            <v>3.58</v>
          </cell>
          <cell r="AV192">
            <v>173387454</v>
          </cell>
          <cell r="AW192">
            <v>0.06</v>
          </cell>
          <cell r="AX192">
            <v>13718</v>
          </cell>
          <cell r="AY192">
            <v>67.22</v>
          </cell>
          <cell r="AZ192">
            <v>0</v>
          </cell>
          <cell r="BA192">
            <v>402</v>
          </cell>
          <cell r="BB192">
            <v>2</v>
          </cell>
          <cell r="BC192">
            <v>404</v>
          </cell>
          <cell r="BD192">
            <v>0</v>
          </cell>
          <cell r="BE192">
            <v>0</v>
          </cell>
          <cell r="BF192">
            <v>49</v>
          </cell>
          <cell r="BG192">
            <v>1</v>
          </cell>
          <cell r="BH192">
            <v>1</v>
          </cell>
          <cell r="BI192">
            <v>15</v>
          </cell>
          <cell r="BJ192">
            <v>2</v>
          </cell>
          <cell r="BK192">
            <v>2</v>
          </cell>
          <cell r="BL192">
            <v>2</v>
          </cell>
          <cell r="BM192">
            <v>3</v>
          </cell>
          <cell r="BN192">
            <v>6</v>
          </cell>
          <cell r="BO192">
            <v>0</v>
          </cell>
          <cell r="BP192">
            <v>29</v>
          </cell>
          <cell r="BQ192">
            <v>0</v>
          </cell>
          <cell r="BR192">
            <v>8</v>
          </cell>
          <cell r="BS192">
            <v>4</v>
          </cell>
          <cell r="BT192">
            <v>7</v>
          </cell>
          <cell r="BU192">
            <v>10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122</v>
          </cell>
          <cell r="DN192">
            <v>0</v>
          </cell>
          <cell r="DO192">
            <v>0</v>
          </cell>
          <cell r="DP192">
            <v>12</v>
          </cell>
          <cell r="DQ192">
            <v>105</v>
          </cell>
          <cell r="DR192">
            <v>5</v>
          </cell>
          <cell r="DS192">
            <v>0</v>
          </cell>
          <cell r="DT192">
            <v>118</v>
          </cell>
          <cell r="DU192">
            <v>26</v>
          </cell>
          <cell r="DV192">
            <v>31</v>
          </cell>
          <cell r="DW192">
            <v>18</v>
          </cell>
          <cell r="DX192">
            <v>27</v>
          </cell>
          <cell r="DY192">
            <v>16</v>
          </cell>
          <cell r="DZ192">
            <v>0</v>
          </cell>
          <cell r="EA192">
            <v>78</v>
          </cell>
          <cell r="EB192">
            <v>10</v>
          </cell>
          <cell r="EC192">
            <v>36</v>
          </cell>
          <cell r="ED192">
            <v>15</v>
          </cell>
          <cell r="EE192">
            <v>10</v>
          </cell>
          <cell r="EF192">
            <v>7</v>
          </cell>
          <cell r="EG192">
            <v>0</v>
          </cell>
          <cell r="EH192">
            <v>42</v>
          </cell>
          <cell r="EI192">
            <v>13</v>
          </cell>
          <cell r="EJ192">
            <v>6</v>
          </cell>
          <cell r="EK192">
            <v>16</v>
          </cell>
          <cell r="EL192">
            <v>6</v>
          </cell>
          <cell r="EM192">
            <v>1</v>
          </cell>
          <cell r="EN192">
            <v>0</v>
          </cell>
          <cell r="EO192" t="str">
            <v xml:space="preserve">Mans Dunes City Jacket                                      </v>
          </cell>
        </row>
        <row r="193">
          <cell r="A193" t="str">
            <v>CN3YM3857759</v>
          </cell>
          <cell r="B193" t="str">
            <v>CN3</v>
          </cell>
          <cell r="C193" t="str">
            <v>YM3857</v>
          </cell>
          <cell r="D193">
            <v>759</v>
          </cell>
          <cell r="E193" t="str">
            <v xml:space="preserve">   </v>
          </cell>
          <cell r="F193">
            <v>80926</v>
          </cell>
          <cell r="G193">
            <v>80926</v>
          </cell>
          <cell r="H193">
            <v>0</v>
          </cell>
          <cell r="I193">
            <v>600</v>
          </cell>
          <cell r="J193">
            <v>601</v>
          </cell>
          <cell r="K193">
            <v>598</v>
          </cell>
          <cell r="L193">
            <v>168</v>
          </cell>
          <cell r="M193">
            <v>168</v>
          </cell>
          <cell r="N193">
            <v>72210000</v>
          </cell>
          <cell r="O193">
            <v>72345976</v>
          </cell>
          <cell r="P193">
            <v>71984848</v>
          </cell>
          <cell r="Q193">
            <v>20223168</v>
          </cell>
          <cell r="R193">
            <v>70264311</v>
          </cell>
          <cell r="S193" t="str">
            <v xml:space="preserve"> </v>
          </cell>
          <cell r="T193" t="str">
            <v xml:space="preserve"> </v>
          </cell>
          <cell r="U193">
            <v>601</v>
          </cell>
          <cell r="V193">
            <v>72345976</v>
          </cell>
          <cell r="W193">
            <v>168</v>
          </cell>
          <cell r="X193">
            <v>20223168</v>
          </cell>
          <cell r="Y193">
            <v>27.95</v>
          </cell>
          <cell r="Z193">
            <v>27.95</v>
          </cell>
          <cell r="AA193">
            <v>19982416</v>
          </cell>
          <cell r="AB193">
            <v>240752</v>
          </cell>
          <cell r="AC193">
            <v>3</v>
          </cell>
          <cell r="AD193">
            <v>361128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430</v>
          </cell>
          <cell r="AN193">
            <v>105569752</v>
          </cell>
          <cell r="AO193">
            <v>120350</v>
          </cell>
          <cell r="AP193">
            <v>120376</v>
          </cell>
          <cell r="AQ193">
            <v>498000</v>
          </cell>
          <cell r="AR193">
            <v>0</v>
          </cell>
          <cell r="AS193">
            <v>4.1399999999999997</v>
          </cell>
          <cell r="AT193">
            <v>299298000</v>
          </cell>
          <cell r="AU193">
            <v>3.52</v>
          </cell>
          <cell r="AV193">
            <v>70250593</v>
          </cell>
          <cell r="AW193">
            <v>0.06</v>
          </cell>
          <cell r="AX193">
            <v>13718</v>
          </cell>
          <cell r="AY193">
            <v>27.95</v>
          </cell>
          <cell r="AZ193">
            <v>0</v>
          </cell>
          <cell r="BA193">
            <v>166</v>
          </cell>
          <cell r="BB193">
            <v>2</v>
          </cell>
          <cell r="BC193">
            <v>168</v>
          </cell>
          <cell r="BD193">
            <v>0</v>
          </cell>
          <cell r="BE193">
            <v>0</v>
          </cell>
          <cell r="BF193">
            <v>34</v>
          </cell>
          <cell r="BG193">
            <v>0</v>
          </cell>
          <cell r="BH193">
            <v>1</v>
          </cell>
          <cell r="BI193">
            <v>13</v>
          </cell>
          <cell r="BJ193">
            <v>3</v>
          </cell>
          <cell r="BK193">
            <v>3</v>
          </cell>
          <cell r="BL193">
            <v>2</v>
          </cell>
          <cell r="BM193">
            <v>3</v>
          </cell>
          <cell r="BN193">
            <v>2</v>
          </cell>
          <cell r="BO193">
            <v>0</v>
          </cell>
          <cell r="BP193">
            <v>14</v>
          </cell>
          <cell r="BQ193">
            <v>0</v>
          </cell>
          <cell r="BR193">
            <v>4</v>
          </cell>
          <cell r="BS193">
            <v>4</v>
          </cell>
          <cell r="BT193">
            <v>5</v>
          </cell>
          <cell r="BU193">
            <v>1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34</v>
          </cell>
          <cell r="DN193">
            <v>0</v>
          </cell>
          <cell r="DO193">
            <v>0</v>
          </cell>
          <cell r="DP193">
            <v>0</v>
          </cell>
          <cell r="DQ193">
            <v>33</v>
          </cell>
          <cell r="DR193">
            <v>1</v>
          </cell>
          <cell r="DS193">
            <v>0</v>
          </cell>
          <cell r="DT193">
            <v>57</v>
          </cell>
          <cell r="DU193">
            <v>9</v>
          </cell>
          <cell r="DV193">
            <v>16</v>
          </cell>
          <cell r="DW193">
            <v>12</v>
          </cell>
          <cell r="DX193">
            <v>19</v>
          </cell>
          <cell r="DY193">
            <v>1</v>
          </cell>
          <cell r="DZ193">
            <v>0</v>
          </cell>
          <cell r="EA193">
            <v>29</v>
          </cell>
          <cell r="EB193">
            <v>8</v>
          </cell>
          <cell r="EC193">
            <v>5</v>
          </cell>
          <cell r="ED193">
            <v>7</v>
          </cell>
          <cell r="EE193">
            <v>7</v>
          </cell>
          <cell r="EF193">
            <v>2</v>
          </cell>
          <cell r="EG193">
            <v>0</v>
          </cell>
          <cell r="EH193">
            <v>21</v>
          </cell>
          <cell r="EI193">
            <v>5</v>
          </cell>
          <cell r="EJ193">
            <v>9</v>
          </cell>
          <cell r="EK193">
            <v>3</v>
          </cell>
          <cell r="EL193">
            <v>5</v>
          </cell>
          <cell r="EM193">
            <v>-1</v>
          </cell>
          <cell r="EN193">
            <v>0</v>
          </cell>
          <cell r="EO193" t="str">
            <v xml:space="preserve">Mans Dunes City Jacket                                      </v>
          </cell>
        </row>
        <row r="194">
          <cell r="A194" t="str">
            <v>CN3YM3860010</v>
          </cell>
          <cell r="B194" t="str">
            <v>CN3</v>
          </cell>
          <cell r="C194" t="str">
            <v>YM3860</v>
          </cell>
          <cell r="D194">
            <v>10</v>
          </cell>
          <cell r="E194" t="str">
            <v xml:space="preserve">   </v>
          </cell>
          <cell r="F194">
            <v>80916</v>
          </cell>
          <cell r="G194">
            <v>80918</v>
          </cell>
          <cell r="H194">
            <v>81203</v>
          </cell>
          <cell r="I194">
            <v>400</v>
          </cell>
          <cell r="J194">
            <v>400</v>
          </cell>
          <cell r="K194">
            <v>383</v>
          </cell>
          <cell r="L194">
            <v>115</v>
          </cell>
          <cell r="M194">
            <v>115</v>
          </cell>
          <cell r="N194">
            <v>47660000</v>
          </cell>
          <cell r="O194">
            <v>47653600</v>
          </cell>
          <cell r="P194">
            <v>45628322</v>
          </cell>
          <cell r="Q194">
            <v>13700410</v>
          </cell>
          <cell r="R194">
            <v>32808950</v>
          </cell>
          <cell r="S194" t="str">
            <v>*</v>
          </cell>
          <cell r="T194" t="str">
            <v xml:space="preserve"> </v>
          </cell>
          <cell r="U194">
            <v>400</v>
          </cell>
          <cell r="V194">
            <v>47653600</v>
          </cell>
          <cell r="W194">
            <v>115</v>
          </cell>
          <cell r="X194">
            <v>13700410</v>
          </cell>
          <cell r="Y194">
            <v>35.5</v>
          </cell>
          <cell r="Z194">
            <v>42.25</v>
          </cell>
          <cell r="AA194">
            <v>8101112</v>
          </cell>
          <cell r="AB194">
            <v>5599298</v>
          </cell>
          <cell r="AC194">
            <v>17</v>
          </cell>
          <cell r="AD194">
            <v>3454886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27</v>
          </cell>
          <cell r="AL194">
            <v>6433236</v>
          </cell>
          <cell r="AM194">
            <v>241</v>
          </cell>
          <cell r="AN194">
            <v>59447866</v>
          </cell>
          <cell r="AO194">
            <v>119150</v>
          </cell>
          <cell r="AP194">
            <v>119134</v>
          </cell>
          <cell r="AQ194">
            <v>398000</v>
          </cell>
          <cell r="AR194">
            <v>279000</v>
          </cell>
          <cell r="AS194">
            <v>3.34</v>
          </cell>
          <cell r="AT194">
            <v>159200000</v>
          </cell>
          <cell r="AU194">
            <v>2.4300000000000002</v>
          </cell>
          <cell r="AV194">
            <v>19709900</v>
          </cell>
          <cell r="AW194">
            <v>2.34</v>
          </cell>
          <cell r="AX194">
            <v>13099050</v>
          </cell>
          <cell r="AY194">
            <v>35.5</v>
          </cell>
          <cell r="AZ194">
            <v>0</v>
          </cell>
          <cell r="BA194">
            <v>68</v>
          </cell>
          <cell r="BB194">
            <v>47</v>
          </cell>
          <cell r="BC194">
            <v>115</v>
          </cell>
          <cell r="BD194">
            <v>0</v>
          </cell>
          <cell r="BE194">
            <v>0</v>
          </cell>
          <cell r="BF194">
            <v>16</v>
          </cell>
          <cell r="BG194">
            <v>1</v>
          </cell>
          <cell r="BH194">
            <v>1</v>
          </cell>
          <cell r="BI194">
            <v>16</v>
          </cell>
          <cell r="BJ194">
            <v>5</v>
          </cell>
          <cell r="BK194">
            <v>4</v>
          </cell>
          <cell r="BL194">
            <v>-2</v>
          </cell>
          <cell r="BM194">
            <v>3</v>
          </cell>
          <cell r="BN194">
            <v>6</v>
          </cell>
          <cell r="BO194">
            <v>0</v>
          </cell>
          <cell r="BP194">
            <v>12</v>
          </cell>
          <cell r="BQ194">
            <v>0</v>
          </cell>
          <cell r="BR194">
            <v>3</v>
          </cell>
          <cell r="BS194">
            <v>4</v>
          </cell>
          <cell r="BT194">
            <v>2</v>
          </cell>
          <cell r="BU194">
            <v>3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11</v>
          </cell>
          <cell r="DN194">
            <v>0</v>
          </cell>
          <cell r="DO194">
            <v>0</v>
          </cell>
          <cell r="DP194">
            <v>2</v>
          </cell>
          <cell r="DQ194">
            <v>8</v>
          </cell>
          <cell r="DR194">
            <v>1</v>
          </cell>
          <cell r="DS194">
            <v>0</v>
          </cell>
          <cell r="DT194">
            <v>15</v>
          </cell>
          <cell r="DU194">
            <v>3</v>
          </cell>
          <cell r="DV194">
            <v>6</v>
          </cell>
          <cell r="DW194">
            <v>0</v>
          </cell>
          <cell r="DX194">
            <v>3</v>
          </cell>
          <cell r="DY194">
            <v>3</v>
          </cell>
          <cell r="DZ194">
            <v>0</v>
          </cell>
          <cell r="EA194">
            <v>19</v>
          </cell>
          <cell r="EB194">
            <v>3</v>
          </cell>
          <cell r="EC194">
            <v>4</v>
          </cell>
          <cell r="ED194">
            <v>4</v>
          </cell>
          <cell r="EE194">
            <v>5</v>
          </cell>
          <cell r="EF194">
            <v>3</v>
          </cell>
          <cell r="EG194">
            <v>0</v>
          </cell>
          <cell r="EH194">
            <v>42</v>
          </cell>
          <cell r="EI194">
            <v>5</v>
          </cell>
          <cell r="EJ194">
            <v>1</v>
          </cell>
          <cell r="EK194">
            <v>6</v>
          </cell>
          <cell r="EL194">
            <v>4</v>
          </cell>
          <cell r="EM194">
            <v>26</v>
          </cell>
          <cell r="EN194">
            <v>0</v>
          </cell>
          <cell r="EO194" t="str">
            <v xml:space="preserve">Mans Fernwood Jacket                                        </v>
          </cell>
        </row>
        <row r="195">
          <cell r="A195" t="str">
            <v>CN3YM3861011</v>
          </cell>
          <cell r="B195" t="str">
            <v>CN3</v>
          </cell>
          <cell r="C195" t="str">
            <v>YM3861</v>
          </cell>
          <cell r="D195">
            <v>11</v>
          </cell>
          <cell r="E195" t="str">
            <v xml:space="preserve">   </v>
          </cell>
          <cell r="F195">
            <v>80916</v>
          </cell>
          <cell r="G195">
            <v>80926</v>
          </cell>
          <cell r="H195">
            <v>81203</v>
          </cell>
          <cell r="I195">
            <v>800</v>
          </cell>
          <cell r="J195">
            <v>399</v>
          </cell>
          <cell r="K195">
            <v>381</v>
          </cell>
          <cell r="L195">
            <v>87</v>
          </cell>
          <cell r="M195">
            <v>87</v>
          </cell>
          <cell r="N195">
            <v>78360000</v>
          </cell>
          <cell r="O195">
            <v>39082234</v>
          </cell>
          <cell r="P195">
            <v>37318976</v>
          </cell>
          <cell r="Q195">
            <v>8522410</v>
          </cell>
          <cell r="R195">
            <v>24585400</v>
          </cell>
          <cell r="S195" t="str">
            <v>*</v>
          </cell>
          <cell r="T195" t="str">
            <v xml:space="preserve"> </v>
          </cell>
          <cell r="U195">
            <v>399</v>
          </cell>
          <cell r="V195">
            <v>39082234</v>
          </cell>
          <cell r="W195">
            <v>87</v>
          </cell>
          <cell r="X195">
            <v>8522410</v>
          </cell>
          <cell r="Y195">
            <v>27.82</v>
          </cell>
          <cell r="Z195">
            <v>33.840000000000003</v>
          </cell>
          <cell r="AA195">
            <v>5779530</v>
          </cell>
          <cell r="AB195">
            <v>2742880</v>
          </cell>
          <cell r="AC195">
            <v>18</v>
          </cell>
          <cell r="AD195">
            <v>2840840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24</v>
          </cell>
          <cell r="AL195">
            <v>4702080</v>
          </cell>
          <cell r="AM195">
            <v>270</v>
          </cell>
          <cell r="AN195">
            <v>53975960</v>
          </cell>
          <cell r="AO195">
            <v>97950</v>
          </cell>
          <cell r="AP195">
            <v>97960</v>
          </cell>
          <cell r="AQ195">
            <v>398000</v>
          </cell>
          <cell r="AR195">
            <v>279000</v>
          </cell>
          <cell r="AS195">
            <v>4.0599999999999996</v>
          </cell>
          <cell r="AT195">
            <v>158802000</v>
          </cell>
          <cell r="AU195">
            <v>2.9</v>
          </cell>
          <cell r="AV195">
            <v>16773400</v>
          </cell>
          <cell r="AW195">
            <v>2.85</v>
          </cell>
          <cell r="AX195">
            <v>7812000</v>
          </cell>
          <cell r="AY195">
            <v>27.82</v>
          </cell>
          <cell r="AZ195">
            <v>0</v>
          </cell>
          <cell r="BA195">
            <v>59</v>
          </cell>
          <cell r="BB195">
            <v>28</v>
          </cell>
          <cell r="BC195">
            <v>87</v>
          </cell>
          <cell r="BD195">
            <v>0</v>
          </cell>
          <cell r="BE195">
            <v>0</v>
          </cell>
          <cell r="BF195">
            <v>20</v>
          </cell>
          <cell r="BG195">
            <v>1</v>
          </cell>
          <cell r="BH195">
            <v>1</v>
          </cell>
          <cell r="BI195">
            <v>10</v>
          </cell>
          <cell r="BJ195">
            <v>5</v>
          </cell>
          <cell r="BK195">
            <v>5</v>
          </cell>
          <cell r="BL195">
            <v>0</v>
          </cell>
          <cell r="BM195">
            <v>-1</v>
          </cell>
          <cell r="BN195">
            <v>1</v>
          </cell>
          <cell r="BO195">
            <v>0</v>
          </cell>
          <cell r="BP195">
            <v>4</v>
          </cell>
          <cell r="BQ195">
            <v>0</v>
          </cell>
          <cell r="BR195">
            <v>-1</v>
          </cell>
          <cell r="BS195">
            <v>5</v>
          </cell>
          <cell r="BT195">
            <v>1</v>
          </cell>
          <cell r="BU195">
            <v>-1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5</v>
          </cell>
          <cell r="DN195">
            <v>0</v>
          </cell>
          <cell r="DO195">
            <v>0</v>
          </cell>
          <cell r="DP195">
            <v>0</v>
          </cell>
          <cell r="DQ195">
            <v>4</v>
          </cell>
          <cell r="DR195">
            <v>1</v>
          </cell>
          <cell r="DS195">
            <v>0</v>
          </cell>
          <cell r="DT195">
            <v>10</v>
          </cell>
          <cell r="DU195">
            <v>3</v>
          </cell>
          <cell r="DV195">
            <v>2</v>
          </cell>
          <cell r="DW195">
            <v>-2</v>
          </cell>
          <cell r="DX195">
            <v>6</v>
          </cell>
          <cell r="DY195">
            <v>1</v>
          </cell>
          <cell r="DZ195">
            <v>0</v>
          </cell>
          <cell r="EA195">
            <v>25</v>
          </cell>
          <cell r="EB195">
            <v>4</v>
          </cell>
          <cell r="EC195">
            <v>9</v>
          </cell>
          <cell r="ED195">
            <v>6</v>
          </cell>
          <cell r="EE195">
            <v>0</v>
          </cell>
          <cell r="EF195">
            <v>6</v>
          </cell>
          <cell r="EG195">
            <v>0</v>
          </cell>
          <cell r="EH195">
            <v>33</v>
          </cell>
          <cell r="EI195">
            <v>3</v>
          </cell>
          <cell r="EJ195">
            <v>1</v>
          </cell>
          <cell r="EK195">
            <v>1</v>
          </cell>
          <cell r="EL195">
            <v>6</v>
          </cell>
          <cell r="EM195">
            <v>22</v>
          </cell>
          <cell r="EN195">
            <v>0</v>
          </cell>
          <cell r="EO195" t="str">
            <v xml:space="preserve">Mans Kennebunkport Jacket                                   </v>
          </cell>
        </row>
        <row r="196">
          <cell r="A196" t="str">
            <v>CN3YM3862400</v>
          </cell>
          <cell r="B196" t="str">
            <v>CN3</v>
          </cell>
          <cell r="C196" t="str">
            <v>YM3862</v>
          </cell>
          <cell r="D196">
            <v>400</v>
          </cell>
          <cell r="E196" t="str">
            <v xml:space="preserve">   </v>
          </cell>
          <cell r="F196">
            <v>80822</v>
          </cell>
          <cell r="G196">
            <v>80827</v>
          </cell>
          <cell r="H196">
            <v>0</v>
          </cell>
          <cell r="I196">
            <v>800</v>
          </cell>
          <cell r="J196">
            <v>798</v>
          </cell>
          <cell r="K196">
            <v>798</v>
          </cell>
          <cell r="L196">
            <v>723</v>
          </cell>
          <cell r="M196">
            <v>723</v>
          </cell>
          <cell r="N196">
            <v>28036000</v>
          </cell>
          <cell r="O196">
            <v>27965910</v>
          </cell>
          <cell r="P196">
            <v>27965910</v>
          </cell>
          <cell r="Q196">
            <v>25337535</v>
          </cell>
          <cell r="R196">
            <v>88240948</v>
          </cell>
          <cell r="S196" t="str">
            <v xml:space="preserve"> </v>
          </cell>
          <cell r="T196" t="str">
            <v xml:space="preserve"> </v>
          </cell>
          <cell r="U196">
            <v>798</v>
          </cell>
          <cell r="V196">
            <v>27965910</v>
          </cell>
          <cell r="W196">
            <v>723</v>
          </cell>
          <cell r="X196">
            <v>25337535</v>
          </cell>
          <cell r="Y196">
            <v>90.98</v>
          </cell>
          <cell r="Z196">
            <v>91.1</v>
          </cell>
          <cell r="AA196">
            <v>25267445</v>
          </cell>
          <cell r="AB196">
            <v>70090</v>
          </cell>
          <cell r="AC196">
            <v>0</v>
          </cell>
          <cell r="AD196">
            <v>35045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3</v>
          </cell>
          <cell r="AL196">
            <v>140180</v>
          </cell>
          <cell r="AM196">
            <v>72</v>
          </cell>
          <cell r="AN196">
            <v>5957650</v>
          </cell>
          <cell r="AO196">
            <v>35045</v>
          </cell>
          <cell r="AP196">
            <v>35045</v>
          </cell>
          <cell r="AQ196">
            <v>138000</v>
          </cell>
          <cell r="AR196">
            <v>0</v>
          </cell>
          <cell r="AS196">
            <v>3.94</v>
          </cell>
          <cell r="AT196">
            <v>110124000</v>
          </cell>
          <cell r="AU196">
            <v>3.49</v>
          </cell>
          <cell r="AV196">
            <v>88227230</v>
          </cell>
          <cell r="AW196">
            <v>0.2</v>
          </cell>
          <cell r="AX196">
            <v>13718</v>
          </cell>
          <cell r="AY196">
            <v>90.98</v>
          </cell>
          <cell r="AZ196">
            <v>0</v>
          </cell>
          <cell r="BA196">
            <v>721</v>
          </cell>
          <cell r="BB196">
            <v>2</v>
          </cell>
          <cell r="BC196">
            <v>723</v>
          </cell>
          <cell r="BD196">
            <v>0</v>
          </cell>
          <cell r="BE196">
            <v>0</v>
          </cell>
          <cell r="BF196">
            <v>39</v>
          </cell>
          <cell r="BG196">
            <v>1</v>
          </cell>
          <cell r="BH196">
            <v>1</v>
          </cell>
          <cell r="BI196">
            <v>5</v>
          </cell>
          <cell r="BJ196">
            <v>-1</v>
          </cell>
          <cell r="BK196">
            <v>0</v>
          </cell>
          <cell r="BL196">
            <v>-2</v>
          </cell>
          <cell r="BM196">
            <v>5</v>
          </cell>
          <cell r="BN196">
            <v>3</v>
          </cell>
          <cell r="BO196">
            <v>0</v>
          </cell>
          <cell r="BP196">
            <v>25</v>
          </cell>
          <cell r="BQ196">
            <v>1</v>
          </cell>
          <cell r="BR196">
            <v>5</v>
          </cell>
          <cell r="BS196">
            <v>11</v>
          </cell>
          <cell r="BT196">
            <v>2</v>
          </cell>
          <cell r="BU196">
            <v>6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33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33</v>
          </cell>
          <cell r="DL196">
            <v>0</v>
          </cell>
          <cell r="DM196">
            <v>359</v>
          </cell>
          <cell r="DN196">
            <v>59</v>
          </cell>
          <cell r="DO196">
            <v>51</v>
          </cell>
          <cell r="DP196">
            <v>54</v>
          </cell>
          <cell r="DQ196">
            <v>192</v>
          </cell>
          <cell r="DR196">
            <v>3</v>
          </cell>
          <cell r="DS196">
            <v>0</v>
          </cell>
          <cell r="DT196">
            <v>194</v>
          </cell>
          <cell r="DU196">
            <v>53</v>
          </cell>
          <cell r="DV196">
            <v>54</v>
          </cell>
          <cell r="DW196">
            <v>32</v>
          </cell>
          <cell r="DX196">
            <v>43</v>
          </cell>
          <cell r="DY196">
            <v>12</v>
          </cell>
          <cell r="DZ196">
            <v>0</v>
          </cell>
          <cell r="EA196">
            <v>109</v>
          </cell>
          <cell r="EB196">
            <v>4</v>
          </cell>
          <cell r="EC196">
            <v>61</v>
          </cell>
          <cell r="ED196">
            <v>43</v>
          </cell>
          <cell r="EE196">
            <v>1</v>
          </cell>
          <cell r="EF196">
            <v>0</v>
          </cell>
          <cell r="EG196">
            <v>0</v>
          </cell>
          <cell r="EH196">
            <v>-2</v>
          </cell>
          <cell r="EI196">
            <v>1</v>
          </cell>
          <cell r="EJ196">
            <v>0</v>
          </cell>
          <cell r="EK196">
            <v>-2</v>
          </cell>
          <cell r="EL196">
            <v>-1</v>
          </cell>
          <cell r="EM196">
            <v>0</v>
          </cell>
          <cell r="EN196">
            <v>0</v>
          </cell>
          <cell r="EO196" t="str">
            <v xml:space="preserve">MENS PILOT STATION JACKET                                   </v>
          </cell>
        </row>
        <row r="197">
          <cell r="A197" t="str">
            <v>CN3YM3862972</v>
          </cell>
          <cell r="B197" t="str">
            <v>CN3</v>
          </cell>
          <cell r="C197" t="str">
            <v>YM3862</v>
          </cell>
          <cell r="D197">
            <v>972</v>
          </cell>
          <cell r="E197" t="str">
            <v xml:space="preserve">   </v>
          </cell>
          <cell r="F197">
            <v>80822</v>
          </cell>
          <cell r="G197">
            <v>80827</v>
          </cell>
          <cell r="H197">
            <v>0</v>
          </cell>
          <cell r="I197">
            <v>600</v>
          </cell>
          <cell r="J197">
            <v>612</v>
          </cell>
          <cell r="K197">
            <v>612</v>
          </cell>
          <cell r="L197">
            <v>466</v>
          </cell>
          <cell r="M197">
            <v>466</v>
          </cell>
          <cell r="N197">
            <v>21027000</v>
          </cell>
          <cell r="O197">
            <v>21447540</v>
          </cell>
          <cell r="P197">
            <v>21447540</v>
          </cell>
          <cell r="Q197">
            <v>16330970</v>
          </cell>
          <cell r="R197">
            <v>52787200</v>
          </cell>
          <cell r="S197" t="str">
            <v xml:space="preserve"> </v>
          </cell>
          <cell r="T197" t="str">
            <v xml:space="preserve"> </v>
          </cell>
          <cell r="U197">
            <v>612</v>
          </cell>
          <cell r="V197">
            <v>21447540</v>
          </cell>
          <cell r="W197">
            <v>466</v>
          </cell>
          <cell r="X197">
            <v>16330970</v>
          </cell>
          <cell r="Y197">
            <v>75.819999999999993</v>
          </cell>
          <cell r="Z197">
            <v>75.819999999999993</v>
          </cell>
          <cell r="AA197">
            <v>16330970</v>
          </cell>
          <cell r="AB197">
            <v>0</v>
          </cell>
          <cell r="AC197">
            <v>0</v>
          </cell>
          <cell r="AD197">
            <v>175225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-2</v>
          </cell>
          <cell r="AL197">
            <v>-70090</v>
          </cell>
          <cell r="AM197">
            <v>148</v>
          </cell>
          <cell r="AN197">
            <v>10828905</v>
          </cell>
          <cell r="AO197">
            <v>35045</v>
          </cell>
          <cell r="AP197">
            <v>35045</v>
          </cell>
          <cell r="AQ197">
            <v>138000</v>
          </cell>
          <cell r="AR197">
            <v>0</v>
          </cell>
          <cell r="AS197">
            <v>3.94</v>
          </cell>
          <cell r="AT197">
            <v>84456000</v>
          </cell>
          <cell r="AU197">
            <v>3.23</v>
          </cell>
          <cell r="AV197">
            <v>52787200</v>
          </cell>
          <cell r="AW197">
            <v>0</v>
          </cell>
          <cell r="AX197">
            <v>0</v>
          </cell>
          <cell r="AY197">
            <v>75.819999999999993</v>
          </cell>
          <cell r="AZ197">
            <v>0</v>
          </cell>
          <cell r="BA197">
            <v>466</v>
          </cell>
          <cell r="BB197">
            <v>0</v>
          </cell>
          <cell r="BC197">
            <v>466</v>
          </cell>
          <cell r="BD197">
            <v>0</v>
          </cell>
          <cell r="BE197">
            <v>0</v>
          </cell>
          <cell r="BF197">
            <v>30</v>
          </cell>
          <cell r="BG197">
            <v>0</v>
          </cell>
          <cell r="BH197">
            <v>1</v>
          </cell>
          <cell r="BI197">
            <v>6</v>
          </cell>
          <cell r="BJ197">
            <v>3</v>
          </cell>
          <cell r="BK197">
            <v>1</v>
          </cell>
          <cell r="BL197">
            <v>1</v>
          </cell>
          <cell r="BM197">
            <v>1</v>
          </cell>
          <cell r="BN197">
            <v>0</v>
          </cell>
          <cell r="BO197">
            <v>0</v>
          </cell>
          <cell r="BP197">
            <v>20</v>
          </cell>
          <cell r="BQ197">
            <v>0</v>
          </cell>
          <cell r="BR197">
            <v>6</v>
          </cell>
          <cell r="BS197">
            <v>4</v>
          </cell>
          <cell r="BT197">
            <v>7</v>
          </cell>
          <cell r="BU197">
            <v>3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13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13</v>
          </cell>
          <cell r="DL197">
            <v>0</v>
          </cell>
          <cell r="DM197">
            <v>282</v>
          </cell>
          <cell r="DN197">
            <v>35</v>
          </cell>
          <cell r="DO197">
            <v>148</v>
          </cell>
          <cell r="DP197">
            <v>27</v>
          </cell>
          <cell r="DQ197">
            <v>66</v>
          </cell>
          <cell r="DR197">
            <v>6</v>
          </cell>
          <cell r="DS197">
            <v>0</v>
          </cell>
          <cell r="DT197">
            <v>136</v>
          </cell>
          <cell r="DU197">
            <v>13</v>
          </cell>
          <cell r="DV197">
            <v>95</v>
          </cell>
          <cell r="DW197">
            <v>16</v>
          </cell>
          <cell r="DX197">
            <v>10</v>
          </cell>
          <cell r="DY197">
            <v>2</v>
          </cell>
          <cell r="DZ197">
            <v>0</v>
          </cell>
          <cell r="EA197">
            <v>9</v>
          </cell>
          <cell r="EB197">
            <v>1</v>
          </cell>
          <cell r="EC197">
            <v>7</v>
          </cell>
          <cell r="ED197">
            <v>-1</v>
          </cell>
          <cell r="EE197">
            <v>1</v>
          </cell>
          <cell r="EF197">
            <v>1</v>
          </cell>
          <cell r="EG197">
            <v>0</v>
          </cell>
          <cell r="EH197">
            <v>0</v>
          </cell>
          <cell r="EI197">
            <v>-1</v>
          </cell>
          <cell r="EJ197">
            <v>1</v>
          </cell>
          <cell r="EK197">
            <v>1</v>
          </cell>
          <cell r="EL197">
            <v>1</v>
          </cell>
          <cell r="EM197">
            <v>-2</v>
          </cell>
          <cell r="EN197">
            <v>0</v>
          </cell>
          <cell r="EO197" t="str">
            <v xml:space="preserve">MENS PILOT STATION JACKET                                   </v>
          </cell>
        </row>
        <row r="198">
          <cell r="A198" t="str">
            <v>CN3YM3865819</v>
          </cell>
          <cell r="B198" t="str">
            <v>CN3</v>
          </cell>
          <cell r="C198" t="str">
            <v>YM3865</v>
          </cell>
          <cell r="D198">
            <v>819</v>
          </cell>
          <cell r="E198" t="str">
            <v xml:space="preserve">   </v>
          </cell>
          <cell r="F198">
            <v>81002</v>
          </cell>
          <cell r="G198">
            <v>81002</v>
          </cell>
          <cell r="H198">
            <v>0</v>
          </cell>
          <cell r="I198">
            <v>500</v>
          </cell>
          <cell r="J198">
            <v>507</v>
          </cell>
          <cell r="K198">
            <v>507</v>
          </cell>
          <cell r="L198">
            <v>180</v>
          </cell>
          <cell r="M198">
            <v>180</v>
          </cell>
          <cell r="N198">
            <v>17620000</v>
          </cell>
          <cell r="O198">
            <v>17792658</v>
          </cell>
          <cell r="P198">
            <v>17792658</v>
          </cell>
          <cell r="Q198">
            <v>6316920</v>
          </cell>
          <cell r="R198">
            <v>26773481</v>
          </cell>
          <cell r="S198" t="str">
            <v xml:space="preserve"> </v>
          </cell>
          <cell r="T198" t="str">
            <v xml:space="preserve"> </v>
          </cell>
          <cell r="U198">
            <v>507</v>
          </cell>
          <cell r="V198">
            <v>17792658</v>
          </cell>
          <cell r="W198">
            <v>180</v>
          </cell>
          <cell r="X198">
            <v>6316920</v>
          </cell>
          <cell r="Y198">
            <v>35.5</v>
          </cell>
          <cell r="Z198">
            <v>35.5</v>
          </cell>
          <cell r="AA198">
            <v>6316920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327</v>
          </cell>
          <cell r="AN198">
            <v>23653356</v>
          </cell>
          <cell r="AO198">
            <v>35240</v>
          </cell>
          <cell r="AP198">
            <v>35094</v>
          </cell>
          <cell r="AQ198">
            <v>158000</v>
          </cell>
          <cell r="AR198">
            <v>0</v>
          </cell>
          <cell r="AS198">
            <v>4.5</v>
          </cell>
          <cell r="AT198">
            <v>80106000</v>
          </cell>
          <cell r="AU198">
            <v>4.24</v>
          </cell>
          <cell r="AV198">
            <v>26773481</v>
          </cell>
          <cell r="AW198">
            <v>0</v>
          </cell>
          <cell r="AX198">
            <v>0</v>
          </cell>
          <cell r="AY198">
            <v>35.5</v>
          </cell>
          <cell r="AZ198">
            <v>0</v>
          </cell>
          <cell r="BA198">
            <v>180</v>
          </cell>
          <cell r="BB198">
            <v>0</v>
          </cell>
          <cell r="BC198">
            <v>180</v>
          </cell>
          <cell r="BD198">
            <v>0</v>
          </cell>
          <cell r="BE198">
            <v>0</v>
          </cell>
          <cell r="BF198">
            <v>34</v>
          </cell>
          <cell r="BG198">
            <v>1</v>
          </cell>
          <cell r="BH198">
            <v>1</v>
          </cell>
          <cell r="BI198">
            <v>53</v>
          </cell>
          <cell r="BJ198">
            <v>2</v>
          </cell>
          <cell r="BK198">
            <v>17</v>
          </cell>
          <cell r="BL198">
            <v>15</v>
          </cell>
          <cell r="BM198">
            <v>8</v>
          </cell>
          <cell r="BN198">
            <v>11</v>
          </cell>
          <cell r="BO198">
            <v>0</v>
          </cell>
          <cell r="BP198">
            <v>20</v>
          </cell>
          <cell r="BQ198">
            <v>1</v>
          </cell>
          <cell r="BR198">
            <v>3</v>
          </cell>
          <cell r="BS198">
            <v>6</v>
          </cell>
          <cell r="BT198">
            <v>6</v>
          </cell>
          <cell r="BU198">
            <v>4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25</v>
          </cell>
          <cell r="DU198">
            <v>3</v>
          </cell>
          <cell r="DV198">
            <v>2</v>
          </cell>
          <cell r="DW198">
            <v>5</v>
          </cell>
          <cell r="DX198">
            <v>9</v>
          </cell>
          <cell r="DY198">
            <v>6</v>
          </cell>
          <cell r="DZ198">
            <v>0</v>
          </cell>
          <cell r="EA198">
            <v>33</v>
          </cell>
          <cell r="EB198">
            <v>4</v>
          </cell>
          <cell r="EC198">
            <v>7</v>
          </cell>
          <cell r="ED198">
            <v>9</v>
          </cell>
          <cell r="EE198">
            <v>6</v>
          </cell>
          <cell r="EF198">
            <v>7</v>
          </cell>
          <cell r="EG198">
            <v>0</v>
          </cell>
          <cell r="EH198">
            <v>49</v>
          </cell>
          <cell r="EI198">
            <v>11</v>
          </cell>
          <cell r="EJ198">
            <v>12</v>
          </cell>
          <cell r="EK198">
            <v>10</v>
          </cell>
          <cell r="EL198">
            <v>13</v>
          </cell>
          <cell r="EM198">
            <v>3</v>
          </cell>
          <cell r="EN198">
            <v>0</v>
          </cell>
          <cell r="EO198" t="str">
            <v xml:space="preserve">MENS RIGBY JACKET                                           </v>
          </cell>
        </row>
        <row r="199">
          <cell r="A199" t="str">
            <v>CN3YM3865969</v>
          </cell>
          <cell r="B199" t="str">
            <v>CN3</v>
          </cell>
          <cell r="C199" t="str">
            <v>YM3865</v>
          </cell>
          <cell r="D199">
            <v>969</v>
          </cell>
          <cell r="E199" t="str">
            <v xml:space="preserve">   </v>
          </cell>
          <cell r="F199">
            <v>81006</v>
          </cell>
          <cell r="G199">
            <v>81006</v>
          </cell>
          <cell r="H199">
            <v>0</v>
          </cell>
          <cell r="I199">
            <v>700</v>
          </cell>
          <cell r="J199">
            <v>714</v>
          </cell>
          <cell r="K199">
            <v>714</v>
          </cell>
          <cell r="L199">
            <v>610</v>
          </cell>
          <cell r="M199">
            <v>610</v>
          </cell>
          <cell r="N199">
            <v>24668000</v>
          </cell>
          <cell r="O199">
            <v>25057116</v>
          </cell>
          <cell r="P199">
            <v>25057116</v>
          </cell>
          <cell r="Q199">
            <v>21407340</v>
          </cell>
          <cell r="R199">
            <v>90221819</v>
          </cell>
          <cell r="S199" t="str">
            <v xml:space="preserve"> </v>
          </cell>
          <cell r="T199" t="str">
            <v xml:space="preserve"> </v>
          </cell>
          <cell r="U199">
            <v>714</v>
          </cell>
          <cell r="V199">
            <v>25057116</v>
          </cell>
          <cell r="W199">
            <v>610</v>
          </cell>
          <cell r="X199">
            <v>21407340</v>
          </cell>
          <cell r="Y199">
            <v>85.57</v>
          </cell>
          <cell r="Z199">
            <v>85.71</v>
          </cell>
          <cell r="AA199">
            <v>21407340</v>
          </cell>
          <cell r="AB199">
            <v>0</v>
          </cell>
          <cell r="AC199">
            <v>0</v>
          </cell>
          <cell r="AD199">
            <v>35094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1</v>
          </cell>
          <cell r="AL199">
            <v>70188</v>
          </cell>
          <cell r="AM199">
            <v>103</v>
          </cell>
          <cell r="AN199">
            <v>9545568</v>
          </cell>
          <cell r="AO199">
            <v>35240</v>
          </cell>
          <cell r="AP199">
            <v>35094</v>
          </cell>
          <cell r="AQ199">
            <v>158000</v>
          </cell>
          <cell r="AR199">
            <v>0</v>
          </cell>
          <cell r="AS199">
            <v>4.5</v>
          </cell>
          <cell r="AT199">
            <v>112812000</v>
          </cell>
          <cell r="AU199">
            <v>4.21</v>
          </cell>
          <cell r="AV199">
            <v>90221819</v>
          </cell>
          <cell r="AW199">
            <v>0</v>
          </cell>
          <cell r="AX199">
            <v>0</v>
          </cell>
          <cell r="AY199">
            <v>85.57</v>
          </cell>
          <cell r="AZ199">
            <v>0</v>
          </cell>
          <cell r="BA199">
            <v>610</v>
          </cell>
          <cell r="BB199">
            <v>0</v>
          </cell>
          <cell r="BC199">
            <v>610</v>
          </cell>
          <cell r="BD199">
            <v>0</v>
          </cell>
          <cell r="BE199">
            <v>0</v>
          </cell>
          <cell r="BF199">
            <v>95</v>
          </cell>
          <cell r="BG199">
            <v>0</v>
          </cell>
          <cell r="BH199">
            <v>1</v>
          </cell>
          <cell r="BI199">
            <v>132</v>
          </cell>
          <cell r="BJ199">
            <v>29</v>
          </cell>
          <cell r="BK199">
            <v>23</v>
          </cell>
          <cell r="BL199">
            <v>39</v>
          </cell>
          <cell r="BM199">
            <v>24</v>
          </cell>
          <cell r="BN199">
            <v>17</v>
          </cell>
          <cell r="BO199">
            <v>0</v>
          </cell>
          <cell r="BP199">
            <v>67</v>
          </cell>
          <cell r="BQ199">
            <v>0</v>
          </cell>
          <cell r="BR199">
            <v>14</v>
          </cell>
          <cell r="BS199">
            <v>30</v>
          </cell>
          <cell r="BT199">
            <v>16</v>
          </cell>
          <cell r="BU199">
            <v>7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62</v>
          </cell>
          <cell r="DU199">
            <v>0</v>
          </cell>
          <cell r="DV199">
            <v>12</v>
          </cell>
          <cell r="DW199">
            <v>22</v>
          </cell>
          <cell r="DX199">
            <v>14</v>
          </cell>
          <cell r="DY199">
            <v>14</v>
          </cell>
          <cell r="DZ199">
            <v>0</v>
          </cell>
          <cell r="EA199">
            <v>181</v>
          </cell>
          <cell r="EB199">
            <v>20</v>
          </cell>
          <cell r="EC199">
            <v>44</v>
          </cell>
          <cell r="ED199">
            <v>22</v>
          </cell>
          <cell r="EE199">
            <v>30</v>
          </cell>
          <cell r="EF199">
            <v>65</v>
          </cell>
          <cell r="EG199">
            <v>0</v>
          </cell>
          <cell r="EH199">
            <v>168</v>
          </cell>
          <cell r="EI199">
            <v>35</v>
          </cell>
          <cell r="EJ199">
            <v>45</v>
          </cell>
          <cell r="EK199">
            <v>32</v>
          </cell>
          <cell r="EL199">
            <v>42</v>
          </cell>
          <cell r="EM199">
            <v>14</v>
          </cell>
          <cell r="EN199">
            <v>0</v>
          </cell>
          <cell r="EO199" t="str">
            <v xml:space="preserve">MENS RIGBY JACKET                                           </v>
          </cell>
        </row>
        <row r="200">
          <cell r="A200" t="str">
            <v>CN3YM3866010</v>
          </cell>
          <cell r="B200" t="str">
            <v>CN3</v>
          </cell>
          <cell r="C200" t="str">
            <v>YM3866</v>
          </cell>
          <cell r="D200">
            <v>10</v>
          </cell>
          <cell r="E200" t="str">
            <v xml:space="preserve">   </v>
          </cell>
          <cell r="F200">
            <v>80827</v>
          </cell>
          <cell r="G200">
            <v>80829</v>
          </cell>
          <cell r="H200">
            <v>0</v>
          </cell>
          <cell r="I200">
            <v>600</v>
          </cell>
          <cell r="J200">
            <v>623</v>
          </cell>
          <cell r="K200">
            <v>623</v>
          </cell>
          <cell r="L200">
            <v>527</v>
          </cell>
          <cell r="M200">
            <v>527</v>
          </cell>
          <cell r="N200">
            <v>22590000</v>
          </cell>
          <cell r="O200">
            <v>23437883</v>
          </cell>
          <cell r="P200">
            <v>23437883</v>
          </cell>
          <cell r="Q200">
            <v>19826267</v>
          </cell>
          <cell r="R200">
            <v>63889686</v>
          </cell>
          <cell r="S200" t="str">
            <v xml:space="preserve"> </v>
          </cell>
          <cell r="T200" t="str">
            <v xml:space="preserve"> </v>
          </cell>
          <cell r="U200">
            <v>623</v>
          </cell>
          <cell r="V200">
            <v>23437883</v>
          </cell>
          <cell r="W200">
            <v>527</v>
          </cell>
          <cell r="X200">
            <v>19826267</v>
          </cell>
          <cell r="Y200">
            <v>84.75</v>
          </cell>
          <cell r="Z200">
            <v>84.75</v>
          </cell>
          <cell r="AA200">
            <v>19826267</v>
          </cell>
          <cell r="AB200">
            <v>0</v>
          </cell>
          <cell r="AC200">
            <v>0</v>
          </cell>
          <cell r="AD200">
            <v>112863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1</v>
          </cell>
          <cell r="AL200">
            <v>37621</v>
          </cell>
          <cell r="AM200">
            <v>95</v>
          </cell>
          <cell r="AN200">
            <v>8953798</v>
          </cell>
          <cell r="AO200">
            <v>37650</v>
          </cell>
          <cell r="AP200">
            <v>37621</v>
          </cell>
          <cell r="AQ200">
            <v>145000</v>
          </cell>
          <cell r="AR200">
            <v>0</v>
          </cell>
          <cell r="AS200">
            <v>3.85</v>
          </cell>
          <cell r="AT200">
            <v>90335000</v>
          </cell>
          <cell r="AU200">
            <v>3.22</v>
          </cell>
          <cell r="AV200">
            <v>63889686</v>
          </cell>
          <cell r="AW200">
            <v>0</v>
          </cell>
          <cell r="AX200">
            <v>0</v>
          </cell>
          <cell r="AY200">
            <v>84.75</v>
          </cell>
          <cell r="AZ200">
            <v>0</v>
          </cell>
          <cell r="BA200">
            <v>527</v>
          </cell>
          <cell r="BB200">
            <v>0</v>
          </cell>
          <cell r="BC200">
            <v>527</v>
          </cell>
          <cell r="BD200">
            <v>0</v>
          </cell>
          <cell r="BE200">
            <v>0</v>
          </cell>
          <cell r="BF200">
            <v>70</v>
          </cell>
          <cell r="BG200">
            <v>1</v>
          </cell>
          <cell r="BH200">
            <v>1</v>
          </cell>
          <cell r="BI200">
            <v>0</v>
          </cell>
          <cell r="BJ200">
            <v>1</v>
          </cell>
          <cell r="BK200">
            <v>-4</v>
          </cell>
          <cell r="BL200">
            <v>-1</v>
          </cell>
          <cell r="BM200">
            <v>3</v>
          </cell>
          <cell r="BN200">
            <v>1</v>
          </cell>
          <cell r="BO200">
            <v>0</v>
          </cell>
          <cell r="BP200">
            <v>50</v>
          </cell>
          <cell r="BQ200">
            <v>0</v>
          </cell>
          <cell r="BR200">
            <v>6</v>
          </cell>
          <cell r="BS200">
            <v>38</v>
          </cell>
          <cell r="BT200">
            <v>5</v>
          </cell>
          <cell r="BU200">
            <v>1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10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10</v>
          </cell>
          <cell r="DL200">
            <v>0</v>
          </cell>
          <cell r="DM200">
            <v>119</v>
          </cell>
          <cell r="DN200">
            <v>10</v>
          </cell>
          <cell r="DO200">
            <v>9</v>
          </cell>
          <cell r="DP200">
            <v>12</v>
          </cell>
          <cell r="DQ200">
            <v>84</v>
          </cell>
          <cell r="DR200">
            <v>4</v>
          </cell>
          <cell r="DS200">
            <v>0</v>
          </cell>
          <cell r="DT200">
            <v>337</v>
          </cell>
          <cell r="DU200">
            <v>27</v>
          </cell>
          <cell r="DV200">
            <v>85</v>
          </cell>
          <cell r="DW200">
            <v>28</v>
          </cell>
          <cell r="DX200">
            <v>184</v>
          </cell>
          <cell r="DY200">
            <v>13</v>
          </cell>
          <cell r="DZ200">
            <v>0</v>
          </cell>
          <cell r="EA200">
            <v>16</v>
          </cell>
          <cell r="EB200">
            <v>3</v>
          </cell>
          <cell r="EC200">
            <v>4</v>
          </cell>
          <cell r="ED200">
            <v>14</v>
          </cell>
          <cell r="EE200">
            <v>-2</v>
          </cell>
          <cell r="EF200">
            <v>-3</v>
          </cell>
          <cell r="EG200">
            <v>0</v>
          </cell>
          <cell r="EH200">
            <v>-5</v>
          </cell>
          <cell r="EI200">
            <v>-1</v>
          </cell>
          <cell r="EJ200">
            <v>-3</v>
          </cell>
          <cell r="EK200">
            <v>0</v>
          </cell>
          <cell r="EL200">
            <v>-2</v>
          </cell>
          <cell r="EM200">
            <v>1</v>
          </cell>
          <cell r="EN200">
            <v>0</v>
          </cell>
          <cell r="EO200" t="str">
            <v xml:space="preserve">MENS HIGGANUM JACKET                                        </v>
          </cell>
        </row>
        <row r="201">
          <cell r="A201" t="str">
            <v>CN3YM3866100</v>
          </cell>
          <cell r="B201" t="str">
            <v>CN3</v>
          </cell>
          <cell r="C201" t="str">
            <v>YM3866</v>
          </cell>
          <cell r="D201">
            <v>100</v>
          </cell>
          <cell r="E201" t="str">
            <v xml:space="preserve">   </v>
          </cell>
          <cell r="F201">
            <v>80827</v>
          </cell>
          <cell r="G201">
            <v>80829</v>
          </cell>
          <cell r="H201">
            <v>0</v>
          </cell>
          <cell r="I201">
            <v>400</v>
          </cell>
          <cell r="J201">
            <v>414</v>
          </cell>
          <cell r="K201">
            <v>411</v>
          </cell>
          <cell r="L201">
            <v>167</v>
          </cell>
          <cell r="M201">
            <v>167</v>
          </cell>
          <cell r="N201">
            <v>15060000</v>
          </cell>
          <cell r="O201">
            <v>15575094</v>
          </cell>
          <cell r="P201">
            <v>15462231</v>
          </cell>
          <cell r="Q201">
            <v>6282707</v>
          </cell>
          <cell r="R201">
            <v>22434676</v>
          </cell>
          <cell r="S201" t="str">
            <v xml:space="preserve"> </v>
          </cell>
          <cell r="T201" t="str">
            <v xml:space="preserve"> </v>
          </cell>
          <cell r="U201">
            <v>414</v>
          </cell>
          <cell r="V201">
            <v>15575094</v>
          </cell>
          <cell r="W201">
            <v>167</v>
          </cell>
          <cell r="X201">
            <v>6282707</v>
          </cell>
          <cell r="Y201">
            <v>41.3</v>
          </cell>
          <cell r="Z201">
            <v>41.3</v>
          </cell>
          <cell r="AA201">
            <v>6282707</v>
          </cell>
          <cell r="AB201">
            <v>0</v>
          </cell>
          <cell r="AC201">
            <v>3</v>
          </cell>
          <cell r="AD201">
            <v>902904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4</v>
          </cell>
          <cell r="AL201">
            <v>150484</v>
          </cell>
          <cell r="AM201">
            <v>240</v>
          </cell>
          <cell r="AN201">
            <v>18735258</v>
          </cell>
          <cell r="AO201">
            <v>37650</v>
          </cell>
          <cell r="AP201">
            <v>37621</v>
          </cell>
          <cell r="AQ201">
            <v>145000</v>
          </cell>
          <cell r="AR201">
            <v>0</v>
          </cell>
          <cell r="AS201">
            <v>3.85</v>
          </cell>
          <cell r="AT201">
            <v>60030000</v>
          </cell>
          <cell r="AU201">
            <v>3.57</v>
          </cell>
          <cell r="AV201">
            <v>22434676</v>
          </cell>
          <cell r="AW201">
            <v>0</v>
          </cell>
          <cell r="AX201">
            <v>0</v>
          </cell>
          <cell r="AY201">
            <v>41.3</v>
          </cell>
          <cell r="AZ201">
            <v>0</v>
          </cell>
          <cell r="BA201">
            <v>167</v>
          </cell>
          <cell r="BB201">
            <v>0</v>
          </cell>
          <cell r="BC201">
            <v>167</v>
          </cell>
          <cell r="BD201">
            <v>0</v>
          </cell>
          <cell r="BE201">
            <v>0</v>
          </cell>
          <cell r="BF201">
            <v>50</v>
          </cell>
          <cell r="BG201">
            <v>0</v>
          </cell>
          <cell r="BH201">
            <v>1</v>
          </cell>
          <cell r="BI201">
            <v>6</v>
          </cell>
          <cell r="BJ201">
            <v>1</v>
          </cell>
          <cell r="BK201">
            <v>0</v>
          </cell>
          <cell r="BL201">
            <v>3</v>
          </cell>
          <cell r="BM201">
            <v>1</v>
          </cell>
          <cell r="BN201">
            <v>1</v>
          </cell>
          <cell r="BO201">
            <v>0</v>
          </cell>
          <cell r="BP201">
            <v>32</v>
          </cell>
          <cell r="BQ201">
            <v>0</v>
          </cell>
          <cell r="BR201">
            <v>1</v>
          </cell>
          <cell r="BS201">
            <v>7</v>
          </cell>
          <cell r="BT201">
            <v>16</v>
          </cell>
          <cell r="BU201">
            <v>8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5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5</v>
          </cell>
          <cell r="DL201">
            <v>0</v>
          </cell>
          <cell r="DM201">
            <v>70</v>
          </cell>
          <cell r="DN201">
            <v>12</v>
          </cell>
          <cell r="DO201">
            <v>14</v>
          </cell>
          <cell r="DP201">
            <v>13</v>
          </cell>
          <cell r="DQ201">
            <v>26</v>
          </cell>
          <cell r="DR201">
            <v>5</v>
          </cell>
          <cell r="DS201">
            <v>0</v>
          </cell>
          <cell r="DT201">
            <v>36</v>
          </cell>
          <cell r="DU201">
            <v>7</v>
          </cell>
          <cell r="DV201">
            <v>9</v>
          </cell>
          <cell r="DW201">
            <v>6</v>
          </cell>
          <cell r="DX201">
            <v>12</v>
          </cell>
          <cell r="DY201">
            <v>2</v>
          </cell>
          <cell r="DZ201">
            <v>0</v>
          </cell>
          <cell r="EA201">
            <v>13</v>
          </cell>
          <cell r="EB201">
            <v>7</v>
          </cell>
          <cell r="EC201">
            <v>3</v>
          </cell>
          <cell r="ED201">
            <v>5</v>
          </cell>
          <cell r="EE201">
            <v>1</v>
          </cell>
          <cell r="EF201">
            <v>-3</v>
          </cell>
          <cell r="EG201">
            <v>0</v>
          </cell>
          <cell r="EH201">
            <v>5</v>
          </cell>
          <cell r="EI201">
            <v>1</v>
          </cell>
          <cell r="EJ201">
            <v>1</v>
          </cell>
          <cell r="EK201">
            <v>0</v>
          </cell>
          <cell r="EL201">
            <v>2</v>
          </cell>
          <cell r="EM201">
            <v>1</v>
          </cell>
          <cell r="EN201">
            <v>0</v>
          </cell>
          <cell r="EO201" t="str">
            <v xml:space="preserve">MENS HIGGANUM JACKET                                        </v>
          </cell>
        </row>
        <row r="202">
          <cell r="A202" t="str">
            <v>CN3YM5851010</v>
          </cell>
          <cell r="B202" t="str">
            <v>CN3</v>
          </cell>
          <cell r="C202" t="str">
            <v>YM5851</v>
          </cell>
          <cell r="D202">
            <v>10</v>
          </cell>
          <cell r="E202" t="str">
            <v xml:space="preserve">   </v>
          </cell>
          <cell r="F202">
            <v>80813</v>
          </cell>
          <cell r="G202">
            <v>80825</v>
          </cell>
          <cell r="H202">
            <v>0</v>
          </cell>
          <cell r="I202">
            <v>2000</v>
          </cell>
          <cell r="J202">
            <v>1997</v>
          </cell>
          <cell r="K202">
            <v>1983</v>
          </cell>
          <cell r="L202">
            <v>1235</v>
          </cell>
          <cell r="M202">
            <v>1235</v>
          </cell>
          <cell r="N202">
            <v>106388000</v>
          </cell>
          <cell r="O202">
            <v>106112592</v>
          </cell>
          <cell r="P202">
            <v>105368688</v>
          </cell>
          <cell r="Q202">
            <v>65622960</v>
          </cell>
          <cell r="R202">
            <v>224653174</v>
          </cell>
          <cell r="S202" t="str">
            <v xml:space="preserve"> </v>
          </cell>
          <cell r="T202" t="str">
            <v xml:space="preserve"> </v>
          </cell>
          <cell r="U202">
            <v>1997</v>
          </cell>
          <cell r="V202">
            <v>106112592</v>
          </cell>
          <cell r="W202">
            <v>1235</v>
          </cell>
          <cell r="X202">
            <v>65622960</v>
          </cell>
          <cell r="Y202">
            <v>61.89</v>
          </cell>
          <cell r="Z202">
            <v>61.89</v>
          </cell>
          <cell r="AA202">
            <v>65622960</v>
          </cell>
          <cell r="AB202">
            <v>0</v>
          </cell>
          <cell r="AC202">
            <v>14</v>
          </cell>
          <cell r="AD202">
            <v>5579280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1</v>
          </cell>
          <cell r="AL202">
            <v>53136</v>
          </cell>
          <cell r="AM202">
            <v>747</v>
          </cell>
          <cell r="AN202">
            <v>80819856</v>
          </cell>
          <cell r="AO202">
            <v>53194</v>
          </cell>
          <cell r="AP202">
            <v>53136</v>
          </cell>
          <cell r="AQ202">
            <v>198000</v>
          </cell>
          <cell r="AR202">
            <v>0</v>
          </cell>
          <cell r="AS202">
            <v>3.73</v>
          </cell>
          <cell r="AT202">
            <v>395406000</v>
          </cell>
          <cell r="AU202">
            <v>3.42</v>
          </cell>
          <cell r="AV202">
            <v>224653174</v>
          </cell>
          <cell r="AW202">
            <v>0</v>
          </cell>
          <cell r="AX202">
            <v>0</v>
          </cell>
          <cell r="AY202">
            <v>61.89</v>
          </cell>
          <cell r="AZ202">
            <v>0</v>
          </cell>
          <cell r="BA202">
            <v>1235</v>
          </cell>
          <cell r="BB202">
            <v>0</v>
          </cell>
          <cell r="BC202">
            <v>1235</v>
          </cell>
          <cell r="BD202">
            <v>0</v>
          </cell>
          <cell r="BE202">
            <v>0</v>
          </cell>
          <cell r="BF202">
            <v>151</v>
          </cell>
          <cell r="BG202">
            <v>1</v>
          </cell>
          <cell r="BH202">
            <v>1</v>
          </cell>
          <cell r="BI202">
            <v>203</v>
          </cell>
          <cell r="BJ202">
            <v>34</v>
          </cell>
          <cell r="BK202">
            <v>58</v>
          </cell>
          <cell r="BL202">
            <v>50</v>
          </cell>
          <cell r="BM202">
            <v>38</v>
          </cell>
          <cell r="BN202">
            <v>23</v>
          </cell>
          <cell r="BO202">
            <v>0</v>
          </cell>
          <cell r="BP202">
            <v>103</v>
          </cell>
          <cell r="BQ202">
            <v>10</v>
          </cell>
          <cell r="BR202">
            <v>22</v>
          </cell>
          <cell r="BS202">
            <v>22</v>
          </cell>
          <cell r="BT202">
            <v>30</v>
          </cell>
          <cell r="BU202">
            <v>19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9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9</v>
          </cell>
          <cell r="DL202">
            <v>0</v>
          </cell>
          <cell r="DM202">
            <v>166</v>
          </cell>
          <cell r="DN202">
            <v>15</v>
          </cell>
          <cell r="DO202">
            <v>7</v>
          </cell>
          <cell r="DP202">
            <v>4</v>
          </cell>
          <cell r="DQ202">
            <v>139</v>
          </cell>
          <cell r="DR202">
            <v>1</v>
          </cell>
          <cell r="DS202">
            <v>0</v>
          </cell>
          <cell r="DT202">
            <v>152</v>
          </cell>
          <cell r="DU202">
            <v>30</v>
          </cell>
          <cell r="DV202">
            <v>37</v>
          </cell>
          <cell r="DW202">
            <v>24</v>
          </cell>
          <cell r="DX202">
            <v>40</v>
          </cell>
          <cell r="DY202">
            <v>21</v>
          </cell>
          <cell r="DZ202">
            <v>0</v>
          </cell>
          <cell r="EA202">
            <v>314</v>
          </cell>
          <cell r="EB202">
            <v>41</v>
          </cell>
          <cell r="EC202">
            <v>83</v>
          </cell>
          <cell r="ED202">
            <v>63</v>
          </cell>
          <cell r="EE202">
            <v>68</v>
          </cell>
          <cell r="EF202">
            <v>59</v>
          </cell>
          <cell r="EG202">
            <v>0</v>
          </cell>
          <cell r="EH202">
            <v>288</v>
          </cell>
          <cell r="EI202">
            <v>49</v>
          </cell>
          <cell r="EJ202">
            <v>155</v>
          </cell>
          <cell r="EK202">
            <v>26</v>
          </cell>
          <cell r="EL202">
            <v>36</v>
          </cell>
          <cell r="EM202">
            <v>22</v>
          </cell>
          <cell r="EN202">
            <v>0</v>
          </cell>
          <cell r="EO202" t="str">
            <v xml:space="preserve">MANS ISSAQUAH JACKET                                        </v>
          </cell>
        </row>
        <row r="203">
          <cell r="A203" t="str">
            <v>CN3YM5851759</v>
          </cell>
          <cell r="B203" t="str">
            <v>CN3</v>
          </cell>
          <cell r="C203" t="str">
            <v>YM5851</v>
          </cell>
          <cell r="D203">
            <v>759</v>
          </cell>
          <cell r="E203" t="str">
            <v xml:space="preserve">   </v>
          </cell>
          <cell r="F203">
            <v>80813</v>
          </cell>
          <cell r="G203">
            <v>80825</v>
          </cell>
          <cell r="H203">
            <v>0</v>
          </cell>
          <cell r="I203">
            <v>500</v>
          </cell>
          <cell r="J203">
            <v>505</v>
          </cell>
          <cell r="K203">
            <v>505</v>
          </cell>
          <cell r="L203">
            <v>262</v>
          </cell>
          <cell r="M203">
            <v>262</v>
          </cell>
          <cell r="N203">
            <v>26597000</v>
          </cell>
          <cell r="O203">
            <v>26833680</v>
          </cell>
          <cell r="P203">
            <v>26833680</v>
          </cell>
          <cell r="Q203">
            <v>13921632</v>
          </cell>
          <cell r="R203">
            <v>47323800</v>
          </cell>
          <cell r="S203" t="str">
            <v xml:space="preserve"> </v>
          </cell>
          <cell r="T203" t="str">
            <v xml:space="preserve"> </v>
          </cell>
          <cell r="U203">
            <v>505</v>
          </cell>
          <cell r="V203">
            <v>26833680</v>
          </cell>
          <cell r="W203">
            <v>262</v>
          </cell>
          <cell r="X203">
            <v>13921632</v>
          </cell>
          <cell r="Y203">
            <v>53.27</v>
          </cell>
          <cell r="Z203">
            <v>54.65</v>
          </cell>
          <cell r="AA203">
            <v>13921632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7</v>
          </cell>
          <cell r="AL203">
            <v>743904</v>
          </cell>
          <cell r="AM203">
            <v>236</v>
          </cell>
          <cell r="AN203">
            <v>26142912</v>
          </cell>
          <cell r="AO203">
            <v>53194</v>
          </cell>
          <cell r="AP203">
            <v>53136</v>
          </cell>
          <cell r="AQ203">
            <v>198000</v>
          </cell>
          <cell r="AR203">
            <v>0</v>
          </cell>
          <cell r="AS203">
            <v>3.73</v>
          </cell>
          <cell r="AT203">
            <v>99990000</v>
          </cell>
          <cell r="AU203">
            <v>3.4</v>
          </cell>
          <cell r="AV203">
            <v>47323800</v>
          </cell>
          <cell r="AW203">
            <v>0</v>
          </cell>
          <cell r="AX203">
            <v>0</v>
          </cell>
          <cell r="AY203">
            <v>53.27</v>
          </cell>
          <cell r="AZ203">
            <v>0</v>
          </cell>
          <cell r="BA203">
            <v>262</v>
          </cell>
          <cell r="BB203">
            <v>0</v>
          </cell>
          <cell r="BC203">
            <v>262</v>
          </cell>
          <cell r="BD203">
            <v>0</v>
          </cell>
          <cell r="BE203">
            <v>0</v>
          </cell>
          <cell r="BF203">
            <v>30</v>
          </cell>
          <cell r="BG203">
            <v>0</v>
          </cell>
          <cell r="BH203">
            <v>1</v>
          </cell>
          <cell r="BI203">
            <v>35</v>
          </cell>
          <cell r="BJ203">
            <v>9</v>
          </cell>
          <cell r="BK203">
            <v>4</v>
          </cell>
          <cell r="BL203">
            <v>14</v>
          </cell>
          <cell r="BM203">
            <v>5</v>
          </cell>
          <cell r="BN203">
            <v>3</v>
          </cell>
          <cell r="BO203">
            <v>0</v>
          </cell>
          <cell r="BP203">
            <v>20</v>
          </cell>
          <cell r="BQ203">
            <v>-2</v>
          </cell>
          <cell r="BR203">
            <v>5</v>
          </cell>
          <cell r="BS203">
            <v>7</v>
          </cell>
          <cell r="BT203">
            <v>5</v>
          </cell>
          <cell r="BU203">
            <v>5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1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1</v>
          </cell>
          <cell r="DL203">
            <v>0</v>
          </cell>
          <cell r="DM203">
            <v>52</v>
          </cell>
          <cell r="DN203">
            <v>2</v>
          </cell>
          <cell r="DO203">
            <v>3</v>
          </cell>
          <cell r="DP203">
            <v>4</v>
          </cell>
          <cell r="DQ203">
            <v>41</v>
          </cell>
          <cell r="DR203">
            <v>2</v>
          </cell>
          <cell r="DS203">
            <v>0</v>
          </cell>
          <cell r="DT203">
            <v>52</v>
          </cell>
          <cell r="DU203">
            <v>4</v>
          </cell>
          <cell r="DV203">
            <v>13</v>
          </cell>
          <cell r="DW203">
            <v>7</v>
          </cell>
          <cell r="DX203">
            <v>16</v>
          </cell>
          <cell r="DY203">
            <v>12</v>
          </cell>
          <cell r="DZ203">
            <v>0</v>
          </cell>
          <cell r="EA203">
            <v>78</v>
          </cell>
          <cell r="EB203">
            <v>3</v>
          </cell>
          <cell r="EC203">
            <v>22</v>
          </cell>
          <cell r="ED203">
            <v>13</v>
          </cell>
          <cell r="EE203">
            <v>29</v>
          </cell>
          <cell r="EF203">
            <v>11</v>
          </cell>
          <cell r="EG203">
            <v>0</v>
          </cell>
          <cell r="EH203">
            <v>24</v>
          </cell>
          <cell r="EI203">
            <v>8</v>
          </cell>
          <cell r="EJ203">
            <v>6</v>
          </cell>
          <cell r="EK203">
            <v>10</v>
          </cell>
          <cell r="EL203">
            <v>-3</v>
          </cell>
          <cell r="EM203">
            <v>3</v>
          </cell>
          <cell r="EN203">
            <v>0</v>
          </cell>
          <cell r="EO203" t="str">
            <v xml:space="preserve">MANS ISSAQUAH JACKET                                        </v>
          </cell>
        </row>
        <row r="204">
          <cell r="A204" t="str">
            <v>CN3YM5851980</v>
          </cell>
          <cell r="B204" t="str">
            <v>CN3</v>
          </cell>
          <cell r="C204" t="str">
            <v>YM5851</v>
          </cell>
          <cell r="D204">
            <v>980</v>
          </cell>
          <cell r="E204" t="str">
            <v xml:space="preserve">   </v>
          </cell>
          <cell r="F204">
            <v>80813</v>
          </cell>
          <cell r="G204">
            <v>80825</v>
          </cell>
          <cell r="H204">
            <v>0</v>
          </cell>
          <cell r="I204">
            <v>1000</v>
          </cell>
          <cell r="J204">
            <v>1006</v>
          </cell>
          <cell r="K204">
            <v>1006</v>
          </cell>
          <cell r="L204">
            <v>746</v>
          </cell>
          <cell r="M204">
            <v>746</v>
          </cell>
          <cell r="N204">
            <v>53194000</v>
          </cell>
          <cell r="O204">
            <v>53454816</v>
          </cell>
          <cell r="P204">
            <v>53454816</v>
          </cell>
          <cell r="Q204">
            <v>39639456</v>
          </cell>
          <cell r="R204">
            <v>132375526</v>
          </cell>
          <cell r="S204" t="str">
            <v xml:space="preserve"> </v>
          </cell>
          <cell r="T204" t="str">
            <v xml:space="preserve"> </v>
          </cell>
          <cell r="U204">
            <v>1006</v>
          </cell>
          <cell r="V204">
            <v>53454816</v>
          </cell>
          <cell r="W204">
            <v>746</v>
          </cell>
          <cell r="X204">
            <v>39639456</v>
          </cell>
          <cell r="Y204">
            <v>74.16</v>
          </cell>
          <cell r="Z204">
            <v>74.16</v>
          </cell>
          <cell r="AA204">
            <v>39586320</v>
          </cell>
          <cell r="AB204">
            <v>53136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260</v>
          </cell>
          <cell r="AN204">
            <v>31084560</v>
          </cell>
          <cell r="AO204">
            <v>53194</v>
          </cell>
          <cell r="AP204">
            <v>53136</v>
          </cell>
          <cell r="AQ204">
            <v>198000</v>
          </cell>
          <cell r="AR204">
            <v>0</v>
          </cell>
          <cell r="AS204">
            <v>3.73</v>
          </cell>
          <cell r="AT204">
            <v>199188000</v>
          </cell>
          <cell r="AU204">
            <v>3.34</v>
          </cell>
          <cell r="AV204">
            <v>132368667</v>
          </cell>
          <cell r="AW204">
            <v>0.13</v>
          </cell>
          <cell r="AX204">
            <v>6859</v>
          </cell>
          <cell r="AY204">
            <v>74.16</v>
          </cell>
          <cell r="AZ204">
            <v>0</v>
          </cell>
          <cell r="BA204">
            <v>745</v>
          </cell>
          <cell r="BB204">
            <v>1</v>
          </cell>
          <cell r="BC204">
            <v>746</v>
          </cell>
          <cell r="BD204">
            <v>0</v>
          </cell>
          <cell r="BE204">
            <v>0</v>
          </cell>
          <cell r="BF204">
            <v>101</v>
          </cell>
          <cell r="BG204">
            <v>0</v>
          </cell>
          <cell r="BH204">
            <v>1</v>
          </cell>
          <cell r="BI204">
            <v>93</v>
          </cell>
          <cell r="BJ204">
            <v>24</v>
          </cell>
          <cell r="BK204">
            <v>19</v>
          </cell>
          <cell r="BL204">
            <v>26</v>
          </cell>
          <cell r="BM204">
            <v>18</v>
          </cell>
          <cell r="BN204">
            <v>6</v>
          </cell>
          <cell r="BO204">
            <v>0</v>
          </cell>
          <cell r="BP204">
            <v>65</v>
          </cell>
          <cell r="BQ204">
            <v>5</v>
          </cell>
          <cell r="BR204">
            <v>17</v>
          </cell>
          <cell r="BS204">
            <v>28</v>
          </cell>
          <cell r="BT204">
            <v>2</v>
          </cell>
          <cell r="BU204">
            <v>13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8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8</v>
          </cell>
          <cell r="DL204">
            <v>0</v>
          </cell>
          <cell r="DM204">
            <v>144</v>
          </cell>
          <cell r="DN204">
            <v>10</v>
          </cell>
          <cell r="DO204">
            <v>13</v>
          </cell>
          <cell r="DP204">
            <v>7</v>
          </cell>
          <cell r="DQ204">
            <v>102</v>
          </cell>
          <cell r="DR204">
            <v>12</v>
          </cell>
          <cell r="DS204">
            <v>0</v>
          </cell>
          <cell r="DT204">
            <v>88</v>
          </cell>
          <cell r="DU204">
            <v>8</v>
          </cell>
          <cell r="DV204">
            <v>23</v>
          </cell>
          <cell r="DW204">
            <v>10</v>
          </cell>
          <cell r="DX204">
            <v>27</v>
          </cell>
          <cell r="DY204">
            <v>20</v>
          </cell>
          <cell r="DZ204">
            <v>0</v>
          </cell>
          <cell r="EA204">
            <v>170</v>
          </cell>
          <cell r="EB204">
            <v>11</v>
          </cell>
          <cell r="EC204">
            <v>50</v>
          </cell>
          <cell r="ED204">
            <v>21</v>
          </cell>
          <cell r="EE204">
            <v>40</v>
          </cell>
          <cell r="EF204">
            <v>48</v>
          </cell>
          <cell r="EG204">
            <v>0</v>
          </cell>
          <cell r="EH204">
            <v>178</v>
          </cell>
          <cell r="EI204">
            <v>27</v>
          </cell>
          <cell r="EJ204">
            <v>103</v>
          </cell>
          <cell r="EK204">
            <v>25</v>
          </cell>
          <cell r="EL204">
            <v>10</v>
          </cell>
          <cell r="EM204">
            <v>13</v>
          </cell>
          <cell r="EN204">
            <v>0</v>
          </cell>
          <cell r="EO204" t="str">
            <v xml:space="preserve">MANS ISSAQUAH JACKET                                        </v>
          </cell>
        </row>
        <row r="205">
          <cell r="A205" t="str">
            <v>CN3YM5853010</v>
          </cell>
          <cell r="B205" t="str">
            <v>CN3</v>
          </cell>
          <cell r="C205" t="str">
            <v>YM5853</v>
          </cell>
          <cell r="D205">
            <v>10</v>
          </cell>
          <cell r="E205" t="str">
            <v xml:space="preserve">   </v>
          </cell>
          <cell r="F205">
            <v>80829</v>
          </cell>
          <cell r="G205">
            <v>80903</v>
          </cell>
          <cell r="H205">
            <v>90226</v>
          </cell>
          <cell r="I205">
            <v>1000</v>
          </cell>
          <cell r="J205">
            <v>699</v>
          </cell>
          <cell r="K205">
            <v>698</v>
          </cell>
          <cell r="L205">
            <v>366</v>
          </cell>
          <cell r="M205">
            <v>366</v>
          </cell>
          <cell r="N205">
            <v>82650000</v>
          </cell>
          <cell r="O205">
            <v>57782136</v>
          </cell>
          <cell r="P205">
            <v>57695982</v>
          </cell>
          <cell r="Q205">
            <v>30253194</v>
          </cell>
          <cell r="R205">
            <v>100946918</v>
          </cell>
          <cell r="S205" t="str">
            <v>*</v>
          </cell>
          <cell r="T205" t="str">
            <v xml:space="preserve"> </v>
          </cell>
          <cell r="U205">
            <v>699</v>
          </cell>
          <cell r="V205">
            <v>57782136</v>
          </cell>
          <cell r="W205">
            <v>366</v>
          </cell>
          <cell r="X205">
            <v>30253194</v>
          </cell>
          <cell r="Y205">
            <v>52.5</v>
          </cell>
          <cell r="Z205">
            <v>52.64</v>
          </cell>
          <cell r="AA205">
            <v>28517355</v>
          </cell>
          <cell r="AB205">
            <v>1735839</v>
          </cell>
          <cell r="AC205">
            <v>1</v>
          </cell>
          <cell r="AD205">
            <v>82659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1</v>
          </cell>
          <cell r="AL205">
            <v>165318</v>
          </cell>
          <cell r="AM205">
            <v>331</v>
          </cell>
          <cell r="AN205">
            <v>57943959</v>
          </cell>
          <cell r="AO205">
            <v>82650</v>
          </cell>
          <cell r="AP205">
            <v>82659</v>
          </cell>
          <cell r="AQ205">
            <v>328000</v>
          </cell>
          <cell r="AR205">
            <v>197000</v>
          </cell>
          <cell r="AS205">
            <v>3.97</v>
          </cell>
          <cell r="AT205">
            <v>229272000</v>
          </cell>
          <cell r="AU205">
            <v>3.41</v>
          </cell>
          <cell r="AV205">
            <v>97150800</v>
          </cell>
          <cell r="AW205">
            <v>2.19</v>
          </cell>
          <cell r="AX205">
            <v>3796118</v>
          </cell>
          <cell r="AY205">
            <v>52.5</v>
          </cell>
          <cell r="AZ205">
            <v>0</v>
          </cell>
          <cell r="BA205">
            <v>345</v>
          </cell>
          <cell r="BB205">
            <v>21</v>
          </cell>
          <cell r="BC205">
            <v>366</v>
          </cell>
          <cell r="BD205">
            <v>0</v>
          </cell>
          <cell r="BE205">
            <v>0</v>
          </cell>
          <cell r="BF205">
            <v>74</v>
          </cell>
          <cell r="BG205">
            <v>1</v>
          </cell>
          <cell r="BH205">
            <v>1</v>
          </cell>
          <cell r="BI205">
            <v>98</v>
          </cell>
          <cell r="BJ205">
            <v>8</v>
          </cell>
          <cell r="BK205">
            <v>25</v>
          </cell>
          <cell r="BL205">
            <v>32</v>
          </cell>
          <cell r="BM205">
            <v>20</v>
          </cell>
          <cell r="BN205">
            <v>13</v>
          </cell>
          <cell r="BO205">
            <v>0</v>
          </cell>
          <cell r="BP205">
            <v>38</v>
          </cell>
          <cell r="BQ205">
            <v>3</v>
          </cell>
          <cell r="BR205">
            <v>6</v>
          </cell>
          <cell r="BS205">
            <v>5</v>
          </cell>
          <cell r="BT205">
            <v>5</v>
          </cell>
          <cell r="BU205">
            <v>19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44</v>
          </cell>
          <cell r="DN205">
            <v>2</v>
          </cell>
          <cell r="DO205">
            <v>4</v>
          </cell>
          <cell r="DP205">
            <v>0</v>
          </cell>
          <cell r="DQ205">
            <v>37</v>
          </cell>
          <cell r="DR205">
            <v>1</v>
          </cell>
          <cell r="DS205">
            <v>0</v>
          </cell>
          <cell r="DT205">
            <v>36</v>
          </cell>
          <cell r="DU205">
            <v>8</v>
          </cell>
          <cell r="DV205">
            <v>0</v>
          </cell>
          <cell r="DW205">
            <v>10</v>
          </cell>
          <cell r="DX205">
            <v>9</v>
          </cell>
          <cell r="DY205">
            <v>9</v>
          </cell>
          <cell r="DZ205">
            <v>0</v>
          </cell>
          <cell r="EA205">
            <v>92</v>
          </cell>
          <cell r="EB205">
            <v>10</v>
          </cell>
          <cell r="EC205">
            <v>26</v>
          </cell>
          <cell r="ED205">
            <v>16</v>
          </cell>
          <cell r="EE205">
            <v>20</v>
          </cell>
          <cell r="EF205">
            <v>20</v>
          </cell>
          <cell r="EG205">
            <v>0</v>
          </cell>
          <cell r="EH205">
            <v>58</v>
          </cell>
          <cell r="EI205">
            <v>10</v>
          </cell>
          <cell r="EJ205">
            <v>12</v>
          </cell>
          <cell r="EK205">
            <v>10</v>
          </cell>
          <cell r="EL205">
            <v>16</v>
          </cell>
          <cell r="EM205">
            <v>10</v>
          </cell>
          <cell r="EN205">
            <v>0</v>
          </cell>
          <cell r="EO205" t="str">
            <v xml:space="preserve">Mans Highland Home Jacket                                   </v>
          </cell>
        </row>
        <row r="206">
          <cell r="A206" t="str">
            <v>CN3YM5853094</v>
          </cell>
          <cell r="B206" t="str">
            <v>CN3</v>
          </cell>
          <cell r="C206" t="str">
            <v>YM5853</v>
          </cell>
          <cell r="D206">
            <v>94</v>
          </cell>
          <cell r="E206" t="str">
            <v xml:space="preserve">   </v>
          </cell>
          <cell r="F206">
            <v>80911</v>
          </cell>
          <cell r="G206">
            <v>80917</v>
          </cell>
          <cell r="H206">
            <v>90226</v>
          </cell>
          <cell r="I206">
            <v>500</v>
          </cell>
          <cell r="J206">
            <v>503</v>
          </cell>
          <cell r="K206">
            <v>501</v>
          </cell>
          <cell r="L206">
            <v>76</v>
          </cell>
          <cell r="M206">
            <v>76</v>
          </cell>
          <cell r="N206">
            <v>41325000</v>
          </cell>
          <cell r="O206">
            <v>41577477</v>
          </cell>
          <cell r="P206">
            <v>41412159</v>
          </cell>
          <cell r="Q206">
            <v>6282084</v>
          </cell>
          <cell r="R206">
            <v>21240000</v>
          </cell>
          <cell r="S206" t="str">
            <v>*</v>
          </cell>
          <cell r="T206" t="str">
            <v xml:space="preserve"> </v>
          </cell>
          <cell r="U206">
            <v>503</v>
          </cell>
          <cell r="V206">
            <v>41577477</v>
          </cell>
          <cell r="W206">
            <v>76</v>
          </cell>
          <cell r="X206">
            <v>6282084</v>
          </cell>
          <cell r="Y206">
            <v>15.11</v>
          </cell>
          <cell r="Z206">
            <v>15.11</v>
          </cell>
          <cell r="AA206">
            <v>5786130</v>
          </cell>
          <cell r="AB206">
            <v>495954</v>
          </cell>
          <cell r="AC206">
            <v>2</v>
          </cell>
          <cell r="AD206">
            <v>165318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425</v>
          </cell>
          <cell r="AN206">
            <v>71995989</v>
          </cell>
          <cell r="AO206">
            <v>82650</v>
          </cell>
          <cell r="AP206">
            <v>82659</v>
          </cell>
          <cell r="AQ206">
            <v>328000</v>
          </cell>
          <cell r="AR206">
            <v>197000</v>
          </cell>
          <cell r="AS206">
            <v>3.97</v>
          </cell>
          <cell r="AT206">
            <v>164984000</v>
          </cell>
          <cell r="AU206">
            <v>3.47</v>
          </cell>
          <cell r="AV206">
            <v>20058000</v>
          </cell>
          <cell r="AW206">
            <v>2.38</v>
          </cell>
          <cell r="AX206">
            <v>1182000</v>
          </cell>
          <cell r="AY206">
            <v>15.11</v>
          </cell>
          <cell r="AZ206">
            <v>0</v>
          </cell>
          <cell r="BA206">
            <v>70</v>
          </cell>
          <cell r="BB206">
            <v>6</v>
          </cell>
          <cell r="BC206">
            <v>76</v>
          </cell>
          <cell r="BD206">
            <v>0</v>
          </cell>
          <cell r="BE206">
            <v>0</v>
          </cell>
          <cell r="BF206">
            <v>27</v>
          </cell>
          <cell r="BG206">
            <v>0</v>
          </cell>
          <cell r="BH206">
            <v>1</v>
          </cell>
          <cell r="BI206">
            <v>8</v>
          </cell>
          <cell r="BJ206">
            <v>3</v>
          </cell>
          <cell r="BK206">
            <v>2</v>
          </cell>
          <cell r="BL206">
            <v>1</v>
          </cell>
          <cell r="BM206">
            <v>0</v>
          </cell>
          <cell r="BN206">
            <v>2</v>
          </cell>
          <cell r="BO206">
            <v>0</v>
          </cell>
          <cell r="BP206">
            <v>19</v>
          </cell>
          <cell r="BQ206">
            <v>1</v>
          </cell>
          <cell r="BR206">
            <v>5</v>
          </cell>
          <cell r="BS206">
            <v>0</v>
          </cell>
          <cell r="BT206">
            <v>5</v>
          </cell>
          <cell r="BU206">
            <v>8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16</v>
          </cell>
          <cell r="DN206">
            <v>0</v>
          </cell>
          <cell r="DO206">
            <v>0</v>
          </cell>
          <cell r="DP206">
            <v>2</v>
          </cell>
          <cell r="DQ206">
            <v>14</v>
          </cell>
          <cell r="DR206">
            <v>0</v>
          </cell>
          <cell r="DS206">
            <v>0</v>
          </cell>
          <cell r="DT206">
            <v>13</v>
          </cell>
          <cell r="DU206">
            <v>3</v>
          </cell>
          <cell r="DV206">
            <v>2</v>
          </cell>
          <cell r="DW206">
            <v>1</v>
          </cell>
          <cell r="DX206">
            <v>4</v>
          </cell>
          <cell r="DY206">
            <v>3</v>
          </cell>
          <cell r="DZ206">
            <v>0</v>
          </cell>
          <cell r="EA206">
            <v>11</v>
          </cell>
          <cell r="EB206">
            <v>1</v>
          </cell>
          <cell r="EC206">
            <v>8</v>
          </cell>
          <cell r="ED206">
            <v>1</v>
          </cell>
          <cell r="EE206">
            <v>0</v>
          </cell>
          <cell r="EF206">
            <v>1</v>
          </cell>
          <cell r="EG206">
            <v>0</v>
          </cell>
          <cell r="EH206">
            <v>9</v>
          </cell>
          <cell r="EI206">
            <v>0</v>
          </cell>
          <cell r="EJ206">
            <v>4</v>
          </cell>
          <cell r="EK206">
            <v>3</v>
          </cell>
          <cell r="EL206">
            <v>2</v>
          </cell>
          <cell r="EM206">
            <v>0</v>
          </cell>
          <cell r="EN206">
            <v>0</v>
          </cell>
          <cell r="EO206" t="str">
            <v xml:space="preserve">Mans Highland Home Jacket                                   </v>
          </cell>
        </row>
        <row r="207">
          <cell r="A207" t="str">
            <v>CN3YM5854010</v>
          </cell>
          <cell r="B207" t="str">
            <v>CN3</v>
          </cell>
          <cell r="C207" t="str">
            <v>YM5854</v>
          </cell>
          <cell r="D207">
            <v>10</v>
          </cell>
          <cell r="E207" t="str">
            <v xml:space="preserve">   </v>
          </cell>
          <cell r="F207">
            <v>81001</v>
          </cell>
          <cell r="G207">
            <v>81002</v>
          </cell>
          <cell r="H207">
            <v>81121</v>
          </cell>
          <cell r="I207">
            <v>600</v>
          </cell>
          <cell r="J207">
            <v>570</v>
          </cell>
          <cell r="K207">
            <v>570</v>
          </cell>
          <cell r="L207">
            <v>545</v>
          </cell>
          <cell r="M207">
            <v>545</v>
          </cell>
          <cell r="N207">
            <v>21330000</v>
          </cell>
          <cell r="O207">
            <v>22098330</v>
          </cell>
          <cell r="P207">
            <v>22098330</v>
          </cell>
          <cell r="Q207">
            <v>21129105</v>
          </cell>
          <cell r="R207">
            <v>61644000</v>
          </cell>
          <cell r="S207" t="str">
            <v>*</v>
          </cell>
          <cell r="T207" t="str">
            <v xml:space="preserve"> </v>
          </cell>
          <cell r="U207">
            <v>570</v>
          </cell>
          <cell r="V207">
            <v>22098330</v>
          </cell>
          <cell r="W207">
            <v>545</v>
          </cell>
          <cell r="X207">
            <v>21129105</v>
          </cell>
          <cell r="Y207">
            <v>95.61</v>
          </cell>
          <cell r="Z207">
            <v>95.61</v>
          </cell>
          <cell r="AA207">
            <v>3954438</v>
          </cell>
          <cell r="AB207">
            <v>17174667</v>
          </cell>
          <cell r="AC207">
            <v>0</v>
          </cell>
          <cell r="AD207">
            <v>155076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25</v>
          </cell>
          <cell r="AN207">
            <v>2132295</v>
          </cell>
          <cell r="AO207">
            <v>35550</v>
          </cell>
          <cell r="AP207">
            <v>38769</v>
          </cell>
          <cell r="AQ207">
            <v>178000</v>
          </cell>
          <cell r="AR207">
            <v>107000</v>
          </cell>
          <cell r="AS207">
            <v>4.59</v>
          </cell>
          <cell r="AT207">
            <v>101460000</v>
          </cell>
          <cell r="AU207">
            <v>3.85</v>
          </cell>
          <cell r="AV207">
            <v>15206000</v>
          </cell>
          <cell r="AW207">
            <v>2.7</v>
          </cell>
          <cell r="AX207">
            <v>46438000</v>
          </cell>
          <cell r="AY207">
            <v>95.61</v>
          </cell>
          <cell r="AZ207">
            <v>0</v>
          </cell>
          <cell r="BA207">
            <v>102</v>
          </cell>
          <cell r="BB207">
            <v>443</v>
          </cell>
          <cell r="BC207">
            <v>545</v>
          </cell>
          <cell r="BD207">
            <v>0</v>
          </cell>
          <cell r="BE207">
            <v>0</v>
          </cell>
          <cell r="BF207">
            <v>23</v>
          </cell>
          <cell r="BG207">
            <v>1</v>
          </cell>
          <cell r="BH207">
            <v>1</v>
          </cell>
          <cell r="BI207">
            <v>44</v>
          </cell>
          <cell r="BJ207">
            <v>12</v>
          </cell>
          <cell r="BK207">
            <v>17</v>
          </cell>
          <cell r="BL207">
            <v>13</v>
          </cell>
          <cell r="BM207">
            <v>-4</v>
          </cell>
          <cell r="BN207">
            <v>6</v>
          </cell>
          <cell r="BO207">
            <v>0</v>
          </cell>
          <cell r="BP207">
            <v>9</v>
          </cell>
          <cell r="BQ207">
            <v>1</v>
          </cell>
          <cell r="BR207">
            <v>3</v>
          </cell>
          <cell r="BS207">
            <v>2</v>
          </cell>
          <cell r="BT207">
            <v>0</v>
          </cell>
          <cell r="BU207">
            <v>3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38</v>
          </cell>
          <cell r="DU207">
            <v>2</v>
          </cell>
          <cell r="DV207">
            <v>6</v>
          </cell>
          <cell r="DW207">
            <v>8</v>
          </cell>
          <cell r="DX207">
            <v>8</v>
          </cell>
          <cell r="DY207">
            <v>14</v>
          </cell>
          <cell r="DZ207">
            <v>0</v>
          </cell>
          <cell r="EA207">
            <v>213</v>
          </cell>
          <cell r="EB207">
            <v>10</v>
          </cell>
          <cell r="EC207">
            <v>50</v>
          </cell>
          <cell r="ED207">
            <v>9</v>
          </cell>
          <cell r="EE207">
            <v>35</v>
          </cell>
          <cell r="EF207">
            <v>109</v>
          </cell>
          <cell r="EG207">
            <v>0</v>
          </cell>
          <cell r="EH207">
            <v>241</v>
          </cell>
          <cell r="EI207">
            <v>83</v>
          </cell>
          <cell r="EJ207">
            <v>107</v>
          </cell>
          <cell r="EK207">
            <v>18</v>
          </cell>
          <cell r="EL207">
            <v>28</v>
          </cell>
          <cell r="EM207">
            <v>5</v>
          </cell>
          <cell r="EN207">
            <v>0</v>
          </cell>
          <cell r="EO207" t="str">
            <v xml:space="preserve">Mans Wieser Jacket                                          </v>
          </cell>
        </row>
        <row r="208">
          <cell r="A208" t="str">
            <v>CN3YM5854326</v>
          </cell>
          <cell r="B208" t="str">
            <v>CN3</v>
          </cell>
          <cell r="C208" t="str">
            <v>YM5854</v>
          </cell>
          <cell r="D208">
            <v>326</v>
          </cell>
          <cell r="E208" t="str">
            <v xml:space="preserve">   </v>
          </cell>
          <cell r="F208">
            <v>81001</v>
          </cell>
          <cell r="G208">
            <v>81002</v>
          </cell>
          <cell r="H208">
            <v>81121</v>
          </cell>
          <cell r="I208">
            <v>400</v>
          </cell>
          <cell r="J208">
            <v>384</v>
          </cell>
          <cell r="K208">
            <v>384</v>
          </cell>
          <cell r="L208">
            <v>255</v>
          </cell>
          <cell r="M208">
            <v>255</v>
          </cell>
          <cell r="N208">
            <v>14220000</v>
          </cell>
          <cell r="O208">
            <v>14887296</v>
          </cell>
          <cell r="P208">
            <v>14887296</v>
          </cell>
          <cell r="Q208">
            <v>9886095</v>
          </cell>
          <cell r="R208">
            <v>28101650</v>
          </cell>
          <cell r="S208" t="str">
            <v>*</v>
          </cell>
          <cell r="T208" t="str">
            <v xml:space="preserve"> </v>
          </cell>
          <cell r="U208">
            <v>384</v>
          </cell>
          <cell r="V208">
            <v>14887296</v>
          </cell>
          <cell r="W208">
            <v>255</v>
          </cell>
          <cell r="X208">
            <v>9886095</v>
          </cell>
          <cell r="Y208">
            <v>66.41</v>
          </cell>
          <cell r="Z208">
            <v>66.41</v>
          </cell>
          <cell r="AA208">
            <v>1085532</v>
          </cell>
          <cell r="AB208">
            <v>8800563</v>
          </cell>
          <cell r="AC208">
            <v>0</v>
          </cell>
          <cell r="AD208">
            <v>1124301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129</v>
          </cell>
          <cell r="AN208">
            <v>10196247</v>
          </cell>
          <cell r="AO208">
            <v>35550</v>
          </cell>
          <cell r="AP208">
            <v>38769</v>
          </cell>
          <cell r="AQ208">
            <v>178000</v>
          </cell>
          <cell r="AR208">
            <v>107000</v>
          </cell>
          <cell r="AS208">
            <v>4.59</v>
          </cell>
          <cell r="AT208">
            <v>68352000</v>
          </cell>
          <cell r="AU208">
            <v>3.69</v>
          </cell>
          <cell r="AV208">
            <v>4010600</v>
          </cell>
          <cell r="AW208">
            <v>2.74</v>
          </cell>
          <cell r="AX208">
            <v>24091050</v>
          </cell>
          <cell r="AY208">
            <v>66.41</v>
          </cell>
          <cell r="AZ208">
            <v>0</v>
          </cell>
          <cell r="BA208">
            <v>28</v>
          </cell>
          <cell r="BB208">
            <v>227</v>
          </cell>
          <cell r="BC208">
            <v>255</v>
          </cell>
          <cell r="BD208">
            <v>0</v>
          </cell>
          <cell r="BE208">
            <v>0</v>
          </cell>
          <cell r="BF208">
            <v>50</v>
          </cell>
          <cell r="BG208">
            <v>0</v>
          </cell>
          <cell r="BH208">
            <v>1</v>
          </cell>
          <cell r="BI208">
            <v>72</v>
          </cell>
          <cell r="BJ208">
            <v>12</v>
          </cell>
          <cell r="BK208">
            <v>16</v>
          </cell>
          <cell r="BL208">
            <v>14</v>
          </cell>
          <cell r="BM208">
            <v>19</v>
          </cell>
          <cell r="BN208">
            <v>11</v>
          </cell>
          <cell r="BO208">
            <v>0</v>
          </cell>
          <cell r="BP208">
            <v>34</v>
          </cell>
          <cell r="BQ208">
            <v>0</v>
          </cell>
          <cell r="BR208">
            <v>14</v>
          </cell>
          <cell r="BS208">
            <v>9</v>
          </cell>
          <cell r="BT208">
            <v>9</v>
          </cell>
          <cell r="BU208">
            <v>2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11</v>
          </cell>
          <cell r="DU208">
            <v>1</v>
          </cell>
          <cell r="DV208">
            <v>2</v>
          </cell>
          <cell r="DW208">
            <v>4</v>
          </cell>
          <cell r="DX208">
            <v>3</v>
          </cell>
          <cell r="DY208">
            <v>1</v>
          </cell>
          <cell r="DZ208">
            <v>0</v>
          </cell>
          <cell r="EA208">
            <v>62</v>
          </cell>
          <cell r="EB208">
            <v>0</v>
          </cell>
          <cell r="EC208">
            <v>15</v>
          </cell>
          <cell r="ED208">
            <v>2</v>
          </cell>
          <cell r="EE208">
            <v>15</v>
          </cell>
          <cell r="EF208">
            <v>30</v>
          </cell>
          <cell r="EG208">
            <v>0</v>
          </cell>
          <cell r="EH208">
            <v>76</v>
          </cell>
          <cell r="EI208">
            <v>14</v>
          </cell>
          <cell r="EJ208">
            <v>30</v>
          </cell>
          <cell r="EK208">
            <v>23</v>
          </cell>
          <cell r="EL208">
            <v>4</v>
          </cell>
          <cell r="EM208">
            <v>5</v>
          </cell>
          <cell r="EN208">
            <v>0</v>
          </cell>
          <cell r="EO208" t="str">
            <v xml:space="preserve">Mans Wieser Jacket                                          </v>
          </cell>
        </row>
        <row r="209">
          <cell r="A209" t="str">
            <v>CN3YM5854493</v>
          </cell>
          <cell r="B209" t="str">
            <v>CN3</v>
          </cell>
          <cell r="C209" t="str">
            <v>YM5854</v>
          </cell>
          <cell r="D209">
            <v>493</v>
          </cell>
          <cell r="E209" t="str">
            <v xml:space="preserve">   </v>
          </cell>
          <cell r="F209">
            <v>81010</v>
          </cell>
          <cell r="G209">
            <v>81010</v>
          </cell>
          <cell r="H209">
            <v>81121</v>
          </cell>
          <cell r="I209">
            <v>800</v>
          </cell>
          <cell r="J209">
            <v>747</v>
          </cell>
          <cell r="K209">
            <v>747</v>
          </cell>
          <cell r="L209">
            <v>596</v>
          </cell>
          <cell r="M209">
            <v>596</v>
          </cell>
          <cell r="N209">
            <v>28440000</v>
          </cell>
          <cell r="O209">
            <v>28960443</v>
          </cell>
          <cell r="P209">
            <v>28960443</v>
          </cell>
          <cell r="Q209">
            <v>23106324</v>
          </cell>
          <cell r="R209">
            <v>67227750</v>
          </cell>
          <cell r="S209" t="str">
            <v>*</v>
          </cell>
          <cell r="T209" t="str">
            <v xml:space="preserve"> </v>
          </cell>
          <cell r="U209">
            <v>747</v>
          </cell>
          <cell r="V209">
            <v>28960443</v>
          </cell>
          <cell r="W209">
            <v>596</v>
          </cell>
          <cell r="X209">
            <v>23106324</v>
          </cell>
          <cell r="Y209">
            <v>79.92</v>
          </cell>
          <cell r="Z209">
            <v>79.92</v>
          </cell>
          <cell r="AA209">
            <v>2985213</v>
          </cell>
          <cell r="AB209">
            <v>20121111</v>
          </cell>
          <cell r="AC209">
            <v>0</v>
          </cell>
          <cell r="AD209">
            <v>1589529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1</v>
          </cell>
          <cell r="AL209">
            <v>38769</v>
          </cell>
          <cell r="AM209">
            <v>150</v>
          </cell>
          <cell r="AN209">
            <v>13181460</v>
          </cell>
          <cell r="AO209">
            <v>35550</v>
          </cell>
          <cell r="AP209">
            <v>38769</v>
          </cell>
          <cell r="AQ209">
            <v>178000</v>
          </cell>
          <cell r="AR209">
            <v>107000</v>
          </cell>
          <cell r="AS209">
            <v>4.59</v>
          </cell>
          <cell r="AT209">
            <v>132966000</v>
          </cell>
          <cell r="AU209">
            <v>4.12</v>
          </cell>
          <cell r="AV209">
            <v>12310000</v>
          </cell>
          <cell r="AW209">
            <v>2.73</v>
          </cell>
          <cell r="AX209">
            <v>54917750</v>
          </cell>
          <cell r="AY209">
            <v>79.92</v>
          </cell>
          <cell r="AZ209">
            <v>0</v>
          </cell>
          <cell r="BA209">
            <v>77</v>
          </cell>
          <cell r="BB209">
            <v>519</v>
          </cell>
          <cell r="BC209">
            <v>596</v>
          </cell>
          <cell r="BD209">
            <v>0</v>
          </cell>
          <cell r="BE209">
            <v>0</v>
          </cell>
          <cell r="BF209">
            <v>116</v>
          </cell>
          <cell r="BG209">
            <v>0</v>
          </cell>
          <cell r="BH209">
            <v>1</v>
          </cell>
          <cell r="BI209">
            <v>111</v>
          </cell>
          <cell r="BJ209">
            <v>11</v>
          </cell>
          <cell r="BK209">
            <v>30</v>
          </cell>
          <cell r="BL209">
            <v>31</v>
          </cell>
          <cell r="BM209">
            <v>29</v>
          </cell>
          <cell r="BN209">
            <v>10</v>
          </cell>
          <cell r="BO209">
            <v>0</v>
          </cell>
          <cell r="BP209">
            <v>80</v>
          </cell>
          <cell r="BQ209">
            <v>8</v>
          </cell>
          <cell r="BR209">
            <v>29</v>
          </cell>
          <cell r="BS209">
            <v>25</v>
          </cell>
          <cell r="BT209">
            <v>16</v>
          </cell>
          <cell r="BU209">
            <v>2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36</v>
          </cell>
          <cell r="DU209">
            <v>0</v>
          </cell>
          <cell r="DV209">
            <v>7</v>
          </cell>
          <cell r="DW209">
            <v>6</v>
          </cell>
          <cell r="DX209">
            <v>14</v>
          </cell>
          <cell r="DY209">
            <v>9</v>
          </cell>
          <cell r="DZ209">
            <v>0</v>
          </cell>
          <cell r="EA209">
            <v>143</v>
          </cell>
          <cell r="EB209">
            <v>2</v>
          </cell>
          <cell r="EC209">
            <v>22</v>
          </cell>
          <cell r="ED209">
            <v>11</v>
          </cell>
          <cell r="EE209">
            <v>35</v>
          </cell>
          <cell r="EF209">
            <v>73</v>
          </cell>
          <cell r="EG209">
            <v>0</v>
          </cell>
          <cell r="EH209">
            <v>226</v>
          </cell>
          <cell r="EI209">
            <v>66</v>
          </cell>
          <cell r="EJ209">
            <v>94</v>
          </cell>
          <cell r="EK209">
            <v>34</v>
          </cell>
          <cell r="EL209">
            <v>24</v>
          </cell>
          <cell r="EM209">
            <v>8</v>
          </cell>
          <cell r="EN209">
            <v>0</v>
          </cell>
          <cell r="EO209" t="str">
            <v xml:space="preserve">Mans Wieser Jacket                                          </v>
          </cell>
        </row>
        <row r="210">
          <cell r="A210" t="str">
            <v>CN3YM6808527</v>
          </cell>
          <cell r="B210" t="str">
            <v>CN3</v>
          </cell>
          <cell r="C210" t="str">
            <v>YM6808</v>
          </cell>
          <cell r="D210">
            <v>527</v>
          </cell>
          <cell r="E210" t="str">
            <v xml:space="preserve">   </v>
          </cell>
          <cell r="F210">
            <v>80627</v>
          </cell>
          <cell r="G210">
            <v>80725</v>
          </cell>
          <cell r="H210">
            <v>90226</v>
          </cell>
          <cell r="I210">
            <v>500</v>
          </cell>
          <cell r="J210">
            <v>509</v>
          </cell>
          <cell r="K210">
            <v>215</v>
          </cell>
          <cell r="L210">
            <v>98</v>
          </cell>
          <cell r="M210">
            <v>98</v>
          </cell>
          <cell r="N210">
            <v>14575000</v>
          </cell>
          <cell r="O210">
            <v>14838877</v>
          </cell>
          <cell r="P210">
            <v>6267895</v>
          </cell>
          <cell r="Q210">
            <v>2856994</v>
          </cell>
          <cell r="R210">
            <v>11307871</v>
          </cell>
          <cell r="S210" t="str">
            <v>*</v>
          </cell>
          <cell r="T210" t="str">
            <v xml:space="preserve"> </v>
          </cell>
          <cell r="U210">
            <v>509</v>
          </cell>
          <cell r="V210">
            <v>14838877</v>
          </cell>
          <cell r="W210">
            <v>98</v>
          </cell>
          <cell r="X210">
            <v>2856994</v>
          </cell>
          <cell r="Y210">
            <v>19.25</v>
          </cell>
          <cell r="Z210">
            <v>19.25</v>
          </cell>
          <cell r="AA210">
            <v>2827841</v>
          </cell>
          <cell r="AB210">
            <v>29153</v>
          </cell>
          <cell r="AC210">
            <v>294</v>
          </cell>
          <cell r="AD210">
            <v>17141964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117</v>
          </cell>
          <cell r="AN210">
            <v>6821802</v>
          </cell>
          <cell r="AO210">
            <v>29150</v>
          </cell>
          <cell r="AP210">
            <v>29153</v>
          </cell>
          <cell r="AQ210">
            <v>128000</v>
          </cell>
          <cell r="AR210">
            <v>77000</v>
          </cell>
          <cell r="AS210">
            <v>4.3899999999999997</v>
          </cell>
          <cell r="AT210">
            <v>65152000</v>
          </cell>
          <cell r="AU210">
            <v>3.97</v>
          </cell>
          <cell r="AV210">
            <v>11230871</v>
          </cell>
          <cell r="AW210">
            <v>2.64</v>
          </cell>
          <cell r="AX210">
            <v>77000</v>
          </cell>
          <cell r="AY210">
            <v>19.25</v>
          </cell>
          <cell r="AZ210">
            <v>0</v>
          </cell>
          <cell r="BA210">
            <v>97</v>
          </cell>
          <cell r="BB210">
            <v>1</v>
          </cell>
          <cell r="BC210">
            <v>98</v>
          </cell>
          <cell r="BD210">
            <v>0</v>
          </cell>
          <cell r="BE210">
            <v>0</v>
          </cell>
          <cell r="BF210">
            <v>6</v>
          </cell>
          <cell r="BG210">
            <v>1</v>
          </cell>
          <cell r="BH210">
            <v>1</v>
          </cell>
          <cell r="BI210">
            <v>1</v>
          </cell>
          <cell r="BJ210">
            <v>-1</v>
          </cell>
          <cell r="BK210">
            <v>0</v>
          </cell>
          <cell r="BL210">
            <v>2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1</v>
          </cell>
          <cell r="BS210">
            <v>-1</v>
          </cell>
          <cell r="BT210">
            <v>-2</v>
          </cell>
          <cell r="BU210">
            <v>2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7</v>
          </cell>
          <cell r="CZ210">
            <v>0</v>
          </cell>
          <cell r="DA210">
            <v>0</v>
          </cell>
          <cell r="DB210">
            <v>0</v>
          </cell>
          <cell r="DC210">
            <v>3</v>
          </cell>
          <cell r="DD210">
            <v>4</v>
          </cell>
          <cell r="DE210">
            <v>0</v>
          </cell>
          <cell r="DF210">
            <v>20</v>
          </cell>
          <cell r="DG210">
            <v>2</v>
          </cell>
          <cell r="DH210">
            <v>1</v>
          </cell>
          <cell r="DI210">
            <v>6</v>
          </cell>
          <cell r="DJ210">
            <v>5</v>
          </cell>
          <cell r="DK210">
            <v>6</v>
          </cell>
          <cell r="DL210">
            <v>0</v>
          </cell>
          <cell r="DM210">
            <v>38</v>
          </cell>
          <cell r="DN210">
            <v>1</v>
          </cell>
          <cell r="DO210">
            <v>10</v>
          </cell>
          <cell r="DP210">
            <v>7</v>
          </cell>
          <cell r="DQ210">
            <v>19</v>
          </cell>
          <cell r="DR210">
            <v>1</v>
          </cell>
          <cell r="DS210">
            <v>0</v>
          </cell>
          <cell r="DT210">
            <v>25</v>
          </cell>
          <cell r="DU210">
            <v>4</v>
          </cell>
          <cell r="DV210">
            <v>7</v>
          </cell>
          <cell r="DW210">
            <v>12</v>
          </cell>
          <cell r="DX210">
            <v>2</v>
          </cell>
          <cell r="DY210">
            <v>0</v>
          </cell>
          <cell r="DZ210">
            <v>0</v>
          </cell>
          <cell r="EA210">
            <v>8</v>
          </cell>
          <cell r="EB210">
            <v>3</v>
          </cell>
          <cell r="EC210">
            <v>-1</v>
          </cell>
          <cell r="ED210">
            <v>1</v>
          </cell>
          <cell r="EE210">
            <v>0</v>
          </cell>
          <cell r="EF210">
            <v>5</v>
          </cell>
          <cell r="EG210">
            <v>0</v>
          </cell>
          <cell r="EH210">
            <v>-1</v>
          </cell>
          <cell r="EI210">
            <v>1</v>
          </cell>
          <cell r="EJ210">
            <v>0</v>
          </cell>
          <cell r="EK210">
            <v>-1</v>
          </cell>
          <cell r="EL210">
            <v>0</v>
          </cell>
          <cell r="EM210">
            <v>-1</v>
          </cell>
          <cell r="EN210">
            <v>0</v>
          </cell>
          <cell r="EO210" t="str">
            <v xml:space="preserve">Angel Falls Half Zip                                        </v>
          </cell>
        </row>
        <row r="211">
          <cell r="A211" t="str">
            <v>CN3YM6808759</v>
          </cell>
          <cell r="B211" t="str">
            <v>CN3</v>
          </cell>
          <cell r="C211" t="str">
            <v>YM6808</v>
          </cell>
          <cell r="D211">
            <v>759</v>
          </cell>
          <cell r="E211" t="str">
            <v xml:space="preserve">   </v>
          </cell>
          <cell r="F211">
            <v>80627</v>
          </cell>
          <cell r="G211">
            <v>80725</v>
          </cell>
          <cell r="H211">
            <v>90226</v>
          </cell>
          <cell r="I211">
            <v>600</v>
          </cell>
          <cell r="J211">
            <v>569</v>
          </cell>
          <cell r="K211">
            <v>371</v>
          </cell>
          <cell r="L211">
            <v>281</v>
          </cell>
          <cell r="M211">
            <v>281</v>
          </cell>
          <cell r="N211">
            <v>17490000</v>
          </cell>
          <cell r="O211">
            <v>16588057</v>
          </cell>
          <cell r="P211">
            <v>10815763</v>
          </cell>
          <cell r="Q211">
            <v>8191993</v>
          </cell>
          <cell r="R211">
            <v>32853859</v>
          </cell>
          <cell r="S211" t="str">
            <v>*</v>
          </cell>
          <cell r="T211" t="str">
            <v xml:space="preserve"> </v>
          </cell>
          <cell r="U211">
            <v>569</v>
          </cell>
          <cell r="V211">
            <v>16588057</v>
          </cell>
          <cell r="W211">
            <v>281</v>
          </cell>
          <cell r="X211">
            <v>8191993</v>
          </cell>
          <cell r="Y211">
            <v>49.56</v>
          </cell>
          <cell r="Z211">
            <v>49.74</v>
          </cell>
          <cell r="AA211">
            <v>8075381</v>
          </cell>
          <cell r="AB211">
            <v>116612</v>
          </cell>
          <cell r="AC211">
            <v>198</v>
          </cell>
          <cell r="AD211">
            <v>11544588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1</v>
          </cell>
          <cell r="AL211">
            <v>58306</v>
          </cell>
          <cell r="AM211">
            <v>89</v>
          </cell>
          <cell r="AN211">
            <v>5305846</v>
          </cell>
          <cell r="AO211">
            <v>29150</v>
          </cell>
          <cell r="AP211">
            <v>29153</v>
          </cell>
          <cell r="AQ211">
            <v>128000</v>
          </cell>
          <cell r="AR211">
            <v>77000</v>
          </cell>
          <cell r="AS211">
            <v>4.3899999999999997</v>
          </cell>
          <cell r="AT211">
            <v>72832000</v>
          </cell>
          <cell r="AU211">
            <v>4.04</v>
          </cell>
          <cell r="AV211">
            <v>32616000</v>
          </cell>
          <cell r="AW211">
            <v>2.04</v>
          </cell>
          <cell r="AX211">
            <v>237859</v>
          </cell>
          <cell r="AY211">
            <v>49.56</v>
          </cell>
          <cell r="AZ211">
            <v>0</v>
          </cell>
          <cell r="BA211">
            <v>277</v>
          </cell>
          <cell r="BB211">
            <v>4</v>
          </cell>
          <cell r="BC211">
            <v>281</v>
          </cell>
          <cell r="BD211">
            <v>0</v>
          </cell>
          <cell r="BE211">
            <v>0</v>
          </cell>
          <cell r="BF211">
            <v>18</v>
          </cell>
          <cell r="BG211">
            <v>0</v>
          </cell>
          <cell r="BH211">
            <v>1</v>
          </cell>
          <cell r="BI211">
            <v>5</v>
          </cell>
          <cell r="BJ211">
            <v>0</v>
          </cell>
          <cell r="BK211">
            <v>3</v>
          </cell>
          <cell r="BL211">
            <v>0</v>
          </cell>
          <cell r="BM211">
            <v>1</v>
          </cell>
          <cell r="BN211">
            <v>1</v>
          </cell>
          <cell r="BO211">
            <v>0</v>
          </cell>
          <cell r="BP211">
            <v>4</v>
          </cell>
          <cell r="BQ211">
            <v>1</v>
          </cell>
          <cell r="BR211">
            <v>0</v>
          </cell>
          <cell r="BS211">
            <v>3</v>
          </cell>
          <cell r="BT211">
            <v>-1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16</v>
          </cell>
          <cell r="CZ211">
            <v>0</v>
          </cell>
          <cell r="DA211">
            <v>0</v>
          </cell>
          <cell r="DB211">
            <v>0</v>
          </cell>
          <cell r="DC211">
            <v>6</v>
          </cell>
          <cell r="DD211">
            <v>10</v>
          </cell>
          <cell r="DE211">
            <v>0</v>
          </cell>
          <cell r="DF211">
            <v>60</v>
          </cell>
          <cell r="DG211">
            <v>3</v>
          </cell>
          <cell r="DH211">
            <v>14</v>
          </cell>
          <cell r="DI211">
            <v>8</v>
          </cell>
          <cell r="DJ211">
            <v>22</v>
          </cell>
          <cell r="DK211">
            <v>13</v>
          </cell>
          <cell r="DL211">
            <v>0</v>
          </cell>
          <cell r="DM211">
            <v>135</v>
          </cell>
          <cell r="DN211">
            <v>26</v>
          </cell>
          <cell r="DO211">
            <v>20</v>
          </cell>
          <cell r="DP211">
            <v>32</v>
          </cell>
          <cell r="DQ211">
            <v>54</v>
          </cell>
          <cell r="DR211">
            <v>3</v>
          </cell>
          <cell r="DS211">
            <v>0</v>
          </cell>
          <cell r="DT211">
            <v>59</v>
          </cell>
          <cell r="DU211">
            <v>8</v>
          </cell>
          <cell r="DV211">
            <v>21</v>
          </cell>
          <cell r="DW211">
            <v>20</v>
          </cell>
          <cell r="DX211">
            <v>12</v>
          </cell>
          <cell r="DY211">
            <v>-2</v>
          </cell>
          <cell r="DZ211">
            <v>0</v>
          </cell>
          <cell r="EA211">
            <v>1</v>
          </cell>
          <cell r="EB211">
            <v>4</v>
          </cell>
          <cell r="EC211">
            <v>1</v>
          </cell>
          <cell r="ED211">
            <v>2</v>
          </cell>
          <cell r="EE211">
            <v>1</v>
          </cell>
          <cell r="EF211">
            <v>-7</v>
          </cell>
          <cell r="EG211">
            <v>0</v>
          </cell>
          <cell r="EH211">
            <v>1</v>
          </cell>
          <cell r="EI211">
            <v>1</v>
          </cell>
          <cell r="EJ211">
            <v>0</v>
          </cell>
          <cell r="EK211">
            <v>-1</v>
          </cell>
          <cell r="EL211">
            <v>0</v>
          </cell>
          <cell r="EM211">
            <v>1</v>
          </cell>
          <cell r="EN211">
            <v>0</v>
          </cell>
          <cell r="EO211" t="str">
            <v xml:space="preserve">Angel Falls Half Zip                                        </v>
          </cell>
        </row>
        <row r="212">
          <cell r="A212" t="str">
            <v>CN3YM6810007</v>
          </cell>
          <cell r="B212" t="str">
            <v>CN3</v>
          </cell>
          <cell r="C212" t="str">
            <v>YM6810</v>
          </cell>
          <cell r="D212">
            <v>7</v>
          </cell>
          <cell r="E212" t="str">
            <v xml:space="preserve">   </v>
          </cell>
          <cell r="F212">
            <v>80711</v>
          </cell>
          <cell r="G212">
            <v>80804</v>
          </cell>
          <cell r="H212">
            <v>81224</v>
          </cell>
          <cell r="I212">
            <v>700</v>
          </cell>
          <cell r="J212">
            <v>698</v>
          </cell>
          <cell r="K212">
            <v>692</v>
          </cell>
          <cell r="L212">
            <v>620</v>
          </cell>
          <cell r="M212">
            <v>620</v>
          </cell>
          <cell r="N212">
            <v>10535000</v>
          </cell>
          <cell r="O212">
            <v>10493034</v>
          </cell>
          <cell r="P212">
            <v>10402836</v>
          </cell>
          <cell r="Q212">
            <v>9320460</v>
          </cell>
          <cell r="R212">
            <v>33880027</v>
          </cell>
          <cell r="S212" t="str">
            <v>*</v>
          </cell>
          <cell r="T212" t="str">
            <v xml:space="preserve"> </v>
          </cell>
          <cell r="U212">
            <v>698</v>
          </cell>
          <cell r="V212">
            <v>10493034</v>
          </cell>
          <cell r="W212">
            <v>620</v>
          </cell>
          <cell r="X212">
            <v>9320460</v>
          </cell>
          <cell r="Y212">
            <v>89.4</v>
          </cell>
          <cell r="Z212">
            <v>89.97</v>
          </cell>
          <cell r="AA212">
            <v>8598876</v>
          </cell>
          <cell r="AB212">
            <v>721584</v>
          </cell>
          <cell r="AC212">
            <v>6</v>
          </cell>
          <cell r="AD212">
            <v>120264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4</v>
          </cell>
          <cell r="AL212">
            <v>120264</v>
          </cell>
          <cell r="AM212">
            <v>68</v>
          </cell>
          <cell r="AN212">
            <v>2615742</v>
          </cell>
          <cell r="AO212">
            <v>15050</v>
          </cell>
          <cell r="AP212">
            <v>15033</v>
          </cell>
          <cell r="AQ212">
            <v>63000</v>
          </cell>
          <cell r="AR212">
            <v>38000</v>
          </cell>
          <cell r="AS212">
            <v>4.1900000000000004</v>
          </cell>
          <cell r="AT212">
            <v>43974000</v>
          </cell>
          <cell r="AU212">
            <v>3.74</v>
          </cell>
          <cell r="AV212">
            <v>32149450</v>
          </cell>
          <cell r="AW212">
            <v>2.4</v>
          </cell>
          <cell r="AX212">
            <v>1730577</v>
          </cell>
          <cell r="AY212">
            <v>89.4</v>
          </cell>
          <cell r="AZ212">
            <v>0</v>
          </cell>
          <cell r="BA212">
            <v>572</v>
          </cell>
          <cell r="BB212">
            <v>48</v>
          </cell>
          <cell r="BC212">
            <v>618</v>
          </cell>
          <cell r="BD212">
            <v>2</v>
          </cell>
          <cell r="BE212">
            <v>0</v>
          </cell>
          <cell r="BF212">
            <v>48</v>
          </cell>
          <cell r="BG212">
            <v>1</v>
          </cell>
          <cell r="BH212">
            <v>1</v>
          </cell>
          <cell r="BI212">
            <v>14</v>
          </cell>
          <cell r="BJ212">
            <v>1</v>
          </cell>
          <cell r="BK212">
            <v>1</v>
          </cell>
          <cell r="BL212">
            <v>4</v>
          </cell>
          <cell r="BM212">
            <v>3</v>
          </cell>
          <cell r="BN212">
            <v>5</v>
          </cell>
          <cell r="BO212">
            <v>0</v>
          </cell>
          <cell r="BP212">
            <v>34</v>
          </cell>
          <cell r="BQ212">
            <v>5</v>
          </cell>
          <cell r="BR212">
            <v>8</v>
          </cell>
          <cell r="BS212">
            <v>9</v>
          </cell>
          <cell r="BT212">
            <v>8</v>
          </cell>
          <cell r="BU212">
            <v>4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79</v>
          </cell>
          <cell r="DG212">
            <v>0</v>
          </cell>
          <cell r="DH212">
            <v>8</v>
          </cell>
          <cell r="DI212">
            <v>11</v>
          </cell>
          <cell r="DJ212">
            <v>34</v>
          </cell>
          <cell r="DK212">
            <v>26</v>
          </cell>
          <cell r="DL212">
            <v>0</v>
          </cell>
          <cell r="DM212">
            <v>286</v>
          </cell>
          <cell r="DN212">
            <v>54</v>
          </cell>
          <cell r="DO212">
            <v>46</v>
          </cell>
          <cell r="DP212">
            <v>28</v>
          </cell>
          <cell r="DQ212">
            <v>148</v>
          </cell>
          <cell r="DR212">
            <v>10</v>
          </cell>
          <cell r="DS212">
            <v>0</v>
          </cell>
          <cell r="DT212">
            <v>172</v>
          </cell>
          <cell r="DU212">
            <v>37</v>
          </cell>
          <cell r="DV212">
            <v>48</v>
          </cell>
          <cell r="DW212">
            <v>72</v>
          </cell>
          <cell r="DX212">
            <v>13</v>
          </cell>
          <cell r="DY212">
            <v>2</v>
          </cell>
          <cell r="DZ212">
            <v>0</v>
          </cell>
          <cell r="EA212">
            <v>35</v>
          </cell>
          <cell r="EB212">
            <v>4</v>
          </cell>
          <cell r="EC212">
            <v>29</v>
          </cell>
          <cell r="ED212">
            <v>-1</v>
          </cell>
          <cell r="EE212">
            <v>3</v>
          </cell>
          <cell r="EF212">
            <v>0</v>
          </cell>
          <cell r="EG212">
            <v>0</v>
          </cell>
          <cell r="EH212">
            <v>0</v>
          </cell>
          <cell r="EI212">
            <v>-1</v>
          </cell>
          <cell r="EJ212">
            <v>2</v>
          </cell>
          <cell r="EK212">
            <v>3</v>
          </cell>
          <cell r="EL212">
            <v>-5</v>
          </cell>
          <cell r="EM212">
            <v>1</v>
          </cell>
          <cell r="EN212">
            <v>0</v>
          </cell>
          <cell r="EO212" t="str">
            <v xml:space="preserve">Spring Valley POLO                                          </v>
          </cell>
        </row>
        <row r="213">
          <cell r="A213" t="str">
            <v>CN3YM6810010</v>
          </cell>
          <cell r="B213" t="str">
            <v>CN3</v>
          </cell>
          <cell r="C213" t="str">
            <v>YM6810</v>
          </cell>
          <cell r="D213">
            <v>10</v>
          </cell>
          <cell r="E213" t="str">
            <v xml:space="preserve">   </v>
          </cell>
          <cell r="F213">
            <v>80711</v>
          </cell>
          <cell r="G213">
            <v>80728</v>
          </cell>
          <cell r="H213">
            <v>81224</v>
          </cell>
          <cell r="I213">
            <v>500</v>
          </cell>
          <cell r="J213">
            <v>520</v>
          </cell>
          <cell r="K213">
            <v>510</v>
          </cell>
          <cell r="L213">
            <v>444</v>
          </cell>
          <cell r="M213">
            <v>444</v>
          </cell>
          <cell r="N213">
            <v>7525000</v>
          </cell>
          <cell r="O213">
            <v>7817160</v>
          </cell>
          <cell r="P213">
            <v>7666830</v>
          </cell>
          <cell r="Q213">
            <v>6674652</v>
          </cell>
          <cell r="R213">
            <v>20041379</v>
          </cell>
          <cell r="S213" t="str">
            <v>*</v>
          </cell>
          <cell r="T213" t="str">
            <v>C</v>
          </cell>
          <cell r="U213">
            <v>520</v>
          </cell>
          <cell r="V213">
            <v>7817160</v>
          </cell>
          <cell r="W213">
            <v>444</v>
          </cell>
          <cell r="X213">
            <v>6674652</v>
          </cell>
          <cell r="Y213">
            <v>85.38</v>
          </cell>
          <cell r="Z213">
            <v>85.38</v>
          </cell>
          <cell r="AA213">
            <v>5171352</v>
          </cell>
          <cell r="AB213">
            <v>1503300</v>
          </cell>
          <cell r="AC213">
            <v>10</v>
          </cell>
          <cell r="AD213">
            <v>420924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66</v>
          </cell>
          <cell r="AN213">
            <v>2555610</v>
          </cell>
          <cell r="AO213">
            <v>15050</v>
          </cell>
          <cell r="AP213">
            <v>15033</v>
          </cell>
          <cell r="AQ213">
            <v>63000</v>
          </cell>
          <cell r="AR213">
            <v>38000</v>
          </cell>
          <cell r="AS213">
            <v>4.1900000000000004</v>
          </cell>
          <cell r="AT213">
            <v>32760000</v>
          </cell>
          <cell r="AU213">
            <v>3.19</v>
          </cell>
          <cell r="AV213">
            <v>16490507</v>
          </cell>
          <cell r="AW213">
            <v>2.36</v>
          </cell>
          <cell r="AX213">
            <v>3550872</v>
          </cell>
          <cell r="AY213">
            <v>85.38</v>
          </cell>
          <cell r="AZ213">
            <v>0</v>
          </cell>
          <cell r="BA213">
            <v>344</v>
          </cell>
          <cell r="BB213">
            <v>100</v>
          </cell>
          <cell r="BC213">
            <v>442</v>
          </cell>
          <cell r="BD213">
            <v>2</v>
          </cell>
          <cell r="BE213">
            <v>0</v>
          </cell>
          <cell r="BF213">
            <v>71</v>
          </cell>
          <cell r="BG213">
            <v>0</v>
          </cell>
          <cell r="BH213">
            <v>1</v>
          </cell>
          <cell r="BI213">
            <v>30</v>
          </cell>
          <cell r="BJ213">
            <v>2</v>
          </cell>
          <cell r="BK213">
            <v>11</v>
          </cell>
          <cell r="BL213">
            <v>7</v>
          </cell>
          <cell r="BM213">
            <v>-1</v>
          </cell>
          <cell r="BN213">
            <v>11</v>
          </cell>
          <cell r="BO213">
            <v>0</v>
          </cell>
          <cell r="BP213">
            <v>46</v>
          </cell>
          <cell r="BQ213">
            <v>2</v>
          </cell>
          <cell r="BR213">
            <v>12</v>
          </cell>
          <cell r="BS213">
            <v>13</v>
          </cell>
          <cell r="BT213">
            <v>10</v>
          </cell>
          <cell r="BU213">
            <v>9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-247</v>
          </cell>
          <cell r="CZ213">
            <v>0</v>
          </cell>
          <cell r="DA213">
            <v>0</v>
          </cell>
          <cell r="DB213">
            <v>0</v>
          </cell>
          <cell r="DC213">
            <v>-248</v>
          </cell>
          <cell r="DD213">
            <v>1</v>
          </cell>
          <cell r="DE213">
            <v>0</v>
          </cell>
          <cell r="DF213">
            <v>62</v>
          </cell>
          <cell r="DG213">
            <v>-1</v>
          </cell>
          <cell r="DH213">
            <v>5</v>
          </cell>
          <cell r="DI213">
            <v>13</v>
          </cell>
          <cell r="DJ213">
            <v>26</v>
          </cell>
          <cell r="DK213">
            <v>19</v>
          </cell>
          <cell r="DL213">
            <v>0</v>
          </cell>
          <cell r="DM213">
            <v>342</v>
          </cell>
          <cell r="DN213">
            <v>56</v>
          </cell>
          <cell r="DO213">
            <v>115</v>
          </cell>
          <cell r="DP213">
            <v>47</v>
          </cell>
          <cell r="DQ213">
            <v>120</v>
          </cell>
          <cell r="DR213">
            <v>4</v>
          </cell>
          <cell r="DS213">
            <v>0</v>
          </cell>
          <cell r="DT213">
            <v>209</v>
          </cell>
          <cell r="DU213">
            <v>35</v>
          </cell>
          <cell r="DV213">
            <v>146</v>
          </cell>
          <cell r="DW213">
            <v>10</v>
          </cell>
          <cell r="DX213">
            <v>15</v>
          </cell>
          <cell r="DY213">
            <v>3</v>
          </cell>
          <cell r="DZ213">
            <v>0</v>
          </cell>
          <cell r="EA213">
            <v>-5</v>
          </cell>
          <cell r="EB213">
            <v>-3</v>
          </cell>
          <cell r="EC213">
            <v>7</v>
          </cell>
          <cell r="ED213">
            <v>-5</v>
          </cell>
          <cell r="EE213">
            <v>-1</v>
          </cell>
          <cell r="EF213">
            <v>-3</v>
          </cell>
          <cell r="EG213">
            <v>0</v>
          </cell>
          <cell r="EH213">
            <v>7</v>
          </cell>
          <cell r="EI213">
            <v>-26</v>
          </cell>
          <cell r="EJ213">
            <v>11</v>
          </cell>
          <cell r="EK213">
            <v>4</v>
          </cell>
          <cell r="EL213">
            <v>14</v>
          </cell>
          <cell r="EM213">
            <v>4</v>
          </cell>
          <cell r="EN213">
            <v>0</v>
          </cell>
          <cell r="EO213" t="str">
            <v xml:space="preserve">Spring Valley POLO                                          </v>
          </cell>
        </row>
        <row r="214">
          <cell r="A214" t="str">
            <v>CN3YM6810341</v>
          </cell>
          <cell r="B214" t="str">
            <v>CN3</v>
          </cell>
          <cell r="C214" t="str">
            <v>YM6810</v>
          </cell>
          <cell r="D214">
            <v>341</v>
          </cell>
          <cell r="E214" t="str">
            <v xml:space="preserve">   </v>
          </cell>
          <cell r="F214">
            <v>80710</v>
          </cell>
          <cell r="G214">
            <v>80804</v>
          </cell>
          <cell r="H214">
            <v>81224</v>
          </cell>
          <cell r="I214">
            <v>500</v>
          </cell>
          <cell r="J214">
            <v>510</v>
          </cell>
          <cell r="K214">
            <v>498</v>
          </cell>
          <cell r="L214">
            <v>315</v>
          </cell>
          <cell r="M214">
            <v>315</v>
          </cell>
          <cell r="N214">
            <v>7525000</v>
          </cell>
          <cell r="O214">
            <v>7666830</v>
          </cell>
          <cell r="P214">
            <v>7486434</v>
          </cell>
          <cell r="Q214">
            <v>4735395</v>
          </cell>
          <cell r="R214">
            <v>15708319</v>
          </cell>
          <cell r="S214" t="str">
            <v>*</v>
          </cell>
          <cell r="T214" t="str">
            <v xml:space="preserve"> </v>
          </cell>
          <cell r="U214">
            <v>510</v>
          </cell>
          <cell r="V214">
            <v>7666830</v>
          </cell>
          <cell r="W214">
            <v>315</v>
          </cell>
          <cell r="X214">
            <v>4735395</v>
          </cell>
          <cell r="Y214">
            <v>61.96</v>
          </cell>
          <cell r="Z214">
            <v>62.16</v>
          </cell>
          <cell r="AA214">
            <v>3217062</v>
          </cell>
          <cell r="AB214">
            <v>1518333</v>
          </cell>
          <cell r="AC214">
            <v>12</v>
          </cell>
          <cell r="AD214">
            <v>676485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1</v>
          </cell>
          <cell r="AL214">
            <v>30066</v>
          </cell>
          <cell r="AM214">
            <v>182</v>
          </cell>
          <cell r="AN214">
            <v>6253728</v>
          </cell>
          <cell r="AO214">
            <v>15050</v>
          </cell>
          <cell r="AP214">
            <v>15033</v>
          </cell>
          <cell r="AQ214">
            <v>63000</v>
          </cell>
          <cell r="AR214">
            <v>38000</v>
          </cell>
          <cell r="AS214">
            <v>4.1900000000000004</v>
          </cell>
          <cell r="AT214">
            <v>32130000</v>
          </cell>
          <cell r="AU214">
            <v>3.7</v>
          </cell>
          <cell r="AV214">
            <v>11901460</v>
          </cell>
          <cell r="AW214">
            <v>2.5099999999999998</v>
          </cell>
          <cell r="AX214">
            <v>3806859</v>
          </cell>
          <cell r="AY214">
            <v>61.96</v>
          </cell>
          <cell r="AZ214">
            <v>0</v>
          </cell>
          <cell r="BA214">
            <v>214</v>
          </cell>
          <cell r="BB214">
            <v>101</v>
          </cell>
          <cell r="BC214">
            <v>315</v>
          </cell>
          <cell r="BD214">
            <v>0</v>
          </cell>
          <cell r="BE214">
            <v>0</v>
          </cell>
          <cell r="BF214">
            <v>89</v>
          </cell>
          <cell r="BG214">
            <v>0</v>
          </cell>
          <cell r="BH214">
            <v>1</v>
          </cell>
          <cell r="BI214">
            <v>27</v>
          </cell>
          <cell r="BJ214">
            <v>1</v>
          </cell>
          <cell r="BK214">
            <v>6</v>
          </cell>
          <cell r="BL214">
            <v>9</v>
          </cell>
          <cell r="BM214">
            <v>8</v>
          </cell>
          <cell r="BN214">
            <v>3</v>
          </cell>
          <cell r="BO214">
            <v>0</v>
          </cell>
          <cell r="BP214">
            <v>73</v>
          </cell>
          <cell r="BQ214">
            <v>3</v>
          </cell>
          <cell r="BR214">
            <v>22</v>
          </cell>
          <cell r="BS214">
            <v>23</v>
          </cell>
          <cell r="BT214">
            <v>15</v>
          </cell>
          <cell r="BU214">
            <v>10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40</v>
          </cell>
          <cell r="DG214">
            <v>0</v>
          </cell>
          <cell r="DH214">
            <v>6</v>
          </cell>
          <cell r="DI214">
            <v>5</v>
          </cell>
          <cell r="DJ214">
            <v>12</v>
          </cell>
          <cell r="DK214">
            <v>17</v>
          </cell>
          <cell r="DL214">
            <v>0</v>
          </cell>
          <cell r="DM214">
            <v>118</v>
          </cell>
          <cell r="DN214">
            <v>26</v>
          </cell>
          <cell r="DO214">
            <v>45</v>
          </cell>
          <cell r="DP214">
            <v>10</v>
          </cell>
          <cell r="DQ214">
            <v>36</v>
          </cell>
          <cell r="DR214">
            <v>1</v>
          </cell>
          <cell r="DS214">
            <v>0</v>
          </cell>
          <cell r="DT214">
            <v>46</v>
          </cell>
          <cell r="DU214">
            <v>13</v>
          </cell>
          <cell r="DV214">
            <v>11</v>
          </cell>
          <cell r="DW214">
            <v>9</v>
          </cell>
          <cell r="DX214">
            <v>10</v>
          </cell>
          <cell r="DY214">
            <v>3</v>
          </cell>
          <cell r="DZ214">
            <v>0</v>
          </cell>
          <cell r="EA214">
            <v>8</v>
          </cell>
          <cell r="EB214">
            <v>1</v>
          </cell>
          <cell r="EC214">
            <v>4</v>
          </cell>
          <cell r="ED214">
            <v>1</v>
          </cell>
          <cell r="EE214">
            <v>0</v>
          </cell>
          <cell r="EF214">
            <v>2</v>
          </cell>
          <cell r="EG214">
            <v>0</v>
          </cell>
          <cell r="EH214">
            <v>3</v>
          </cell>
          <cell r="EI214">
            <v>0</v>
          </cell>
          <cell r="EJ214">
            <v>1</v>
          </cell>
          <cell r="EK214">
            <v>2</v>
          </cell>
          <cell r="EL214">
            <v>0</v>
          </cell>
          <cell r="EM214">
            <v>0</v>
          </cell>
          <cell r="EN214">
            <v>0</v>
          </cell>
          <cell r="EO214" t="str">
            <v xml:space="preserve">Spring Valley POLO                                          </v>
          </cell>
        </row>
        <row r="215">
          <cell r="A215" t="str">
            <v>CN3YM6810679</v>
          </cell>
          <cell r="B215" t="str">
            <v>CN3</v>
          </cell>
          <cell r="C215" t="str">
            <v>YM6810</v>
          </cell>
          <cell r="D215">
            <v>679</v>
          </cell>
          <cell r="E215" t="str">
            <v xml:space="preserve">   </v>
          </cell>
          <cell r="F215">
            <v>80710</v>
          </cell>
          <cell r="G215">
            <v>80804</v>
          </cell>
          <cell r="H215">
            <v>81224</v>
          </cell>
          <cell r="I215">
            <v>600</v>
          </cell>
          <cell r="J215">
            <v>561</v>
          </cell>
          <cell r="K215">
            <v>554</v>
          </cell>
          <cell r="L215">
            <v>325</v>
          </cell>
          <cell r="M215">
            <v>325</v>
          </cell>
          <cell r="N215">
            <v>9030000</v>
          </cell>
          <cell r="O215">
            <v>8433513</v>
          </cell>
          <cell r="P215">
            <v>8328282</v>
          </cell>
          <cell r="Q215">
            <v>4885725</v>
          </cell>
          <cell r="R215">
            <v>16183648</v>
          </cell>
          <cell r="S215" t="str">
            <v>*</v>
          </cell>
          <cell r="T215" t="str">
            <v xml:space="preserve"> </v>
          </cell>
          <cell r="U215">
            <v>561</v>
          </cell>
          <cell r="V215">
            <v>8433513</v>
          </cell>
          <cell r="W215">
            <v>325</v>
          </cell>
          <cell r="X215">
            <v>4885725</v>
          </cell>
          <cell r="Y215">
            <v>57.75</v>
          </cell>
          <cell r="Z215">
            <v>57.58</v>
          </cell>
          <cell r="AA215">
            <v>3111831</v>
          </cell>
          <cell r="AB215">
            <v>1773894</v>
          </cell>
          <cell r="AC215">
            <v>7</v>
          </cell>
          <cell r="AD215">
            <v>781716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-1</v>
          </cell>
          <cell r="AL215">
            <v>-30066</v>
          </cell>
          <cell r="AM215">
            <v>230</v>
          </cell>
          <cell r="AN215">
            <v>7501467</v>
          </cell>
          <cell r="AO215">
            <v>15050</v>
          </cell>
          <cell r="AP215">
            <v>15033</v>
          </cell>
          <cell r="AQ215">
            <v>63000</v>
          </cell>
          <cell r="AR215">
            <v>38000</v>
          </cell>
          <cell r="AS215">
            <v>4.1900000000000004</v>
          </cell>
          <cell r="AT215">
            <v>35343000</v>
          </cell>
          <cell r="AU215">
            <v>3.79</v>
          </cell>
          <cell r="AV215">
            <v>11793071</v>
          </cell>
          <cell r="AW215">
            <v>2.48</v>
          </cell>
          <cell r="AX215">
            <v>4390577</v>
          </cell>
          <cell r="AY215">
            <v>57.75</v>
          </cell>
          <cell r="AZ215">
            <v>0</v>
          </cell>
          <cell r="BA215">
            <v>207</v>
          </cell>
          <cell r="BB215">
            <v>118</v>
          </cell>
          <cell r="BC215">
            <v>322</v>
          </cell>
          <cell r="BD215">
            <v>3</v>
          </cell>
          <cell r="BE215">
            <v>0</v>
          </cell>
          <cell r="BF215">
            <v>93</v>
          </cell>
          <cell r="BG215">
            <v>0</v>
          </cell>
          <cell r="BH215">
            <v>1</v>
          </cell>
          <cell r="BI215">
            <v>35</v>
          </cell>
          <cell r="BJ215">
            <v>2</v>
          </cell>
          <cell r="BK215">
            <v>5</v>
          </cell>
          <cell r="BL215">
            <v>6</v>
          </cell>
          <cell r="BM215">
            <v>10</v>
          </cell>
          <cell r="BN215">
            <v>12</v>
          </cell>
          <cell r="BO215">
            <v>0</v>
          </cell>
          <cell r="BP215">
            <v>77</v>
          </cell>
          <cell r="BQ215">
            <v>4</v>
          </cell>
          <cell r="BR215">
            <v>18</v>
          </cell>
          <cell r="BS215">
            <v>18</v>
          </cell>
          <cell r="BT215">
            <v>20</v>
          </cell>
          <cell r="BU215">
            <v>17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45</v>
          </cell>
          <cell r="DG215">
            <v>0</v>
          </cell>
          <cell r="DH215">
            <v>5</v>
          </cell>
          <cell r="DI215">
            <v>10</v>
          </cell>
          <cell r="DJ215">
            <v>9</v>
          </cell>
          <cell r="DK215">
            <v>21</v>
          </cell>
          <cell r="DL215">
            <v>0</v>
          </cell>
          <cell r="DM215">
            <v>109</v>
          </cell>
          <cell r="DN215">
            <v>28</v>
          </cell>
          <cell r="DO215">
            <v>27</v>
          </cell>
          <cell r="DP215">
            <v>14</v>
          </cell>
          <cell r="DQ215">
            <v>36</v>
          </cell>
          <cell r="DR215">
            <v>4</v>
          </cell>
          <cell r="DS215">
            <v>0</v>
          </cell>
          <cell r="DT215">
            <v>42</v>
          </cell>
          <cell r="DU215">
            <v>15</v>
          </cell>
          <cell r="DV215">
            <v>12</v>
          </cell>
          <cell r="DW215">
            <v>8</v>
          </cell>
          <cell r="DX215">
            <v>3</v>
          </cell>
          <cell r="DY215">
            <v>4</v>
          </cell>
          <cell r="DZ215">
            <v>0</v>
          </cell>
          <cell r="EA215">
            <v>9</v>
          </cell>
          <cell r="EB215">
            <v>1</v>
          </cell>
          <cell r="EC215">
            <v>1</v>
          </cell>
          <cell r="ED215">
            <v>3</v>
          </cell>
          <cell r="EE215">
            <v>1</v>
          </cell>
          <cell r="EF215">
            <v>3</v>
          </cell>
          <cell r="EG215">
            <v>0</v>
          </cell>
          <cell r="EH215">
            <v>8</v>
          </cell>
          <cell r="EI215">
            <v>0</v>
          </cell>
          <cell r="EJ215">
            <v>3</v>
          </cell>
          <cell r="EK215">
            <v>1</v>
          </cell>
          <cell r="EL215">
            <v>3</v>
          </cell>
          <cell r="EM215">
            <v>1</v>
          </cell>
          <cell r="EN215">
            <v>0</v>
          </cell>
          <cell r="EO215" t="str">
            <v xml:space="preserve">Spring Valley POLO                                          </v>
          </cell>
        </row>
        <row r="216">
          <cell r="A216" t="str">
            <v>CN3YM6851010</v>
          </cell>
          <cell r="B216" t="str">
            <v>CN3</v>
          </cell>
          <cell r="C216" t="str">
            <v>YM6851</v>
          </cell>
          <cell r="D216">
            <v>10</v>
          </cell>
          <cell r="E216" t="str">
            <v xml:space="preserve">   </v>
          </cell>
          <cell r="F216">
            <v>80627</v>
          </cell>
          <cell r="G216">
            <v>80712</v>
          </cell>
          <cell r="H216">
            <v>0</v>
          </cell>
          <cell r="I216">
            <v>1000</v>
          </cell>
          <cell r="J216">
            <v>1032</v>
          </cell>
          <cell r="K216">
            <v>1015</v>
          </cell>
          <cell r="L216">
            <v>961</v>
          </cell>
          <cell r="M216">
            <v>961</v>
          </cell>
          <cell r="N216">
            <v>12450000</v>
          </cell>
          <cell r="O216">
            <v>12819504</v>
          </cell>
          <cell r="P216">
            <v>12454874</v>
          </cell>
          <cell r="Q216">
            <v>11287856</v>
          </cell>
          <cell r="R216">
            <v>43964788</v>
          </cell>
          <cell r="S216" t="str">
            <v xml:space="preserve"> </v>
          </cell>
          <cell r="T216" t="str">
            <v xml:space="preserve"> </v>
          </cell>
          <cell r="U216">
            <v>1032</v>
          </cell>
          <cell r="V216">
            <v>12819504</v>
          </cell>
          <cell r="W216">
            <v>961</v>
          </cell>
          <cell r="X216">
            <v>11287856</v>
          </cell>
          <cell r="Y216">
            <v>94.09</v>
          </cell>
          <cell r="Z216">
            <v>89.86</v>
          </cell>
          <cell r="AA216">
            <v>11241504</v>
          </cell>
          <cell r="AB216">
            <v>46352</v>
          </cell>
          <cell r="AC216">
            <v>17</v>
          </cell>
          <cell r="AD216">
            <v>950216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10</v>
          </cell>
          <cell r="AL216">
            <v>231760</v>
          </cell>
          <cell r="AM216">
            <v>44</v>
          </cell>
          <cell r="AN216">
            <v>509872</v>
          </cell>
          <cell r="AO216">
            <v>12450</v>
          </cell>
          <cell r="AP216">
            <v>11588</v>
          </cell>
          <cell r="AQ216">
            <v>48000</v>
          </cell>
          <cell r="AR216">
            <v>0</v>
          </cell>
          <cell r="AS216">
            <v>3.86</v>
          </cell>
          <cell r="AT216">
            <v>49536000</v>
          </cell>
          <cell r="AU216">
            <v>3.91</v>
          </cell>
          <cell r="AV216">
            <v>43937352</v>
          </cell>
          <cell r="AW216">
            <v>0.59</v>
          </cell>
          <cell r="AX216">
            <v>27436</v>
          </cell>
          <cell r="AY216">
            <v>94.09</v>
          </cell>
          <cell r="AZ216">
            <v>0</v>
          </cell>
          <cell r="BA216">
            <v>957</v>
          </cell>
          <cell r="BB216">
            <v>4</v>
          </cell>
          <cell r="BC216">
            <v>926</v>
          </cell>
          <cell r="BD216">
            <v>35</v>
          </cell>
          <cell r="BE216">
            <v>0</v>
          </cell>
          <cell r="BF216">
            <v>8</v>
          </cell>
          <cell r="BG216">
            <v>1</v>
          </cell>
          <cell r="BH216">
            <v>1</v>
          </cell>
          <cell r="BI216">
            <v>-52</v>
          </cell>
          <cell r="BJ216">
            <v>0</v>
          </cell>
          <cell r="BK216">
            <v>0</v>
          </cell>
          <cell r="BL216">
            <v>-53</v>
          </cell>
          <cell r="BM216">
            <v>1</v>
          </cell>
          <cell r="BN216">
            <v>0</v>
          </cell>
          <cell r="BO216">
            <v>0</v>
          </cell>
          <cell r="BP216">
            <v>4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4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24</v>
          </cell>
          <cell r="CZ216">
            <v>0</v>
          </cell>
          <cell r="DA216">
            <v>4</v>
          </cell>
          <cell r="DB216">
            <v>8</v>
          </cell>
          <cell r="DC216">
            <v>9</v>
          </cell>
          <cell r="DD216">
            <v>3</v>
          </cell>
          <cell r="DE216">
            <v>0</v>
          </cell>
          <cell r="DF216">
            <v>158</v>
          </cell>
          <cell r="DG216">
            <v>3</v>
          </cell>
          <cell r="DH216">
            <v>9</v>
          </cell>
          <cell r="DI216">
            <v>25</v>
          </cell>
          <cell r="DJ216">
            <v>77</v>
          </cell>
          <cell r="DK216">
            <v>44</v>
          </cell>
          <cell r="DL216">
            <v>0</v>
          </cell>
          <cell r="DM216">
            <v>379</v>
          </cell>
          <cell r="DN216">
            <v>86</v>
          </cell>
          <cell r="DO216">
            <v>97</v>
          </cell>
          <cell r="DP216">
            <v>88</v>
          </cell>
          <cell r="DQ216">
            <v>81</v>
          </cell>
          <cell r="DR216">
            <v>27</v>
          </cell>
          <cell r="DS216">
            <v>0</v>
          </cell>
          <cell r="DT216">
            <v>352</v>
          </cell>
          <cell r="DU216">
            <v>79</v>
          </cell>
          <cell r="DV216">
            <v>189</v>
          </cell>
          <cell r="DW216">
            <v>51</v>
          </cell>
          <cell r="DX216">
            <v>27</v>
          </cell>
          <cell r="DY216">
            <v>6</v>
          </cell>
          <cell r="DZ216">
            <v>0</v>
          </cell>
          <cell r="EA216">
            <v>8</v>
          </cell>
          <cell r="EB216">
            <v>5</v>
          </cell>
          <cell r="EC216">
            <v>5</v>
          </cell>
          <cell r="ED216">
            <v>-6</v>
          </cell>
          <cell r="EE216">
            <v>4</v>
          </cell>
          <cell r="EF216">
            <v>0</v>
          </cell>
          <cell r="EG216">
            <v>0</v>
          </cell>
          <cell r="EH216">
            <v>88</v>
          </cell>
          <cell r="EI216">
            <v>0</v>
          </cell>
          <cell r="EJ216">
            <v>2</v>
          </cell>
          <cell r="EK216">
            <v>8</v>
          </cell>
          <cell r="EL216">
            <v>-9</v>
          </cell>
          <cell r="EM216">
            <v>87</v>
          </cell>
          <cell r="EN216">
            <v>0</v>
          </cell>
          <cell r="EO216" t="str">
            <v xml:space="preserve">Rose Lodge Half Zip                                         </v>
          </cell>
        </row>
        <row r="217">
          <cell r="A217" t="str">
            <v>CN3YM6851420</v>
          </cell>
          <cell r="B217" t="str">
            <v>CN3</v>
          </cell>
          <cell r="C217" t="str">
            <v>YM6851</v>
          </cell>
          <cell r="D217">
            <v>420</v>
          </cell>
          <cell r="E217" t="str">
            <v xml:space="preserve">   </v>
          </cell>
          <cell r="F217">
            <v>80627</v>
          </cell>
          <cell r="G217">
            <v>80712</v>
          </cell>
          <cell r="H217">
            <v>0</v>
          </cell>
          <cell r="I217">
            <v>700</v>
          </cell>
          <cell r="J217">
            <v>707</v>
          </cell>
          <cell r="K217">
            <v>703</v>
          </cell>
          <cell r="L217">
            <v>693</v>
          </cell>
          <cell r="M217">
            <v>693</v>
          </cell>
          <cell r="N217">
            <v>8715000</v>
          </cell>
          <cell r="O217">
            <v>8782354</v>
          </cell>
          <cell r="P217">
            <v>8727662</v>
          </cell>
          <cell r="Q217">
            <v>8162256</v>
          </cell>
          <cell r="R217">
            <v>31029796</v>
          </cell>
          <cell r="S217" t="str">
            <v xml:space="preserve"> </v>
          </cell>
          <cell r="T217" t="str">
            <v xml:space="preserve"> </v>
          </cell>
          <cell r="U217">
            <v>707</v>
          </cell>
          <cell r="V217">
            <v>8782354</v>
          </cell>
          <cell r="W217">
            <v>693</v>
          </cell>
          <cell r="X217">
            <v>8162256</v>
          </cell>
          <cell r="Y217">
            <v>97.88</v>
          </cell>
          <cell r="Z217">
            <v>92.68</v>
          </cell>
          <cell r="AA217">
            <v>8150668</v>
          </cell>
          <cell r="AB217">
            <v>11588</v>
          </cell>
          <cell r="AC217">
            <v>4</v>
          </cell>
          <cell r="AD217">
            <v>231760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-1</v>
          </cell>
          <cell r="AL217">
            <v>-23176</v>
          </cell>
          <cell r="AM217">
            <v>11</v>
          </cell>
          <cell r="AN217">
            <v>115880</v>
          </cell>
          <cell r="AO217">
            <v>12450</v>
          </cell>
          <cell r="AP217">
            <v>11588</v>
          </cell>
          <cell r="AQ217">
            <v>48000</v>
          </cell>
          <cell r="AR217">
            <v>0</v>
          </cell>
          <cell r="AS217">
            <v>3.86</v>
          </cell>
          <cell r="AT217">
            <v>33936000</v>
          </cell>
          <cell r="AU217">
            <v>3.81</v>
          </cell>
          <cell r="AV217">
            <v>31022937</v>
          </cell>
          <cell r="AW217">
            <v>0.59</v>
          </cell>
          <cell r="AX217">
            <v>6859</v>
          </cell>
          <cell r="AY217">
            <v>97.88</v>
          </cell>
          <cell r="AZ217">
            <v>0</v>
          </cell>
          <cell r="BA217">
            <v>692</v>
          </cell>
          <cell r="BB217">
            <v>1</v>
          </cell>
          <cell r="BC217">
            <v>654</v>
          </cell>
          <cell r="BD217">
            <v>39</v>
          </cell>
          <cell r="BE217">
            <v>0</v>
          </cell>
          <cell r="BF217">
            <v>6</v>
          </cell>
          <cell r="BG217">
            <v>0</v>
          </cell>
          <cell r="BH217">
            <v>1</v>
          </cell>
          <cell r="BI217">
            <v>-2</v>
          </cell>
          <cell r="BJ217">
            <v>0</v>
          </cell>
          <cell r="BK217">
            <v>0</v>
          </cell>
          <cell r="BL217">
            <v>-1</v>
          </cell>
          <cell r="BM217">
            <v>-1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27</v>
          </cell>
          <cell r="CZ217">
            <v>0</v>
          </cell>
          <cell r="DA217">
            <v>9</v>
          </cell>
          <cell r="DB217">
            <v>8</v>
          </cell>
          <cell r="DC217">
            <v>6</v>
          </cell>
          <cell r="DD217">
            <v>4</v>
          </cell>
          <cell r="DE217">
            <v>0</v>
          </cell>
          <cell r="DF217">
            <v>131</v>
          </cell>
          <cell r="DG217">
            <v>5</v>
          </cell>
          <cell r="DH217">
            <v>11</v>
          </cell>
          <cell r="DI217">
            <v>26</v>
          </cell>
          <cell r="DJ217">
            <v>54</v>
          </cell>
          <cell r="DK217">
            <v>35</v>
          </cell>
          <cell r="DL217">
            <v>0</v>
          </cell>
          <cell r="DM217">
            <v>346</v>
          </cell>
          <cell r="DN217">
            <v>124</v>
          </cell>
          <cell r="DO217">
            <v>97</v>
          </cell>
          <cell r="DP217">
            <v>61</v>
          </cell>
          <cell r="DQ217">
            <v>54</v>
          </cell>
          <cell r="DR217">
            <v>10</v>
          </cell>
          <cell r="DS217">
            <v>0</v>
          </cell>
          <cell r="DT217">
            <v>141</v>
          </cell>
          <cell r="DU217">
            <v>51</v>
          </cell>
          <cell r="DV217">
            <v>49</v>
          </cell>
          <cell r="DW217">
            <v>13</v>
          </cell>
          <cell r="DX217">
            <v>25</v>
          </cell>
          <cell r="DY217">
            <v>3</v>
          </cell>
          <cell r="DZ217">
            <v>0</v>
          </cell>
          <cell r="EA217">
            <v>20</v>
          </cell>
          <cell r="EB217">
            <v>0</v>
          </cell>
          <cell r="EC217">
            <v>12</v>
          </cell>
          <cell r="ED217">
            <v>2</v>
          </cell>
          <cell r="EE217">
            <v>4</v>
          </cell>
          <cell r="EF217">
            <v>2</v>
          </cell>
          <cell r="EG217">
            <v>0</v>
          </cell>
          <cell r="EH217">
            <v>30</v>
          </cell>
          <cell r="EI217">
            <v>1</v>
          </cell>
          <cell r="EJ217">
            <v>0</v>
          </cell>
          <cell r="EK217">
            <v>1</v>
          </cell>
          <cell r="EL217">
            <v>-4</v>
          </cell>
          <cell r="EM217">
            <v>32</v>
          </cell>
          <cell r="EN217">
            <v>0</v>
          </cell>
          <cell r="EO217" t="str">
            <v xml:space="preserve">Rose Lodge Half Zip                                         </v>
          </cell>
        </row>
        <row r="218">
          <cell r="A218" t="str">
            <v>CN3YM6851425</v>
          </cell>
          <cell r="B218" t="str">
            <v>CN3</v>
          </cell>
          <cell r="C218" t="str">
            <v>YM6851</v>
          </cell>
          <cell r="D218">
            <v>425</v>
          </cell>
          <cell r="E218" t="str">
            <v xml:space="preserve">   </v>
          </cell>
          <cell r="F218">
            <v>80911</v>
          </cell>
          <cell r="G218">
            <v>80911</v>
          </cell>
          <cell r="H218">
            <v>0</v>
          </cell>
          <cell r="I218">
            <v>2000</v>
          </cell>
          <cell r="J218">
            <v>2025</v>
          </cell>
          <cell r="K218">
            <v>1959</v>
          </cell>
          <cell r="L218">
            <v>1908</v>
          </cell>
          <cell r="M218">
            <v>1908</v>
          </cell>
          <cell r="N218">
            <v>24900000</v>
          </cell>
          <cell r="O218">
            <v>23465700</v>
          </cell>
          <cell r="P218">
            <v>22700892</v>
          </cell>
          <cell r="Q218">
            <v>22109904</v>
          </cell>
          <cell r="R218">
            <v>86709018</v>
          </cell>
          <cell r="S218" t="str">
            <v xml:space="preserve"> </v>
          </cell>
          <cell r="T218" t="str">
            <v xml:space="preserve"> </v>
          </cell>
          <cell r="U218">
            <v>2025</v>
          </cell>
          <cell r="V218">
            <v>23465700</v>
          </cell>
          <cell r="W218">
            <v>1908</v>
          </cell>
          <cell r="X218">
            <v>22109904</v>
          </cell>
          <cell r="Y218">
            <v>93.88</v>
          </cell>
          <cell r="Z218">
            <v>93.53</v>
          </cell>
          <cell r="AA218">
            <v>22086728</v>
          </cell>
          <cell r="AB218">
            <v>23176</v>
          </cell>
          <cell r="AC218">
            <v>66</v>
          </cell>
          <cell r="AD218">
            <v>2294424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-7</v>
          </cell>
          <cell r="AL218">
            <v>-162232</v>
          </cell>
          <cell r="AM218">
            <v>58</v>
          </cell>
          <cell r="AN218">
            <v>741632</v>
          </cell>
          <cell r="AO218">
            <v>12450</v>
          </cell>
          <cell r="AP218">
            <v>11588</v>
          </cell>
          <cell r="AQ218">
            <v>48000</v>
          </cell>
          <cell r="AR218">
            <v>0</v>
          </cell>
          <cell r="AS218">
            <v>4.1399999999999997</v>
          </cell>
          <cell r="AT218">
            <v>97200000</v>
          </cell>
          <cell r="AU218">
            <v>3.93</v>
          </cell>
          <cell r="AV218">
            <v>86695300</v>
          </cell>
          <cell r="AW218">
            <v>0.59</v>
          </cell>
          <cell r="AX218">
            <v>13718</v>
          </cell>
          <cell r="AY218">
            <v>93.88</v>
          </cell>
          <cell r="AZ218">
            <v>0</v>
          </cell>
          <cell r="BA218">
            <v>1906</v>
          </cell>
          <cell r="BB218">
            <v>2</v>
          </cell>
          <cell r="BC218">
            <v>1830</v>
          </cell>
          <cell r="BD218">
            <v>78</v>
          </cell>
          <cell r="BE218">
            <v>0</v>
          </cell>
          <cell r="BF218">
            <v>20</v>
          </cell>
          <cell r="BG218">
            <v>0</v>
          </cell>
          <cell r="BH218">
            <v>1</v>
          </cell>
          <cell r="BI218">
            <v>-95</v>
          </cell>
          <cell r="BJ218">
            <v>0</v>
          </cell>
          <cell r="BK218">
            <v>0</v>
          </cell>
          <cell r="BL218">
            <v>-95</v>
          </cell>
          <cell r="BM218">
            <v>0</v>
          </cell>
          <cell r="BN218">
            <v>0</v>
          </cell>
          <cell r="BO218">
            <v>0</v>
          </cell>
          <cell r="BP218">
            <v>14</v>
          </cell>
          <cell r="BQ218">
            <v>0</v>
          </cell>
          <cell r="BR218">
            <v>1</v>
          </cell>
          <cell r="BS218">
            <v>4</v>
          </cell>
          <cell r="BT218">
            <v>1</v>
          </cell>
          <cell r="BU218">
            <v>8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552</v>
          </cell>
          <cell r="DN218">
            <v>2</v>
          </cell>
          <cell r="DO218">
            <v>87</v>
          </cell>
          <cell r="DP218">
            <v>199</v>
          </cell>
          <cell r="DQ218">
            <v>182</v>
          </cell>
          <cell r="DR218">
            <v>82</v>
          </cell>
          <cell r="DS218">
            <v>0</v>
          </cell>
          <cell r="DT218">
            <v>1208</v>
          </cell>
          <cell r="DU218">
            <v>295</v>
          </cell>
          <cell r="DV218">
            <v>305</v>
          </cell>
          <cell r="DW218">
            <v>403</v>
          </cell>
          <cell r="DX218">
            <v>143</v>
          </cell>
          <cell r="DY218">
            <v>62</v>
          </cell>
          <cell r="DZ218">
            <v>0</v>
          </cell>
          <cell r="EA218">
            <v>62</v>
          </cell>
          <cell r="EB218">
            <v>12</v>
          </cell>
          <cell r="EC218">
            <v>38</v>
          </cell>
          <cell r="ED218">
            <v>11</v>
          </cell>
          <cell r="EE218">
            <v>-4</v>
          </cell>
          <cell r="EF218">
            <v>5</v>
          </cell>
          <cell r="EG218">
            <v>0</v>
          </cell>
          <cell r="EH218">
            <v>167</v>
          </cell>
          <cell r="EI218">
            <v>4</v>
          </cell>
          <cell r="EJ218">
            <v>1</v>
          </cell>
          <cell r="EK218">
            <v>-2</v>
          </cell>
          <cell r="EL218">
            <v>-8</v>
          </cell>
          <cell r="EM218">
            <v>172</v>
          </cell>
          <cell r="EN218">
            <v>0</v>
          </cell>
          <cell r="EO218" t="str">
            <v xml:space="preserve">Rose Lodge Half Zip                                         </v>
          </cell>
        </row>
        <row r="219">
          <cell r="A219" t="str">
            <v>CN3YM6851628</v>
          </cell>
          <cell r="B219" t="str">
            <v>CN3</v>
          </cell>
          <cell r="C219" t="str">
            <v>YM6851</v>
          </cell>
          <cell r="D219">
            <v>628</v>
          </cell>
          <cell r="E219" t="str">
            <v xml:space="preserve">   </v>
          </cell>
          <cell r="F219">
            <v>80627</v>
          </cell>
          <cell r="G219">
            <v>80712</v>
          </cell>
          <cell r="H219">
            <v>0</v>
          </cell>
          <cell r="I219">
            <v>500</v>
          </cell>
          <cell r="J219">
            <v>518</v>
          </cell>
          <cell r="K219">
            <v>473</v>
          </cell>
          <cell r="L219">
            <v>343</v>
          </cell>
          <cell r="M219">
            <v>343</v>
          </cell>
          <cell r="N219">
            <v>6225000</v>
          </cell>
          <cell r="O219">
            <v>6434596</v>
          </cell>
          <cell r="P219">
            <v>5911468</v>
          </cell>
          <cell r="Q219">
            <v>4009712</v>
          </cell>
          <cell r="R219">
            <v>15480196</v>
          </cell>
          <cell r="S219" t="str">
            <v xml:space="preserve"> </v>
          </cell>
          <cell r="T219" t="str">
            <v xml:space="preserve"> </v>
          </cell>
          <cell r="U219">
            <v>518</v>
          </cell>
          <cell r="V219">
            <v>6434596</v>
          </cell>
          <cell r="W219">
            <v>343</v>
          </cell>
          <cell r="X219">
            <v>4009712</v>
          </cell>
          <cell r="Y219">
            <v>66.22</v>
          </cell>
          <cell r="Z219">
            <v>62.31</v>
          </cell>
          <cell r="AA219">
            <v>3998124</v>
          </cell>
          <cell r="AB219">
            <v>11588</v>
          </cell>
          <cell r="AC219">
            <v>45</v>
          </cell>
          <cell r="AD219">
            <v>1460088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130</v>
          </cell>
          <cell r="AN219">
            <v>2688416</v>
          </cell>
          <cell r="AO219">
            <v>12450</v>
          </cell>
          <cell r="AP219">
            <v>11588</v>
          </cell>
          <cell r="AQ219">
            <v>48000</v>
          </cell>
          <cell r="AR219">
            <v>0</v>
          </cell>
          <cell r="AS219">
            <v>3.86</v>
          </cell>
          <cell r="AT219">
            <v>24864000</v>
          </cell>
          <cell r="AU219">
            <v>3.87</v>
          </cell>
          <cell r="AV219">
            <v>15473337</v>
          </cell>
          <cell r="AW219">
            <v>0.59</v>
          </cell>
          <cell r="AX219">
            <v>6859</v>
          </cell>
          <cell r="AY219">
            <v>66.22</v>
          </cell>
          <cell r="AZ219">
            <v>0</v>
          </cell>
          <cell r="BA219">
            <v>342</v>
          </cell>
          <cell r="BB219">
            <v>1</v>
          </cell>
          <cell r="BC219">
            <v>337</v>
          </cell>
          <cell r="BD219">
            <v>6</v>
          </cell>
          <cell r="BE219">
            <v>0</v>
          </cell>
          <cell r="BF219">
            <v>10</v>
          </cell>
          <cell r="BG219">
            <v>0</v>
          </cell>
          <cell r="BH219">
            <v>1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8</v>
          </cell>
          <cell r="BQ219">
            <v>0</v>
          </cell>
          <cell r="BR219">
            <v>3</v>
          </cell>
          <cell r="BS219">
            <v>0</v>
          </cell>
          <cell r="BT219">
            <v>2</v>
          </cell>
          <cell r="BU219">
            <v>3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5</v>
          </cell>
          <cell r="CZ219">
            <v>0</v>
          </cell>
          <cell r="DA219">
            <v>0</v>
          </cell>
          <cell r="DB219">
            <v>2</v>
          </cell>
          <cell r="DC219">
            <v>2</v>
          </cell>
          <cell r="DD219">
            <v>1</v>
          </cell>
          <cell r="DE219">
            <v>0</v>
          </cell>
          <cell r="DF219">
            <v>37</v>
          </cell>
          <cell r="DG219">
            <v>1</v>
          </cell>
          <cell r="DH219">
            <v>3</v>
          </cell>
          <cell r="DI219">
            <v>8</v>
          </cell>
          <cell r="DJ219">
            <v>10</v>
          </cell>
          <cell r="DK219">
            <v>15</v>
          </cell>
          <cell r="DL219">
            <v>0</v>
          </cell>
          <cell r="DM219">
            <v>133</v>
          </cell>
          <cell r="DN219">
            <v>42</v>
          </cell>
          <cell r="DO219">
            <v>31</v>
          </cell>
          <cell r="DP219">
            <v>23</v>
          </cell>
          <cell r="DQ219">
            <v>25</v>
          </cell>
          <cell r="DR219">
            <v>12</v>
          </cell>
          <cell r="DS219">
            <v>0</v>
          </cell>
          <cell r="DT219">
            <v>128</v>
          </cell>
          <cell r="DU219">
            <v>22</v>
          </cell>
          <cell r="DV219">
            <v>39</v>
          </cell>
          <cell r="DW219">
            <v>30</v>
          </cell>
          <cell r="DX219">
            <v>16</v>
          </cell>
          <cell r="DY219">
            <v>21</v>
          </cell>
          <cell r="DZ219">
            <v>0</v>
          </cell>
          <cell r="EA219">
            <v>24</v>
          </cell>
          <cell r="EB219">
            <v>2</v>
          </cell>
          <cell r="EC219">
            <v>12</v>
          </cell>
          <cell r="ED219">
            <v>4</v>
          </cell>
          <cell r="EE219">
            <v>5</v>
          </cell>
          <cell r="EF219">
            <v>1</v>
          </cell>
          <cell r="EG219">
            <v>0</v>
          </cell>
          <cell r="EH219">
            <v>8</v>
          </cell>
          <cell r="EI219">
            <v>1</v>
          </cell>
          <cell r="EJ219">
            <v>1</v>
          </cell>
          <cell r="EK219">
            <v>1</v>
          </cell>
          <cell r="EL219">
            <v>-1</v>
          </cell>
          <cell r="EM219">
            <v>6</v>
          </cell>
          <cell r="EN219">
            <v>0</v>
          </cell>
          <cell r="EO219" t="str">
            <v xml:space="preserve">Rose Lodge Half Zip                                         </v>
          </cell>
        </row>
        <row r="220">
          <cell r="A220" t="str">
            <v>CN3YM6851980</v>
          </cell>
          <cell r="B220" t="str">
            <v>CN3</v>
          </cell>
          <cell r="C220" t="str">
            <v>YM6851</v>
          </cell>
          <cell r="D220">
            <v>980</v>
          </cell>
          <cell r="E220" t="str">
            <v xml:space="preserve">   </v>
          </cell>
          <cell r="F220">
            <v>80909</v>
          </cell>
          <cell r="G220">
            <v>80909</v>
          </cell>
          <cell r="H220">
            <v>0</v>
          </cell>
          <cell r="I220">
            <v>2000</v>
          </cell>
          <cell r="J220">
            <v>2046</v>
          </cell>
          <cell r="K220">
            <v>1988</v>
          </cell>
          <cell r="L220">
            <v>1531</v>
          </cell>
          <cell r="M220">
            <v>1531</v>
          </cell>
          <cell r="N220">
            <v>24900000</v>
          </cell>
          <cell r="O220">
            <v>23709048</v>
          </cell>
          <cell r="P220">
            <v>23036944</v>
          </cell>
          <cell r="Q220">
            <v>17741228</v>
          </cell>
          <cell r="R220">
            <v>65600695</v>
          </cell>
          <cell r="S220" t="str">
            <v xml:space="preserve"> </v>
          </cell>
          <cell r="T220" t="str">
            <v xml:space="preserve"> </v>
          </cell>
          <cell r="U220">
            <v>2046</v>
          </cell>
          <cell r="V220">
            <v>23709048</v>
          </cell>
          <cell r="W220">
            <v>1531</v>
          </cell>
          <cell r="X220">
            <v>17741228</v>
          </cell>
          <cell r="Y220">
            <v>75.22</v>
          </cell>
          <cell r="Z220">
            <v>75.61</v>
          </cell>
          <cell r="AA220">
            <v>17718052</v>
          </cell>
          <cell r="AB220">
            <v>23176</v>
          </cell>
          <cell r="AC220">
            <v>58</v>
          </cell>
          <cell r="AD220">
            <v>5098720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8</v>
          </cell>
          <cell r="AL220">
            <v>185408</v>
          </cell>
          <cell r="AM220">
            <v>449</v>
          </cell>
          <cell r="AN220">
            <v>7068680</v>
          </cell>
          <cell r="AO220">
            <v>12450</v>
          </cell>
          <cell r="AP220">
            <v>11588</v>
          </cell>
          <cell r="AQ220">
            <v>48000</v>
          </cell>
          <cell r="AR220">
            <v>0</v>
          </cell>
          <cell r="AS220">
            <v>4.1399999999999997</v>
          </cell>
          <cell r="AT220">
            <v>98208000</v>
          </cell>
          <cell r="AU220">
            <v>3.7</v>
          </cell>
          <cell r="AV220">
            <v>65586977</v>
          </cell>
          <cell r="AW220">
            <v>0.59</v>
          </cell>
          <cell r="AX220">
            <v>13718</v>
          </cell>
          <cell r="AY220">
            <v>75.22</v>
          </cell>
          <cell r="AZ220">
            <v>0</v>
          </cell>
          <cell r="BA220">
            <v>1529</v>
          </cell>
          <cell r="BB220">
            <v>2</v>
          </cell>
          <cell r="BC220">
            <v>1480</v>
          </cell>
          <cell r="BD220">
            <v>51</v>
          </cell>
          <cell r="BE220">
            <v>0</v>
          </cell>
          <cell r="BF220">
            <v>53</v>
          </cell>
          <cell r="BG220">
            <v>0</v>
          </cell>
          <cell r="BH220">
            <v>1</v>
          </cell>
          <cell r="BI220">
            <v>-48</v>
          </cell>
          <cell r="BJ220">
            <v>1</v>
          </cell>
          <cell r="BK220">
            <v>0</v>
          </cell>
          <cell r="BL220">
            <v>-55</v>
          </cell>
          <cell r="BM220">
            <v>1</v>
          </cell>
          <cell r="BN220">
            <v>5</v>
          </cell>
          <cell r="BO220">
            <v>0</v>
          </cell>
          <cell r="BP220">
            <v>36</v>
          </cell>
          <cell r="BQ220">
            <v>0</v>
          </cell>
          <cell r="BR220">
            <v>3</v>
          </cell>
          <cell r="BS220">
            <v>13</v>
          </cell>
          <cell r="BT220">
            <v>10</v>
          </cell>
          <cell r="BU220">
            <v>10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191</v>
          </cell>
          <cell r="DN220">
            <v>0</v>
          </cell>
          <cell r="DO220">
            <v>58</v>
          </cell>
          <cell r="DP220">
            <v>55</v>
          </cell>
          <cell r="DQ220">
            <v>63</v>
          </cell>
          <cell r="DR220">
            <v>15</v>
          </cell>
          <cell r="DS220">
            <v>0</v>
          </cell>
          <cell r="DT220">
            <v>703</v>
          </cell>
          <cell r="DU220">
            <v>98</v>
          </cell>
          <cell r="DV220">
            <v>125</v>
          </cell>
          <cell r="DW220">
            <v>295</v>
          </cell>
          <cell r="DX220">
            <v>111</v>
          </cell>
          <cell r="DY220">
            <v>74</v>
          </cell>
          <cell r="DZ220">
            <v>0</v>
          </cell>
          <cell r="EA220">
            <v>500</v>
          </cell>
          <cell r="EB220">
            <v>30</v>
          </cell>
          <cell r="EC220">
            <v>450</v>
          </cell>
          <cell r="ED220">
            <v>10</v>
          </cell>
          <cell r="EE220">
            <v>-2</v>
          </cell>
          <cell r="EF220">
            <v>12</v>
          </cell>
          <cell r="EG220">
            <v>0</v>
          </cell>
          <cell r="EH220">
            <v>149</v>
          </cell>
          <cell r="EI220">
            <v>-6</v>
          </cell>
          <cell r="EJ220">
            <v>3</v>
          </cell>
          <cell r="EK220">
            <v>6</v>
          </cell>
          <cell r="EL220">
            <v>2</v>
          </cell>
          <cell r="EM220">
            <v>144</v>
          </cell>
          <cell r="EN220">
            <v>0</v>
          </cell>
          <cell r="EO220" t="str">
            <v xml:space="preserve">Rose Lodge Half Zip                                         </v>
          </cell>
        </row>
        <row r="221">
          <cell r="A221" t="str">
            <v>CN3YM6852028</v>
          </cell>
          <cell r="B221" t="str">
            <v>CN3</v>
          </cell>
          <cell r="C221" t="str">
            <v>YM6852</v>
          </cell>
          <cell r="D221">
            <v>28</v>
          </cell>
          <cell r="E221" t="str">
            <v xml:space="preserve">   </v>
          </cell>
          <cell r="F221">
            <v>80718</v>
          </cell>
          <cell r="G221">
            <v>80805</v>
          </cell>
          <cell r="H221">
            <v>81029</v>
          </cell>
          <cell r="I221">
            <v>600</v>
          </cell>
          <cell r="J221">
            <v>608</v>
          </cell>
          <cell r="K221">
            <v>608</v>
          </cell>
          <cell r="L221">
            <v>544</v>
          </cell>
          <cell r="M221">
            <v>544</v>
          </cell>
          <cell r="N221">
            <v>12390000</v>
          </cell>
          <cell r="O221">
            <v>12544864</v>
          </cell>
          <cell r="P221">
            <v>12544864</v>
          </cell>
          <cell r="Q221">
            <v>11224352</v>
          </cell>
          <cell r="R221">
            <v>34869514</v>
          </cell>
          <cell r="S221" t="str">
            <v>*</v>
          </cell>
          <cell r="T221" t="str">
            <v xml:space="preserve"> </v>
          </cell>
          <cell r="U221">
            <v>608</v>
          </cell>
          <cell r="V221">
            <v>12544864</v>
          </cell>
          <cell r="W221">
            <v>544</v>
          </cell>
          <cell r="X221">
            <v>11224352</v>
          </cell>
          <cell r="Y221">
            <v>89.31</v>
          </cell>
          <cell r="Z221">
            <v>89.14</v>
          </cell>
          <cell r="AA221">
            <v>4807489</v>
          </cell>
          <cell r="AB221">
            <v>6416863</v>
          </cell>
          <cell r="AC221">
            <v>0</v>
          </cell>
          <cell r="AD221">
            <v>103165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-1</v>
          </cell>
          <cell r="AL221">
            <v>-41266</v>
          </cell>
          <cell r="AM221">
            <v>65</v>
          </cell>
          <cell r="AN221">
            <v>3115583</v>
          </cell>
          <cell r="AO221">
            <v>20650</v>
          </cell>
          <cell r="AP221">
            <v>20633</v>
          </cell>
          <cell r="AQ221">
            <v>89000</v>
          </cell>
          <cell r="AR221">
            <v>53000</v>
          </cell>
          <cell r="AS221">
            <v>4.3099999999999996</v>
          </cell>
          <cell r="AT221">
            <v>54112000</v>
          </cell>
          <cell r="AU221">
            <v>3.84</v>
          </cell>
          <cell r="AV221">
            <v>18455548</v>
          </cell>
          <cell r="AW221">
            <v>2.56</v>
          </cell>
          <cell r="AX221">
            <v>16413966</v>
          </cell>
          <cell r="AY221">
            <v>89.31</v>
          </cell>
          <cell r="AZ221">
            <v>0</v>
          </cell>
          <cell r="BA221">
            <v>233</v>
          </cell>
          <cell r="BB221">
            <v>311</v>
          </cell>
          <cell r="BC221">
            <v>544</v>
          </cell>
          <cell r="BD221">
            <v>0</v>
          </cell>
          <cell r="BE221">
            <v>0</v>
          </cell>
          <cell r="BF221">
            <v>38</v>
          </cell>
          <cell r="BG221">
            <v>1</v>
          </cell>
          <cell r="BH221">
            <v>1</v>
          </cell>
          <cell r="BI221">
            <v>27</v>
          </cell>
          <cell r="BJ221">
            <v>4</v>
          </cell>
          <cell r="BK221">
            <v>5</v>
          </cell>
          <cell r="BL221">
            <v>5</v>
          </cell>
          <cell r="BM221">
            <v>6</v>
          </cell>
          <cell r="BN221">
            <v>7</v>
          </cell>
          <cell r="BO221">
            <v>0</v>
          </cell>
          <cell r="BP221">
            <v>26</v>
          </cell>
          <cell r="BQ221">
            <v>5</v>
          </cell>
          <cell r="BR221">
            <v>6</v>
          </cell>
          <cell r="BS221">
            <v>0</v>
          </cell>
          <cell r="BT221">
            <v>12</v>
          </cell>
          <cell r="BU221">
            <v>3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28</v>
          </cell>
          <cell r="DG221">
            <v>0</v>
          </cell>
          <cell r="DH221">
            <v>0</v>
          </cell>
          <cell r="DI221">
            <v>3</v>
          </cell>
          <cell r="DJ221">
            <v>15</v>
          </cell>
          <cell r="DK221">
            <v>10</v>
          </cell>
          <cell r="DL221">
            <v>0</v>
          </cell>
          <cell r="DM221">
            <v>120</v>
          </cell>
          <cell r="DN221">
            <v>13</v>
          </cell>
          <cell r="DO221">
            <v>9</v>
          </cell>
          <cell r="DP221">
            <v>49</v>
          </cell>
          <cell r="DQ221">
            <v>44</v>
          </cell>
          <cell r="DR221">
            <v>5</v>
          </cell>
          <cell r="DS221">
            <v>0</v>
          </cell>
          <cell r="DT221">
            <v>127</v>
          </cell>
          <cell r="DU221">
            <v>20</v>
          </cell>
          <cell r="DV221">
            <v>29</v>
          </cell>
          <cell r="DW221">
            <v>18</v>
          </cell>
          <cell r="DX221">
            <v>14</v>
          </cell>
          <cell r="DY221">
            <v>46</v>
          </cell>
          <cell r="DZ221">
            <v>0</v>
          </cell>
          <cell r="EA221">
            <v>175</v>
          </cell>
          <cell r="EB221">
            <v>33</v>
          </cell>
          <cell r="EC221">
            <v>59</v>
          </cell>
          <cell r="ED221">
            <v>32</v>
          </cell>
          <cell r="EE221">
            <v>41</v>
          </cell>
          <cell r="EF221">
            <v>10</v>
          </cell>
          <cell r="EG221">
            <v>0</v>
          </cell>
          <cell r="EH221">
            <v>41</v>
          </cell>
          <cell r="EI221">
            <v>18</v>
          </cell>
          <cell r="EJ221">
            <v>6</v>
          </cell>
          <cell r="EK221">
            <v>7</v>
          </cell>
          <cell r="EL221">
            <v>9</v>
          </cell>
          <cell r="EM221">
            <v>1</v>
          </cell>
          <cell r="EN221">
            <v>0</v>
          </cell>
          <cell r="EO221" t="str">
            <v xml:space="preserve">Mens Moselle                                                </v>
          </cell>
        </row>
        <row r="222">
          <cell r="A222" t="str">
            <v>CN3YM6852400</v>
          </cell>
          <cell r="B222" t="str">
            <v>CN3</v>
          </cell>
          <cell r="C222" t="str">
            <v>YM6852</v>
          </cell>
          <cell r="D222">
            <v>400</v>
          </cell>
          <cell r="E222" t="str">
            <v xml:space="preserve">   </v>
          </cell>
          <cell r="F222">
            <v>80718</v>
          </cell>
          <cell r="G222">
            <v>80805</v>
          </cell>
          <cell r="H222">
            <v>81029</v>
          </cell>
          <cell r="I222">
            <v>600</v>
          </cell>
          <cell r="J222">
            <v>610</v>
          </cell>
          <cell r="K222">
            <v>608</v>
          </cell>
          <cell r="L222">
            <v>537</v>
          </cell>
          <cell r="M222">
            <v>537</v>
          </cell>
          <cell r="N222">
            <v>12390000</v>
          </cell>
          <cell r="O222">
            <v>12586130</v>
          </cell>
          <cell r="P222">
            <v>12544864</v>
          </cell>
          <cell r="Q222">
            <v>11079921</v>
          </cell>
          <cell r="R222">
            <v>34184209</v>
          </cell>
          <cell r="S222" t="str">
            <v>*</v>
          </cell>
          <cell r="T222" t="str">
            <v xml:space="preserve"> </v>
          </cell>
          <cell r="U222">
            <v>610</v>
          </cell>
          <cell r="V222">
            <v>12586130</v>
          </cell>
          <cell r="W222">
            <v>537</v>
          </cell>
          <cell r="X222">
            <v>11079921</v>
          </cell>
          <cell r="Y222">
            <v>88.2</v>
          </cell>
          <cell r="Z222">
            <v>88.36</v>
          </cell>
          <cell r="AA222">
            <v>4477361</v>
          </cell>
          <cell r="AB222">
            <v>6602560</v>
          </cell>
          <cell r="AC222">
            <v>2</v>
          </cell>
          <cell r="AD222">
            <v>144431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1</v>
          </cell>
          <cell r="AL222">
            <v>41266</v>
          </cell>
          <cell r="AM222">
            <v>70</v>
          </cell>
          <cell r="AN222">
            <v>3486977</v>
          </cell>
          <cell r="AO222">
            <v>20650</v>
          </cell>
          <cell r="AP222">
            <v>20633</v>
          </cell>
          <cell r="AQ222">
            <v>89000</v>
          </cell>
          <cell r="AR222">
            <v>53000</v>
          </cell>
          <cell r="AS222">
            <v>4.3099999999999996</v>
          </cell>
          <cell r="AT222">
            <v>54290000</v>
          </cell>
          <cell r="AU222">
            <v>3.83</v>
          </cell>
          <cell r="AV222">
            <v>17128500</v>
          </cell>
          <cell r="AW222">
            <v>2.58</v>
          </cell>
          <cell r="AX222">
            <v>17055709</v>
          </cell>
          <cell r="AY222">
            <v>88.2</v>
          </cell>
          <cell r="AZ222">
            <v>0</v>
          </cell>
          <cell r="BA222">
            <v>217</v>
          </cell>
          <cell r="BB222">
            <v>320</v>
          </cell>
          <cell r="BC222">
            <v>537</v>
          </cell>
          <cell r="BD222">
            <v>0</v>
          </cell>
          <cell r="BE222">
            <v>0</v>
          </cell>
          <cell r="BF222">
            <v>44</v>
          </cell>
          <cell r="BG222">
            <v>0</v>
          </cell>
          <cell r="BH222">
            <v>1</v>
          </cell>
          <cell r="BI222">
            <v>36</v>
          </cell>
          <cell r="BJ222">
            <v>3</v>
          </cell>
          <cell r="BK222">
            <v>9</v>
          </cell>
          <cell r="BL222">
            <v>9</v>
          </cell>
          <cell r="BM222">
            <v>6</v>
          </cell>
          <cell r="BN222">
            <v>9</v>
          </cell>
          <cell r="BO222">
            <v>0</v>
          </cell>
          <cell r="BP222">
            <v>32</v>
          </cell>
          <cell r="BQ222">
            <v>2</v>
          </cell>
          <cell r="BR222">
            <v>7</v>
          </cell>
          <cell r="BS222">
            <v>9</v>
          </cell>
          <cell r="BT222">
            <v>5</v>
          </cell>
          <cell r="BU222">
            <v>9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43</v>
          </cell>
          <cell r="DG222">
            <v>0</v>
          </cell>
          <cell r="DH222">
            <v>1</v>
          </cell>
          <cell r="DI222">
            <v>7</v>
          </cell>
          <cell r="DJ222">
            <v>19</v>
          </cell>
          <cell r="DK222">
            <v>16</v>
          </cell>
          <cell r="DL222">
            <v>0</v>
          </cell>
          <cell r="DM222">
            <v>124</v>
          </cell>
          <cell r="DN222">
            <v>21</v>
          </cell>
          <cell r="DO222">
            <v>15</v>
          </cell>
          <cell r="DP222">
            <v>11</v>
          </cell>
          <cell r="DQ222">
            <v>75</v>
          </cell>
          <cell r="DR222">
            <v>2</v>
          </cell>
          <cell r="DS222">
            <v>0</v>
          </cell>
          <cell r="DT222">
            <v>87</v>
          </cell>
          <cell r="DU222">
            <v>18</v>
          </cell>
          <cell r="DV222">
            <v>6</v>
          </cell>
          <cell r="DW222">
            <v>14</v>
          </cell>
          <cell r="DX222">
            <v>14</v>
          </cell>
          <cell r="DY222">
            <v>35</v>
          </cell>
          <cell r="DZ222">
            <v>0</v>
          </cell>
          <cell r="EA222">
            <v>195</v>
          </cell>
          <cell r="EB222">
            <v>40</v>
          </cell>
          <cell r="EC222">
            <v>64</v>
          </cell>
          <cell r="ED222">
            <v>29</v>
          </cell>
          <cell r="EE222">
            <v>51</v>
          </cell>
          <cell r="EF222">
            <v>11</v>
          </cell>
          <cell r="EG222">
            <v>0</v>
          </cell>
          <cell r="EH222">
            <v>20</v>
          </cell>
          <cell r="EI222">
            <v>6</v>
          </cell>
          <cell r="EJ222">
            <v>5</v>
          </cell>
          <cell r="EK222">
            <v>5</v>
          </cell>
          <cell r="EL222">
            <v>4</v>
          </cell>
          <cell r="EM222">
            <v>0</v>
          </cell>
          <cell r="EN222">
            <v>0</v>
          </cell>
          <cell r="EO222" t="str">
            <v xml:space="preserve">Mens Moselle                                                </v>
          </cell>
        </row>
        <row r="223">
          <cell r="A223" t="str">
            <v>CN3YM6853415</v>
          </cell>
          <cell r="B223" t="str">
            <v>CN3</v>
          </cell>
          <cell r="C223" t="str">
            <v>YM6853</v>
          </cell>
          <cell r="D223">
            <v>415</v>
          </cell>
          <cell r="E223" t="str">
            <v xml:space="preserve">   </v>
          </cell>
          <cell r="F223">
            <v>80721</v>
          </cell>
          <cell r="G223">
            <v>80805</v>
          </cell>
          <cell r="H223">
            <v>0</v>
          </cell>
          <cell r="I223">
            <v>700</v>
          </cell>
          <cell r="J223">
            <v>721</v>
          </cell>
          <cell r="K223">
            <v>718</v>
          </cell>
          <cell r="L223">
            <v>459</v>
          </cell>
          <cell r="M223">
            <v>459</v>
          </cell>
          <cell r="N223">
            <v>15295000</v>
          </cell>
          <cell r="O223">
            <v>15772596</v>
          </cell>
          <cell r="P223">
            <v>15706968</v>
          </cell>
          <cell r="Q223">
            <v>10041084</v>
          </cell>
          <cell r="R223">
            <v>38870059</v>
          </cell>
          <cell r="S223" t="str">
            <v xml:space="preserve"> </v>
          </cell>
          <cell r="T223" t="str">
            <v xml:space="preserve"> </v>
          </cell>
          <cell r="U223">
            <v>721</v>
          </cell>
          <cell r="V223">
            <v>15772596</v>
          </cell>
          <cell r="W223">
            <v>459</v>
          </cell>
          <cell r="X223">
            <v>10041084</v>
          </cell>
          <cell r="Y223">
            <v>63.8</v>
          </cell>
          <cell r="Z223">
            <v>63.94</v>
          </cell>
          <cell r="AA223">
            <v>10019208</v>
          </cell>
          <cell r="AB223">
            <v>21876</v>
          </cell>
          <cell r="AC223">
            <v>3</v>
          </cell>
          <cell r="AD223">
            <v>109380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1</v>
          </cell>
          <cell r="AL223">
            <v>43752</v>
          </cell>
          <cell r="AM223">
            <v>258</v>
          </cell>
          <cell r="AN223">
            <v>11747412</v>
          </cell>
          <cell r="AO223">
            <v>21850</v>
          </cell>
          <cell r="AP223">
            <v>21876</v>
          </cell>
          <cell r="AQ223">
            <v>93000</v>
          </cell>
          <cell r="AR223">
            <v>0</v>
          </cell>
          <cell r="AS223">
            <v>4.25</v>
          </cell>
          <cell r="AT223">
            <v>67053000</v>
          </cell>
          <cell r="AU223">
            <v>3.88</v>
          </cell>
          <cell r="AV223">
            <v>38863200</v>
          </cell>
          <cell r="AW223">
            <v>0.31</v>
          </cell>
          <cell r="AX223">
            <v>6859</v>
          </cell>
          <cell r="AY223">
            <v>63.8</v>
          </cell>
          <cell r="AZ223">
            <v>0</v>
          </cell>
          <cell r="BA223">
            <v>458</v>
          </cell>
          <cell r="BB223">
            <v>1</v>
          </cell>
          <cell r="BC223">
            <v>457</v>
          </cell>
          <cell r="BD223">
            <v>2</v>
          </cell>
          <cell r="BE223">
            <v>0</v>
          </cell>
          <cell r="BF223">
            <v>24</v>
          </cell>
          <cell r="BG223">
            <v>1</v>
          </cell>
          <cell r="BH223">
            <v>1</v>
          </cell>
          <cell r="BI223">
            <v>14</v>
          </cell>
          <cell r="BJ223">
            <v>3</v>
          </cell>
          <cell r="BK223">
            <v>1</v>
          </cell>
          <cell r="BL223">
            <v>5</v>
          </cell>
          <cell r="BM223">
            <v>3</v>
          </cell>
          <cell r="BN223">
            <v>2</v>
          </cell>
          <cell r="BO223">
            <v>0</v>
          </cell>
          <cell r="BP223">
            <v>20</v>
          </cell>
          <cell r="BQ223">
            <v>1</v>
          </cell>
          <cell r="BR223">
            <v>5</v>
          </cell>
          <cell r="BS223">
            <v>3</v>
          </cell>
          <cell r="BT223">
            <v>7</v>
          </cell>
          <cell r="BU223">
            <v>4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52</v>
          </cell>
          <cell r="DG223">
            <v>0</v>
          </cell>
          <cell r="DH223">
            <v>5</v>
          </cell>
          <cell r="DI223">
            <v>10</v>
          </cell>
          <cell r="DJ223">
            <v>18</v>
          </cell>
          <cell r="DK223">
            <v>19</v>
          </cell>
          <cell r="DL223">
            <v>0</v>
          </cell>
          <cell r="DM223">
            <v>202</v>
          </cell>
          <cell r="DN223">
            <v>34</v>
          </cell>
          <cell r="DO223">
            <v>36</v>
          </cell>
          <cell r="DP223">
            <v>16</v>
          </cell>
          <cell r="DQ223">
            <v>104</v>
          </cell>
          <cell r="DR223">
            <v>12</v>
          </cell>
          <cell r="DS223">
            <v>0</v>
          </cell>
          <cell r="DT223">
            <v>123</v>
          </cell>
          <cell r="DU223">
            <v>24</v>
          </cell>
          <cell r="DV223">
            <v>44</v>
          </cell>
          <cell r="DW223">
            <v>28</v>
          </cell>
          <cell r="DX223">
            <v>24</v>
          </cell>
          <cell r="DY223">
            <v>3</v>
          </cell>
          <cell r="DZ223">
            <v>0</v>
          </cell>
          <cell r="EA223">
            <v>37</v>
          </cell>
          <cell r="EB223">
            <v>6</v>
          </cell>
          <cell r="EC223">
            <v>23</v>
          </cell>
          <cell r="ED223">
            <v>5</v>
          </cell>
          <cell r="EE223">
            <v>1</v>
          </cell>
          <cell r="EF223">
            <v>2</v>
          </cell>
          <cell r="EG223">
            <v>0</v>
          </cell>
          <cell r="EH223">
            <v>11</v>
          </cell>
          <cell r="EI223">
            <v>0</v>
          </cell>
          <cell r="EJ223">
            <v>4</v>
          </cell>
          <cell r="EK223">
            <v>3</v>
          </cell>
          <cell r="EL223">
            <v>3</v>
          </cell>
          <cell r="EM223">
            <v>1</v>
          </cell>
          <cell r="EN223">
            <v>0</v>
          </cell>
          <cell r="EO223" t="str">
            <v xml:space="preserve">Mens Loranger                                               </v>
          </cell>
        </row>
        <row r="224">
          <cell r="A224" t="str">
            <v>CN3YM6853663</v>
          </cell>
          <cell r="B224" t="str">
            <v>CN3</v>
          </cell>
          <cell r="C224" t="str">
            <v>YM6853</v>
          </cell>
          <cell r="D224">
            <v>663</v>
          </cell>
          <cell r="E224" t="str">
            <v xml:space="preserve">   </v>
          </cell>
          <cell r="F224">
            <v>80721</v>
          </cell>
          <cell r="G224">
            <v>80814</v>
          </cell>
          <cell r="H224">
            <v>0</v>
          </cell>
          <cell r="I224">
            <v>400</v>
          </cell>
          <cell r="J224">
            <v>395</v>
          </cell>
          <cell r="K224">
            <v>395</v>
          </cell>
          <cell r="L224">
            <v>246</v>
          </cell>
          <cell r="M224">
            <v>246</v>
          </cell>
          <cell r="N224">
            <v>8740000</v>
          </cell>
          <cell r="O224">
            <v>8641020</v>
          </cell>
          <cell r="P224">
            <v>8641020</v>
          </cell>
          <cell r="Q224">
            <v>5381496</v>
          </cell>
          <cell r="R224">
            <v>20441100</v>
          </cell>
          <cell r="S224" t="str">
            <v xml:space="preserve"> </v>
          </cell>
          <cell r="T224" t="str">
            <v xml:space="preserve"> </v>
          </cell>
          <cell r="U224">
            <v>395</v>
          </cell>
          <cell r="V224">
            <v>8641020</v>
          </cell>
          <cell r="W224">
            <v>246</v>
          </cell>
          <cell r="X224">
            <v>5381496</v>
          </cell>
          <cell r="Y224">
            <v>62.53</v>
          </cell>
          <cell r="Z224">
            <v>62.53</v>
          </cell>
          <cell r="AA224">
            <v>5381496</v>
          </cell>
          <cell r="AB224">
            <v>0</v>
          </cell>
          <cell r="AC224">
            <v>0</v>
          </cell>
          <cell r="AD224">
            <v>65628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1</v>
          </cell>
          <cell r="AL224">
            <v>21876</v>
          </cell>
          <cell r="AM224">
            <v>148</v>
          </cell>
          <cell r="AN224">
            <v>6715932</v>
          </cell>
          <cell r="AO224">
            <v>21850</v>
          </cell>
          <cell r="AP224">
            <v>21876</v>
          </cell>
          <cell r="AQ224">
            <v>93000</v>
          </cell>
          <cell r="AR224">
            <v>0</v>
          </cell>
          <cell r="AS224">
            <v>4.25</v>
          </cell>
          <cell r="AT224">
            <v>36735000</v>
          </cell>
          <cell r="AU224">
            <v>3.8</v>
          </cell>
          <cell r="AV224">
            <v>20441100</v>
          </cell>
          <cell r="AW224">
            <v>0</v>
          </cell>
          <cell r="AX224">
            <v>0</v>
          </cell>
          <cell r="AY224">
            <v>62.53</v>
          </cell>
          <cell r="AZ224">
            <v>0</v>
          </cell>
          <cell r="BA224">
            <v>246</v>
          </cell>
          <cell r="BB224">
            <v>0</v>
          </cell>
          <cell r="BC224">
            <v>246</v>
          </cell>
          <cell r="BD224">
            <v>0</v>
          </cell>
          <cell r="BE224">
            <v>0</v>
          </cell>
          <cell r="BF224">
            <v>13</v>
          </cell>
          <cell r="BG224">
            <v>0</v>
          </cell>
          <cell r="BH224">
            <v>1</v>
          </cell>
          <cell r="BI224">
            <v>11</v>
          </cell>
          <cell r="BJ224">
            <v>1</v>
          </cell>
          <cell r="BK224">
            <v>1</v>
          </cell>
          <cell r="BL224">
            <v>2</v>
          </cell>
          <cell r="BM224">
            <v>3</v>
          </cell>
          <cell r="BN224">
            <v>4</v>
          </cell>
          <cell r="BO224">
            <v>0</v>
          </cell>
          <cell r="BP224">
            <v>13</v>
          </cell>
          <cell r="BQ224">
            <v>1</v>
          </cell>
          <cell r="BR224">
            <v>3</v>
          </cell>
          <cell r="BS224">
            <v>1</v>
          </cell>
          <cell r="BT224">
            <v>2</v>
          </cell>
          <cell r="BU224">
            <v>6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17</v>
          </cell>
          <cell r="DG224">
            <v>0</v>
          </cell>
          <cell r="DH224">
            <v>0</v>
          </cell>
          <cell r="DI224">
            <v>4</v>
          </cell>
          <cell r="DJ224">
            <v>4</v>
          </cell>
          <cell r="DK224">
            <v>9</v>
          </cell>
          <cell r="DL224">
            <v>0</v>
          </cell>
          <cell r="DM224">
            <v>124</v>
          </cell>
          <cell r="DN224">
            <v>16</v>
          </cell>
          <cell r="DO224">
            <v>6</v>
          </cell>
          <cell r="DP224">
            <v>15</v>
          </cell>
          <cell r="DQ224">
            <v>83</v>
          </cell>
          <cell r="DR224">
            <v>4</v>
          </cell>
          <cell r="DS224">
            <v>0</v>
          </cell>
          <cell r="DT224">
            <v>48</v>
          </cell>
          <cell r="DU224">
            <v>8</v>
          </cell>
          <cell r="DV224">
            <v>21</v>
          </cell>
          <cell r="DW224">
            <v>9</v>
          </cell>
          <cell r="DX224">
            <v>10</v>
          </cell>
          <cell r="DY224">
            <v>0</v>
          </cell>
          <cell r="DZ224">
            <v>0</v>
          </cell>
          <cell r="EA224">
            <v>29</v>
          </cell>
          <cell r="EB224">
            <v>2</v>
          </cell>
          <cell r="EC224">
            <v>15</v>
          </cell>
          <cell r="ED224">
            <v>5</v>
          </cell>
          <cell r="EE224">
            <v>6</v>
          </cell>
          <cell r="EF224">
            <v>1</v>
          </cell>
          <cell r="EG224">
            <v>0</v>
          </cell>
          <cell r="EH224">
            <v>4</v>
          </cell>
          <cell r="EI224">
            <v>1</v>
          </cell>
          <cell r="EJ224">
            <v>0</v>
          </cell>
          <cell r="EK224">
            <v>1</v>
          </cell>
          <cell r="EL224">
            <v>2</v>
          </cell>
          <cell r="EM224">
            <v>0</v>
          </cell>
          <cell r="EN224">
            <v>0</v>
          </cell>
          <cell r="EO224" t="str">
            <v xml:space="preserve">Mens Loranger                                               </v>
          </cell>
        </row>
        <row r="225">
          <cell r="A225" t="str">
            <v>CN3YM6856009</v>
          </cell>
          <cell r="B225" t="str">
            <v>CN3</v>
          </cell>
          <cell r="C225" t="str">
            <v>YM6856</v>
          </cell>
          <cell r="D225">
            <v>9</v>
          </cell>
          <cell r="E225" t="str">
            <v xml:space="preserve">   </v>
          </cell>
          <cell r="F225">
            <v>80710</v>
          </cell>
          <cell r="G225">
            <v>80712</v>
          </cell>
          <cell r="H225">
            <v>90107</v>
          </cell>
          <cell r="I225">
            <v>700</v>
          </cell>
          <cell r="J225">
            <v>723</v>
          </cell>
          <cell r="K225">
            <v>708</v>
          </cell>
          <cell r="L225">
            <v>205</v>
          </cell>
          <cell r="M225">
            <v>205</v>
          </cell>
          <cell r="N225">
            <v>17325000</v>
          </cell>
          <cell r="O225">
            <v>17889912</v>
          </cell>
          <cell r="P225">
            <v>17518752</v>
          </cell>
          <cell r="Q225">
            <v>5072520</v>
          </cell>
          <cell r="R225">
            <v>16724378</v>
          </cell>
          <cell r="S225" t="str">
            <v>*</v>
          </cell>
          <cell r="T225" t="str">
            <v xml:space="preserve"> </v>
          </cell>
          <cell r="U225">
            <v>723</v>
          </cell>
          <cell r="V225">
            <v>17889912</v>
          </cell>
          <cell r="W225">
            <v>205</v>
          </cell>
          <cell r="X225">
            <v>5072520</v>
          </cell>
          <cell r="Y225">
            <v>28.49</v>
          </cell>
          <cell r="Z225">
            <v>28.63</v>
          </cell>
          <cell r="AA225">
            <v>2746584</v>
          </cell>
          <cell r="AB225">
            <v>2325936</v>
          </cell>
          <cell r="AC225">
            <v>15</v>
          </cell>
          <cell r="AD225">
            <v>1509384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1</v>
          </cell>
          <cell r="AL225">
            <v>49488</v>
          </cell>
          <cell r="AM225">
            <v>502</v>
          </cell>
          <cell r="AN225">
            <v>25882224</v>
          </cell>
          <cell r="AO225">
            <v>24750</v>
          </cell>
          <cell r="AP225">
            <v>24744</v>
          </cell>
          <cell r="AQ225">
            <v>108000</v>
          </cell>
          <cell r="AR225">
            <v>65000</v>
          </cell>
          <cell r="AS225">
            <v>4.3600000000000003</v>
          </cell>
          <cell r="AT225">
            <v>78084000</v>
          </cell>
          <cell r="AU225">
            <v>3.91</v>
          </cell>
          <cell r="AV225">
            <v>10730660</v>
          </cell>
          <cell r="AW225">
            <v>2.58</v>
          </cell>
          <cell r="AX225">
            <v>5993718</v>
          </cell>
          <cell r="AY225">
            <v>28.49</v>
          </cell>
          <cell r="AZ225">
            <v>0</v>
          </cell>
          <cell r="BA225">
            <v>111</v>
          </cell>
          <cell r="BB225">
            <v>94</v>
          </cell>
          <cell r="BC225">
            <v>205</v>
          </cell>
          <cell r="BD225">
            <v>0</v>
          </cell>
          <cell r="BE225">
            <v>0</v>
          </cell>
          <cell r="BF225">
            <v>79</v>
          </cell>
          <cell r="BG225">
            <v>1</v>
          </cell>
          <cell r="BH225">
            <v>1</v>
          </cell>
          <cell r="BI225">
            <v>19</v>
          </cell>
          <cell r="BJ225">
            <v>0</v>
          </cell>
          <cell r="BK225">
            <v>4</v>
          </cell>
          <cell r="BL225">
            <v>3</v>
          </cell>
          <cell r="BM225">
            <v>7</v>
          </cell>
          <cell r="BN225">
            <v>5</v>
          </cell>
          <cell r="BO225">
            <v>0</v>
          </cell>
          <cell r="BP225">
            <v>73</v>
          </cell>
          <cell r="BQ225">
            <v>5</v>
          </cell>
          <cell r="BR225">
            <v>22</v>
          </cell>
          <cell r="BS225">
            <v>16</v>
          </cell>
          <cell r="BT225">
            <v>16</v>
          </cell>
          <cell r="BU225">
            <v>14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6</v>
          </cell>
          <cell r="CZ225">
            <v>0</v>
          </cell>
          <cell r="DA225">
            <v>2</v>
          </cell>
          <cell r="DB225">
            <v>2</v>
          </cell>
          <cell r="DC225">
            <v>0</v>
          </cell>
          <cell r="DD225">
            <v>2</v>
          </cell>
          <cell r="DE225">
            <v>0</v>
          </cell>
          <cell r="DF225">
            <v>18</v>
          </cell>
          <cell r="DG225">
            <v>1</v>
          </cell>
          <cell r="DH225">
            <v>4</v>
          </cell>
          <cell r="DI225">
            <v>5</v>
          </cell>
          <cell r="DJ225">
            <v>6</v>
          </cell>
          <cell r="DK225">
            <v>2</v>
          </cell>
          <cell r="DL225">
            <v>0</v>
          </cell>
          <cell r="DM225">
            <v>45</v>
          </cell>
          <cell r="DN225">
            <v>4</v>
          </cell>
          <cell r="DO225">
            <v>10</v>
          </cell>
          <cell r="DP225">
            <v>10</v>
          </cell>
          <cell r="DQ225">
            <v>23</v>
          </cell>
          <cell r="DR225">
            <v>-2</v>
          </cell>
          <cell r="DS225">
            <v>0</v>
          </cell>
          <cell r="DT225">
            <v>30</v>
          </cell>
          <cell r="DU225">
            <v>8</v>
          </cell>
          <cell r="DV225">
            <v>10</v>
          </cell>
          <cell r="DW225">
            <v>6</v>
          </cell>
          <cell r="DX225">
            <v>5</v>
          </cell>
          <cell r="DY225">
            <v>1</v>
          </cell>
          <cell r="DZ225">
            <v>0</v>
          </cell>
          <cell r="EA225">
            <v>9</v>
          </cell>
          <cell r="EB225">
            <v>0</v>
          </cell>
          <cell r="EC225">
            <v>6</v>
          </cell>
          <cell r="ED225">
            <v>1</v>
          </cell>
          <cell r="EE225">
            <v>1</v>
          </cell>
          <cell r="EF225">
            <v>1</v>
          </cell>
          <cell r="EG225">
            <v>0</v>
          </cell>
          <cell r="EH225">
            <v>5</v>
          </cell>
          <cell r="EI225">
            <v>-1</v>
          </cell>
          <cell r="EJ225">
            <v>3</v>
          </cell>
          <cell r="EK225">
            <v>2</v>
          </cell>
          <cell r="EL225">
            <v>1</v>
          </cell>
          <cell r="EM225">
            <v>0</v>
          </cell>
          <cell r="EN225">
            <v>0</v>
          </cell>
          <cell r="EO225" t="str">
            <v xml:space="preserve">Moro                                                        </v>
          </cell>
        </row>
        <row r="226">
          <cell r="A226" t="str">
            <v>CN3YM6856093</v>
          </cell>
          <cell r="B226" t="str">
            <v>CN3</v>
          </cell>
          <cell r="C226" t="str">
            <v>YM6856</v>
          </cell>
          <cell r="D226">
            <v>93</v>
          </cell>
          <cell r="E226" t="str">
            <v xml:space="preserve">   </v>
          </cell>
          <cell r="F226">
            <v>80710</v>
          </cell>
          <cell r="G226">
            <v>80712</v>
          </cell>
          <cell r="H226">
            <v>90107</v>
          </cell>
          <cell r="I226">
            <v>800</v>
          </cell>
          <cell r="J226">
            <v>825</v>
          </cell>
          <cell r="K226">
            <v>818</v>
          </cell>
          <cell r="L226">
            <v>489</v>
          </cell>
          <cell r="M226">
            <v>489</v>
          </cell>
          <cell r="N226">
            <v>19800000</v>
          </cell>
          <cell r="O226">
            <v>20413800</v>
          </cell>
          <cell r="P226">
            <v>20240592</v>
          </cell>
          <cell r="Q226">
            <v>12099816</v>
          </cell>
          <cell r="R226">
            <v>40946810</v>
          </cell>
          <cell r="S226" t="str">
            <v>*</v>
          </cell>
          <cell r="T226" t="str">
            <v xml:space="preserve"> </v>
          </cell>
          <cell r="U226">
            <v>825</v>
          </cell>
          <cell r="V226">
            <v>20413800</v>
          </cell>
          <cell r="W226">
            <v>489</v>
          </cell>
          <cell r="X226">
            <v>12099816</v>
          </cell>
          <cell r="Y226">
            <v>59.27</v>
          </cell>
          <cell r="Z226">
            <v>59.27</v>
          </cell>
          <cell r="AA226">
            <v>7348968</v>
          </cell>
          <cell r="AB226">
            <v>4750848</v>
          </cell>
          <cell r="AC226">
            <v>7</v>
          </cell>
          <cell r="AD226">
            <v>965016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329</v>
          </cell>
          <cell r="AN226">
            <v>19077624</v>
          </cell>
          <cell r="AO226">
            <v>24750</v>
          </cell>
          <cell r="AP226">
            <v>24744</v>
          </cell>
          <cell r="AQ226">
            <v>108000</v>
          </cell>
          <cell r="AR226">
            <v>65000</v>
          </cell>
          <cell r="AS226">
            <v>4.3600000000000003</v>
          </cell>
          <cell r="AT226">
            <v>89100000</v>
          </cell>
          <cell r="AU226">
            <v>3.87</v>
          </cell>
          <cell r="AV226">
            <v>28470060</v>
          </cell>
          <cell r="AW226">
            <v>2.63</v>
          </cell>
          <cell r="AX226">
            <v>12476750</v>
          </cell>
          <cell r="AY226">
            <v>59.27</v>
          </cell>
          <cell r="AZ226">
            <v>0</v>
          </cell>
          <cell r="BA226">
            <v>297</v>
          </cell>
          <cell r="BB226">
            <v>192</v>
          </cell>
          <cell r="BC226">
            <v>489</v>
          </cell>
          <cell r="BD226">
            <v>0</v>
          </cell>
          <cell r="BE226">
            <v>0</v>
          </cell>
          <cell r="BF226">
            <v>158</v>
          </cell>
          <cell r="BG226">
            <v>0</v>
          </cell>
          <cell r="BH226">
            <v>1</v>
          </cell>
          <cell r="BI226">
            <v>75</v>
          </cell>
          <cell r="BJ226">
            <v>1</v>
          </cell>
          <cell r="BK226">
            <v>33</v>
          </cell>
          <cell r="BL226">
            <v>5</v>
          </cell>
          <cell r="BM226">
            <v>19</v>
          </cell>
          <cell r="BN226">
            <v>17</v>
          </cell>
          <cell r="BO226">
            <v>0</v>
          </cell>
          <cell r="BP226">
            <v>138</v>
          </cell>
          <cell r="BQ226">
            <v>5</v>
          </cell>
          <cell r="BR226">
            <v>39</v>
          </cell>
          <cell r="BS226">
            <v>44</v>
          </cell>
          <cell r="BT226">
            <v>31</v>
          </cell>
          <cell r="BU226">
            <v>19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4</v>
          </cell>
          <cell r="CZ226">
            <v>0</v>
          </cell>
          <cell r="DA226">
            <v>0</v>
          </cell>
          <cell r="DB226">
            <v>1</v>
          </cell>
          <cell r="DC226">
            <v>2</v>
          </cell>
          <cell r="DD226">
            <v>1</v>
          </cell>
          <cell r="DE226">
            <v>0</v>
          </cell>
          <cell r="DF226">
            <v>32</v>
          </cell>
          <cell r="DG226">
            <v>3</v>
          </cell>
          <cell r="DH226">
            <v>4</v>
          </cell>
          <cell r="DI226">
            <v>6</v>
          </cell>
          <cell r="DJ226">
            <v>10</v>
          </cell>
          <cell r="DK226">
            <v>9</v>
          </cell>
          <cell r="DL226">
            <v>0</v>
          </cell>
          <cell r="DM226">
            <v>135</v>
          </cell>
          <cell r="DN226">
            <v>14</v>
          </cell>
          <cell r="DO226">
            <v>21</v>
          </cell>
          <cell r="DP226">
            <v>15</v>
          </cell>
          <cell r="DQ226">
            <v>82</v>
          </cell>
          <cell r="DR226">
            <v>3</v>
          </cell>
          <cell r="DS226">
            <v>0</v>
          </cell>
          <cell r="DT226">
            <v>95</v>
          </cell>
          <cell r="DU226">
            <v>21</v>
          </cell>
          <cell r="DV226">
            <v>26</v>
          </cell>
          <cell r="DW226">
            <v>25</v>
          </cell>
          <cell r="DX226">
            <v>17</v>
          </cell>
          <cell r="DY226">
            <v>6</v>
          </cell>
          <cell r="DZ226">
            <v>0</v>
          </cell>
          <cell r="EA226">
            <v>12</v>
          </cell>
          <cell r="EB226">
            <v>1</v>
          </cell>
          <cell r="EC226">
            <v>8</v>
          </cell>
          <cell r="ED226">
            <v>3</v>
          </cell>
          <cell r="EE226">
            <v>3</v>
          </cell>
          <cell r="EF226">
            <v>-3</v>
          </cell>
          <cell r="EG226">
            <v>0</v>
          </cell>
          <cell r="EH226">
            <v>-2</v>
          </cell>
          <cell r="EI226">
            <v>0</v>
          </cell>
          <cell r="EJ226">
            <v>-2</v>
          </cell>
          <cell r="EK226">
            <v>1</v>
          </cell>
          <cell r="EL226">
            <v>0</v>
          </cell>
          <cell r="EM226">
            <v>-1</v>
          </cell>
          <cell r="EN226">
            <v>0</v>
          </cell>
          <cell r="EO226" t="str">
            <v xml:space="preserve">Moro                                                        </v>
          </cell>
        </row>
        <row r="227">
          <cell r="A227" t="str">
            <v>CN3YM6856642</v>
          </cell>
          <cell r="B227" t="str">
            <v>CN3</v>
          </cell>
          <cell r="C227" t="str">
            <v>YM6856</v>
          </cell>
          <cell r="D227">
            <v>642</v>
          </cell>
          <cell r="E227" t="str">
            <v xml:space="preserve">   </v>
          </cell>
          <cell r="F227">
            <v>80710</v>
          </cell>
          <cell r="G227">
            <v>80712</v>
          </cell>
          <cell r="H227">
            <v>90107</v>
          </cell>
          <cell r="I227">
            <v>700</v>
          </cell>
          <cell r="J227">
            <v>716</v>
          </cell>
          <cell r="K227">
            <v>710</v>
          </cell>
          <cell r="L227">
            <v>566</v>
          </cell>
          <cell r="M227">
            <v>566</v>
          </cell>
          <cell r="N227">
            <v>17325000</v>
          </cell>
          <cell r="O227">
            <v>17716704</v>
          </cell>
          <cell r="P227">
            <v>17568240</v>
          </cell>
          <cell r="Q227">
            <v>14005104</v>
          </cell>
          <cell r="R227">
            <v>49673009</v>
          </cell>
          <cell r="S227" t="str">
            <v>*</v>
          </cell>
          <cell r="T227" t="str">
            <v xml:space="preserve"> </v>
          </cell>
          <cell r="U227">
            <v>716</v>
          </cell>
          <cell r="V227">
            <v>17716704</v>
          </cell>
          <cell r="W227">
            <v>566</v>
          </cell>
          <cell r="X227">
            <v>14005104</v>
          </cell>
          <cell r="Y227">
            <v>78.77</v>
          </cell>
          <cell r="Z227">
            <v>78.489999999999995</v>
          </cell>
          <cell r="AA227">
            <v>9798624</v>
          </cell>
          <cell r="AB227">
            <v>4206480</v>
          </cell>
          <cell r="AC227">
            <v>6</v>
          </cell>
          <cell r="AD227">
            <v>643344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-2</v>
          </cell>
          <cell r="AL227">
            <v>-98976</v>
          </cell>
          <cell r="AM227">
            <v>146</v>
          </cell>
          <cell r="AN227">
            <v>9897600</v>
          </cell>
          <cell r="AO227">
            <v>24750</v>
          </cell>
          <cell r="AP227">
            <v>24744</v>
          </cell>
          <cell r="AQ227">
            <v>108000</v>
          </cell>
          <cell r="AR227">
            <v>65000</v>
          </cell>
          <cell r="AS227">
            <v>4.3600000000000003</v>
          </cell>
          <cell r="AT227">
            <v>77328000</v>
          </cell>
          <cell r="AU227">
            <v>3.95</v>
          </cell>
          <cell r="AV227">
            <v>38684400</v>
          </cell>
          <cell r="AW227">
            <v>2.61</v>
          </cell>
          <cell r="AX227">
            <v>10988609</v>
          </cell>
          <cell r="AY227">
            <v>78.77</v>
          </cell>
          <cell r="AZ227">
            <v>0</v>
          </cell>
          <cell r="BA227">
            <v>396</v>
          </cell>
          <cell r="BB227">
            <v>170</v>
          </cell>
          <cell r="BC227">
            <v>566</v>
          </cell>
          <cell r="BD227">
            <v>0</v>
          </cell>
          <cell r="BE227">
            <v>0</v>
          </cell>
          <cell r="BF227">
            <v>138</v>
          </cell>
          <cell r="BG227">
            <v>0</v>
          </cell>
          <cell r="BH227">
            <v>1</v>
          </cell>
          <cell r="BI227">
            <v>45</v>
          </cell>
          <cell r="BJ227">
            <v>0</v>
          </cell>
          <cell r="BK227">
            <v>7</v>
          </cell>
          <cell r="BL227">
            <v>11</v>
          </cell>
          <cell r="BM227">
            <v>9</v>
          </cell>
          <cell r="BN227">
            <v>18</v>
          </cell>
          <cell r="BO227">
            <v>0</v>
          </cell>
          <cell r="BP227">
            <v>122</v>
          </cell>
          <cell r="BQ227">
            <v>6</v>
          </cell>
          <cell r="BR227">
            <v>35</v>
          </cell>
          <cell r="BS227">
            <v>36</v>
          </cell>
          <cell r="BT227">
            <v>21</v>
          </cell>
          <cell r="BU227">
            <v>24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7</v>
          </cell>
          <cell r="CZ227">
            <v>0</v>
          </cell>
          <cell r="DA227">
            <v>0</v>
          </cell>
          <cell r="DB227">
            <v>2</v>
          </cell>
          <cell r="DC227">
            <v>3</v>
          </cell>
          <cell r="DD227">
            <v>2</v>
          </cell>
          <cell r="DE227">
            <v>0</v>
          </cell>
          <cell r="DF227">
            <v>45</v>
          </cell>
          <cell r="DG227">
            <v>3</v>
          </cell>
          <cell r="DH227">
            <v>8</v>
          </cell>
          <cell r="DI227">
            <v>11</v>
          </cell>
          <cell r="DJ227">
            <v>6</v>
          </cell>
          <cell r="DK227">
            <v>17</v>
          </cell>
          <cell r="DL227">
            <v>0</v>
          </cell>
          <cell r="DM227">
            <v>167</v>
          </cell>
          <cell r="DN227">
            <v>27</v>
          </cell>
          <cell r="DO227">
            <v>32</v>
          </cell>
          <cell r="DP227">
            <v>30</v>
          </cell>
          <cell r="DQ227">
            <v>72</v>
          </cell>
          <cell r="DR227">
            <v>6</v>
          </cell>
          <cell r="DS227">
            <v>0</v>
          </cell>
          <cell r="DT227">
            <v>158</v>
          </cell>
          <cell r="DU227">
            <v>42</v>
          </cell>
          <cell r="DV227">
            <v>51</v>
          </cell>
          <cell r="DW227">
            <v>31</v>
          </cell>
          <cell r="DX227">
            <v>27</v>
          </cell>
          <cell r="DY227">
            <v>7</v>
          </cell>
          <cell r="DZ227">
            <v>0</v>
          </cell>
          <cell r="EA227">
            <v>16</v>
          </cell>
          <cell r="EB227">
            <v>0</v>
          </cell>
          <cell r="EC227">
            <v>13</v>
          </cell>
          <cell r="ED227">
            <v>3</v>
          </cell>
          <cell r="EE227">
            <v>-1</v>
          </cell>
          <cell r="EF227">
            <v>1</v>
          </cell>
          <cell r="EG227">
            <v>0</v>
          </cell>
          <cell r="EH227">
            <v>6</v>
          </cell>
          <cell r="EI227">
            <v>0</v>
          </cell>
          <cell r="EJ227">
            <v>3</v>
          </cell>
          <cell r="EK227">
            <v>3</v>
          </cell>
          <cell r="EL227">
            <v>0</v>
          </cell>
          <cell r="EM227">
            <v>0</v>
          </cell>
          <cell r="EN227">
            <v>0</v>
          </cell>
          <cell r="EO227" t="str">
            <v xml:space="preserve">Moro                                                        </v>
          </cell>
        </row>
        <row r="228">
          <cell r="A228" t="str">
            <v>CN3YM6857010</v>
          </cell>
          <cell r="B228" t="str">
            <v>CN3</v>
          </cell>
          <cell r="C228" t="str">
            <v>YM6857</v>
          </cell>
          <cell r="D228">
            <v>10</v>
          </cell>
          <cell r="E228" t="str">
            <v xml:space="preserve">   </v>
          </cell>
          <cell r="F228">
            <v>80829</v>
          </cell>
          <cell r="G228">
            <v>80901</v>
          </cell>
          <cell r="H228">
            <v>90226</v>
          </cell>
          <cell r="I228">
            <v>800</v>
          </cell>
          <cell r="J228">
            <v>823</v>
          </cell>
          <cell r="K228">
            <v>822</v>
          </cell>
          <cell r="L228">
            <v>520</v>
          </cell>
          <cell r="M228">
            <v>520</v>
          </cell>
          <cell r="N228">
            <v>17000000</v>
          </cell>
          <cell r="O228">
            <v>18639304</v>
          </cell>
          <cell r="P228">
            <v>18616656</v>
          </cell>
          <cell r="Q228">
            <v>11776960</v>
          </cell>
          <cell r="R228">
            <v>43285692</v>
          </cell>
          <cell r="S228" t="str">
            <v>*</v>
          </cell>
          <cell r="T228" t="str">
            <v xml:space="preserve"> </v>
          </cell>
          <cell r="U228">
            <v>823</v>
          </cell>
          <cell r="V228">
            <v>18639304</v>
          </cell>
          <cell r="W228">
            <v>520</v>
          </cell>
          <cell r="X228">
            <v>11776960</v>
          </cell>
          <cell r="Y228">
            <v>63.18</v>
          </cell>
          <cell r="Z228">
            <v>63.18</v>
          </cell>
          <cell r="AA228">
            <v>11346648</v>
          </cell>
          <cell r="AB228">
            <v>430312</v>
          </cell>
          <cell r="AC228">
            <v>1</v>
          </cell>
          <cell r="AD228">
            <v>22648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302</v>
          </cell>
          <cell r="AN228">
            <v>14675904</v>
          </cell>
          <cell r="AO228">
            <v>21250</v>
          </cell>
          <cell r="AP228">
            <v>22648</v>
          </cell>
          <cell r="AQ228">
            <v>93000</v>
          </cell>
          <cell r="AR228">
            <v>56000</v>
          </cell>
          <cell r="AS228">
            <v>4.1100000000000003</v>
          </cell>
          <cell r="AT228">
            <v>76539000</v>
          </cell>
          <cell r="AU228">
            <v>3.73</v>
          </cell>
          <cell r="AV228">
            <v>42270833</v>
          </cell>
          <cell r="AW228">
            <v>2.36</v>
          </cell>
          <cell r="AX228">
            <v>1014859</v>
          </cell>
          <cell r="AY228">
            <v>63.18</v>
          </cell>
          <cell r="AZ228">
            <v>0</v>
          </cell>
          <cell r="BA228">
            <v>501</v>
          </cell>
          <cell r="BB228">
            <v>19</v>
          </cell>
          <cell r="BC228">
            <v>520</v>
          </cell>
          <cell r="BD228">
            <v>0</v>
          </cell>
          <cell r="BE228">
            <v>0</v>
          </cell>
          <cell r="BF228">
            <v>53</v>
          </cell>
          <cell r="BG228">
            <v>1</v>
          </cell>
          <cell r="BH228">
            <v>1</v>
          </cell>
          <cell r="BI228">
            <v>25</v>
          </cell>
          <cell r="BJ228">
            <v>3</v>
          </cell>
          <cell r="BK228">
            <v>7</v>
          </cell>
          <cell r="BL228">
            <v>3</v>
          </cell>
          <cell r="BM228">
            <v>7</v>
          </cell>
          <cell r="BN228">
            <v>5</v>
          </cell>
          <cell r="BO228">
            <v>0</v>
          </cell>
          <cell r="BP228">
            <v>43</v>
          </cell>
          <cell r="BQ228">
            <v>1</v>
          </cell>
          <cell r="BR228">
            <v>3</v>
          </cell>
          <cell r="BS228">
            <v>10</v>
          </cell>
          <cell r="BT228">
            <v>7</v>
          </cell>
          <cell r="BU228">
            <v>22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199</v>
          </cell>
          <cell r="DN228">
            <v>21</v>
          </cell>
          <cell r="DO228">
            <v>27</v>
          </cell>
          <cell r="DP228">
            <v>19</v>
          </cell>
          <cell r="DQ228">
            <v>126</v>
          </cell>
          <cell r="DR228">
            <v>6</v>
          </cell>
          <cell r="DS228">
            <v>0</v>
          </cell>
          <cell r="DT228">
            <v>177</v>
          </cell>
          <cell r="DU228">
            <v>32</v>
          </cell>
          <cell r="DV228">
            <v>64</v>
          </cell>
          <cell r="DW228">
            <v>32</v>
          </cell>
          <cell r="DX228">
            <v>41</v>
          </cell>
          <cell r="DY228">
            <v>8</v>
          </cell>
          <cell r="DZ228">
            <v>0</v>
          </cell>
          <cell r="EA228">
            <v>71</v>
          </cell>
          <cell r="EB228">
            <v>10</v>
          </cell>
          <cell r="EC228">
            <v>51</v>
          </cell>
          <cell r="ED228">
            <v>5</v>
          </cell>
          <cell r="EE228">
            <v>1</v>
          </cell>
          <cell r="EF228">
            <v>4</v>
          </cell>
          <cell r="EG228">
            <v>0</v>
          </cell>
          <cell r="EH228">
            <v>5</v>
          </cell>
          <cell r="EI228">
            <v>6</v>
          </cell>
          <cell r="EJ228">
            <v>-2</v>
          </cell>
          <cell r="EK228">
            <v>2</v>
          </cell>
          <cell r="EL228">
            <v>-1</v>
          </cell>
          <cell r="EM228">
            <v>0</v>
          </cell>
          <cell r="EN228">
            <v>0</v>
          </cell>
          <cell r="EO228" t="str">
            <v xml:space="preserve">Mens Corrales                                               </v>
          </cell>
        </row>
        <row r="229">
          <cell r="A229" t="str">
            <v>CN3YM6857249</v>
          </cell>
          <cell r="B229" t="str">
            <v>CN3</v>
          </cell>
          <cell r="C229" t="str">
            <v>YM6857</v>
          </cell>
          <cell r="D229">
            <v>249</v>
          </cell>
          <cell r="E229" t="str">
            <v xml:space="preserve">   </v>
          </cell>
          <cell r="F229">
            <v>80829</v>
          </cell>
          <cell r="G229">
            <v>80901</v>
          </cell>
          <cell r="H229">
            <v>90226</v>
          </cell>
          <cell r="I229">
            <v>600</v>
          </cell>
          <cell r="J229">
            <v>597</v>
          </cell>
          <cell r="K229">
            <v>596</v>
          </cell>
          <cell r="L229">
            <v>496</v>
          </cell>
          <cell r="M229">
            <v>496</v>
          </cell>
          <cell r="N229">
            <v>12750000</v>
          </cell>
          <cell r="O229">
            <v>13520856</v>
          </cell>
          <cell r="P229">
            <v>13498208</v>
          </cell>
          <cell r="Q229">
            <v>11233408</v>
          </cell>
          <cell r="R229">
            <v>40093057</v>
          </cell>
          <cell r="S229" t="str">
            <v>*</v>
          </cell>
          <cell r="T229" t="str">
            <v xml:space="preserve"> </v>
          </cell>
          <cell r="U229">
            <v>597</v>
          </cell>
          <cell r="V229">
            <v>13520856</v>
          </cell>
          <cell r="W229">
            <v>496</v>
          </cell>
          <cell r="X229">
            <v>11233408</v>
          </cell>
          <cell r="Y229">
            <v>82.91</v>
          </cell>
          <cell r="Z229">
            <v>82.75</v>
          </cell>
          <cell r="AA229">
            <v>10916336</v>
          </cell>
          <cell r="AB229">
            <v>317072</v>
          </cell>
          <cell r="AC229">
            <v>1</v>
          </cell>
          <cell r="AD229">
            <v>22648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-1</v>
          </cell>
          <cell r="AL229">
            <v>-45296</v>
          </cell>
          <cell r="AM229">
            <v>101</v>
          </cell>
          <cell r="AN229">
            <v>5118448</v>
          </cell>
          <cell r="AO229">
            <v>21250</v>
          </cell>
          <cell r="AP229">
            <v>22648</v>
          </cell>
          <cell r="AQ229">
            <v>93000</v>
          </cell>
          <cell r="AR229">
            <v>56000</v>
          </cell>
          <cell r="AS229">
            <v>4.1100000000000003</v>
          </cell>
          <cell r="AT229">
            <v>55521000</v>
          </cell>
          <cell r="AU229">
            <v>3.61</v>
          </cell>
          <cell r="AV229">
            <v>39456480</v>
          </cell>
          <cell r="AW229">
            <v>2.0099999999999998</v>
          </cell>
          <cell r="AX229">
            <v>636577</v>
          </cell>
          <cell r="AY229">
            <v>82.91</v>
          </cell>
          <cell r="AZ229">
            <v>0</v>
          </cell>
          <cell r="BA229">
            <v>482</v>
          </cell>
          <cell r="BB229">
            <v>14</v>
          </cell>
          <cell r="BC229">
            <v>496</v>
          </cell>
          <cell r="BD229">
            <v>0</v>
          </cell>
          <cell r="BE229">
            <v>0</v>
          </cell>
          <cell r="BF229">
            <v>39</v>
          </cell>
          <cell r="BG229">
            <v>0</v>
          </cell>
          <cell r="BH229">
            <v>1</v>
          </cell>
          <cell r="BI229">
            <v>11</v>
          </cell>
          <cell r="BJ229">
            <v>2</v>
          </cell>
          <cell r="BK229">
            <v>2</v>
          </cell>
          <cell r="BL229">
            <v>2</v>
          </cell>
          <cell r="BM229">
            <v>5</v>
          </cell>
          <cell r="BN229">
            <v>0</v>
          </cell>
          <cell r="BO229">
            <v>0</v>
          </cell>
          <cell r="BP229">
            <v>23</v>
          </cell>
          <cell r="BQ229">
            <v>1</v>
          </cell>
          <cell r="BR229">
            <v>1</v>
          </cell>
          <cell r="BS229">
            <v>7</v>
          </cell>
          <cell r="BT229">
            <v>4</v>
          </cell>
          <cell r="BU229">
            <v>10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220</v>
          </cell>
          <cell r="DN229">
            <v>46</v>
          </cell>
          <cell r="DO229">
            <v>55</v>
          </cell>
          <cell r="DP229">
            <v>24</v>
          </cell>
          <cell r="DQ229">
            <v>90</v>
          </cell>
          <cell r="DR229">
            <v>5</v>
          </cell>
          <cell r="DS229">
            <v>0</v>
          </cell>
          <cell r="DT229">
            <v>223</v>
          </cell>
          <cell r="DU229">
            <v>76</v>
          </cell>
          <cell r="DV229">
            <v>45</v>
          </cell>
          <cell r="DW229">
            <v>16</v>
          </cell>
          <cell r="DX229">
            <v>67</v>
          </cell>
          <cell r="DY229">
            <v>19</v>
          </cell>
          <cell r="DZ229">
            <v>0</v>
          </cell>
          <cell r="EA229">
            <v>14</v>
          </cell>
          <cell r="EB229">
            <v>8</v>
          </cell>
          <cell r="EC229">
            <v>7</v>
          </cell>
          <cell r="ED229">
            <v>2</v>
          </cell>
          <cell r="EE229">
            <v>0</v>
          </cell>
          <cell r="EF229">
            <v>-3</v>
          </cell>
          <cell r="EG229">
            <v>0</v>
          </cell>
          <cell r="EH229">
            <v>5</v>
          </cell>
          <cell r="EI229">
            <v>-1</v>
          </cell>
          <cell r="EJ229">
            <v>4</v>
          </cell>
          <cell r="EK229">
            <v>3</v>
          </cell>
          <cell r="EL229">
            <v>0</v>
          </cell>
          <cell r="EM229">
            <v>-1</v>
          </cell>
          <cell r="EN229">
            <v>0</v>
          </cell>
          <cell r="EO229" t="str">
            <v xml:space="preserve">Mens Corrales                                               </v>
          </cell>
        </row>
        <row r="230">
          <cell r="A230" t="str">
            <v>CN3YM6857985</v>
          </cell>
          <cell r="B230" t="str">
            <v>CN3</v>
          </cell>
          <cell r="C230" t="str">
            <v>YM6857</v>
          </cell>
          <cell r="D230">
            <v>985</v>
          </cell>
          <cell r="E230" t="str">
            <v xml:space="preserve">   </v>
          </cell>
          <cell r="F230">
            <v>80829</v>
          </cell>
          <cell r="G230">
            <v>80901</v>
          </cell>
          <cell r="H230">
            <v>90226</v>
          </cell>
          <cell r="I230">
            <v>800</v>
          </cell>
          <cell r="J230">
            <v>803</v>
          </cell>
          <cell r="K230">
            <v>799</v>
          </cell>
          <cell r="L230">
            <v>294</v>
          </cell>
          <cell r="M230">
            <v>294</v>
          </cell>
          <cell r="N230">
            <v>17000000</v>
          </cell>
          <cell r="O230">
            <v>18186344</v>
          </cell>
          <cell r="P230">
            <v>18095752</v>
          </cell>
          <cell r="Q230">
            <v>6658512</v>
          </cell>
          <cell r="R230">
            <v>23753644</v>
          </cell>
          <cell r="S230" t="str">
            <v>*</v>
          </cell>
          <cell r="T230" t="str">
            <v xml:space="preserve"> </v>
          </cell>
          <cell r="U230">
            <v>803</v>
          </cell>
          <cell r="V230">
            <v>18186344</v>
          </cell>
          <cell r="W230">
            <v>294</v>
          </cell>
          <cell r="X230">
            <v>6658512</v>
          </cell>
          <cell r="Y230">
            <v>36.61</v>
          </cell>
          <cell r="Z230">
            <v>36.61</v>
          </cell>
          <cell r="AA230">
            <v>6092312</v>
          </cell>
          <cell r="AB230">
            <v>566200</v>
          </cell>
          <cell r="AC230">
            <v>4</v>
          </cell>
          <cell r="AD230">
            <v>249128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505</v>
          </cell>
          <cell r="AN230">
            <v>23485976</v>
          </cell>
          <cell r="AO230">
            <v>21250</v>
          </cell>
          <cell r="AP230">
            <v>22648</v>
          </cell>
          <cell r="AQ230">
            <v>93000</v>
          </cell>
          <cell r="AR230">
            <v>56000</v>
          </cell>
          <cell r="AS230">
            <v>4.1100000000000003</v>
          </cell>
          <cell r="AT230">
            <v>74679000</v>
          </cell>
          <cell r="AU230">
            <v>3.69</v>
          </cell>
          <cell r="AV230">
            <v>22501067</v>
          </cell>
          <cell r="AW230">
            <v>2.21</v>
          </cell>
          <cell r="AX230">
            <v>1252577</v>
          </cell>
          <cell r="AY230">
            <v>36.61</v>
          </cell>
          <cell r="AZ230">
            <v>0</v>
          </cell>
          <cell r="BA230">
            <v>269</v>
          </cell>
          <cell r="BB230">
            <v>25</v>
          </cell>
          <cell r="BC230">
            <v>294</v>
          </cell>
          <cell r="BD230">
            <v>0</v>
          </cell>
          <cell r="BE230">
            <v>0</v>
          </cell>
          <cell r="BF230">
            <v>42</v>
          </cell>
          <cell r="BG230">
            <v>0</v>
          </cell>
          <cell r="BH230">
            <v>1</v>
          </cell>
          <cell r="BI230">
            <v>9</v>
          </cell>
          <cell r="BJ230">
            <v>2</v>
          </cell>
          <cell r="BK230">
            <v>3</v>
          </cell>
          <cell r="BL230">
            <v>1</v>
          </cell>
          <cell r="BM230">
            <v>2</v>
          </cell>
          <cell r="BN230">
            <v>1</v>
          </cell>
          <cell r="BO230">
            <v>0</v>
          </cell>
          <cell r="BP230">
            <v>30</v>
          </cell>
          <cell r="BQ230">
            <v>0</v>
          </cell>
          <cell r="BR230">
            <v>4</v>
          </cell>
          <cell r="BS230">
            <v>2</v>
          </cell>
          <cell r="BT230">
            <v>1</v>
          </cell>
          <cell r="BU230">
            <v>23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115</v>
          </cell>
          <cell r="DN230">
            <v>16</v>
          </cell>
          <cell r="DO230">
            <v>8</v>
          </cell>
          <cell r="DP230">
            <v>29</v>
          </cell>
          <cell r="DQ230">
            <v>58</v>
          </cell>
          <cell r="DR230">
            <v>4</v>
          </cell>
          <cell r="DS230">
            <v>0</v>
          </cell>
          <cell r="DT230">
            <v>108</v>
          </cell>
          <cell r="DU230">
            <v>20</v>
          </cell>
          <cell r="DV230">
            <v>40</v>
          </cell>
          <cell r="DW230">
            <v>18</v>
          </cell>
          <cell r="DX230">
            <v>15</v>
          </cell>
          <cell r="DY230">
            <v>15</v>
          </cell>
          <cell r="DZ230">
            <v>0</v>
          </cell>
          <cell r="EA230">
            <v>21</v>
          </cell>
          <cell r="EB230">
            <v>3</v>
          </cell>
          <cell r="EC230">
            <v>14</v>
          </cell>
          <cell r="ED230">
            <v>3</v>
          </cell>
          <cell r="EE230">
            <v>0</v>
          </cell>
          <cell r="EF230">
            <v>1</v>
          </cell>
          <cell r="EG230">
            <v>0</v>
          </cell>
          <cell r="EH230">
            <v>11</v>
          </cell>
          <cell r="EI230">
            <v>1</v>
          </cell>
          <cell r="EJ230">
            <v>6</v>
          </cell>
          <cell r="EK230">
            <v>1</v>
          </cell>
          <cell r="EL230">
            <v>2</v>
          </cell>
          <cell r="EM230">
            <v>1</v>
          </cell>
          <cell r="EN230">
            <v>0</v>
          </cell>
          <cell r="EO230" t="str">
            <v xml:space="preserve">Mens Corrales                                               </v>
          </cell>
        </row>
        <row r="231">
          <cell r="A231" t="str">
            <v>CN3YM6858357</v>
          </cell>
          <cell r="B231" t="str">
            <v>CN3</v>
          </cell>
          <cell r="C231" t="str">
            <v>YM6858</v>
          </cell>
          <cell r="D231">
            <v>357</v>
          </cell>
          <cell r="E231" t="str">
            <v xml:space="preserve">   </v>
          </cell>
          <cell r="F231">
            <v>80711</v>
          </cell>
          <cell r="G231">
            <v>80805</v>
          </cell>
          <cell r="H231">
            <v>0</v>
          </cell>
          <cell r="I231">
            <v>900</v>
          </cell>
          <cell r="J231">
            <v>938</v>
          </cell>
          <cell r="K231">
            <v>933</v>
          </cell>
          <cell r="L231">
            <v>773</v>
          </cell>
          <cell r="M231">
            <v>773</v>
          </cell>
          <cell r="N231">
            <v>17235000</v>
          </cell>
          <cell r="O231">
            <v>18003972</v>
          </cell>
          <cell r="P231">
            <v>17908002</v>
          </cell>
          <cell r="Q231">
            <v>14836962</v>
          </cell>
          <cell r="R231">
            <v>48672559</v>
          </cell>
          <cell r="S231" t="str">
            <v xml:space="preserve"> </v>
          </cell>
          <cell r="T231" t="str">
            <v xml:space="preserve"> </v>
          </cell>
          <cell r="U231">
            <v>938</v>
          </cell>
          <cell r="V231">
            <v>18003972</v>
          </cell>
          <cell r="W231">
            <v>773</v>
          </cell>
          <cell r="X231">
            <v>14836962</v>
          </cell>
          <cell r="Y231">
            <v>82.52</v>
          </cell>
          <cell r="Z231">
            <v>82.62</v>
          </cell>
          <cell r="AA231">
            <v>14817768</v>
          </cell>
          <cell r="AB231">
            <v>19194</v>
          </cell>
          <cell r="AC231">
            <v>5</v>
          </cell>
          <cell r="AD231">
            <v>345492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1</v>
          </cell>
          <cell r="AL231">
            <v>38388</v>
          </cell>
          <cell r="AM231">
            <v>159</v>
          </cell>
          <cell r="AN231">
            <v>6122886</v>
          </cell>
          <cell r="AO231">
            <v>19150</v>
          </cell>
          <cell r="AP231">
            <v>19194</v>
          </cell>
          <cell r="AQ231">
            <v>83000</v>
          </cell>
          <cell r="AR231">
            <v>0</v>
          </cell>
          <cell r="AS231">
            <v>4.32</v>
          </cell>
          <cell r="AT231">
            <v>77854000</v>
          </cell>
          <cell r="AU231">
            <v>3.28</v>
          </cell>
          <cell r="AV231">
            <v>48665700</v>
          </cell>
          <cell r="AW231">
            <v>0.36</v>
          </cell>
          <cell r="AX231">
            <v>6859</v>
          </cell>
          <cell r="AY231">
            <v>82.52</v>
          </cell>
          <cell r="AZ231">
            <v>0</v>
          </cell>
          <cell r="BA231">
            <v>772</v>
          </cell>
          <cell r="BB231">
            <v>1</v>
          </cell>
          <cell r="BC231">
            <v>773</v>
          </cell>
          <cell r="BD231">
            <v>0</v>
          </cell>
          <cell r="BE231">
            <v>0</v>
          </cell>
          <cell r="BF231">
            <v>9</v>
          </cell>
          <cell r="BG231">
            <v>1</v>
          </cell>
          <cell r="BH231">
            <v>1</v>
          </cell>
          <cell r="BI231">
            <v>1</v>
          </cell>
          <cell r="BJ231">
            <v>0</v>
          </cell>
          <cell r="BK231">
            <v>1</v>
          </cell>
          <cell r="BL231">
            <v>1</v>
          </cell>
          <cell r="BM231">
            <v>0</v>
          </cell>
          <cell r="BN231">
            <v>-1</v>
          </cell>
          <cell r="BO231">
            <v>0</v>
          </cell>
          <cell r="BP231">
            <v>9</v>
          </cell>
          <cell r="BQ231">
            <v>0</v>
          </cell>
          <cell r="BR231">
            <v>1</v>
          </cell>
          <cell r="BS231">
            <v>3</v>
          </cell>
          <cell r="BT231">
            <v>2</v>
          </cell>
          <cell r="BU231">
            <v>3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18</v>
          </cell>
          <cell r="DG231">
            <v>0</v>
          </cell>
          <cell r="DH231">
            <v>3</v>
          </cell>
          <cell r="DI231">
            <v>1</v>
          </cell>
          <cell r="DJ231">
            <v>6</v>
          </cell>
          <cell r="DK231">
            <v>8</v>
          </cell>
          <cell r="DL231">
            <v>0</v>
          </cell>
          <cell r="DM231">
            <v>101</v>
          </cell>
          <cell r="DN231">
            <v>12</v>
          </cell>
          <cell r="DO231">
            <v>9</v>
          </cell>
          <cell r="DP231">
            <v>16</v>
          </cell>
          <cell r="DQ231">
            <v>59</v>
          </cell>
          <cell r="DR231">
            <v>5</v>
          </cell>
          <cell r="DS231">
            <v>0</v>
          </cell>
          <cell r="DT231">
            <v>79</v>
          </cell>
          <cell r="DU231">
            <v>19</v>
          </cell>
          <cell r="DV231">
            <v>18</v>
          </cell>
          <cell r="DW231">
            <v>29</v>
          </cell>
          <cell r="DX231">
            <v>12</v>
          </cell>
          <cell r="DY231">
            <v>1</v>
          </cell>
          <cell r="DZ231">
            <v>0</v>
          </cell>
          <cell r="EA231">
            <v>563</v>
          </cell>
          <cell r="EB231">
            <v>0</v>
          </cell>
          <cell r="EC231">
            <v>557</v>
          </cell>
          <cell r="ED231">
            <v>6</v>
          </cell>
          <cell r="EE231">
            <v>-3</v>
          </cell>
          <cell r="EF231">
            <v>3</v>
          </cell>
          <cell r="EG231">
            <v>0</v>
          </cell>
          <cell r="EH231">
            <v>2</v>
          </cell>
          <cell r="EI231">
            <v>-2</v>
          </cell>
          <cell r="EJ231">
            <v>2</v>
          </cell>
          <cell r="EK231">
            <v>0</v>
          </cell>
          <cell r="EL231">
            <v>3</v>
          </cell>
          <cell r="EM231">
            <v>-1</v>
          </cell>
          <cell r="EN231">
            <v>0</v>
          </cell>
          <cell r="EO231" t="str">
            <v xml:space="preserve">Mens Port Royal                                             </v>
          </cell>
        </row>
        <row r="232">
          <cell r="A232" t="str">
            <v>CN3YM6858759</v>
          </cell>
          <cell r="B232" t="str">
            <v>CN3</v>
          </cell>
          <cell r="C232" t="str">
            <v>YM6858</v>
          </cell>
          <cell r="D232">
            <v>759</v>
          </cell>
          <cell r="E232" t="str">
            <v xml:space="preserve">   </v>
          </cell>
          <cell r="F232">
            <v>80711</v>
          </cell>
          <cell r="G232">
            <v>80805</v>
          </cell>
          <cell r="H232">
            <v>0</v>
          </cell>
          <cell r="I232">
            <v>600</v>
          </cell>
          <cell r="J232">
            <v>585</v>
          </cell>
          <cell r="K232">
            <v>577</v>
          </cell>
          <cell r="L232">
            <v>442</v>
          </cell>
          <cell r="M232">
            <v>442</v>
          </cell>
          <cell r="N232">
            <v>11490000</v>
          </cell>
          <cell r="O232">
            <v>11228490</v>
          </cell>
          <cell r="P232">
            <v>11074938</v>
          </cell>
          <cell r="Q232">
            <v>8483748</v>
          </cell>
          <cell r="R232">
            <v>30147250</v>
          </cell>
          <cell r="S232" t="str">
            <v xml:space="preserve"> </v>
          </cell>
          <cell r="T232" t="str">
            <v xml:space="preserve"> </v>
          </cell>
          <cell r="U232">
            <v>585</v>
          </cell>
          <cell r="V232">
            <v>11228490</v>
          </cell>
          <cell r="W232">
            <v>442</v>
          </cell>
          <cell r="X232">
            <v>8483748</v>
          </cell>
          <cell r="Y232">
            <v>75.38</v>
          </cell>
          <cell r="Z232">
            <v>75.209999999999994</v>
          </cell>
          <cell r="AA232">
            <v>8483748</v>
          </cell>
          <cell r="AB232">
            <v>0</v>
          </cell>
          <cell r="AC232">
            <v>8</v>
          </cell>
          <cell r="AD232">
            <v>422268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-1</v>
          </cell>
          <cell r="AL232">
            <v>-38388</v>
          </cell>
          <cell r="AM232">
            <v>136</v>
          </cell>
          <cell r="AN232">
            <v>5335932</v>
          </cell>
          <cell r="AO232">
            <v>19150</v>
          </cell>
          <cell r="AP232">
            <v>19194</v>
          </cell>
          <cell r="AQ232">
            <v>83000</v>
          </cell>
          <cell r="AR232">
            <v>0</v>
          </cell>
          <cell r="AS232">
            <v>4.32</v>
          </cell>
          <cell r="AT232">
            <v>48555000</v>
          </cell>
          <cell r="AU232">
            <v>3.55</v>
          </cell>
          <cell r="AV232">
            <v>30147250</v>
          </cell>
          <cell r="AW232">
            <v>0</v>
          </cell>
          <cell r="AX232">
            <v>0</v>
          </cell>
          <cell r="AY232">
            <v>75.38</v>
          </cell>
          <cell r="AZ232">
            <v>0</v>
          </cell>
          <cell r="BA232">
            <v>442</v>
          </cell>
          <cell r="BB232">
            <v>0</v>
          </cell>
          <cell r="BC232">
            <v>442</v>
          </cell>
          <cell r="BD232">
            <v>0</v>
          </cell>
          <cell r="BE232">
            <v>0</v>
          </cell>
          <cell r="BF232">
            <v>28</v>
          </cell>
          <cell r="BG232">
            <v>0</v>
          </cell>
          <cell r="BH232">
            <v>1</v>
          </cell>
          <cell r="BI232">
            <v>9</v>
          </cell>
          <cell r="BJ232">
            <v>1</v>
          </cell>
          <cell r="BK232">
            <v>-1</v>
          </cell>
          <cell r="BL232">
            <v>3</v>
          </cell>
          <cell r="BM232">
            <v>5</v>
          </cell>
          <cell r="BN232">
            <v>1</v>
          </cell>
          <cell r="BO232">
            <v>0</v>
          </cell>
          <cell r="BP232">
            <v>12</v>
          </cell>
          <cell r="BQ232">
            <v>0</v>
          </cell>
          <cell r="BR232">
            <v>5</v>
          </cell>
          <cell r="BS232">
            <v>0</v>
          </cell>
          <cell r="BT232">
            <v>0</v>
          </cell>
          <cell r="BU232">
            <v>7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22</v>
          </cell>
          <cell r="DG232">
            <v>0</v>
          </cell>
          <cell r="DH232">
            <v>1</v>
          </cell>
          <cell r="DI232">
            <v>6</v>
          </cell>
          <cell r="DJ232">
            <v>7</v>
          </cell>
          <cell r="DK232">
            <v>8</v>
          </cell>
          <cell r="DL232">
            <v>0</v>
          </cell>
          <cell r="DM232">
            <v>107</v>
          </cell>
          <cell r="DN232">
            <v>16</v>
          </cell>
          <cell r="DO232">
            <v>15</v>
          </cell>
          <cell r="DP232">
            <v>11</v>
          </cell>
          <cell r="DQ232">
            <v>61</v>
          </cell>
          <cell r="DR232">
            <v>4</v>
          </cell>
          <cell r="DS232">
            <v>0</v>
          </cell>
          <cell r="DT232">
            <v>96</v>
          </cell>
          <cell r="DU232">
            <v>22</v>
          </cell>
          <cell r="DV232">
            <v>26</v>
          </cell>
          <cell r="DW232">
            <v>24</v>
          </cell>
          <cell r="DX232">
            <v>20</v>
          </cell>
          <cell r="DY232">
            <v>4</v>
          </cell>
          <cell r="DZ232">
            <v>0</v>
          </cell>
          <cell r="EA232">
            <v>195</v>
          </cell>
          <cell r="EB232">
            <v>3</v>
          </cell>
          <cell r="EC232">
            <v>184</v>
          </cell>
          <cell r="ED232">
            <v>5</v>
          </cell>
          <cell r="EE232">
            <v>0</v>
          </cell>
          <cell r="EF232">
            <v>3</v>
          </cell>
          <cell r="EG232">
            <v>0</v>
          </cell>
          <cell r="EH232">
            <v>1</v>
          </cell>
          <cell r="EI232">
            <v>1</v>
          </cell>
          <cell r="EJ232">
            <v>0</v>
          </cell>
          <cell r="EK232">
            <v>-2</v>
          </cell>
          <cell r="EL232">
            <v>2</v>
          </cell>
          <cell r="EM232">
            <v>0</v>
          </cell>
          <cell r="EN232">
            <v>0</v>
          </cell>
          <cell r="EO232" t="str">
            <v xml:space="preserve">Mens Port Royal                                             </v>
          </cell>
        </row>
        <row r="233">
          <cell r="A233" t="str">
            <v>CN3YM6860302</v>
          </cell>
          <cell r="B233" t="str">
            <v>CN3</v>
          </cell>
          <cell r="C233" t="str">
            <v>YM6860</v>
          </cell>
          <cell r="D233">
            <v>302</v>
          </cell>
          <cell r="E233" t="str">
            <v xml:space="preserve">   </v>
          </cell>
          <cell r="F233">
            <v>80708</v>
          </cell>
          <cell r="G233">
            <v>80805</v>
          </cell>
          <cell r="H233">
            <v>90226</v>
          </cell>
          <cell r="I233">
            <v>500</v>
          </cell>
          <cell r="J233">
            <v>446</v>
          </cell>
          <cell r="K233">
            <v>437</v>
          </cell>
          <cell r="L233">
            <v>94</v>
          </cell>
          <cell r="M233">
            <v>94</v>
          </cell>
          <cell r="N233">
            <v>7225000</v>
          </cell>
          <cell r="O233">
            <v>6464324</v>
          </cell>
          <cell r="P233">
            <v>6333878</v>
          </cell>
          <cell r="Q233">
            <v>1362436</v>
          </cell>
          <cell r="R233">
            <v>5890019</v>
          </cell>
          <cell r="S233" t="str">
            <v>*</v>
          </cell>
          <cell r="T233" t="str">
            <v xml:space="preserve"> </v>
          </cell>
          <cell r="U233">
            <v>446</v>
          </cell>
          <cell r="V233">
            <v>6464324</v>
          </cell>
          <cell r="W233">
            <v>94</v>
          </cell>
          <cell r="X233">
            <v>1362436</v>
          </cell>
          <cell r="Y233">
            <v>21.08</v>
          </cell>
          <cell r="Z233">
            <v>21.08</v>
          </cell>
          <cell r="AA233">
            <v>1362436</v>
          </cell>
          <cell r="AB233">
            <v>0</v>
          </cell>
          <cell r="AC233">
            <v>9</v>
          </cell>
          <cell r="AD233">
            <v>275386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343</v>
          </cell>
          <cell r="AN233">
            <v>9971872</v>
          </cell>
          <cell r="AO233">
            <v>14450</v>
          </cell>
          <cell r="AP233">
            <v>14494</v>
          </cell>
          <cell r="AQ233">
            <v>68000</v>
          </cell>
          <cell r="AR233">
            <v>41000</v>
          </cell>
          <cell r="AS233">
            <v>4.6900000000000004</v>
          </cell>
          <cell r="AT233">
            <v>30328000</v>
          </cell>
          <cell r="AU233">
            <v>4.32</v>
          </cell>
          <cell r="AV233">
            <v>5890019</v>
          </cell>
          <cell r="AW233">
            <v>0</v>
          </cell>
          <cell r="AX233">
            <v>0</v>
          </cell>
          <cell r="AY233">
            <v>21.08</v>
          </cell>
          <cell r="AZ233">
            <v>0</v>
          </cell>
          <cell r="BA233">
            <v>94</v>
          </cell>
          <cell r="BB233">
            <v>0</v>
          </cell>
          <cell r="BC233">
            <v>94</v>
          </cell>
          <cell r="BD233">
            <v>0</v>
          </cell>
          <cell r="BE233">
            <v>0</v>
          </cell>
          <cell r="BF233">
            <v>7</v>
          </cell>
          <cell r="BG233">
            <v>1</v>
          </cell>
          <cell r="BH233">
            <v>1</v>
          </cell>
          <cell r="BI233">
            <v>15</v>
          </cell>
          <cell r="BJ233">
            <v>1</v>
          </cell>
          <cell r="BK233">
            <v>4</v>
          </cell>
          <cell r="BL233">
            <v>5</v>
          </cell>
          <cell r="BM233">
            <v>2</v>
          </cell>
          <cell r="BN233">
            <v>3</v>
          </cell>
          <cell r="BO233">
            <v>0</v>
          </cell>
          <cell r="BP233">
            <v>3</v>
          </cell>
          <cell r="BQ233">
            <v>1</v>
          </cell>
          <cell r="BR233">
            <v>0</v>
          </cell>
          <cell r="BS233">
            <v>1</v>
          </cell>
          <cell r="BT233">
            <v>1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5</v>
          </cell>
          <cell r="DG233">
            <v>0</v>
          </cell>
          <cell r="DH233">
            <v>1</v>
          </cell>
          <cell r="DI233">
            <v>3</v>
          </cell>
          <cell r="DJ233">
            <v>0</v>
          </cell>
          <cell r="DK233">
            <v>1</v>
          </cell>
          <cell r="DL233">
            <v>0</v>
          </cell>
          <cell r="DM233">
            <v>25</v>
          </cell>
          <cell r="DN233">
            <v>3</v>
          </cell>
          <cell r="DO233">
            <v>1</v>
          </cell>
          <cell r="DP233">
            <v>5</v>
          </cell>
          <cell r="DQ233">
            <v>14</v>
          </cell>
          <cell r="DR233">
            <v>2</v>
          </cell>
          <cell r="DS233">
            <v>0</v>
          </cell>
          <cell r="DT233">
            <v>19</v>
          </cell>
          <cell r="DU233">
            <v>2</v>
          </cell>
          <cell r="DV233">
            <v>4</v>
          </cell>
          <cell r="DW233">
            <v>3</v>
          </cell>
          <cell r="DX233">
            <v>7</v>
          </cell>
          <cell r="DY233">
            <v>3</v>
          </cell>
          <cell r="DZ233">
            <v>0</v>
          </cell>
          <cell r="EA233">
            <v>15</v>
          </cell>
          <cell r="EB233">
            <v>0</v>
          </cell>
          <cell r="EC233">
            <v>8</v>
          </cell>
          <cell r="ED233">
            <v>1</v>
          </cell>
          <cell r="EE233">
            <v>1</v>
          </cell>
          <cell r="EF233">
            <v>5</v>
          </cell>
          <cell r="EG233">
            <v>0</v>
          </cell>
          <cell r="EH233">
            <v>12</v>
          </cell>
          <cell r="EI233">
            <v>3</v>
          </cell>
          <cell r="EJ233">
            <v>4</v>
          </cell>
          <cell r="EK233">
            <v>3</v>
          </cell>
          <cell r="EL233">
            <v>0</v>
          </cell>
          <cell r="EM233">
            <v>2</v>
          </cell>
          <cell r="EN233">
            <v>0</v>
          </cell>
          <cell r="EO233" t="str">
            <v xml:space="preserve">Mens North Bay                                              </v>
          </cell>
        </row>
        <row r="234">
          <cell r="A234" t="str">
            <v>CN3YM6860425</v>
          </cell>
          <cell r="B234" t="str">
            <v>CN3</v>
          </cell>
          <cell r="C234" t="str">
            <v>YM6860</v>
          </cell>
          <cell r="D234">
            <v>425</v>
          </cell>
          <cell r="E234" t="str">
            <v xml:space="preserve">   </v>
          </cell>
          <cell r="F234">
            <v>80708</v>
          </cell>
          <cell r="G234">
            <v>80805</v>
          </cell>
          <cell r="H234">
            <v>90226</v>
          </cell>
          <cell r="I234">
            <v>500</v>
          </cell>
          <cell r="J234">
            <v>513</v>
          </cell>
          <cell r="K234">
            <v>513</v>
          </cell>
          <cell r="L234">
            <v>323</v>
          </cell>
          <cell r="M234">
            <v>323</v>
          </cell>
          <cell r="N234">
            <v>7225000</v>
          </cell>
          <cell r="O234">
            <v>7435422</v>
          </cell>
          <cell r="P234">
            <v>7435422</v>
          </cell>
          <cell r="Q234">
            <v>4681562</v>
          </cell>
          <cell r="R234">
            <v>19948713</v>
          </cell>
          <cell r="S234" t="str">
            <v>*</v>
          </cell>
          <cell r="T234" t="str">
            <v xml:space="preserve"> </v>
          </cell>
          <cell r="U234">
            <v>513</v>
          </cell>
          <cell r="V234">
            <v>7435422</v>
          </cell>
          <cell r="W234">
            <v>323</v>
          </cell>
          <cell r="X234">
            <v>4681562</v>
          </cell>
          <cell r="Y234">
            <v>62.96</v>
          </cell>
          <cell r="Z234">
            <v>62.96</v>
          </cell>
          <cell r="AA234">
            <v>4507634</v>
          </cell>
          <cell r="AB234">
            <v>173928</v>
          </cell>
          <cell r="AC234">
            <v>0</v>
          </cell>
          <cell r="AD234">
            <v>43482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190</v>
          </cell>
          <cell r="AN234">
            <v>5826588</v>
          </cell>
          <cell r="AO234">
            <v>14450</v>
          </cell>
          <cell r="AP234">
            <v>14494</v>
          </cell>
          <cell r="AQ234">
            <v>68000</v>
          </cell>
          <cell r="AR234">
            <v>41000</v>
          </cell>
          <cell r="AS234">
            <v>4.6900000000000004</v>
          </cell>
          <cell r="AT234">
            <v>34884000</v>
          </cell>
          <cell r="AU234">
            <v>4.32</v>
          </cell>
          <cell r="AV234">
            <v>19456713</v>
          </cell>
          <cell r="AW234">
            <v>2.83</v>
          </cell>
          <cell r="AX234">
            <v>492000</v>
          </cell>
          <cell r="AY234">
            <v>62.96</v>
          </cell>
          <cell r="AZ234">
            <v>0</v>
          </cell>
          <cell r="BA234">
            <v>311</v>
          </cell>
          <cell r="BB234">
            <v>12</v>
          </cell>
          <cell r="BC234">
            <v>322</v>
          </cell>
          <cell r="BD234">
            <v>1</v>
          </cell>
          <cell r="BE234">
            <v>0</v>
          </cell>
          <cell r="BF234">
            <v>25</v>
          </cell>
          <cell r="BG234">
            <v>0</v>
          </cell>
          <cell r="BH234">
            <v>1</v>
          </cell>
          <cell r="BI234">
            <v>29</v>
          </cell>
          <cell r="BJ234">
            <v>5</v>
          </cell>
          <cell r="BK234">
            <v>5</v>
          </cell>
          <cell r="BL234">
            <v>6</v>
          </cell>
          <cell r="BM234">
            <v>4</v>
          </cell>
          <cell r="BN234">
            <v>9</v>
          </cell>
          <cell r="BO234">
            <v>0</v>
          </cell>
          <cell r="BP234">
            <v>25</v>
          </cell>
          <cell r="BQ234">
            <v>0</v>
          </cell>
          <cell r="BR234">
            <v>4</v>
          </cell>
          <cell r="BS234">
            <v>4</v>
          </cell>
          <cell r="BT234">
            <v>3</v>
          </cell>
          <cell r="BU234">
            <v>14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15</v>
          </cell>
          <cell r="DG234">
            <v>0</v>
          </cell>
          <cell r="DH234">
            <v>0</v>
          </cell>
          <cell r="DI234">
            <v>1</v>
          </cell>
          <cell r="DJ234">
            <v>7</v>
          </cell>
          <cell r="DK234">
            <v>7</v>
          </cell>
          <cell r="DL234">
            <v>0</v>
          </cell>
          <cell r="DM234">
            <v>76</v>
          </cell>
          <cell r="DN234">
            <v>14</v>
          </cell>
          <cell r="DO234">
            <v>8</v>
          </cell>
          <cell r="DP234">
            <v>8</v>
          </cell>
          <cell r="DQ234">
            <v>41</v>
          </cell>
          <cell r="DR234">
            <v>5</v>
          </cell>
          <cell r="DS234">
            <v>0</v>
          </cell>
          <cell r="DT234">
            <v>79</v>
          </cell>
          <cell r="DU234">
            <v>16</v>
          </cell>
          <cell r="DV234">
            <v>15</v>
          </cell>
          <cell r="DW234">
            <v>21</v>
          </cell>
          <cell r="DX234">
            <v>12</v>
          </cell>
          <cell r="DY234">
            <v>15</v>
          </cell>
          <cell r="DZ234">
            <v>0</v>
          </cell>
          <cell r="EA234">
            <v>69</v>
          </cell>
          <cell r="EB234">
            <v>9</v>
          </cell>
          <cell r="EC234">
            <v>22</v>
          </cell>
          <cell r="ED234">
            <v>18</v>
          </cell>
          <cell r="EE234">
            <v>6</v>
          </cell>
          <cell r="EF234">
            <v>14</v>
          </cell>
          <cell r="EG234">
            <v>0</v>
          </cell>
          <cell r="EH234">
            <v>30</v>
          </cell>
          <cell r="EI234">
            <v>7</v>
          </cell>
          <cell r="EJ234">
            <v>9</v>
          </cell>
          <cell r="EK234">
            <v>7</v>
          </cell>
          <cell r="EL234">
            <v>9</v>
          </cell>
          <cell r="EM234">
            <v>-2</v>
          </cell>
          <cell r="EN234">
            <v>0</v>
          </cell>
          <cell r="EO234" t="str">
            <v xml:space="preserve">Mens North Bay                                              </v>
          </cell>
        </row>
        <row r="235">
          <cell r="A235" t="str">
            <v>CN3YM6860527</v>
          </cell>
          <cell r="B235" t="str">
            <v>CN3</v>
          </cell>
          <cell r="C235" t="str">
            <v>YM6860</v>
          </cell>
          <cell r="D235">
            <v>527</v>
          </cell>
          <cell r="E235" t="str">
            <v xml:space="preserve">   </v>
          </cell>
          <cell r="F235">
            <v>80708</v>
          </cell>
          <cell r="G235">
            <v>80805</v>
          </cell>
          <cell r="H235">
            <v>90226</v>
          </cell>
          <cell r="I235">
            <v>400</v>
          </cell>
          <cell r="J235">
            <v>407</v>
          </cell>
          <cell r="K235">
            <v>390</v>
          </cell>
          <cell r="L235">
            <v>43</v>
          </cell>
          <cell r="M235">
            <v>43</v>
          </cell>
          <cell r="N235">
            <v>5780000</v>
          </cell>
          <cell r="O235">
            <v>5899058</v>
          </cell>
          <cell r="P235">
            <v>5652660</v>
          </cell>
          <cell r="Q235">
            <v>623242</v>
          </cell>
          <cell r="R235">
            <v>2599484</v>
          </cell>
          <cell r="S235" t="str">
            <v>*</v>
          </cell>
          <cell r="T235" t="str">
            <v xml:space="preserve"> </v>
          </cell>
          <cell r="U235">
            <v>407</v>
          </cell>
          <cell r="V235">
            <v>5899058</v>
          </cell>
          <cell r="W235">
            <v>43</v>
          </cell>
          <cell r="X235">
            <v>623242</v>
          </cell>
          <cell r="Y235">
            <v>10.57</v>
          </cell>
          <cell r="Z235">
            <v>10.57</v>
          </cell>
          <cell r="AA235">
            <v>579760</v>
          </cell>
          <cell r="AB235">
            <v>43482</v>
          </cell>
          <cell r="AC235">
            <v>17</v>
          </cell>
          <cell r="AD235">
            <v>492796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347</v>
          </cell>
          <cell r="AN235">
            <v>10116812</v>
          </cell>
          <cell r="AO235">
            <v>14450</v>
          </cell>
          <cell r="AP235">
            <v>14494</v>
          </cell>
          <cell r="AQ235">
            <v>68000</v>
          </cell>
          <cell r="AR235">
            <v>41000</v>
          </cell>
          <cell r="AS235">
            <v>4.6900000000000004</v>
          </cell>
          <cell r="AT235">
            <v>27676000</v>
          </cell>
          <cell r="AU235">
            <v>4.2699999999999996</v>
          </cell>
          <cell r="AV235">
            <v>2476484</v>
          </cell>
          <cell r="AW235">
            <v>2.83</v>
          </cell>
          <cell r="AX235">
            <v>123000</v>
          </cell>
          <cell r="AY235">
            <v>10.57</v>
          </cell>
          <cell r="AZ235">
            <v>0</v>
          </cell>
          <cell r="BA235">
            <v>40</v>
          </cell>
          <cell r="BB235">
            <v>3</v>
          </cell>
          <cell r="BC235">
            <v>43</v>
          </cell>
          <cell r="BD235">
            <v>0</v>
          </cell>
          <cell r="BE235">
            <v>0</v>
          </cell>
          <cell r="BF235">
            <v>4</v>
          </cell>
          <cell r="BG235">
            <v>0</v>
          </cell>
          <cell r="BH235">
            <v>1</v>
          </cell>
          <cell r="BI235">
            <v>1</v>
          </cell>
          <cell r="BJ235">
            <v>1</v>
          </cell>
          <cell r="BK235">
            <v>-1</v>
          </cell>
          <cell r="BL235">
            <v>0</v>
          </cell>
          <cell r="BM235">
            <v>1</v>
          </cell>
          <cell r="BN235">
            <v>0</v>
          </cell>
          <cell r="BO235">
            <v>0</v>
          </cell>
          <cell r="BP235">
            <v>4</v>
          </cell>
          <cell r="BQ235">
            <v>1</v>
          </cell>
          <cell r="BR235">
            <v>0</v>
          </cell>
          <cell r="BS235">
            <v>0</v>
          </cell>
          <cell r="BT235">
            <v>0</v>
          </cell>
          <cell r="BU235">
            <v>3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5</v>
          </cell>
          <cell r="DG235">
            <v>0</v>
          </cell>
          <cell r="DH235">
            <v>1</v>
          </cell>
          <cell r="DI235">
            <v>0</v>
          </cell>
          <cell r="DJ235">
            <v>2</v>
          </cell>
          <cell r="DK235">
            <v>2</v>
          </cell>
          <cell r="DL235">
            <v>0</v>
          </cell>
          <cell r="DM235">
            <v>7</v>
          </cell>
          <cell r="DN235">
            <v>0</v>
          </cell>
          <cell r="DO235">
            <v>1</v>
          </cell>
          <cell r="DP235">
            <v>1</v>
          </cell>
          <cell r="DQ235">
            <v>5</v>
          </cell>
          <cell r="DR235">
            <v>0</v>
          </cell>
          <cell r="DS235">
            <v>0</v>
          </cell>
          <cell r="DT235">
            <v>14</v>
          </cell>
          <cell r="DU235">
            <v>2</v>
          </cell>
          <cell r="DV235">
            <v>1</v>
          </cell>
          <cell r="DW235">
            <v>4</v>
          </cell>
          <cell r="DX235">
            <v>2</v>
          </cell>
          <cell r="DY235">
            <v>5</v>
          </cell>
          <cell r="DZ235">
            <v>0</v>
          </cell>
          <cell r="EA235">
            <v>3</v>
          </cell>
          <cell r="EB235">
            <v>0</v>
          </cell>
          <cell r="EC235">
            <v>0</v>
          </cell>
          <cell r="ED235">
            <v>1</v>
          </cell>
          <cell r="EE235">
            <v>2</v>
          </cell>
          <cell r="EF235">
            <v>0</v>
          </cell>
          <cell r="EG235">
            <v>0</v>
          </cell>
          <cell r="EH235">
            <v>9</v>
          </cell>
          <cell r="EI235">
            <v>3</v>
          </cell>
          <cell r="EJ235">
            <v>2</v>
          </cell>
          <cell r="EK235">
            <v>1</v>
          </cell>
          <cell r="EL235">
            <v>1</v>
          </cell>
          <cell r="EM235">
            <v>2</v>
          </cell>
          <cell r="EN235">
            <v>0</v>
          </cell>
          <cell r="EO235" t="str">
            <v xml:space="preserve">Mens North Bay                                              </v>
          </cell>
        </row>
        <row r="236">
          <cell r="A236" t="str">
            <v>CN3YM6861809</v>
          </cell>
          <cell r="B236" t="str">
            <v>CN3</v>
          </cell>
          <cell r="C236" t="str">
            <v>YM6861</v>
          </cell>
          <cell r="D236">
            <v>809</v>
          </cell>
          <cell r="E236" t="str">
            <v xml:space="preserve">   </v>
          </cell>
          <cell r="F236">
            <v>80725</v>
          </cell>
          <cell r="G236">
            <v>80725</v>
          </cell>
          <cell r="H236">
            <v>90226</v>
          </cell>
          <cell r="I236">
            <v>500</v>
          </cell>
          <cell r="J236">
            <v>471</v>
          </cell>
          <cell r="K236">
            <v>426</v>
          </cell>
          <cell r="L236">
            <v>57</v>
          </cell>
          <cell r="M236">
            <v>57</v>
          </cell>
          <cell r="N236">
            <v>7725000</v>
          </cell>
          <cell r="O236">
            <v>7274124</v>
          </cell>
          <cell r="P236">
            <v>6579144</v>
          </cell>
          <cell r="Q236">
            <v>880308</v>
          </cell>
          <cell r="R236">
            <v>3154400</v>
          </cell>
          <cell r="S236" t="str">
            <v>*</v>
          </cell>
          <cell r="T236" t="str">
            <v xml:space="preserve"> </v>
          </cell>
          <cell r="U236">
            <v>471</v>
          </cell>
          <cell r="V236">
            <v>7274124</v>
          </cell>
          <cell r="W236">
            <v>57</v>
          </cell>
          <cell r="X236">
            <v>880308</v>
          </cell>
          <cell r="Y236">
            <v>12.1</v>
          </cell>
          <cell r="Z236">
            <v>12.1</v>
          </cell>
          <cell r="AA236">
            <v>864864</v>
          </cell>
          <cell r="AB236">
            <v>15444</v>
          </cell>
          <cell r="AC236">
            <v>45</v>
          </cell>
          <cell r="AD236">
            <v>1498068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369</v>
          </cell>
          <cell r="AN236">
            <v>11459448</v>
          </cell>
          <cell r="AO236">
            <v>15450</v>
          </cell>
          <cell r="AP236">
            <v>15444</v>
          </cell>
          <cell r="AQ236">
            <v>63000</v>
          </cell>
          <cell r="AR236">
            <v>38000</v>
          </cell>
          <cell r="AS236">
            <v>4.08</v>
          </cell>
          <cell r="AT236">
            <v>29673000</v>
          </cell>
          <cell r="AU236">
            <v>3.6</v>
          </cell>
          <cell r="AV236">
            <v>3116400</v>
          </cell>
          <cell r="AW236">
            <v>2.46</v>
          </cell>
          <cell r="AX236">
            <v>38000</v>
          </cell>
          <cell r="AY236">
            <v>12.1</v>
          </cell>
          <cell r="AZ236">
            <v>0</v>
          </cell>
          <cell r="BA236">
            <v>56</v>
          </cell>
          <cell r="BB236">
            <v>1</v>
          </cell>
          <cell r="BC236">
            <v>57</v>
          </cell>
          <cell r="BD236">
            <v>0</v>
          </cell>
          <cell r="BE236">
            <v>0</v>
          </cell>
          <cell r="BF236">
            <v>13</v>
          </cell>
          <cell r="BG236">
            <v>1</v>
          </cell>
          <cell r="BH236">
            <v>1</v>
          </cell>
          <cell r="BI236">
            <v>5</v>
          </cell>
          <cell r="BJ236">
            <v>1</v>
          </cell>
          <cell r="BK236">
            <v>2</v>
          </cell>
          <cell r="BL236">
            <v>0</v>
          </cell>
          <cell r="BM236">
            <v>1</v>
          </cell>
          <cell r="BN236">
            <v>1</v>
          </cell>
          <cell r="BO236">
            <v>0</v>
          </cell>
          <cell r="BP236">
            <v>11</v>
          </cell>
          <cell r="BQ236">
            <v>0</v>
          </cell>
          <cell r="BR236">
            <v>3</v>
          </cell>
          <cell r="BS236">
            <v>1</v>
          </cell>
          <cell r="BT236">
            <v>5</v>
          </cell>
          <cell r="BU236">
            <v>2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1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1</v>
          </cell>
          <cell r="DE236">
            <v>0</v>
          </cell>
          <cell r="DF236">
            <v>4</v>
          </cell>
          <cell r="DG236">
            <v>-2</v>
          </cell>
          <cell r="DH236">
            <v>0</v>
          </cell>
          <cell r="DI236">
            <v>2</v>
          </cell>
          <cell r="DJ236">
            <v>2</v>
          </cell>
          <cell r="DK236">
            <v>2</v>
          </cell>
          <cell r="DL236">
            <v>0</v>
          </cell>
          <cell r="DM236">
            <v>15</v>
          </cell>
          <cell r="DN236">
            <v>0</v>
          </cell>
          <cell r="DO236">
            <v>5</v>
          </cell>
          <cell r="DP236">
            <v>2</v>
          </cell>
          <cell r="DQ236">
            <v>7</v>
          </cell>
          <cell r="DR236">
            <v>1</v>
          </cell>
          <cell r="DS236">
            <v>0</v>
          </cell>
          <cell r="DT236">
            <v>16</v>
          </cell>
          <cell r="DU236">
            <v>2</v>
          </cell>
          <cell r="DV236">
            <v>3</v>
          </cell>
          <cell r="DW236">
            <v>5</v>
          </cell>
          <cell r="DX236">
            <v>7</v>
          </cell>
          <cell r="DY236">
            <v>-1</v>
          </cell>
          <cell r="DZ236">
            <v>0</v>
          </cell>
          <cell r="EA236">
            <v>2</v>
          </cell>
          <cell r="EB236">
            <v>1</v>
          </cell>
          <cell r="EC236">
            <v>0</v>
          </cell>
          <cell r="ED236">
            <v>1</v>
          </cell>
          <cell r="EE236">
            <v>0</v>
          </cell>
          <cell r="EF236">
            <v>0</v>
          </cell>
          <cell r="EG236">
            <v>0</v>
          </cell>
          <cell r="EH236">
            <v>3</v>
          </cell>
          <cell r="EI236">
            <v>3</v>
          </cell>
          <cell r="EJ236">
            <v>2</v>
          </cell>
          <cell r="EK236">
            <v>0</v>
          </cell>
          <cell r="EL236">
            <v>1</v>
          </cell>
          <cell r="EM236">
            <v>-3</v>
          </cell>
          <cell r="EN236">
            <v>0</v>
          </cell>
          <cell r="EO236" t="str">
            <v xml:space="preserve">Mens Topeka                                                 </v>
          </cell>
        </row>
        <row r="237">
          <cell r="A237" t="str">
            <v>CN3YM6861971</v>
          </cell>
          <cell r="B237" t="str">
            <v>CN3</v>
          </cell>
          <cell r="C237" t="str">
            <v>YM6861</v>
          </cell>
          <cell r="D237">
            <v>971</v>
          </cell>
          <cell r="E237" t="str">
            <v xml:space="preserve">   </v>
          </cell>
          <cell r="F237">
            <v>80725</v>
          </cell>
          <cell r="G237">
            <v>80725</v>
          </cell>
          <cell r="H237">
            <v>90226</v>
          </cell>
          <cell r="I237">
            <v>600</v>
          </cell>
          <cell r="J237">
            <v>617</v>
          </cell>
          <cell r="K237">
            <v>516</v>
          </cell>
          <cell r="L237">
            <v>61</v>
          </cell>
          <cell r="M237">
            <v>61</v>
          </cell>
          <cell r="N237">
            <v>9270000</v>
          </cell>
          <cell r="O237">
            <v>9528948</v>
          </cell>
          <cell r="P237">
            <v>7969104</v>
          </cell>
          <cell r="Q237">
            <v>942084</v>
          </cell>
          <cell r="R237">
            <v>3515531</v>
          </cell>
          <cell r="S237" t="str">
            <v>*</v>
          </cell>
          <cell r="T237" t="str">
            <v xml:space="preserve"> </v>
          </cell>
          <cell r="U237">
            <v>617</v>
          </cell>
          <cell r="V237">
            <v>9528948</v>
          </cell>
          <cell r="W237">
            <v>61</v>
          </cell>
          <cell r="X237">
            <v>942084</v>
          </cell>
          <cell r="Y237">
            <v>10.050000000000001</v>
          </cell>
          <cell r="Z237">
            <v>10.210000000000001</v>
          </cell>
          <cell r="AA237">
            <v>911196</v>
          </cell>
          <cell r="AB237">
            <v>30888</v>
          </cell>
          <cell r="AC237">
            <v>101</v>
          </cell>
          <cell r="AD237">
            <v>3073356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1</v>
          </cell>
          <cell r="AL237">
            <v>30888</v>
          </cell>
          <cell r="AM237">
            <v>454</v>
          </cell>
          <cell r="AN237">
            <v>14193036</v>
          </cell>
          <cell r="AO237">
            <v>15450</v>
          </cell>
          <cell r="AP237">
            <v>15444</v>
          </cell>
          <cell r="AQ237">
            <v>63000</v>
          </cell>
          <cell r="AR237">
            <v>38000</v>
          </cell>
          <cell r="AS237">
            <v>4.08</v>
          </cell>
          <cell r="AT237">
            <v>38871000</v>
          </cell>
          <cell r="AU237">
            <v>3.81</v>
          </cell>
          <cell r="AV237">
            <v>3470672</v>
          </cell>
          <cell r="AW237">
            <v>1.45</v>
          </cell>
          <cell r="AX237">
            <v>44859</v>
          </cell>
          <cell r="AY237">
            <v>10.050000000000001</v>
          </cell>
          <cell r="AZ237">
            <v>0</v>
          </cell>
          <cell r="BA237">
            <v>59</v>
          </cell>
          <cell r="BB237">
            <v>2</v>
          </cell>
          <cell r="BC237">
            <v>61</v>
          </cell>
          <cell r="BD237">
            <v>0</v>
          </cell>
          <cell r="BE237">
            <v>0</v>
          </cell>
          <cell r="BF237">
            <v>8</v>
          </cell>
          <cell r="BG237">
            <v>0</v>
          </cell>
          <cell r="BH237">
            <v>1</v>
          </cell>
          <cell r="BI237">
            <v>2</v>
          </cell>
          <cell r="BJ237">
            <v>0</v>
          </cell>
          <cell r="BK237">
            <v>1</v>
          </cell>
          <cell r="BL237">
            <v>1</v>
          </cell>
          <cell r="BM237">
            <v>0</v>
          </cell>
          <cell r="BN237">
            <v>0</v>
          </cell>
          <cell r="BO237">
            <v>0</v>
          </cell>
          <cell r="BP237">
            <v>8</v>
          </cell>
          <cell r="BQ237">
            <v>0</v>
          </cell>
          <cell r="BR237">
            <v>2</v>
          </cell>
          <cell r="BS237">
            <v>4</v>
          </cell>
          <cell r="BT237">
            <v>0</v>
          </cell>
          <cell r="BU237">
            <v>2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1</v>
          </cell>
          <cell r="CZ237">
            <v>0</v>
          </cell>
          <cell r="DA237">
            <v>0</v>
          </cell>
          <cell r="DB237">
            <v>0</v>
          </cell>
          <cell r="DC237">
            <v>1</v>
          </cell>
          <cell r="DD237">
            <v>0</v>
          </cell>
          <cell r="DE237">
            <v>0</v>
          </cell>
          <cell r="DF237">
            <v>14</v>
          </cell>
          <cell r="DG237">
            <v>3</v>
          </cell>
          <cell r="DH237">
            <v>1</v>
          </cell>
          <cell r="DI237">
            <v>5</v>
          </cell>
          <cell r="DJ237">
            <v>4</v>
          </cell>
          <cell r="DK237">
            <v>1</v>
          </cell>
          <cell r="DL237">
            <v>0</v>
          </cell>
          <cell r="DM237">
            <v>17</v>
          </cell>
          <cell r="DN237">
            <v>1</v>
          </cell>
          <cell r="DO237">
            <v>4</v>
          </cell>
          <cell r="DP237">
            <v>1</v>
          </cell>
          <cell r="DQ237">
            <v>11</v>
          </cell>
          <cell r="DR237">
            <v>0</v>
          </cell>
          <cell r="DS237">
            <v>0</v>
          </cell>
          <cell r="DT237">
            <v>13</v>
          </cell>
          <cell r="DU237">
            <v>2</v>
          </cell>
          <cell r="DV237">
            <v>5</v>
          </cell>
          <cell r="DW237">
            <v>4</v>
          </cell>
          <cell r="DX237">
            <v>0</v>
          </cell>
          <cell r="DY237">
            <v>2</v>
          </cell>
          <cell r="DZ237">
            <v>0</v>
          </cell>
          <cell r="EA237">
            <v>6</v>
          </cell>
          <cell r="EB237">
            <v>1</v>
          </cell>
          <cell r="EC237">
            <v>2</v>
          </cell>
          <cell r="ED237">
            <v>0</v>
          </cell>
          <cell r="EE237">
            <v>0</v>
          </cell>
          <cell r="EF237">
            <v>3</v>
          </cell>
          <cell r="EG237">
            <v>0</v>
          </cell>
          <cell r="EH237">
            <v>0</v>
          </cell>
          <cell r="EI237">
            <v>0</v>
          </cell>
          <cell r="EJ237">
            <v>1</v>
          </cell>
          <cell r="EK237">
            <v>1</v>
          </cell>
          <cell r="EL237">
            <v>2</v>
          </cell>
          <cell r="EM237">
            <v>-4</v>
          </cell>
          <cell r="EN237">
            <v>0</v>
          </cell>
          <cell r="EO237" t="str">
            <v xml:space="preserve">Mens Topeka                                                 </v>
          </cell>
        </row>
        <row r="238">
          <cell r="A238" t="str">
            <v>CN3YM6862009</v>
          </cell>
          <cell r="B238" t="str">
            <v>CN3</v>
          </cell>
          <cell r="C238" t="str">
            <v>YM6862</v>
          </cell>
          <cell r="D238">
            <v>9</v>
          </cell>
          <cell r="E238" t="str">
            <v xml:space="preserve">   </v>
          </cell>
          <cell r="F238">
            <v>80829</v>
          </cell>
          <cell r="G238">
            <v>80901</v>
          </cell>
          <cell r="H238">
            <v>0</v>
          </cell>
          <cell r="I238">
            <v>450</v>
          </cell>
          <cell r="J238">
            <v>354</v>
          </cell>
          <cell r="K238">
            <v>354</v>
          </cell>
          <cell r="L238">
            <v>137</v>
          </cell>
          <cell r="M238">
            <v>137</v>
          </cell>
          <cell r="N238">
            <v>19182150</v>
          </cell>
          <cell r="O238">
            <v>15226602</v>
          </cell>
          <cell r="P238">
            <v>15226602</v>
          </cell>
          <cell r="Q238">
            <v>5892781</v>
          </cell>
          <cell r="R238">
            <v>21992349</v>
          </cell>
          <cell r="S238" t="str">
            <v xml:space="preserve"> </v>
          </cell>
          <cell r="T238" t="str">
            <v xml:space="preserve"> </v>
          </cell>
          <cell r="U238">
            <v>354</v>
          </cell>
          <cell r="V238">
            <v>15226602</v>
          </cell>
          <cell r="W238">
            <v>137</v>
          </cell>
          <cell r="X238">
            <v>5892781</v>
          </cell>
          <cell r="Y238">
            <v>38.700000000000003</v>
          </cell>
          <cell r="Z238">
            <v>38.700000000000003</v>
          </cell>
          <cell r="AA238">
            <v>5849768</v>
          </cell>
          <cell r="AB238">
            <v>43013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217</v>
          </cell>
          <cell r="AN238">
            <v>19183798</v>
          </cell>
          <cell r="AO238">
            <v>42627</v>
          </cell>
          <cell r="AP238">
            <v>43013</v>
          </cell>
          <cell r="AQ238">
            <v>178000</v>
          </cell>
          <cell r="AR238">
            <v>0</v>
          </cell>
          <cell r="AS238">
            <v>4.1399999999999997</v>
          </cell>
          <cell r="AT238">
            <v>63012000</v>
          </cell>
          <cell r="AU238">
            <v>3.76</v>
          </cell>
          <cell r="AV238">
            <v>21985490</v>
          </cell>
          <cell r="AW238">
            <v>0.16</v>
          </cell>
          <cell r="AX238">
            <v>6859</v>
          </cell>
          <cell r="AY238">
            <v>38.700000000000003</v>
          </cell>
          <cell r="AZ238">
            <v>0</v>
          </cell>
          <cell r="BA238">
            <v>136</v>
          </cell>
          <cell r="BB238">
            <v>1</v>
          </cell>
          <cell r="BC238">
            <v>137</v>
          </cell>
          <cell r="BD238">
            <v>0</v>
          </cell>
          <cell r="BE238">
            <v>0</v>
          </cell>
          <cell r="BF238">
            <v>14</v>
          </cell>
          <cell r="BG238">
            <v>1</v>
          </cell>
          <cell r="BH238">
            <v>1</v>
          </cell>
          <cell r="BI238">
            <v>9</v>
          </cell>
          <cell r="BJ238">
            <v>2</v>
          </cell>
          <cell r="BK238">
            <v>3</v>
          </cell>
          <cell r="BL238">
            <v>-1</v>
          </cell>
          <cell r="BM238">
            <v>5</v>
          </cell>
          <cell r="BN238">
            <v>0</v>
          </cell>
          <cell r="BO238">
            <v>0</v>
          </cell>
          <cell r="BP238">
            <v>12</v>
          </cell>
          <cell r="BQ238">
            <v>0</v>
          </cell>
          <cell r="BR238">
            <v>2</v>
          </cell>
          <cell r="BS238">
            <v>2</v>
          </cell>
          <cell r="BT238">
            <v>3</v>
          </cell>
          <cell r="BU238">
            <v>5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45</v>
          </cell>
          <cell r="DN238">
            <v>7</v>
          </cell>
          <cell r="DO238">
            <v>5</v>
          </cell>
          <cell r="DP238">
            <v>3</v>
          </cell>
          <cell r="DQ238">
            <v>26</v>
          </cell>
          <cell r="DR238">
            <v>4</v>
          </cell>
          <cell r="DS238">
            <v>0</v>
          </cell>
          <cell r="DT238">
            <v>48</v>
          </cell>
          <cell r="DU238">
            <v>11</v>
          </cell>
          <cell r="DV238">
            <v>7</v>
          </cell>
          <cell r="DW238">
            <v>8</v>
          </cell>
          <cell r="DX238">
            <v>17</v>
          </cell>
          <cell r="DY238">
            <v>5</v>
          </cell>
          <cell r="DZ238">
            <v>0</v>
          </cell>
          <cell r="EA238">
            <v>13</v>
          </cell>
          <cell r="EB238">
            <v>1</v>
          </cell>
          <cell r="EC238">
            <v>4</v>
          </cell>
          <cell r="ED238">
            <v>4</v>
          </cell>
          <cell r="EE238">
            <v>2</v>
          </cell>
          <cell r="EF238">
            <v>2</v>
          </cell>
          <cell r="EG238">
            <v>0</v>
          </cell>
          <cell r="EH238">
            <v>10</v>
          </cell>
          <cell r="EI238">
            <v>1</v>
          </cell>
          <cell r="EJ238">
            <v>3</v>
          </cell>
          <cell r="EK238">
            <v>2</v>
          </cell>
          <cell r="EL238">
            <v>3</v>
          </cell>
          <cell r="EM238">
            <v>1</v>
          </cell>
          <cell r="EN238">
            <v>0</v>
          </cell>
          <cell r="EO238" t="str">
            <v xml:space="preserve">Mens Hopkins Hollow                                         </v>
          </cell>
        </row>
        <row r="239">
          <cell r="A239" t="str">
            <v>CN3YM6862425</v>
          </cell>
          <cell r="B239" t="str">
            <v>CN3</v>
          </cell>
          <cell r="C239" t="str">
            <v>YM6862</v>
          </cell>
          <cell r="D239">
            <v>425</v>
          </cell>
          <cell r="E239" t="str">
            <v xml:space="preserve">   </v>
          </cell>
          <cell r="F239">
            <v>80829</v>
          </cell>
          <cell r="G239">
            <v>80901</v>
          </cell>
          <cell r="H239">
            <v>0</v>
          </cell>
          <cell r="I239">
            <v>600</v>
          </cell>
          <cell r="J239">
            <v>570</v>
          </cell>
          <cell r="K239">
            <v>567</v>
          </cell>
          <cell r="L239">
            <v>321</v>
          </cell>
          <cell r="M239">
            <v>321</v>
          </cell>
          <cell r="N239">
            <v>25576200</v>
          </cell>
          <cell r="O239">
            <v>24517410</v>
          </cell>
          <cell r="P239">
            <v>24388371</v>
          </cell>
          <cell r="Q239">
            <v>13807173</v>
          </cell>
          <cell r="R239">
            <v>50575320</v>
          </cell>
          <cell r="S239" t="str">
            <v xml:space="preserve"> </v>
          </cell>
          <cell r="T239" t="str">
            <v xml:space="preserve"> </v>
          </cell>
          <cell r="U239">
            <v>570</v>
          </cell>
          <cell r="V239">
            <v>24517410</v>
          </cell>
          <cell r="W239">
            <v>321</v>
          </cell>
          <cell r="X239">
            <v>13807173</v>
          </cell>
          <cell r="Y239">
            <v>56.14</v>
          </cell>
          <cell r="Z239">
            <v>56.14</v>
          </cell>
          <cell r="AA239">
            <v>13807173</v>
          </cell>
          <cell r="AB239">
            <v>0</v>
          </cell>
          <cell r="AC239">
            <v>3</v>
          </cell>
          <cell r="AD239">
            <v>129039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-1</v>
          </cell>
          <cell r="AL239">
            <v>-43013</v>
          </cell>
          <cell r="AM239">
            <v>247</v>
          </cell>
          <cell r="AN239">
            <v>21721565</v>
          </cell>
          <cell r="AO239">
            <v>42627</v>
          </cell>
          <cell r="AP239">
            <v>43013</v>
          </cell>
          <cell r="AQ239">
            <v>178000</v>
          </cell>
          <cell r="AR239">
            <v>0</v>
          </cell>
          <cell r="AS239">
            <v>4.1399999999999997</v>
          </cell>
          <cell r="AT239">
            <v>101460000</v>
          </cell>
          <cell r="AU239">
            <v>3.66</v>
          </cell>
          <cell r="AV239">
            <v>50575320</v>
          </cell>
          <cell r="AW239">
            <v>0</v>
          </cell>
          <cell r="AX239">
            <v>0</v>
          </cell>
          <cell r="AY239">
            <v>56.14</v>
          </cell>
          <cell r="AZ239">
            <v>0</v>
          </cell>
          <cell r="BA239">
            <v>321</v>
          </cell>
          <cell r="BB239">
            <v>0</v>
          </cell>
          <cell r="BC239">
            <v>321</v>
          </cell>
          <cell r="BD239">
            <v>0</v>
          </cell>
          <cell r="BE239">
            <v>0</v>
          </cell>
          <cell r="BF239">
            <v>19</v>
          </cell>
          <cell r="BG239">
            <v>0</v>
          </cell>
          <cell r="BH239">
            <v>1</v>
          </cell>
          <cell r="BI239">
            <v>20</v>
          </cell>
          <cell r="BJ239">
            <v>22</v>
          </cell>
          <cell r="BK239">
            <v>4</v>
          </cell>
          <cell r="BL239">
            <v>-7</v>
          </cell>
          <cell r="BM239">
            <v>0</v>
          </cell>
          <cell r="BN239">
            <v>1</v>
          </cell>
          <cell r="BO239">
            <v>0</v>
          </cell>
          <cell r="BP239">
            <v>9</v>
          </cell>
          <cell r="BQ239">
            <v>0</v>
          </cell>
          <cell r="BR239">
            <v>2</v>
          </cell>
          <cell r="BS239">
            <v>2</v>
          </cell>
          <cell r="BT239">
            <v>3</v>
          </cell>
          <cell r="BU239">
            <v>2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123</v>
          </cell>
          <cell r="DN239">
            <v>11</v>
          </cell>
          <cell r="DO239">
            <v>12</v>
          </cell>
          <cell r="DP239">
            <v>7</v>
          </cell>
          <cell r="DQ239">
            <v>88</v>
          </cell>
          <cell r="DR239">
            <v>5</v>
          </cell>
          <cell r="DS239">
            <v>0</v>
          </cell>
          <cell r="DT239">
            <v>119</v>
          </cell>
          <cell r="DU239">
            <v>20</v>
          </cell>
          <cell r="DV239">
            <v>14</v>
          </cell>
          <cell r="DW239">
            <v>22</v>
          </cell>
          <cell r="DX239">
            <v>23</v>
          </cell>
          <cell r="DY239">
            <v>40</v>
          </cell>
          <cell r="DZ239">
            <v>0</v>
          </cell>
          <cell r="EA239">
            <v>45</v>
          </cell>
          <cell r="EB239">
            <v>5</v>
          </cell>
          <cell r="EC239">
            <v>12</v>
          </cell>
          <cell r="ED239">
            <v>12</v>
          </cell>
          <cell r="EE239">
            <v>8</v>
          </cell>
          <cell r="EF239">
            <v>8</v>
          </cell>
          <cell r="EG239">
            <v>0</v>
          </cell>
          <cell r="EH239">
            <v>5</v>
          </cell>
          <cell r="EI239">
            <v>1</v>
          </cell>
          <cell r="EJ239">
            <v>4</v>
          </cell>
          <cell r="EK239">
            <v>-1</v>
          </cell>
          <cell r="EL239">
            <v>2</v>
          </cell>
          <cell r="EM239">
            <v>-1</v>
          </cell>
          <cell r="EN239">
            <v>0</v>
          </cell>
          <cell r="EO239" t="str">
            <v xml:space="preserve">Mens Hopkins Hollow                                         </v>
          </cell>
        </row>
        <row r="240">
          <cell r="A240" t="str">
            <v>CN3YM6863028</v>
          </cell>
          <cell r="B240" t="str">
            <v>CN3</v>
          </cell>
          <cell r="C240" t="str">
            <v>YM6863</v>
          </cell>
          <cell r="D240">
            <v>28</v>
          </cell>
          <cell r="E240" t="str">
            <v xml:space="preserve">   </v>
          </cell>
          <cell r="F240">
            <v>80904</v>
          </cell>
          <cell r="G240">
            <v>80905</v>
          </cell>
          <cell r="H240">
            <v>90211</v>
          </cell>
          <cell r="I240">
            <v>500</v>
          </cell>
          <cell r="J240">
            <v>513</v>
          </cell>
          <cell r="K240">
            <v>510</v>
          </cell>
          <cell r="L240">
            <v>477</v>
          </cell>
          <cell r="M240">
            <v>477</v>
          </cell>
          <cell r="N240">
            <v>9825000</v>
          </cell>
          <cell r="O240">
            <v>10066086</v>
          </cell>
          <cell r="P240">
            <v>10007220</v>
          </cell>
          <cell r="Q240">
            <v>9359694</v>
          </cell>
          <cell r="R240">
            <v>34779450</v>
          </cell>
          <cell r="S240" t="str">
            <v>*</v>
          </cell>
          <cell r="T240" t="str">
            <v xml:space="preserve"> </v>
          </cell>
          <cell r="U240">
            <v>513</v>
          </cell>
          <cell r="V240">
            <v>10066086</v>
          </cell>
          <cell r="W240">
            <v>477</v>
          </cell>
          <cell r="X240">
            <v>9359694</v>
          </cell>
          <cell r="Y240">
            <v>92.98</v>
          </cell>
          <cell r="Z240">
            <v>92.98</v>
          </cell>
          <cell r="AA240">
            <v>9163474</v>
          </cell>
          <cell r="AB240">
            <v>196220</v>
          </cell>
          <cell r="AC240">
            <v>3</v>
          </cell>
          <cell r="AD240">
            <v>58866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33</v>
          </cell>
          <cell r="AN240">
            <v>1628626</v>
          </cell>
          <cell r="AO240">
            <v>19650</v>
          </cell>
          <cell r="AP240">
            <v>19622</v>
          </cell>
          <cell r="AQ240">
            <v>83000</v>
          </cell>
          <cell r="AR240">
            <v>49000</v>
          </cell>
          <cell r="AS240">
            <v>4.2300000000000004</v>
          </cell>
          <cell r="AT240">
            <v>42579000</v>
          </cell>
          <cell r="AU240">
            <v>3.74</v>
          </cell>
          <cell r="AV240">
            <v>34289450</v>
          </cell>
          <cell r="AW240">
            <v>2.5</v>
          </cell>
          <cell r="AX240">
            <v>490000</v>
          </cell>
          <cell r="AY240">
            <v>92.98</v>
          </cell>
          <cell r="AZ240">
            <v>0</v>
          </cell>
          <cell r="BA240">
            <v>467</v>
          </cell>
          <cell r="BB240">
            <v>10</v>
          </cell>
          <cell r="BC240">
            <v>477</v>
          </cell>
          <cell r="BD240">
            <v>0</v>
          </cell>
          <cell r="BE240">
            <v>0</v>
          </cell>
          <cell r="BF240">
            <v>30</v>
          </cell>
          <cell r="BG240">
            <v>1</v>
          </cell>
          <cell r="BH240">
            <v>1</v>
          </cell>
          <cell r="BI240">
            <v>8</v>
          </cell>
          <cell r="BJ240">
            <v>0</v>
          </cell>
          <cell r="BK240">
            <v>3</v>
          </cell>
          <cell r="BL240">
            <v>1</v>
          </cell>
          <cell r="BM240">
            <v>1</v>
          </cell>
          <cell r="BN240">
            <v>3</v>
          </cell>
          <cell r="BO240">
            <v>0</v>
          </cell>
          <cell r="BP240">
            <v>14</v>
          </cell>
          <cell r="BQ240">
            <v>2</v>
          </cell>
          <cell r="BR240">
            <v>2</v>
          </cell>
          <cell r="BS240">
            <v>3</v>
          </cell>
          <cell r="BT240">
            <v>4</v>
          </cell>
          <cell r="BU240">
            <v>3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311</v>
          </cell>
          <cell r="DN240">
            <v>37</v>
          </cell>
          <cell r="DO240">
            <v>78</v>
          </cell>
          <cell r="DP240">
            <v>42</v>
          </cell>
          <cell r="DQ240">
            <v>143</v>
          </cell>
          <cell r="DR240">
            <v>11</v>
          </cell>
          <cell r="DS240">
            <v>0</v>
          </cell>
          <cell r="DT240">
            <v>116</v>
          </cell>
          <cell r="DU240">
            <v>28</v>
          </cell>
          <cell r="DV240">
            <v>24</v>
          </cell>
          <cell r="DW240">
            <v>27</v>
          </cell>
          <cell r="DX240">
            <v>30</v>
          </cell>
          <cell r="DY240">
            <v>7</v>
          </cell>
          <cell r="DZ240">
            <v>0</v>
          </cell>
          <cell r="EA240">
            <v>20</v>
          </cell>
          <cell r="EB240">
            <v>8</v>
          </cell>
          <cell r="EC240">
            <v>7</v>
          </cell>
          <cell r="ED240">
            <v>-1</v>
          </cell>
          <cell r="EE240">
            <v>4</v>
          </cell>
          <cell r="EF240">
            <v>2</v>
          </cell>
          <cell r="EG240">
            <v>0</v>
          </cell>
          <cell r="EH240">
            <v>8</v>
          </cell>
          <cell r="EI240">
            <v>1</v>
          </cell>
          <cell r="EJ240">
            <v>1</v>
          </cell>
          <cell r="EK240">
            <v>2</v>
          </cell>
          <cell r="EL240">
            <v>4</v>
          </cell>
          <cell r="EM240">
            <v>0</v>
          </cell>
          <cell r="EN240">
            <v>0</v>
          </cell>
          <cell r="EO240" t="str">
            <v xml:space="preserve">Mens Joppa                                                  </v>
          </cell>
        </row>
        <row r="241">
          <cell r="A241" t="str">
            <v>CN3YM6863861</v>
          </cell>
          <cell r="B241" t="str">
            <v>CN3</v>
          </cell>
          <cell r="C241" t="str">
            <v>YM6863</v>
          </cell>
          <cell r="D241">
            <v>861</v>
          </cell>
          <cell r="E241" t="str">
            <v xml:space="preserve">   </v>
          </cell>
          <cell r="F241">
            <v>80904</v>
          </cell>
          <cell r="G241">
            <v>80905</v>
          </cell>
          <cell r="H241">
            <v>90211</v>
          </cell>
          <cell r="I241">
            <v>400</v>
          </cell>
          <cell r="J241">
            <v>410</v>
          </cell>
          <cell r="K241">
            <v>407</v>
          </cell>
          <cell r="L241">
            <v>288</v>
          </cell>
          <cell r="M241">
            <v>288</v>
          </cell>
          <cell r="N241">
            <v>7860000</v>
          </cell>
          <cell r="O241">
            <v>8045020</v>
          </cell>
          <cell r="P241">
            <v>7986154</v>
          </cell>
          <cell r="Q241">
            <v>5651136</v>
          </cell>
          <cell r="R241">
            <v>20591385</v>
          </cell>
          <cell r="S241" t="str">
            <v>*</v>
          </cell>
          <cell r="T241" t="str">
            <v xml:space="preserve"> </v>
          </cell>
          <cell r="U241">
            <v>410</v>
          </cell>
          <cell r="V241">
            <v>8045020</v>
          </cell>
          <cell r="W241">
            <v>288</v>
          </cell>
          <cell r="X241">
            <v>5651136</v>
          </cell>
          <cell r="Y241">
            <v>69.760000000000005</v>
          </cell>
          <cell r="Z241">
            <v>69.27</v>
          </cell>
          <cell r="AA241">
            <v>5258696</v>
          </cell>
          <cell r="AB241">
            <v>392440</v>
          </cell>
          <cell r="AC241">
            <v>3</v>
          </cell>
          <cell r="AD241">
            <v>58866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-2</v>
          </cell>
          <cell r="AL241">
            <v>-78488</v>
          </cell>
          <cell r="AM241">
            <v>121</v>
          </cell>
          <cell r="AN241">
            <v>5199830</v>
          </cell>
          <cell r="AO241">
            <v>19650</v>
          </cell>
          <cell r="AP241">
            <v>19622</v>
          </cell>
          <cell r="AQ241">
            <v>83000</v>
          </cell>
          <cell r="AR241">
            <v>49000</v>
          </cell>
          <cell r="AS241">
            <v>4.2300000000000004</v>
          </cell>
          <cell r="AT241">
            <v>34030000</v>
          </cell>
          <cell r="AU241">
            <v>3.73</v>
          </cell>
          <cell r="AV241">
            <v>19611385</v>
          </cell>
          <cell r="AW241">
            <v>2.5</v>
          </cell>
          <cell r="AX241">
            <v>980000</v>
          </cell>
          <cell r="AY241">
            <v>69.760000000000005</v>
          </cell>
          <cell r="AZ241">
            <v>0</v>
          </cell>
          <cell r="BA241">
            <v>268</v>
          </cell>
          <cell r="BB241">
            <v>20</v>
          </cell>
          <cell r="BC241">
            <v>288</v>
          </cell>
          <cell r="BD241">
            <v>0</v>
          </cell>
          <cell r="BE241">
            <v>0</v>
          </cell>
          <cell r="BF241">
            <v>40</v>
          </cell>
          <cell r="BG241">
            <v>0</v>
          </cell>
          <cell r="BH241">
            <v>1</v>
          </cell>
          <cell r="BI241">
            <v>11</v>
          </cell>
          <cell r="BJ241">
            <v>0</v>
          </cell>
          <cell r="BK241">
            <v>1</v>
          </cell>
          <cell r="BL241">
            <v>3</v>
          </cell>
          <cell r="BM241">
            <v>5</v>
          </cell>
          <cell r="BN241">
            <v>2</v>
          </cell>
          <cell r="BO241">
            <v>0</v>
          </cell>
          <cell r="BP241">
            <v>20</v>
          </cell>
          <cell r="BQ241">
            <v>-2</v>
          </cell>
          <cell r="BR241">
            <v>5</v>
          </cell>
          <cell r="BS241">
            <v>7</v>
          </cell>
          <cell r="BT241">
            <v>6</v>
          </cell>
          <cell r="BU241">
            <v>4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138</v>
          </cell>
          <cell r="DN241">
            <v>12</v>
          </cell>
          <cell r="DO241">
            <v>30</v>
          </cell>
          <cell r="DP241">
            <v>19</v>
          </cell>
          <cell r="DQ241">
            <v>74</v>
          </cell>
          <cell r="DR241">
            <v>3</v>
          </cell>
          <cell r="DS241">
            <v>0</v>
          </cell>
          <cell r="DT241">
            <v>78</v>
          </cell>
          <cell r="DU241">
            <v>26</v>
          </cell>
          <cell r="DV241">
            <v>11</v>
          </cell>
          <cell r="DW241">
            <v>19</v>
          </cell>
          <cell r="DX241">
            <v>18</v>
          </cell>
          <cell r="DY241">
            <v>4</v>
          </cell>
          <cell r="DZ241">
            <v>0</v>
          </cell>
          <cell r="EA241">
            <v>27</v>
          </cell>
          <cell r="EB241">
            <v>3</v>
          </cell>
          <cell r="EC241">
            <v>7</v>
          </cell>
          <cell r="ED241">
            <v>9</v>
          </cell>
          <cell r="EE241">
            <v>6</v>
          </cell>
          <cell r="EF241">
            <v>2</v>
          </cell>
          <cell r="EG241">
            <v>0</v>
          </cell>
          <cell r="EH241">
            <v>14</v>
          </cell>
          <cell r="EI241">
            <v>2</v>
          </cell>
          <cell r="EJ241">
            <v>4</v>
          </cell>
          <cell r="EK241">
            <v>1</v>
          </cell>
          <cell r="EL241">
            <v>4</v>
          </cell>
          <cell r="EM241">
            <v>3</v>
          </cell>
          <cell r="EN241">
            <v>0</v>
          </cell>
          <cell r="EO241" t="str">
            <v xml:space="preserve">Mens Joppa                                                  </v>
          </cell>
        </row>
        <row r="242">
          <cell r="A242" t="str">
            <v>CN3YM6885010</v>
          </cell>
          <cell r="B242" t="str">
            <v>CN3</v>
          </cell>
          <cell r="C242" t="str">
            <v>YM6885</v>
          </cell>
          <cell r="D242">
            <v>10</v>
          </cell>
          <cell r="E242" t="str">
            <v xml:space="preserve">   </v>
          </cell>
          <cell r="F242">
            <v>80819</v>
          </cell>
          <cell r="G242">
            <v>80823</v>
          </cell>
          <cell r="H242">
            <v>0</v>
          </cell>
          <cell r="I242">
            <v>500</v>
          </cell>
          <cell r="J242">
            <v>518</v>
          </cell>
          <cell r="K242">
            <v>518</v>
          </cell>
          <cell r="L242">
            <v>377</v>
          </cell>
          <cell r="M242">
            <v>377</v>
          </cell>
          <cell r="N242">
            <v>9975000</v>
          </cell>
          <cell r="O242">
            <v>10322704</v>
          </cell>
          <cell r="P242">
            <v>10322704</v>
          </cell>
          <cell r="Q242">
            <v>7512856</v>
          </cell>
          <cell r="R242">
            <v>30657713</v>
          </cell>
          <cell r="S242" t="str">
            <v xml:space="preserve"> </v>
          </cell>
          <cell r="T242" t="str">
            <v xml:space="preserve"> </v>
          </cell>
          <cell r="U242">
            <v>518</v>
          </cell>
          <cell r="V242">
            <v>10322704</v>
          </cell>
          <cell r="W242">
            <v>377</v>
          </cell>
          <cell r="X242">
            <v>7512856</v>
          </cell>
          <cell r="Y242">
            <v>72.78</v>
          </cell>
          <cell r="Z242">
            <v>72.78</v>
          </cell>
          <cell r="AA242">
            <v>7473000</v>
          </cell>
          <cell r="AB242">
            <v>39856</v>
          </cell>
          <cell r="AC242">
            <v>0</v>
          </cell>
          <cell r="AD242">
            <v>59784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141</v>
          </cell>
          <cell r="AN242">
            <v>5938544</v>
          </cell>
          <cell r="AO242">
            <v>19950</v>
          </cell>
          <cell r="AP242">
            <v>19928</v>
          </cell>
          <cell r="AQ242">
            <v>89000</v>
          </cell>
          <cell r="AR242">
            <v>0</v>
          </cell>
          <cell r="AS242">
            <v>4.47</v>
          </cell>
          <cell r="AT242">
            <v>46102000</v>
          </cell>
          <cell r="AU242">
            <v>4.0999999999999996</v>
          </cell>
          <cell r="AV242">
            <v>30643995</v>
          </cell>
          <cell r="AW242">
            <v>0.34</v>
          </cell>
          <cell r="AX242">
            <v>13718</v>
          </cell>
          <cell r="AY242">
            <v>72.78</v>
          </cell>
          <cell r="AZ242">
            <v>0</v>
          </cell>
          <cell r="BA242">
            <v>375</v>
          </cell>
          <cell r="BB242">
            <v>2</v>
          </cell>
          <cell r="BC242">
            <v>377</v>
          </cell>
          <cell r="BD242">
            <v>0</v>
          </cell>
          <cell r="BE242">
            <v>0</v>
          </cell>
          <cell r="BF242">
            <v>29</v>
          </cell>
          <cell r="BG242">
            <v>1</v>
          </cell>
          <cell r="BH242">
            <v>1</v>
          </cell>
          <cell r="BI242">
            <v>40</v>
          </cell>
          <cell r="BJ242">
            <v>3</v>
          </cell>
          <cell r="BK242">
            <v>1</v>
          </cell>
          <cell r="BL242">
            <v>30</v>
          </cell>
          <cell r="BM242">
            <v>6</v>
          </cell>
          <cell r="BN242">
            <v>0</v>
          </cell>
          <cell r="BO242">
            <v>0</v>
          </cell>
          <cell r="BP242">
            <v>19</v>
          </cell>
          <cell r="BQ242">
            <v>3</v>
          </cell>
          <cell r="BR242">
            <v>4</v>
          </cell>
          <cell r="BS242">
            <v>4</v>
          </cell>
          <cell r="BT242">
            <v>8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8</v>
          </cell>
          <cell r="DG242">
            <v>0</v>
          </cell>
          <cell r="DH242">
            <v>0</v>
          </cell>
          <cell r="DI242">
            <v>0</v>
          </cell>
          <cell r="DJ242">
            <v>1</v>
          </cell>
          <cell r="DK242">
            <v>7</v>
          </cell>
          <cell r="DL242">
            <v>0</v>
          </cell>
          <cell r="DM242">
            <v>111</v>
          </cell>
          <cell r="DN242">
            <v>11</v>
          </cell>
          <cell r="DO242">
            <v>8</v>
          </cell>
          <cell r="DP242">
            <v>11</v>
          </cell>
          <cell r="DQ242">
            <v>70</v>
          </cell>
          <cell r="DR242">
            <v>11</v>
          </cell>
          <cell r="DS242">
            <v>0</v>
          </cell>
          <cell r="DT242">
            <v>130</v>
          </cell>
          <cell r="DU242">
            <v>33</v>
          </cell>
          <cell r="DV242">
            <v>31</v>
          </cell>
          <cell r="DW242">
            <v>27</v>
          </cell>
          <cell r="DX242">
            <v>23</v>
          </cell>
          <cell r="DY242">
            <v>16</v>
          </cell>
          <cell r="DZ242">
            <v>0</v>
          </cell>
          <cell r="EA242">
            <v>49</v>
          </cell>
          <cell r="EB242">
            <v>9</v>
          </cell>
          <cell r="EC242">
            <v>22</v>
          </cell>
          <cell r="ED242">
            <v>12</v>
          </cell>
          <cell r="EE242">
            <v>3</v>
          </cell>
          <cell r="EF242">
            <v>3</v>
          </cell>
          <cell r="EG242">
            <v>0</v>
          </cell>
          <cell r="EH242">
            <v>20</v>
          </cell>
          <cell r="EI242">
            <v>7</v>
          </cell>
          <cell r="EJ242">
            <v>3</v>
          </cell>
          <cell r="EK242">
            <v>4</v>
          </cell>
          <cell r="EL242">
            <v>7</v>
          </cell>
          <cell r="EM242">
            <v>-1</v>
          </cell>
          <cell r="EN242">
            <v>0</v>
          </cell>
          <cell r="EO242" t="str">
            <v xml:space="preserve">Mens Windsor                                                </v>
          </cell>
        </row>
        <row r="243">
          <cell r="A243" t="str">
            <v>CN3YM6885249</v>
          </cell>
          <cell r="B243" t="str">
            <v>CN3</v>
          </cell>
          <cell r="C243" t="str">
            <v>YM6885</v>
          </cell>
          <cell r="D243">
            <v>249</v>
          </cell>
          <cell r="E243" t="str">
            <v xml:space="preserve">   </v>
          </cell>
          <cell r="F243">
            <v>80819</v>
          </cell>
          <cell r="G243">
            <v>80823</v>
          </cell>
          <cell r="H243">
            <v>0</v>
          </cell>
          <cell r="I243">
            <v>400</v>
          </cell>
          <cell r="J243">
            <v>401</v>
          </cell>
          <cell r="K243">
            <v>401</v>
          </cell>
          <cell r="L243">
            <v>318</v>
          </cell>
          <cell r="M243">
            <v>318</v>
          </cell>
          <cell r="N243">
            <v>7980000</v>
          </cell>
          <cell r="O243">
            <v>7991128</v>
          </cell>
          <cell r="P243">
            <v>7991128</v>
          </cell>
          <cell r="Q243">
            <v>6337104</v>
          </cell>
          <cell r="R243">
            <v>23533722</v>
          </cell>
          <cell r="S243" t="str">
            <v xml:space="preserve"> </v>
          </cell>
          <cell r="T243" t="str">
            <v xml:space="preserve"> </v>
          </cell>
          <cell r="U243">
            <v>401</v>
          </cell>
          <cell r="V243">
            <v>7991128</v>
          </cell>
          <cell r="W243">
            <v>318</v>
          </cell>
          <cell r="X243">
            <v>6337104</v>
          </cell>
          <cell r="Y243">
            <v>79.3</v>
          </cell>
          <cell r="Z243">
            <v>79.3</v>
          </cell>
          <cell r="AA243">
            <v>6177680</v>
          </cell>
          <cell r="AB243">
            <v>159424</v>
          </cell>
          <cell r="AC243">
            <v>0</v>
          </cell>
          <cell r="AD243">
            <v>19928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83</v>
          </cell>
          <cell r="AN243">
            <v>3487400</v>
          </cell>
          <cell r="AO243">
            <v>19950</v>
          </cell>
          <cell r="AP243">
            <v>19928</v>
          </cell>
          <cell r="AQ243">
            <v>89000</v>
          </cell>
          <cell r="AR243">
            <v>0</v>
          </cell>
          <cell r="AS243">
            <v>4.47</v>
          </cell>
          <cell r="AT243">
            <v>35689000</v>
          </cell>
          <cell r="AU243">
            <v>3.8</v>
          </cell>
          <cell r="AV243">
            <v>23478850</v>
          </cell>
          <cell r="AW243">
            <v>0.34</v>
          </cell>
          <cell r="AX243">
            <v>54872</v>
          </cell>
          <cell r="AY243">
            <v>79.3</v>
          </cell>
          <cell r="AZ243">
            <v>0</v>
          </cell>
          <cell r="BA243">
            <v>310</v>
          </cell>
          <cell r="BB243">
            <v>8</v>
          </cell>
          <cell r="BC243">
            <v>318</v>
          </cell>
          <cell r="BD243">
            <v>0</v>
          </cell>
          <cell r="BE243">
            <v>0</v>
          </cell>
          <cell r="BF243">
            <v>12</v>
          </cell>
          <cell r="BG243">
            <v>0</v>
          </cell>
          <cell r="BH243">
            <v>1</v>
          </cell>
          <cell r="BI243">
            <v>84</v>
          </cell>
          <cell r="BJ243">
            <v>84</v>
          </cell>
          <cell r="BK243">
            <v>0</v>
          </cell>
          <cell r="BL243">
            <v>-2</v>
          </cell>
          <cell r="BM243">
            <v>1</v>
          </cell>
          <cell r="BN243">
            <v>1</v>
          </cell>
          <cell r="BO243">
            <v>0</v>
          </cell>
          <cell r="BP243">
            <v>10</v>
          </cell>
          <cell r="BQ243">
            <v>0</v>
          </cell>
          <cell r="BR243">
            <v>-1</v>
          </cell>
          <cell r="BS243">
            <v>5</v>
          </cell>
          <cell r="BT243">
            <v>5</v>
          </cell>
          <cell r="BU243">
            <v>1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18</v>
          </cell>
          <cell r="DG243">
            <v>0</v>
          </cell>
          <cell r="DH243">
            <v>0</v>
          </cell>
          <cell r="DI243">
            <v>0</v>
          </cell>
          <cell r="DJ243">
            <v>2</v>
          </cell>
          <cell r="DK243">
            <v>16</v>
          </cell>
          <cell r="DL243">
            <v>0</v>
          </cell>
          <cell r="DM243">
            <v>98</v>
          </cell>
          <cell r="DN243">
            <v>22</v>
          </cell>
          <cell r="DO243">
            <v>15</v>
          </cell>
          <cell r="DP243">
            <v>3</v>
          </cell>
          <cell r="DQ243">
            <v>54</v>
          </cell>
          <cell r="DR243">
            <v>4</v>
          </cell>
          <cell r="DS243">
            <v>0</v>
          </cell>
          <cell r="DT243">
            <v>72</v>
          </cell>
          <cell r="DU243">
            <v>15</v>
          </cell>
          <cell r="DV243">
            <v>20</v>
          </cell>
          <cell r="DW243">
            <v>18</v>
          </cell>
          <cell r="DX243">
            <v>8</v>
          </cell>
          <cell r="DY243">
            <v>11</v>
          </cell>
          <cell r="DZ243">
            <v>0</v>
          </cell>
          <cell r="EA243">
            <v>17</v>
          </cell>
          <cell r="EB243">
            <v>4</v>
          </cell>
          <cell r="EC243">
            <v>2</v>
          </cell>
          <cell r="ED243">
            <v>10</v>
          </cell>
          <cell r="EE243">
            <v>0</v>
          </cell>
          <cell r="EF243">
            <v>1</v>
          </cell>
          <cell r="EG243">
            <v>0</v>
          </cell>
          <cell r="EH243">
            <v>19</v>
          </cell>
          <cell r="EI243">
            <v>3</v>
          </cell>
          <cell r="EJ243">
            <v>13</v>
          </cell>
          <cell r="EK243">
            <v>2</v>
          </cell>
          <cell r="EL243">
            <v>0</v>
          </cell>
          <cell r="EM243">
            <v>1</v>
          </cell>
          <cell r="EN243">
            <v>0</v>
          </cell>
          <cell r="EO243" t="str">
            <v xml:space="preserve">Mens Windsor                                                </v>
          </cell>
        </row>
        <row r="244">
          <cell r="A244" t="str">
            <v>CN3YM6889038</v>
          </cell>
          <cell r="B244" t="str">
            <v>CN3</v>
          </cell>
          <cell r="C244" t="str">
            <v>YM6889</v>
          </cell>
          <cell r="D244">
            <v>38</v>
          </cell>
          <cell r="E244" t="str">
            <v xml:space="preserve">   </v>
          </cell>
          <cell r="F244">
            <v>80702</v>
          </cell>
          <cell r="G244">
            <v>80704</v>
          </cell>
          <cell r="H244">
            <v>90130</v>
          </cell>
          <cell r="I244">
            <v>0</v>
          </cell>
          <cell r="J244">
            <v>614</v>
          </cell>
          <cell r="K244">
            <v>579</v>
          </cell>
          <cell r="L244">
            <v>128</v>
          </cell>
          <cell r="M244">
            <v>128</v>
          </cell>
          <cell r="N244">
            <v>0</v>
          </cell>
          <cell r="O244">
            <v>12671118</v>
          </cell>
          <cell r="P244">
            <v>11948823</v>
          </cell>
          <cell r="Q244">
            <v>2641536</v>
          </cell>
          <cell r="R244">
            <v>8517450</v>
          </cell>
          <cell r="S244" t="str">
            <v>*</v>
          </cell>
          <cell r="T244" t="str">
            <v>C</v>
          </cell>
          <cell r="U244">
            <v>614</v>
          </cell>
          <cell r="V244">
            <v>12671118</v>
          </cell>
          <cell r="W244">
            <v>128</v>
          </cell>
          <cell r="X244">
            <v>2641536</v>
          </cell>
          <cell r="Y244">
            <v>21.01</v>
          </cell>
          <cell r="Z244">
            <v>21.17</v>
          </cell>
          <cell r="AA244">
            <v>1547775</v>
          </cell>
          <cell r="AB244">
            <v>1093761</v>
          </cell>
          <cell r="AC244">
            <v>35</v>
          </cell>
          <cell r="AD244">
            <v>6005367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1</v>
          </cell>
          <cell r="AL244">
            <v>41274</v>
          </cell>
          <cell r="AM244">
            <v>450</v>
          </cell>
          <cell r="AN244">
            <v>15085647</v>
          </cell>
          <cell r="AO244">
            <v>20650</v>
          </cell>
          <cell r="AP244">
            <v>20637</v>
          </cell>
          <cell r="AQ244">
            <v>85000</v>
          </cell>
          <cell r="AR244">
            <v>51000</v>
          </cell>
          <cell r="AS244">
            <v>4.12</v>
          </cell>
          <cell r="AT244">
            <v>52190000</v>
          </cell>
          <cell r="AU244">
            <v>3.76</v>
          </cell>
          <cell r="AV244">
            <v>5814450</v>
          </cell>
          <cell r="AW244">
            <v>2.4700000000000002</v>
          </cell>
          <cell r="AX244">
            <v>2703000</v>
          </cell>
          <cell r="AY244">
            <v>21.01</v>
          </cell>
          <cell r="AZ244">
            <v>0</v>
          </cell>
          <cell r="BA244">
            <v>75</v>
          </cell>
          <cell r="BB244">
            <v>53</v>
          </cell>
          <cell r="BC244">
            <v>128</v>
          </cell>
          <cell r="BD244">
            <v>0</v>
          </cell>
          <cell r="BE244">
            <v>0</v>
          </cell>
          <cell r="BF244">
            <v>62</v>
          </cell>
          <cell r="BG244">
            <v>1</v>
          </cell>
          <cell r="BH244">
            <v>1</v>
          </cell>
          <cell r="BI244">
            <v>-2</v>
          </cell>
          <cell r="BJ244">
            <v>0</v>
          </cell>
          <cell r="BK244">
            <v>-1</v>
          </cell>
          <cell r="BL244">
            <v>-1</v>
          </cell>
          <cell r="BM244">
            <v>0</v>
          </cell>
          <cell r="BN244">
            <v>0</v>
          </cell>
          <cell r="BO244">
            <v>0</v>
          </cell>
          <cell r="BP244">
            <v>52</v>
          </cell>
          <cell r="BQ244">
            <v>0</v>
          </cell>
          <cell r="BR244">
            <v>5</v>
          </cell>
          <cell r="BS244">
            <v>23</v>
          </cell>
          <cell r="BT244">
            <v>9</v>
          </cell>
          <cell r="BU244">
            <v>15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19</v>
          </cell>
          <cell r="CZ244">
            <v>7</v>
          </cell>
          <cell r="DA244">
            <v>4</v>
          </cell>
          <cell r="DB244">
            <v>3</v>
          </cell>
          <cell r="DC244">
            <v>4</v>
          </cell>
          <cell r="DD244">
            <v>1</v>
          </cell>
          <cell r="DE244">
            <v>0</v>
          </cell>
          <cell r="DF244">
            <v>26</v>
          </cell>
          <cell r="DG244">
            <v>4</v>
          </cell>
          <cell r="DH244">
            <v>5</v>
          </cell>
          <cell r="DI244">
            <v>5</v>
          </cell>
          <cell r="DJ244">
            <v>7</v>
          </cell>
          <cell r="DK244">
            <v>5</v>
          </cell>
          <cell r="DL244">
            <v>0</v>
          </cell>
          <cell r="DM244">
            <v>20</v>
          </cell>
          <cell r="DN244">
            <v>4</v>
          </cell>
          <cell r="DO244">
            <v>6</v>
          </cell>
          <cell r="DP244">
            <v>2</v>
          </cell>
          <cell r="DQ244">
            <v>8</v>
          </cell>
          <cell r="DR244">
            <v>0</v>
          </cell>
          <cell r="DS244">
            <v>0</v>
          </cell>
          <cell r="DT244">
            <v>10</v>
          </cell>
          <cell r="DU244">
            <v>2</v>
          </cell>
          <cell r="DV244">
            <v>4</v>
          </cell>
          <cell r="DW244">
            <v>2</v>
          </cell>
          <cell r="DX244">
            <v>2</v>
          </cell>
          <cell r="DY244">
            <v>0</v>
          </cell>
          <cell r="DZ244">
            <v>0</v>
          </cell>
          <cell r="EA244">
            <v>3</v>
          </cell>
          <cell r="EB244">
            <v>0</v>
          </cell>
          <cell r="EC244">
            <v>1</v>
          </cell>
          <cell r="ED244">
            <v>1</v>
          </cell>
          <cell r="EE244">
            <v>1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 t="str">
            <v xml:space="preserve">  Pearl City                                                </v>
          </cell>
        </row>
        <row r="245">
          <cell r="A245" t="str">
            <v>CN3YM6889331</v>
          </cell>
          <cell r="B245" t="str">
            <v>CN3</v>
          </cell>
          <cell r="C245" t="str">
            <v>YM6889</v>
          </cell>
          <cell r="D245">
            <v>331</v>
          </cell>
          <cell r="E245" t="str">
            <v xml:space="preserve">   </v>
          </cell>
          <cell r="F245">
            <v>80702</v>
          </cell>
          <cell r="G245">
            <v>80704</v>
          </cell>
          <cell r="H245">
            <v>90130</v>
          </cell>
          <cell r="I245">
            <v>0</v>
          </cell>
          <cell r="J245">
            <v>514</v>
          </cell>
          <cell r="K245">
            <v>507</v>
          </cell>
          <cell r="L245">
            <v>146</v>
          </cell>
          <cell r="M245">
            <v>146</v>
          </cell>
          <cell r="N245">
            <v>0</v>
          </cell>
          <cell r="O245">
            <v>10607418</v>
          </cell>
          <cell r="P245">
            <v>10462959</v>
          </cell>
          <cell r="Q245">
            <v>3013002</v>
          </cell>
          <cell r="R245">
            <v>9781000</v>
          </cell>
          <cell r="S245" t="str">
            <v>*</v>
          </cell>
          <cell r="T245" t="str">
            <v>C</v>
          </cell>
          <cell r="U245">
            <v>514</v>
          </cell>
          <cell r="V245">
            <v>10607418</v>
          </cell>
          <cell r="W245">
            <v>146</v>
          </cell>
          <cell r="X245">
            <v>3013002</v>
          </cell>
          <cell r="Y245">
            <v>28.79</v>
          </cell>
          <cell r="Z245">
            <v>29.18</v>
          </cell>
          <cell r="AA245">
            <v>1857330</v>
          </cell>
          <cell r="AB245">
            <v>1155672</v>
          </cell>
          <cell r="AC245">
            <v>7</v>
          </cell>
          <cell r="AD245">
            <v>4127400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2</v>
          </cell>
          <cell r="AL245">
            <v>82548</v>
          </cell>
          <cell r="AM245">
            <v>359</v>
          </cell>
          <cell r="AN245">
            <v>12113919</v>
          </cell>
          <cell r="AO245">
            <v>20650</v>
          </cell>
          <cell r="AP245">
            <v>20637</v>
          </cell>
          <cell r="AQ245">
            <v>85000</v>
          </cell>
          <cell r="AR245">
            <v>51000</v>
          </cell>
          <cell r="AS245">
            <v>4.12</v>
          </cell>
          <cell r="AT245">
            <v>43690000</v>
          </cell>
          <cell r="AU245">
            <v>3.73</v>
          </cell>
          <cell r="AV245">
            <v>6925000</v>
          </cell>
          <cell r="AW245">
            <v>2.4700000000000002</v>
          </cell>
          <cell r="AX245">
            <v>2856000</v>
          </cell>
          <cell r="AY245">
            <v>28.79</v>
          </cell>
          <cell r="AZ245">
            <v>0</v>
          </cell>
          <cell r="BA245">
            <v>90</v>
          </cell>
          <cell r="BB245">
            <v>56</v>
          </cell>
          <cell r="BC245">
            <v>146</v>
          </cell>
          <cell r="BD245">
            <v>0</v>
          </cell>
          <cell r="BE245">
            <v>0</v>
          </cell>
          <cell r="BF245">
            <v>75</v>
          </cell>
          <cell r="BG245">
            <v>0</v>
          </cell>
          <cell r="BH245">
            <v>1</v>
          </cell>
          <cell r="BI245">
            <v>0</v>
          </cell>
          <cell r="BJ245">
            <v>0</v>
          </cell>
          <cell r="BK245">
            <v>-1</v>
          </cell>
          <cell r="BL245">
            <v>1</v>
          </cell>
          <cell r="BM245">
            <v>0</v>
          </cell>
          <cell r="BN245">
            <v>0</v>
          </cell>
          <cell r="BO245">
            <v>0</v>
          </cell>
          <cell r="BP245">
            <v>55</v>
          </cell>
          <cell r="BQ245">
            <v>0</v>
          </cell>
          <cell r="BR245">
            <v>7</v>
          </cell>
          <cell r="BS245">
            <v>27</v>
          </cell>
          <cell r="BT245">
            <v>15</v>
          </cell>
          <cell r="BU245">
            <v>6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35</v>
          </cell>
          <cell r="CZ245">
            <v>9</v>
          </cell>
          <cell r="DA245">
            <v>13</v>
          </cell>
          <cell r="DB245">
            <v>9</v>
          </cell>
          <cell r="DC245">
            <v>3</v>
          </cell>
          <cell r="DD245">
            <v>1</v>
          </cell>
          <cell r="DE245">
            <v>0</v>
          </cell>
          <cell r="DF245">
            <v>20</v>
          </cell>
          <cell r="DG245">
            <v>2</v>
          </cell>
          <cell r="DH245">
            <v>6</v>
          </cell>
          <cell r="DI245">
            <v>5</v>
          </cell>
          <cell r="DJ245">
            <v>3</v>
          </cell>
          <cell r="DK245">
            <v>4</v>
          </cell>
          <cell r="DL245">
            <v>0</v>
          </cell>
          <cell r="DM245">
            <v>30</v>
          </cell>
          <cell r="DN245">
            <v>6</v>
          </cell>
          <cell r="DO245">
            <v>5</v>
          </cell>
          <cell r="DP245">
            <v>8</v>
          </cell>
          <cell r="DQ245">
            <v>13</v>
          </cell>
          <cell r="DR245">
            <v>-2</v>
          </cell>
          <cell r="DS245">
            <v>0</v>
          </cell>
          <cell r="DT245">
            <v>8</v>
          </cell>
          <cell r="DU245">
            <v>1</v>
          </cell>
          <cell r="DV245">
            <v>1</v>
          </cell>
          <cell r="DW245">
            <v>1</v>
          </cell>
          <cell r="DX245">
            <v>3</v>
          </cell>
          <cell r="DY245">
            <v>2</v>
          </cell>
          <cell r="DZ245">
            <v>0</v>
          </cell>
          <cell r="EA245">
            <v>-2</v>
          </cell>
          <cell r="EB245">
            <v>0</v>
          </cell>
          <cell r="EC245">
            <v>0</v>
          </cell>
          <cell r="ED245">
            <v>-2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 t="str">
            <v xml:space="preserve">  Pearl City                                                </v>
          </cell>
        </row>
        <row r="246">
          <cell r="A246" t="str">
            <v>CN3YM6889419</v>
          </cell>
          <cell r="B246" t="str">
            <v>CN3</v>
          </cell>
          <cell r="C246" t="str">
            <v>YM6889</v>
          </cell>
          <cell r="D246">
            <v>419</v>
          </cell>
          <cell r="E246" t="str">
            <v xml:space="preserve">   </v>
          </cell>
          <cell r="F246">
            <v>80627</v>
          </cell>
          <cell r="G246">
            <v>80627</v>
          </cell>
          <cell r="H246">
            <v>90130</v>
          </cell>
          <cell r="I246">
            <v>0</v>
          </cell>
          <cell r="J246">
            <v>534</v>
          </cell>
          <cell r="K246">
            <v>515</v>
          </cell>
          <cell r="L246">
            <v>178</v>
          </cell>
          <cell r="M246">
            <v>178</v>
          </cell>
          <cell r="N246">
            <v>0</v>
          </cell>
          <cell r="O246">
            <v>11024958</v>
          </cell>
          <cell r="P246">
            <v>10632305</v>
          </cell>
          <cell r="Q246">
            <v>3673476</v>
          </cell>
          <cell r="R246">
            <v>12364686</v>
          </cell>
          <cell r="S246" t="str">
            <v>*</v>
          </cell>
          <cell r="T246" t="str">
            <v>C</v>
          </cell>
          <cell r="U246">
            <v>534</v>
          </cell>
          <cell r="V246">
            <v>11024958</v>
          </cell>
          <cell r="W246">
            <v>178</v>
          </cell>
          <cell r="X246">
            <v>3673476</v>
          </cell>
          <cell r="Y246">
            <v>33.15</v>
          </cell>
          <cell r="Z246">
            <v>32.950000000000003</v>
          </cell>
          <cell r="AA246">
            <v>2435256</v>
          </cell>
          <cell r="AB246">
            <v>1238220</v>
          </cell>
          <cell r="AC246">
            <v>19</v>
          </cell>
          <cell r="AD246">
            <v>4292496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-1</v>
          </cell>
          <cell r="AL246">
            <v>-41274</v>
          </cell>
          <cell r="AM246">
            <v>338</v>
          </cell>
          <cell r="AN246">
            <v>11680542</v>
          </cell>
          <cell r="AO246">
            <v>20650</v>
          </cell>
          <cell r="AP246">
            <v>20637</v>
          </cell>
          <cell r="AQ246">
            <v>85000</v>
          </cell>
          <cell r="AR246">
            <v>51000</v>
          </cell>
          <cell r="AS246">
            <v>4.12</v>
          </cell>
          <cell r="AT246">
            <v>45390000</v>
          </cell>
          <cell r="AU246">
            <v>3.82</v>
          </cell>
          <cell r="AV246">
            <v>9304686</v>
          </cell>
          <cell r="AW246">
            <v>2.4700000000000002</v>
          </cell>
          <cell r="AX246">
            <v>3060000</v>
          </cell>
          <cell r="AY246">
            <v>33.15</v>
          </cell>
          <cell r="AZ246">
            <v>0</v>
          </cell>
          <cell r="BA246">
            <v>118</v>
          </cell>
          <cell r="BB246">
            <v>60</v>
          </cell>
          <cell r="BC246">
            <v>178</v>
          </cell>
          <cell r="BD246">
            <v>0</v>
          </cell>
          <cell r="BE246">
            <v>0</v>
          </cell>
          <cell r="BF246">
            <v>76</v>
          </cell>
          <cell r="BG246">
            <v>0</v>
          </cell>
          <cell r="BH246">
            <v>1</v>
          </cell>
          <cell r="BI246">
            <v>1</v>
          </cell>
          <cell r="BJ246">
            <v>1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60</v>
          </cell>
          <cell r="BQ246">
            <v>0</v>
          </cell>
          <cell r="BR246">
            <v>4</v>
          </cell>
          <cell r="BS246">
            <v>23</v>
          </cell>
          <cell r="BT246">
            <v>21</v>
          </cell>
          <cell r="BU246">
            <v>12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9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8</v>
          </cell>
          <cell r="CX246">
            <v>1</v>
          </cell>
          <cell r="CY246">
            <v>59</v>
          </cell>
          <cell r="CZ246">
            <v>10</v>
          </cell>
          <cell r="DA246">
            <v>25</v>
          </cell>
          <cell r="DB246">
            <v>15</v>
          </cell>
          <cell r="DC246">
            <v>5</v>
          </cell>
          <cell r="DD246">
            <v>4</v>
          </cell>
          <cell r="DE246">
            <v>0</v>
          </cell>
          <cell r="DF246">
            <v>25</v>
          </cell>
          <cell r="DG246">
            <v>5</v>
          </cell>
          <cell r="DH246">
            <v>6</v>
          </cell>
          <cell r="DI246">
            <v>9</v>
          </cell>
          <cell r="DJ246">
            <v>4</v>
          </cell>
          <cell r="DK246">
            <v>1</v>
          </cell>
          <cell r="DL246">
            <v>0</v>
          </cell>
          <cell r="DM246">
            <v>20</v>
          </cell>
          <cell r="DN246">
            <v>6</v>
          </cell>
          <cell r="DO246">
            <v>1</v>
          </cell>
          <cell r="DP246">
            <v>6</v>
          </cell>
          <cell r="DQ246">
            <v>7</v>
          </cell>
          <cell r="DR246">
            <v>0</v>
          </cell>
          <cell r="DS246">
            <v>0</v>
          </cell>
          <cell r="DT246">
            <v>4</v>
          </cell>
          <cell r="DU246">
            <v>0</v>
          </cell>
          <cell r="DV246">
            <v>1</v>
          </cell>
          <cell r="DW246">
            <v>1</v>
          </cell>
          <cell r="DX246">
            <v>2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1</v>
          </cell>
          <cell r="EM246">
            <v>-1</v>
          </cell>
          <cell r="EN246">
            <v>0</v>
          </cell>
          <cell r="EO246" t="str">
            <v xml:space="preserve">  Pearl City                                                </v>
          </cell>
        </row>
        <row r="247">
          <cell r="A247" t="str">
            <v>CN3YM8751010</v>
          </cell>
          <cell r="B247" t="str">
            <v>CN3</v>
          </cell>
          <cell r="C247" t="str">
            <v>YM8751</v>
          </cell>
          <cell r="D247">
            <v>10</v>
          </cell>
          <cell r="E247" t="str">
            <v xml:space="preserve">   </v>
          </cell>
          <cell r="F247">
            <v>80605</v>
          </cell>
          <cell r="G247">
            <v>80711</v>
          </cell>
          <cell r="H247">
            <v>90226</v>
          </cell>
          <cell r="I247">
            <v>0</v>
          </cell>
          <cell r="J247">
            <v>903</v>
          </cell>
          <cell r="K247">
            <v>903</v>
          </cell>
          <cell r="L247">
            <v>900</v>
          </cell>
          <cell r="M247">
            <v>900</v>
          </cell>
          <cell r="N247">
            <v>0</v>
          </cell>
          <cell r="O247">
            <v>42187257</v>
          </cell>
          <cell r="P247">
            <v>42187257</v>
          </cell>
          <cell r="Q247">
            <v>42047100</v>
          </cell>
          <cell r="R247">
            <v>146834641</v>
          </cell>
          <cell r="S247" t="str">
            <v>*</v>
          </cell>
          <cell r="T247" t="str">
            <v>C</v>
          </cell>
          <cell r="U247">
            <v>903</v>
          </cell>
          <cell r="V247">
            <v>42187257</v>
          </cell>
          <cell r="W247">
            <v>900</v>
          </cell>
          <cell r="X247">
            <v>42047100</v>
          </cell>
          <cell r="Y247">
            <v>99.45</v>
          </cell>
          <cell r="Z247">
            <v>99.34</v>
          </cell>
          <cell r="AA247">
            <v>34151589</v>
          </cell>
          <cell r="AB247">
            <v>7895511</v>
          </cell>
          <cell r="AC247">
            <v>0</v>
          </cell>
          <cell r="AD247">
            <v>327033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-2</v>
          </cell>
          <cell r="AL247">
            <v>-140157</v>
          </cell>
          <cell r="AM247">
            <v>5</v>
          </cell>
          <cell r="AN247">
            <v>9717552</v>
          </cell>
          <cell r="AO247">
            <v>48991</v>
          </cell>
          <cell r="AP247">
            <v>46719</v>
          </cell>
          <cell r="AQ247">
            <v>198000</v>
          </cell>
          <cell r="AR247">
            <v>119000</v>
          </cell>
          <cell r="AS247">
            <v>4.24</v>
          </cell>
          <cell r="AT247">
            <v>178794000</v>
          </cell>
          <cell r="AU247">
            <v>3.74</v>
          </cell>
          <cell r="AV247">
            <v>127732910</v>
          </cell>
          <cell r="AW247">
            <v>2.42</v>
          </cell>
          <cell r="AX247">
            <v>19101731</v>
          </cell>
          <cell r="AY247">
            <v>99.45</v>
          </cell>
          <cell r="AZ247">
            <v>0</v>
          </cell>
          <cell r="BA247">
            <v>731</v>
          </cell>
          <cell r="BB247">
            <v>169</v>
          </cell>
          <cell r="BC247">
            <v>741</v>
          </cell>
          <cell r="BD247">
            <v>159</v>
          </cell>
          <cell r="BE247">
            <v>0</v>
          </cell>
          <cell r="BF247">
            <v>290</v>
          </cell>
          <cell r="BG247">
            <v>1</v>
          </cell>
          <cell r="BH247">
            <v>1</v>
          </cell>
          <cell r="BI247">
            <v>12</v>
          </cell>
          <cell r="BJ247">
            <v>1</v>
          </cell>
          <cell r="BK247">
            <v>7</v>
          </cell>
          <cell r="BL247">
            <v>3</v>
          </cell>
          <cell r="BM247">
            <v>2</v>
          </cell>
          <cell r="BN247">
            <v>-1</v>
          </cell>
          <cell r="BO247">
            <v>0</v>
          </cell>
          <cell r="BP247">
            <v>206</v>
          </cell>
          <cell r="BQ247">
            <v>0</v>
          </cell>
          <cell r="BR247">
            <v>3</v>
          </cell>
          <cell r="BS247">
            <v>9</v>
          </cell>
          <cell r="BT247">
            <v>38</v>
          </cell>
          <cell r="BU247">
            <v>156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-35</v>
          </cell>
          <cell r="CS247">
            <v>0</v>
          </cell>
          <cell r="CT247">
            <v>-32</v>
          </cell>
          <cell r="CU247">
            <v>-2</v>
          </cell>
          <cell r="CV247">
            <v>-1</v>
          </cell>
          <cell r="CW247">
            <v>0</v>
          </cell>
          <cell r="CX247">
            <v>0</v>
          </cell>
          <cell r="CY247">
            <v>2</v>
          </cell>
          <cell r="CZ247">
            <v>0</v>
          </cell>
          <cell r="DA247">
            <v>0</v>
          </cell>
          <cell r="DB247">
            <v>1</v>
          </cell>
          <cell r="DC247">
            <v>1</v>
          </cell>
          <cell r="DD247">
            <v>0</v>
          </cell>
          <cell r="DE247">
            <v>0</v>
          </cell>
          <cell r="DF247">
            <v>71</v>
          </cell>
          <cell r="DG247">
            <v>0</v>
          </cell>
          <cell r="DH247">
            <v>10</v>
          </cell>
          <cell r="DI247">
            <v>13</v>
          </cell>
          <cell r="DJ247">
            <v>19</v>
          </cell>
          <cell r="DK247">
            <v>29</v>
          </cell>
          <cell r="DL247">
            <v>0</v>
          </cell>
          <cell r="DM247">
            <v>322</v>
          </cell>
          <cell r="DN247">
            <v>33</v>
          </cell>
          <cell r="DO247">
            <v>23</v>
          </cell>
          <cell r="DP247">
            <v>45</v>
          </cell>
          <cell r="DQ247">
            <v>215</v>
          </cell>
          <cell r="DR247">
            <v>6</v>
          </cell>
          <cell r="DS247">
            <v>0</v>
          </cell>
          <cell r="DT247">
            <v>213</v>
          </cell>
          <cell r="DU247">
            <v>31</v>
          </cell>
          <cell r="DV247">
            <v>61</v>
          </cell>
          <cell r="DW247">
            <v>41</v>
          </cell>
          <cell r="DX247">
            <v>58</v>
          </cell>
          <cell r="DY247">
            <v>22</v>
          </cell>
          <cell r="DZ247">
            <v>0</v>
          </cell>
          <cell r="EA247">
            <v>90</v>
          </cell>
          <cell r="EB247">
            <v>11</v>
          </cell>
          <cell r="EC247">
            <v>61</v>
          </cell>
          <cell r="ED247">
            <v>11</v>
          </cell>
          <cell r="EE247">
            <v>2</v>
          </cell>
          <cell r="EF247">
            <v>5</v>
          </cell>
          <cell r="EG247">
            <v>0</v>
          </cell>
          <cell r="EH247">
            <v>19</v>
          </cell>
          <cell r="EI247">
            <v>-2</v>
          </cell>
          <cell r="EJ247">
            <v>10</v>
          </cell>
          <cell r="EK247">
            <v>8</v>
          </cell>
          <cell r="EL247">
            <v>3</v>
          </cell>
          <cell r="EM247">
            <v>0</v>
          </cell>
          <cell r="EN247">
            <v>0</v>
          </cell>
          <cell r="EO247" t="str">
            <v xml:space="preserve"> 쉘러　６１６８８                                           </v>
          </cell>
        </row>
        <row r="248">
          <cell r="A248" t="str">
            <v>CN3YM8751094</v>
          </cell>
          <cell r="B248" t="str">
            <v>CN3</v>
          </cell>
          <cell r="C248" t="str">
            <v>YM8751</v>
          </cell>
          <cell r="D248">
            <v>94</v>
          </cell>
          <cell r="E248" t="str">
            <v xml:space="preserve">   </v>
          </cell>
          <cell r="F248">
            <v>80607</v>
          </cell>
          <cell r="G248">
            <v>80814</v>
          </cell>
          <cell r="H248">
            <v>90226</v>
          </cell>
          <cell r="I248">
            <v>0</v>
          </cell>
          <cell r="J248">
            <v>469</v>
          </cell>
          <cell r="K248">
            <v>469</v>
          </cell>
          <cell r="L248">
            <v>466</v>
          </cell>
          <cell r="M248">
            <v>466</v>
          </cell>
          <cell r="N248">
            <v>0</v>
          </cell>
          <cell r="O248">
            <v>21911211</v>
          </cell>
          <cell r="P248">
            <v>21911211</v>
          </cell>
          <cell r="Q248">
            <v>21771054</v>
          </cell>
          <cell r="R248">
            <v>72039095</v>
          </cell>
          <cell r="S248" t="str">
            <v>*</v>
          </cell>
          <cell r="T248" t="str">
            <v>C</v>
          </cell>
          <cell r="U248">
            <v>469</v>
          </cell>
          <cell r="V248">
            <v>21911211</v>
          </cell>
          <cell r="W248">
            <v>466</v>
          </cell>
          <cell r="X248">
            <v>21771054</v>
          </cell>
          <cell r="Y248">
            <v>100</v>
          </cell>
          <cell r="Z248">
            <v>100.43</v>
          </cell>
          <cell r="AA248">
            <v>13361634</v>
          </cell>
          <cell r="AB248">
            <v>8409420</v>
          </cell>
          <cell r="AC248">
            <v>0</v>
          </cell>
          <cell r="AD248">
            <v>140157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3</v>
          </cell>
          <cell r="AL248">
            <v>233595</v>
          </cell>
          <cell r="AM248">
            <v>0</v>
          </cell>
          <cell r="AN248">
            <v>8269263</v>
          </cell>
          <cell r="AO248">
            <v>48991</v>
          </cell>
          <cell r="AP248">
            <v>46719</v>
          </cell>
          <cell r="AQ248">
            <v>198000</v>
          </cell>
          <cell r="AR248">
            <v>119000</v>
          </cell>
          <cell r="AS248">
            <v>4.24</v>
          </cell>
          <cell r="AT248">
            <v>92862000</v>
          </cell>
          <cell r="AU248">
            <v>3.83</v>
          </cell>
          <cell r="AV248">
            <v>51179800</v>
          </cell>
          <cell r="AW248">
            <v>2.48</v>
          </cell>
          <cell r="AX248">
            <v>20859295</v>
          </cell>
          <cell r="AY248">
            <v>100</v>
          </cell>
          <cell r="AZ248">
            <v>0</v>
          </cell>
          <cell r="BA248">
            <v>286</v>
          </cell>
          <cell r="BB248">
            <v>180</v>
          </cell>
          <cell r="BC248">
            <v>291</v>
          </cell>
          <cell r="BD248">
            <v>175</v>
          </cell>
          <cell r="BE248">
            <v>0</v>
          </cell>
          <cell r="BF248">
            <v>191</v>
          </cell>
          <cell r="BG248">
            <v>0</v>
          </cell>
          <cell r="BH248">
            <v>1</v>
          </cell>
          <cell r="BI248">
            <v>9</v>
          </cell>
          <cell r="BJ248">
            <v>0</v>
          </cell>
          <cell r="BK248">
            <v>3</v>
          </cell>
          <cell r="BL248">
            <v>6</v>
          </cell>
          <cell r="BM248">
            <v>0</v>
          </cell>
          <cell r="BN248">
            <v>0</v>
          </cell>
          <cell r="BO248">
            <v>0</v>
          </cell>
          <cell r="BP248">
            <v>179</v>
          </cell>
          <cell r="BQ248">
            <v>0</v>
          </cell>
          <cell r="BR248">
            <v>1</v>
          </cell>
          <cell r="BS248">
            <v>-1</v>
          </cell>
          <cell r="BT248">
            <v>3</v>
          </cell>
          <cell r="BU248">
            <v>176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-8</v>
          </cell>
          <cell r="CS248">
            <v>0</v>
          </cell>
          <cell r="CT248">
            <v>-7</v>
          </cell>
          <cell r="CU248">
            <v>-1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27</v>
          </cell>
          <cell r="DG248">
            <v>0</v>
          </cell>
          <cell r="DH248">
            <v>-1</v>
          </cell>
          <cell r="DI248">
            <v>8</v>
          </cell>
          <cell r="DJ248">
            <v>7</v>
          </cell>
          <cell r="DK248">
            <v>13</v>
          </cell>
          <cell r="DL248">
            <v>0</v>
          </cell>
          <cell r="DM248">
            <v>145</v>
          </cell>
          <cell r="DN248">
            <v>23</v>
          </cell>
          <cell r="DO248">
            <v>12</v>
          </cell>
          <cell r="DP248">
            <v>17</v>
          </cell>
          <cell r="DQ248">
            <v>91</v>
          </cell>
          <cell r="DR248">
            <v>2</v>
          </cell>
          <cell r="DS248">
            <v>0</v>
          </cell>
          <cell r="DT248">
            <v>85</v>
          </cell>
          <cell r="DU248">
            <v>20</v>
          </cell>
          <cell r="DV248">
            <v>20</v>
          </cell>
          <cell r="DW248">
            <v>18</v>
          </cell>
          <cell r="DX248">
            <v>22</v>
          </cell>
          <cell r="DY248">
            <v>5</v>
          </cell>
          <cell r="DZ248">
            <v>0</v>
          </cell>
          <cell r="EA248">
            <v>18</v>
          </cell>
          <cell r="EB248">
            <v>1</v>
          </cell>
          <cell r="EC248">
            <v>7</v>
          </cell>
          <cell r="ED248">
            <v>8</v>
          </cell>
          <cell r="EE248">
            <v>0</v>
          </cell>
          <cell r="EF248">
            <v>2</v>
          </cell>
          <cell r="EG248">
            <v>0</v>
          </cell>
          <cell r="EH248">
            <v>11</v>
          </cell>
          <cell r="EI248">
            <v>2</v>
          </cell>
          <cell r="EJ248">
            <v>4</v>
          </cell>
          <cell r="EK248">
            <v>1</v>
          </cell>
          <cell r="EL248">
            <v>3</v>
          </cell>
          <cell r="EM248">
            <v>1</v>
          </cell>
          <cell r="EN248">
            <v>0</v>
          </cell>
          <cell r="EO248" t="str">
            <v xml:space="preserve"> 쉘러　６１６８８                                           </v>
          </cell>
        </row>
        <row r="249">
          <cell r="A249" t="str">
            <v>CN3YM8756010</v>
          </cell>
          <cell r="B249" t="str">
            <v>CN3</v>
          </cell>
          <cell r="C249" t="str">
            <v>YM8756</v>
          </cell>
          <cell r="D249">
            <v>10</v>
          </cell>
          <cell r="E249" t="str">
            <v xml:space="preserve">   </v>
          </cell>
          <cell r="F249">
            <v>80903</v>
          </cell>
          <cell r="G249">
            <v>80904</v>
          </cell>
          <cell r="H249">
            <v>81114</v>
          </cell>
          <cell r="I249">
            <v>0</v>
          </cell>
          <cell r="J249">
            <v>637</v>
          </cell>
          <cell r="K249">
            <v>632</v>
          </cell>
          <cell r="L249">
            <v>373</v>
          </cell>
          <cell r="M249">
            <v>373</v>
          </cell>
          <cell r="N249">
            <v>0</v>
          </cell>
          <cell r="O249">
            <v>31802225</v>
          </cell>
          <cell r="P249">
            <v>31552600</v>
          </cell>
          <cell r="Q249">
            <v>18622025</v>
          </cell>
          <cell r="R249">
            <v>52742903</v>
          </cell>
          <cell r="S249" t="str">
            <v>*</v>
          </cell>
          <cell r="T249" t="str">
            <v>C</v>
          </cell>
          <cell r="U249">
            <v>637</v>
          </cell>
          <cell r="V249">
            <v>31802225</v>
          </cell>
          <cell r="W249">
            <v>373</v>
          </cell>
          <cell r="X249">
            <v>18622025</v>
          </cell>
          <cell r="Y249">
            <v>58.56</v>
          </cell>
          <cell r="Z249">
            <v>58.56</v>
          </cell>
          <cell r="AA249">
            <v>3894150</v>
          </cell>
          <cell r="AB249">
            <v>14727875</v>
          </cell>
          <cell r="AC249">
            <v>5</v>
          </cell>
          <cell r="AD249">
            <v>1048425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259</v>
          </cell>
          <cell r="AN249">
            <v>29805225</v>
          </cell>
          <cell r="AO249">
            <v>48414</v>
          </cell>
          <cell r="AP249">
            <v>49925</v>
          </cell>
          <cell r="AQ249">
            <v>218000</v>
          </cell>
          <cell r="AR249">
            <v>130000</v>
          </cell>
          <cell r="AS249">
            <v>4.37</v>
          </cell>
          <cell r="AT249">
            <v>138866000</v>
          </cell>
          <cell r="AU249">
            <v>3.8</v>
          </cell>
          <cell r="AV249">
            <v>14807400</v>
          </cell>
          <cell r="AW249">
            <v>2.58</v>
          </cell>
          <cell r="AX249">
            <v>37935503</v>
          </cell>
          <cell r="AY249">
            <v>58.56</v>
          </cell>
          <cell r="AZ249">
            <v>0</v>
          </cell>
          <cell r="BA249">
            <v>78</v>
          </cell>
          <cell r="BB249">
            <v>295</v>
          </cell>
          <cell r="BC249">
            <v>373</v>
          </cell>
          <cell r="BD249">
            <v>0</v>
          </cell>
          <cell r="BE249">
            <v>0</v>
          </cell>
          <cell r="BF249">
            <v>126</v>
          </cell>
          <cell r="BG249">
            <v>1</v>
          </cell>
          <cell r="BH249">
            <v>1</v>
          </cell>
          <cell r="BI249">
            <v>70</v>
          </cell>
          <cell r="BJ249">
            <v>14</v>
          </cell>
          <cell r="BK249">
            <v>15</v>
          </cell>
          <cell r="BL249">
            <v>17</v>
          </cell>
          <cell r="BM249">
            <v>11</v>
          </cell>
          <cell r="BN249">
            <v>13</v>
          </cell>
          <cell r="BO249">
            <v>0</v>
          </cell>
          <cell r="BP249">
            <v>90</v>
          </cell>
          <cell r="BQ249">
            <v>12</v>
          </cell>
          <cell r="BR249">
            <v>28</v>
          </cell>
          <cell r="BS249">
            <v>27</v>
          </cell>
          <cell r="BT249">
            <v>12</v>
          </cell>
          <cell r="BU249">
            <v>11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38</v>
          </cell>
          <cell r="DN249">
            <v>2</v>
          </cell>
          <cell r="DO249">
            <v>2</v>
          </cell>
          <cell r="DP249">
            <v>6</v>
          </cell>
          <cell r="DQ249">
            <v>28</v>
          </cell>
          <cell r="DR249">
            <v>0</v>
          </cell>
          <cell r="DS249">
            <v>0</v>
          </cell>
          <cell r="DT249">
            <v>38</v>
          </cell>
          <cell r="DU249">
            <v>8</v>
          </cell>
          <cell r="DV249">
            <v>12</v>
          </cell>
          <cell r="DW249">
            <v>9</v>
          </cell>
          <cell r="DX249">
            <v>8</v>
          </cell>
          <cell r="DY249">
            <v>1</v>
          </cell>
          <cell r="DZ249">
            <v>0</v>
          </cell>
          <cell r="EA249">
            <v>80</v>
          </cell>
          <cell r="EB249">
            <v>3</v>
          </cell>
          <cell r="EC249">
            <v>5</v>
          </cell>
          <cell r="ED249">
            <v>24</v>
          </cell>
          <cell r="EE249">
            <v>21</v>
          </cell>
          <cell r="EF249">
            <v>27</v>
          </cell>
          <cell r="EG249">
            <v>0</v>
          </cell>
          <cell r="EH249">
            <v>57</v>
          </cell>
          <cell r="EI249">
            <v>5</v>
          </cell>
          <cell r="EJ249">
            <v>6</v>
          </cell>
          <cell r="EK249">
            <v>15</v>
          </cell>
          <cell r="EL249">
            <v>19</v>
          </cell>
          <cell r="EM249">
            <v>12</v>
          </cell>
          <cell r="EN249">
            <v>0</v>
          </cell>
          <cell r="EO249" t="str">
            <v xml:space="preserve"> 쉘러　６１６８８카고팬츠                                   </v>
          </cell>
        </row>
        <row r="250">
          <cell r="A250" t="str">
            <v>CN3YM8756028</v>
          </cell>
          <cell r="B250" t="str">
            <v>CN3</v>
          </cell>
          <cell r="C250" t="str">
            <v>YM8756</v>
          </cell>
          <cell r="D250">
            <v>28</v>
          </cell>
          <cell r="E250" t="str">
            <v xml:space="preserve">   </v>
          </cell>
          <cell r="F250">
            <v>80903</v>
          </cell>
          <cell r="G250">
            <v>80904</v>
          </cell>
          <cell r="H250">
            <v>81114</v>
          </cell>
          <cell r="I250">
            <v>0</v>
          </cell>
          <cell r="J250">
            <v>527</v>
          </cell>
          <cell r="K250">
            <v>514</v>
          </cell>
          <cell r="L250">
            <v>198</v>
          </cell>
          <cell r="M250">
            <v>198</v>
          </cell>
          <cell r="N250">
            <v>0</v>
          </cell>
          <cell r="O250">
            <v>26310475</v>
          </cell>
          <cell r="P250">
            <v>25661450</v>
          </cell>
          <cell r="Q250">
            <v>9885150</v>
          </cell>
          <cell r="R250">
            <v>30213362</v>
          </cell>
          <cell r="S250" t="str">
            <v>*</v>
          </cell>
          <cell r="T250" t="str">
            <v>C</v>
          </cell>
          <cell r="U250">
            <v>527</v>
          </cell>
          <cell r="V250">
            <v>26310475</v>
          </cell>
          <cell r="W250">
            <v>198</v>
          </cell>
          <cell r="X250">
            <v>9885150</v>
          </cell>
          <cell r="Y250">
            <v>37.76</v>
          </cell>
          <cell r="Z250">
            <v>37.950000000000003</v>
          </cell>
          <cell r="AA250">
            <v>3145275</v>
          </cell>
          <cell r="AB250">
            <v>6739875</v>
          </cell>
          <cell r="AC250">
            <v>13</v>
          </cell>
          <cell r="AD250">
            <v>1697450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1</v>
          </cell>
          <cell r="AL250">
            <v>99850</v>
          </cell>
          <cell r="AM250">
            <v>315</v>
          </cell>
          <cell r="AN250">
            <v>34697875</v>
          </cell>
          <cell r="AO250">
            <v>48414</v>
          </cell>
          <cell r="AP250">
            <v>49925</v>
          </cell>
          <cell r="AQ250">
            <v>218000</v>
          </cell>
          <cell r="AR250">
            <v>130000</v>
          </cell>
          <cell r="AS250">
            <v>4.37</v>
          </cell>
          <cell r="AT250">
            <v>114886000</v>
          </cell>
          <cell r="AU250">
            <v>3.95</v>
          </cell>
          <cell r="AV250">
            <v>12432300</v>
          </cell>
          <cell r="AW250">
            <v>2.64</v>
          </cell>
          <cell r="AX250">
            <v>17781062</v>
          </cell>
          <cell r="AY250">
            <v>37.76</v>
          </cell>
          <cell r="AZ250">
            <v>0</v>
          </cell>
          <cell r="BA250">
            <v>63</v>
          </cell>
          <cell r="BB250">
            <v>135</v>
          </cell>
          <cell r="BC250">
            <v>198</v>
          </cell>
          <cell r="BD250">
            <v>0</v>
          </cell>
          <cell r="BE250">
            <v>0</v>
          </cell>
          <cell r="BF250">
            <v>87</v>
          </cell>
          <cell r="BG250">
            <v>0</v>
          </cell>
          <cell r="BH250">
            <v>1</v>
          </cell>
          <cell r="BI250">
            <v>27</v>
          </cell>
          <cell r="BJ250">
            <v>6</v>
          </cell>
          <cell r="BK250">
            <v>4</v>
          </cell>
          <cell r="BL250">
            <v>4</v>
          </cell>
          <cell r="BM250">
            <v>8</v>
          </cell>
          <cell r="BN250">
            <v>5</v>
          </cell>
          <cell r="BO250">
            <v>0</v>
          </cell>
          <cell r="BP250">
            <v>73</v>
          </cell>
          <cell r="BQ250">
            <v>3</v>
          </cell>
          <cell r="BR250">
            <v>16</v>
          </cell>
          <cell r="BS250">
            <v>28</v>
          </cell>
          <cell r="BT250">
            <v>15</v>
          </cell>
          <cell r="BU250">
            <v>11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34</v>
          </cell>
          <cell r="DN250">
            <v>3</v>
          </cell>
          <cell r="DO250">
            <v>4</v>
          </cell>
          <cell r="DP250">
            <v>3</v>
          </cell>
          <cell r="DQ250">
            <v>21</v>
          </cell>
          <cell r="DR250">
            <v>3</v>
          </cell>
          <cell r="DS250">
            <v>0</v>
          </cell>
          <cell r="DT250">
            <v>22</v>
          </cell>
          <cell r="DU250">
            <v>7</v>
          </cell>
          <cell r="DV250">
            <v>4</v>
          </cell>
          <cell r="DW250">
            <v>3</v>
          </cell>
          <cell r="DX250">
            <v>6</v>
          </cell>
          <cell r="DY250">
            <v>2</v>
          </cell>
          <cell r="DZ250">
            <v>0</v>
          </cell>
          <cell r="EA250">
            <v>23</v>
          </cell>
          <cell r="EB250">
            <v>1</v>
          </cell>
          <cell r="EC250">
            <v>6</v>
          </cell>
          <cell r="ED250">
            <v>12</v>
          </cell>
          <cell r="EE250">
            <v>3</v>
          </cell>
          <cell r="EF250">
            <v>1</v>
          </cell>
          <cell r="EG250">
            <v>0</v>
          </cell>
          <cell r="EH250">
            <v>19</v>
          </cell>
          <cell r="EI250">
            <v>4</v>
          </cell>
          <cell r="EJ250">
            <v>3</v>
          </cell>
          <cell r="EK250">
            <v>7</v>
          </cell>
          <cell r="EL250">
            <v>4</v>
          </cell>
          <cell r="EM250">
            <v>1</v>
          </cell>
          <cell r="EN250">
            <v>0</v>
          </cell>
          <cell r="EO250" t="str">
            <v xml:space="preserve"> 쉘러　６１６８８카고팬츠                                   </v>
          </cell>
        </row>
        <row r="251">
          <cell r="A251" t="str">
            <v>CN3YM8806010</v>
          </cell>
          <cell r="B251" t="str">
            <v>CN3</v>
          </cell>
          <cell r="C251" t="str">
            <v>YM8806</v>
          </cell>
          <cell r="D251">
            <v>10</v>
          </cell>
          <cell r="E251" t="str">
            <v xml:space="preserve">   </v>
          </cell>
          <cell r="F251">
            <v>80717</v>
          </cell>
          <cell r="G251">
            <v>80809</v>
          </cell>
          <cell r="H251">
            <v>80808</v>
          </cell>
          <cell r="I251">
            <v>0</v>
          </cell>
          <cell r="J251">
            <v>934</v>
          </cell>
          <cell r="K251">
            <v>932</v>
          </cell>
          <cell r="L251">
            <v>836</v>
          </cell>
          <cell r="M251">
            <v>836</v>
          </cell>
          <cell r="N251">
            <v>0</v>
          </cell>
          <cell r="O251">
            <v>27727658</v>
          </cell>
          <cell r="P251">
            <v>27668284</v>
          </cell>
          <cell r="Q251">
            <v>24818332</v>
          </cell>
          <cell r="R251">
            <v>75490729</v>
          </cell>
          <cell r="S251" t="str">
            <v>*</v>
          </cell>
          <cell r="T251" t="str">
            <v>C</v>
          </cell>
          <cell r="U251">
            <v>934</v>
          </cell>
          <cell r="V251">
            <v>27727658</v>
          </cell>
          <cell r="W251">
            <v>836</v>
          </cell>
          <cell r="X251">
            <v>24818332</v>
          </cell>
          <cell r="Y251">
            <v>92.51</v>
          </cell>
          <cell r="Z251">
            <v>92.72</v>
          </cell>
          <cell r="AA251">
            <v>-860923</v>
          </cell>
          <cell r="AB251">
            <v>25679255</v>
          </cell>
          <cell r="AC251">
            <v>2</v>
          </cell>
          <cell r="AD251">
            <v>890610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28</v>
          </cell>
          <cell r="AL251">
            <v>890610</v>
          </cell>
          <cell r="AM251">
            <v>68</v>
          </cell>
          <cell r="AN251">
            <v>5165538</v>
          </cell>
          <cell r="AO251">
            <v>29650</v>
          </cell>
          <cell r="AP251">
            <v>29687</v>
          </cell>
          <cell r="AQ251">
            <v>155000</v>
          </cell>
          <cell r="AR251">
            <v>93000</v>
          </cell>
          <cell r="AS251">
            <v>5.22</v>
          </cell>
          <cell r="AT251">
            <v>144770000</v>
          </cell>
          <cell r="AU251">
            <v>5.15</v>
          </cell>
          <cell r="AV251">
            <v>-4437425</v>
          </cell>
          <cell r="AW251">
            <v>3.11</v>
          </cell>
          <cell r="AX251">
            <v>79928154</v>
          </cell>
          <cell r="AY251">
            <v>92.51</v>
          </cell>
          <cell r="AZ251">
            <v>0</v>
          </cell>
          <cell r="BA251">
            <v>-29</v>
          </cell>
          <cell r="BB251">
            <v>865</v>
          </cell>
          <cell r="BC251">
            <v>836</v>
          </cell>
          <cell r="BD251">
            <v>0</v>
          </cell>
          <cell r="BE251">
            <v>0</v>
          </cell>
          <cell r="BF251">
            <v>64</v>
          </cell>
          <cell r="BG251">
            <v>1</v>
          </cell>
          <cell r="BH251">
            <v>1</v>
          </cell>
          <cell r="BI251">
            <v>29</v>
          </cell>
          <cell r="BJ251">
            <v>4</v>
          </cell>
          <cell r="BK251">
            <v>6</v>
          </cell>
          <cell r="BL251">
            <v>9</v>
          </cell>
          <cell r="BM251">
            <v>4</v>
          </cell>
          <cell r="BN251">
            <v>6</v>
          </cell>
          <cell r="BO251">
            <v>0</v>
          </cell>
          <cell r="BP251">
            <v>38</v>
          </cell>
          <cell r="BQ251">
            <v>1</v>
          </cell>
          <cell r="BR251">
            <v>14</v>
          </cell>
          <cell r="BS251">
            <v>9</v>
          </cell>
          <cell r="BT251">
            <v>13</v>
          </cell>
          <cell r="BU251">
            <v>1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-25</v>
          </cell>
          <cell r="CZ251">
            <v>0</v>
          </cell>
          <cell r="DA251">
            <v>0</v>
          </cell>
          <cell r="DB251">
            <v>-25</v>
          </cell>
          <cell r="DC251">
            <v>0</v>
          </cell>
          <cell r="DD251">
            <v>0</v>
          </cell>
          <cell r="DE251">
            <v>0</v>
          </cell>
          <cell r="DF251">
            <v>223</v>
          </cell>
          <cell r="DG251">
            <v>0</v>
          </cell>
          <cell r="DH251">
            <v>3</v>
          </cell>
          <cell r="DI251">
            <v>31</v>
          </cell>
          <cell r="DJ251">
            <v>79</v>
          </cell>
          <cell r="DK251">
            <v>110</v>
          </cell>
          <cell r="DL251">
            <v>0</v>
          </cell>
          <cell r="DM251">
            <v>297</v>
          </cell>
          <cell r="DN251">
            <v>90</v>
          </cell>
          <cell r="DO251">
            <v>41</v>
          </cell>
          <cell r="DP251">
            <v>95</v>
          </cell>
          <cell r="DQ251">
            <v>61</v>
          </cell>
          <cell r="DR251">
            <v>10</v>
          </cell>
          <cell r="DS251">
            <v>0</v>
          </cell>
          <cell r="DT251">
            <v>216</v>
          </cell>
          <cell r="DU251">
            <v>99</v>
          </cell>
          <cell r="DV251">
            <v>44</v>
          </cell>
          <cell r="DW251">
            <v>34</v>
          </cell>
          <cell r="DX251">
            <v>21</v>
          </cell>
          <cell r="DY251">
            <v>18</v>
          </cell>
          <cell r="DZ251">
            <v>0</v>
          </cell>
          <cell r="EA251">
            <v>35</v>
          </cell>
          <cell r="EB251">
            <v>8</v>
          </cell>
          <cell r="EC251">
            <v>8</v>
          </cell>
          <cell r="ED251">
            <v>11</v>
          </cell>
          <cell r="EE251">
            <v>3</v>
          </cell>
          <cell r="EF251">
            <v>5</v>
          </cell>
          <cell r="EG251">
            <v>0</v>
          </cell>
          <cell r="EH251">
            <v>23</v>
          </cell>
          <cell r="EI251">
            <v>2</v>
          </cell>
          <cell r="EJ251">
            <v>11</v>
          </cell>
          <cell r="EK251">
            <v>5</v>
          </cell>
          <cell r="EL251">
            <v>5</v>
          </cell>
          <cell r="EM251">
            <v>0</v>
          </cell>
          <cell r="EN251">
            <v>0</v>
          </cell>
          <cell r="EO251" t="str">
            <v xml:space="preserve">Pine Ridge Pants                                            </v>
          </cell>
        </row>
        <row r="252">
          <cell r="A252" t="str">
            <v>CN3YM8806053</v>
          </cell>
          <cell r="B252" t="str">
            <v>CN3</v>
          </cell>
          <cell r="C252" t="str">
            <v>YM8806</v>
          </cell>
          <cell r="D252">
            <v>53</v>
          </cell>
          <cell r="E252" t="str">
            <v xml:space="preserve">   </v>
          </cell>
          <cell r="F252">
            <v>80717</v>
          </cell>
          <cell r="G252">
            <v>80809</v>
          </cell>
          <cell r="H252">
            <v>80808</v>
          </cell>
          <cell r="I252">
            <v>0</v>
          </cell>
          <cell r="J252">
            <v>493</v>
          </cell>
          <cell r="K252">
            <v>488</v>
          </cell>
          <cell r="L252">
            <v>269</v>
          </cell>
          <cell r="M252">
            <v>269</v>
          </cell>
          <cell r="N252">
            <v>0</v>
          </cell>
          <cell r="O252">
            <v>14635691</v>
          </cell>
          <cell r="P252">
            <v>14487256</v>
          </cell>
          <cell r="Q252">
            <v>7985803</v>
          </cell>
          <cell r="R252">
            <v>23966126</v>
          </cell>
          <cell r="S252" t="str">
            <v>*</v>
          </cell>
          <cell r="T252" t="str">
            <v>C</v>
          </cell>
          <cell r="U252">
            <v>493</v>
          </cell>
          <cell r="V252">
            <v>14635691</v>
          </cell>
          <cell r="W252">
            <v>269</v>
          </cell>
          <cell r="X252">
            <v>7985803</v>
          </cell>
          <cell r="Y252">
            <v>54.16</v>
          </cell>
          <cell r="Z252">
            <v>53.75</v>
          </cell>
          <cell r="AA252">
            <v>-445305</v>
          </cell>
          <cell r="AB252">
            <v>8431108</v>
          </cell>
          <cell r="AC252">
            <v>5</v>
          </cell>
          <cell r="AD252">
            <v>2018716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-2</v>
          </cell>
          <cell r="AL252">
            <v>-118748</v>
          </cell>
          <cell r="AM252">
            <v>221</v>
          </cell>
          <cell r="AN252">
            <v>12231044</v>
          </cell>
          <cell r="AO252">
            <v>29650</v>
          </cell>
          <cell r="AP252">
            <v>29687</v>
          </cell>
          <cell r="AQ252">
            <v>155000</v>
          </cell>
          <cell r="AR252">
            <v>93000</v>
          </cell>
          <cell r="AS252">
            <v>5.22</v>
          </cell>
          <cell r="AT252">
            <v>76415000</v>
          </cell>
          <cell r="AU252">
            <v>5.2</v>
          </cell>
          <cell r="AV252">
            <v>-2317250</v>
          </cell>
          <cell r="AW252">
            <v>3.12</v>
          </cell>
          <cell r="AX252">
            <v>26283376</v>
          </cell>
          <cell r="AY252">
            <v>54.16</v>
          </cell>
          <cell r="AZ252">
            <v>0</v>
          </cell>
          <cell r="BA252">
            <v>-15</v>
          </cell>
          <cell r="BB252">
            <v>284</v>
          </cell>
          <cell r="BC252">
            <v>269</v>
          </cell>
          <cell r="BD252">
            <v>0</v>
          </cell>
          <cell r="BE252">
            <v>0</v>
          </cell>
          <cell r="BF252">
            <v>50</v>
          </cell>
          <cell r="BG252">
            <v>0</v>
          </cell>
          <cell r="BH252">
            <v>1</v>
          </cell>
          <cell r="BI252">
            <v>12</v>
          </cell>
          <cell r="BJ252">
            <v>0</v>
          </cell>
          <cell r="BK252">
            <v>6</v>
          </cell>
          <cell r="BL252">
            <v>1</v>
          </cell>
          <cell r="BM252">
            <v>3</v>
          </cell>
          <cell r="BN252">
            <v>2</v>
          </cell>
          <cell r="BO252">
            <v>0</v>
          </cell>
          <cell r="BP252">
            <v>28</v>
          </cell>
          <cell r="BQ252">
            <v>0</v>
          </cell>
          <cell r="BR252">
            <v>5</v>
          </cell>
          <cell r="BS252">
            <v>11</v>
          </cell>
          <cell r="BT252">
            <v>7</v>
          </cell>
          <cell r="BU252">
            <v>5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-14</v>
          </cell>
          <cell r="CZ252">
            <v>0</v>
          </cell>
          <cell r="DA252">
            <v>0</v>
          </cell>
          <cell r="DB252">
            <v>-14</v>
          </cell>
          <cell r="DC252">
            <v>0</v>
          </cell>
          <cell r="DD252">
            <v>0</v>
          </cell>
          <cell r="DE252">
            <v>0</v>
          </cell>
          <cell r="DF252">
            <v>58</v>
          </cell>
          <cell r="DG252">
            <v>0</v>
          </cell>
          <cell r="DH252">
            <v>-1</v>
          </cell>
          <cell r="DI252">
            <v>17</v>
          </cell>
          <cell r="DJ252">
            <v>23</v>
          </cell>
          <cell r="DK252">
            <v>19</v>
          </cell>
          <cell r="DL252">
            <v>0</v>
          </cell>
          <cell r="DM252">
            <v>87</v>
          </cell>
          <cell r="DN252">
            <v>32</v>
          </cell>
          <cell r="DO252">
            <v>4</v>
          </cell>
          <cell r="DP252">
            <v>27</v>
          </cell>
          <cell r="DQ252">
            <v>17</v>
          </cell>
          <cell r="DR252">
            <v>7</v>
          </cell>
          <cell r="DS252">
            <v>0</v>
          </cell>
          <cell r="DT252">
            <v>80</v>
          </cell>
          <cell r="DU252">
            <v>28</v>
          </cell>
          <cell r="DV252">
            <v>26</v>
          </cell>
          <cell r="DW252">
            <v>11</v>
          </cell>
          <cell r="DX252">
            <v>12</v>
          </cell>
          <cell r="DY252">
            <v>3</v>
          </cell>
          <cell r="DZ252">
            <v>0</v>
          </cell>
          <cell r="EA252">
            <v>11</v>
          </cell>
          <cell r="EB252">
            <v>4</v>
          </cell>
          <cell r="EC252">
            <v>9</v>
          </cell>
          <cell r="ED252">
            <v>-4</v>
          </cell>
          <cell r="EE252">
            <v>1</v>
          </cell>
          <cell r="EF252">
            <v>1</v>
          </cell>
          <cell r="EG252">
            <v>0</v>
          </cell>
          <cell r="EH252">
            <v>7</v>
          </cell>
          <cell r="EI252">
            <v>2</v>
          </cell>
          <cell r="EJ252">
            <v>2</v>
          </cell>
          <cell r="EK252">
            <v>0</v>
          </cell>
          <cell r="EL252">
            <v>2</v>
          </cell>
          <cell r="EM252">
            <v>1</v>
          </cell>
          <cell r="EN252">
            <v>0</v>
          </cell>
          <cell r="EO252" t="str">
            <v xml:space="preserve">Pine Ridge Pants                                            </v>
          </cell>
        </row>
        <row r="253">
          <cell r="A253" t="str">
            <v>CN3YM8816010</v>
          </cell>
          <cell r="B253" t="str">
            <v>CN3</v>
          </cell>
          <cell r="C253" t="str">
            <v>YM8816</v>
          </cell>
          <cell r="D253">
            <v>10</v>
          </cell>
          <cell r="E253" t="str">
            <v xml:space="preserve">   </v>
          </cell>
          <cell r="F253">
            <v>80630</v>
          </cell>
          <cell r="G253">
            <v>80814</v>
          </cell>
          <cell r="H253">
            <v>90226</v>
          </cell>
          <cell r="I253">
            <v>0</v>
          </cell>
          <cell r="J253">
            <v>465</v>
          </cell>
          <cell r="K253">
            <v>464</v>
          </cell>
          <cell r="L253">
            <v>425</v>
          </cell>
          <cell r="M253">
            <v>425</v>
          </cell>
          <cell r="N253">
            <v>0</v>
          </cell>
          <cell r="O253">
            <v>22779885</v>
          </cell>
          <cell r="P253">
            <v>22730896</v>
          </cell>
          <cell r="Q253">
            <v>20820325</v>
          </cell>
          <cell r="R253">
            <v>57429929</v>
          </cell>
          <cell r="S253" t="str">
            <v>*</v>
          </cell>
          <cell r="T253" t="str">
            <v>C</v>
          </cell>
          <cell r="U253">
            <v>465</v>
          </cell>
          <cell r="V253">
            <v>22779885</v>
          </cell>
          <cell r="W253">
            <v>425</v>
          </cell>
          <cell r="X253">
            <v>20820325</v>
          </cell>
          <cell r="Y253">
            <v>91.4</v>
          </cell>
          <cell r="Z253">
            <v>91.4</v>
          </cell>
          <cell r="AA253">
            <v>6564526</v>
          </cell>
          <cell r="AB253">
            <v>14255799</v>
          </cell>
          <cell r="AC253">
            <v>1</v>
          </cell>
          <cell r="AD253">
            <v>881802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39</v>
          </cell>
          <cell r="AN253">
            <v>17685029</v>
          </cell>
          <cell r="AO253">
            <v>48203</v>
          </cell>
          <cell r="AP253">
            <v>48989</v>
          </cell>
          <cell r="AQ253">
            <v>198000</v>
          </cell>
          <cell r="AR253">
            <v>119000</v>
          </cell>
          <cell r="AS253">
            <v>4.04</v>
          </cell>
          <cell r="AT253">
            <v>92070000</v>
          </cell>
          <cell r="AU253">
            <v>3.51</v>
          </cell>
          <cell r="AV253">
            <v>23025211</v>
          </cell>
          <cell r="AW253">
            <v>2.41</v>
          </cell>
          <cell r="AX253">
            <v>34404718</v>
          </cell>
          <cell r="AY253">
            <v>91.4</v>
          </cell>
          <cell r="AZ253">
            <v>0</v>
          </cell>
          <cell r="BA253">
            <v>134</v>
          </cell>
          <cell r="BB253">
            <v>291</v>
          </cell>
          <cell r="BC253">
            <v>139</v>
          </cell>
          <cell r="BD253">
            <v>286</v>
          </cell>
          <cell r="BE253">
            <v>0</v>
          </cell>
          <cell r="BF253">
            <v>307</v>
          </cell>
          <cell r="BG253">
            <v>1</v>
          </cell>
          <cell r="BH253">
            <v>1</v>
          </cell>
          <cell r="BI253">
            <v>24</v>
          </cell>
          <cell r="BJ253">
            <v>6</v>
          </cell>
          <cell r="BK253">
            <v>7</v>
          </cell>
          <cell r="BL253">
            <v>2</v>
          </cell>
          <cell r="BM253">
            <v>5</v>
          </cell>
          <cell r="BN253">
            <v>4</v>
          </cell>
          <cell r="BO253">
            <v>0</v>
          </cell>
          <cell r="BP253">
            <v>299</v>
          </cell>
          <cell r="BQ253">
            <v>3</v>
          </cell>
          <cell r="BR253">
            <v>2</v>
          </cell>
          <cell r="BS253">
            <v>4</v>
          </cell>
          <cell r="BT253">
            <v>3</v>
          </cell>
          <cell r="BU253">
            <v>287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-49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-49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10</v>
          </cell>
          <cell r="DG253">
            <v>0</v>
          </cell>
          <cell r="DH253">
            <v>0</v>
          </cell>
          <cell r="DI253">
            <v>4</v>
          </cell>
          <cell r="DJ253">
            <v>3</v>
          </cell>
          <cell r="DK253">
            <v>3</v>
          </cell>
          <cell r="DL253">
            <v>0</v>
          </cell>
          <cell r="DM253">
            <v>55</v>
          </cell>
          <cell r="DN253">
            <v>11</v>
          </cell>
          <cell r="DO253">
            <v>5</v>
          </cell>
          <cell r="DP253">
            <v>3</v>
          </cell>
          <cell r="DQ253">
            <v>35</v>
          </cell>
          <cell r="DR253">
            <v>1</v>
          </cell>
          <cell r="DS253">
            <v>0</v>
          </cell>
          <cell r="DT253">
            <v>49</v>
          </cell>
          <cell r="DU253">
            <v>10</v>
          </cell>
          <cell r="DV253">
            <v>6</v>
          </cell>
          <cell r="DW253">
            <v>12</v>
          </cell>
          <cell r="DX253">
            <v>9</v>
          </cell>
          <cell r="DY253">
            <v>12</v>
          </cell>
          <cell r="DZ253">
            <v>0</v>
          </cell>
          <cell r="EA253">
            <v>25</v>
          </cell>
          <cell r="EB253">
            <v>4</v>
          </cell>
          <cell r="EC253">
            <v>6</v>
          </cell>
          <cell r="ED253">
            <v>5</v>
          </cell>
          <cell r="EE253">
            <v>5</v>
          </cell>
          <cell r="EF253">
            <v>5</v>
          </cell>
          <cell r="EG253">
            <v>0</v>
          </cell>
          <cell r="EH253">
            <v>12</v>
          </cell>
          <cell r="EI253">
            <v>0</v>
          </cell>
          <cell r="EJ253">
            <v>4</v>
          </cell>
          <cell r="EK253">
            <v>4</v>
          </cell>
          <cell r="EL253">
            <v>4</v>
          </cell>
          <cell r="EM253">
            <v>0</v>
          </cell>
          <cell r="EN253">
            <v>0</v>
          </cell>
          <cell r="EO253" t="str">
            <v xml:space="preserve">  쉘러　６１６８８　전문가 FIT                              </v>
          </cell>
        </row>
        <row r="254">
          <cell r="A254" t="str">
            <v>CN3YM8852010</v>
          </cell>
          <cell r="B254" t="str">
            <v>CN3</v>
          </cell>
          <cell r="C254" t="str">
            <v>YM8852</v>
          </cell>
          <cell r="D254">
            <v>10</v>
          </cell>
          <cell r="E254" t="str">
            <v xml:space="preserve">   </v>
          </cell>
          <cell r="F254">
            <v>80911</v>
          </cell>
          <cell r="G254">
            <v>80911</v>
          </cell>
          <cell r="H254">
            <v>0</v>
          </cell>
          <cell r="I254">
            <v>900</v>
          </cell>
          <cell r="J254">
            <v>795</v>
          </cell>
          <cell r="K254">
            <v>777</v>
          </cell>
          <cell r="L254">
            <v>519</v>
          </cell>
          <cell r="M254">
            <v>519</v>
          </cell>
          <cell r="N254">
            <v>55773000</v>
          </cell>
          <cell r="O254">
            <v>45772125</v>
          </cell>
          <cell r="P254">
            <v>44735250</v>
          </cell>
          <cell r="Q254">
            <v>29910975</v>
          </cell>
          <cell r="R254">
            <v>94434969</v>
          </cell>
          <cell r="S254" t="str">
            <v xml:space="preserve"> </v>
          </cell>
          <cell r="T254" t="str">
            <v xml:space="preserve"> </v>
          </cell>
          <cell r="U254">
            <v>795</v>
          </cell>
          <cell r="V254">
            <v>45772125</v>
          </cell>
          <cell r="W254">
            <v>519</v>
          </cell>
          <cell r="X254">
            <v>29910975</v>
          </cell>
          <cell r="Y254">
            <v>65.28</v>
          </cell>
          <cell r="Z254">
            <v>65.349999999999994</v>
          </cell>
          <cell r="AA254">
            <v>29738025</v>
          </cell>
          <cell r="AB254">
            <v>172950</v>
          </cell>
          <cell r="AC254">
            <v>18</v>
          </cell>
          <cell r="AD254">
            <v>14412500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258</v>
          </cell>
          <cell r="AN254">
            <v>17237350</v>
          </cell>
          <cell r="AO254">
            <v>61970</v>
          </cell>
          <cell r="AP254">
            <v>57650</v>
          </cell>
          <cell r="AQ254">
            <v>238000</v>
          </cell>
          <cell r="AR254">
            <v>0</v>
          </cell>
          <cell r="AS254">
            <v>4.13</v>
          </cell>
          <cell r="AT254">
            <v>189210000</v>
          </cell>
          <cell r="AU254">
            <v>3.17</v>
          </cell>
          <cell r="AV254">
            <v>94414392</v>
          </cell>
          <cell r="AW254">
            <v>0.12</v>
          </cell>
          <cell r="AX254">
            <v>20577</v>
          </cell>
          <cell r="AY254">
            <v>65.28</v>
          </cell>
          <cell r="AZ254">
            <v>0</v>
          </cell>
          <cell r="BA254">
            <v>516</v>
          </cell>
          <cell r="BB254">
            <v>3</v>
          </cell>
          <cell r="BC254">
            <v>519</v>
          </cell>
          <cell r="BD254">
            <v>0</v>
          </cell>
          <cell r="BE254">
            <v>0</v>
          </cell>
          <cell r="BF254">
            <v>17</v>
          </cell>
          <cell r="BG254">
            <v>1</v>
          </cell>
          <cell r="BH254">
            <v>1</v>
          </cell>
          <cell r="BI254">
            <v>-38</v>
          </cell>
          <cell r="BJ254">
            <v>-12</v>
          </cell>
          <cell r="BK254">
            <v>-5</v>
          </cell>
          <cell r="BL254">
            <v>-5</v>
          </cell>
          <cell r="BM254">
            <v>-2</v>
          </cell>
          <cell r="BN254">
            <v>-14</v>
          </cell>
          <cell r="BO254">
            <v>0</v>
          </cell>
          <cell r="BP254">
            <v>-3</v>
          </cell>
          <cell r="BQ254">
            <v>0</v>
          </cell>
          <cell r="BR254">
            <v>-1</v>
          </cell>
          <cell r="BS254">
            <v>-4</v>
          </cell>
          <cell r="BT254">
            <v>0</v>
          </cell>
          <cell r="BU254">
            <v>2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125</v>
          </cell>
          <cell r="DN254">
            <v>0</v>
          </cell>
          <cell r="DO254">
            <v>4</v>
          </cell>
          <cell r="DP254">
            <v>6</v>
          </cell>
          <cell r="DQ254">
            <v>109</v>
          </cell>
          <cell r="DR254">
            <v>6</v>
          </cell>
          <cell r="DS254">
            <v>0</v>
          </cell>
          <cell r="DT254">
            <v>81</v>
          </cell>
          <cell r="DU254">
            <v>17</v>
          </cell>
          <cell r="DV254">
            <v>6</v>
          </cell>
          <cell r="DW254">
            <v>23</v>
          </cell>
          <cell r="DX254">
            <v>28</v>
          </cell>
          <cell r="DY254">
            <v>7</v>
          </cell>
          <cell r="DZ254">
            <v>0</v>
          </cell>
          <cell r="EA254">
            <v>57</v>
          </cell>
          <cell r="EB254">
            <v>13</v>
          </cell>
          <cell r="EC254">
            <v>18</v>
          </cell>
          <cell r="ED254">
            <v>13</v>
          </cell>
          <cell r="EE254">
            <v>8</v>
          </cell>
          <cell r="EF254">
            <v>5</v>
          </cell>
          <cell r="EG254">
            <v>0</v>
          </cell>
          <cell r="EH254">
            <v>297</v>
          </cell>
          <cell r="EI254">
            <v>9</v>
          </cell>
          <cell r="EJ254">
            <v>11</v>
          </cell>
          <cell r="EK254">
            <v>-2</v>
          </cell>
          <cell r="EL254">
            <v>285</v>
          </cell>
          <cell r="EM254">
            <v>-6</v>
          </cell>
          <cell r="EN254">
            <v>0</v>
          </cell>
          <cell r="EO254" t="str">
            <v xml:space="preserve"> Mens Bloomington                                           </v>
          </cell>
        </row>
        <row r="255">
          <cell r="A255" t="str">
            <v>CN3YM8852094</v>
          </cell>
          <cell r="B255" t="str">
            <v>CN3</v>
          </cell>
          <cell r="C255" t="str">
            <v>YM8852</v>
          </cell>
          <cell r="D255">
            <v>94</v>
          </cell>
          <cell r="E255" t="str">
            <v xml:space="preserve">   </v>
          </cell>
          <cell r="F255">
            <v>81001</v>
          </cell>
          <cell r="G255">
            <v>81001</v>
          </cell>
          <cell r="H255">
            <v>0</v>
          </cell>
          <cell r="I255">
            <v>600</v>
          </cell>
          <cell r="J255">
            <v>556</v>
          </cell>
          <cell r="K255">
            <v>537</v>
          </cell>
          <cell r="L255">
            <v>229</v>
          </cell>
          <cell r="M255">
            <v>229</v>
          </cell>
          <cell r="N255">
            <v>37182000</v>
          </cell>
          <cell r="O255">
            <v>32053400</v>
          </cell>
          <cell r="P255">
            <v>30958050</v>
          </cell>
          <cell r="Q255">
            <v>13201850</v>
          </cell>
          <cell r="R255">
            <v>43425932</v>
          </cell>
          <cell r="S255" t="str">
            <v xml:space="preserve"> </v>
          </cell>
          <cell r="T255" t="str">
            <v xml:space="preserve"> </v>
          </cell>
          <cell r="U255">
            <v>556</v>
          </cell>
          <cell r="V255">
            <v>32053400</v>
          </cell>
          <cell r="W255">
            <v>229</v>
          </cell>
          <cell r="X255">
            <v>13201850</v>
          </cell>
          <cell r="Y255">
            <v>41.37</v>
          </cell>
          <cell r="Z255">
            <v>41.37</v>
          </cell>
          <cell r="AA255">
            <v>13201850</v>
          </cell>
          <cell r="AB255">
            <v>0</v>
          </cell>
          <cell r="AC255">
            <v>19</v>
          </cell>
          <cell r="AD255">
            <v>7552150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1</v>
          </cell>
          <cell r="AL255">
            <v>57650</v>
          </cell>
          <cell r="AM255">
            <v>307</v>
          </cell>
          <cell r="AN255">
            <v>30381550</v>
          </cell>
          <cell r="AO255">
            <v>61970</v>
          </cell>
          <cell r="AP255">
            <v>57650</v>
          </cell>
          <cell r="AQ255">
            <v>238000</v>
          </cell>
          <cell r="AR255">
            <v>0</v>
          </cell>
          <cell r="AS255">
            <v>4.13</v>
          </cell>
          <cell r="AT255">
            <v>132328000</v>
          </cell>
          <cell r="AU255">
            <v>3.29</v>
          </cell>
          <cell r="AV255">
            <v>43425932</v>
          </cell>
          <cell r="AW255">
            <v>0</v>
          </cell>
          <cell r="AX255">
            <v>0</v>
          </cell>
          <cell r="AY255">
            <v>41.37</v>
          </cell>
          <cell r="AZ255">
            <v>0</v>
          </cell>
          <cell r="BA255">
            <v>229</v>
          </cell>
          <cell r="BB255">
            <v>0</v>
          </cell>
          <cell r="BC255">
            <v>229</v>
          </cell>
          <cell r="BD255">
            <v>0</v>
          </cell>
          <cell r="BE255">
            <v>0</v>
          </cell>
          <cell r="BF255">
            <v>9</v>
          </cell>
          <cell r="BG255">
            <v>0</v>
          </cell>
          <cell r="BH255">
            <v>1</v>
          </cell>
          <cell r="BI255">
            <v>6</v>
          </cell>
          <cell r="BJ255">
            <v>-7</v>
          </cell>
          <cell r="BK255">
            <v>-1</v>
          </cell>
          <cell r="BL255">
            <v>0</v>
          </cell>
          <cell r="BM255">
            <v>2</v>
          </cell>
          <cell r="BN255">
            <v>12</v>
          </cell>
          <cell r="BO255">
            <v>0</v>
          </cell>
          <cell r="BP255">
            <v>5</v>
          </cell>
          <cell r="BQ255">
            <v>1</v>
          </cell>
          <cell r="BR255">
            <v>2</v>
          </cell>
          <cell r="BS255">
            <v>1</v>
          </cell>
          <cell r="BT255">
            <v>1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61</v>
          </cell>
          <cell r="DU255">
            <v>11</v>
          </cell>
          <cell r="DV255">
            <v>16</v>
          </cell>
          <cell r="DW255">
            <v>14</v>
          </cell>
          <cell r="DX255">
            <v>13</v>
          </cell>
          <cell r="DY255">
            <v>7</v>
          </cell>
          <cell r="DZ255">
            <v>0</v>
          </cell>
          <cell r="EA255">
            <v>41</v>
          </cell>
          <cell r="EB255">
            <v>6</v>
          </cell>
          <cell r="EC255">
            <v>9</v>
          </cell>
          <cell r="ED255">
            <v>5</v>
          </cell>
          <cell r="EE255">
            <v>17</v>
          </cell>
          <cell r="EF255">
            <v>4</v>
          </cell>
          <cell r="EG255">
            <v>0</v>
          </cell>
          <cell r="EH255">
            <v>116</v>
          </cell>
          <cell r="EI255">
            <v>3</v>
          </cell>
          <cell r="EJ255">
            <v>4</v>
          </cell>
          <cell r="EK255">
            <v>-2</v>
          </cell>
          <cell r="EL255">
            <v>115</v>
          </cell>
          <cell r="EM255">
            <v>-4</v>
          </cell>
          <cell r="EN255">
            <v>0</v>
          </cell>
          <cell r="EO255" t="str">
            <v xml:space="preserve"> Mens Bloomington                                           </v>
          </cell>
        </row>
        <row r="256">
          <cell r="A256" t="str">
            <v>CN3YM8853010</v>
          </cell>
          <cell r="B256" t="str">
            <v>CN3</v>
          </cell>
          <cell r="C256" t="str">
            <v>YM8853</v>
          </cell>
          <cell r="D256">
            <v>10</v>
          </cell>
          <cell r="E256" t="str">
            <v xml:space="preserve">   </v>
          </cell>
          <cell r="F256">
            <v>80728</v>
          </cell>
          <cell r="G256">
            <v>80812</v>
          </cell>
          <cell r="H256">
            <v>0</v>
          </cell>
          <cell r="I256">
            <v>1300</v>
          </cell>
          <cell r="J256">
            <v>1283</v>
          </cell>
          <cell r="K256">
            <v>1283</v>
          </cell>
          <cell r="L256">
            <v>1278</v>
          </cell>
          <cell r="M256">
            <v>1278</v>
          </cell>
          <cell r="N256">
            <v>39195000</v>
          </cell>
          <cell r="O256">
            <v>39140481</v>
          </cell>
          <cell r="P256">
            <v>39140481</v>
          </cell>
          <cell r="Q256">
            <v>38987946</v>
          </cell>
          <cell r="R256">
            <v>143104954</v>
          </cell>
          <cell r="S256" t="str">
            <v xml:space="preserve"> </v>
          </cell>
          <cell r="T256" t="str">
            <v xml:space="preserve"> </v>
          </cell>
          <cell r="U256">
            <v>1283</v>
          </cell>
          <cell r="V256">
            <v>39140481</v>
          </cell>
          <cell r="W256">
            <v>1278</v>
          </cell>
          <cell r="X256">
            <v>38987946</v>
          </cell>
          <cell r="Y256">
            <v>99.45</v>
          </cell>
          <cell r="Z256">
            <v>99.3</v>
          </cell>
          <cell r="AA256">
            <v>38713383</v>
          </cell>
          <cell r="AB256">
            <v>274563</v>
          </cell>
          <cell r="AC256">
            <v>0</v>
          </cell>
          <cell r="AD256">
            <v>274563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-2</v>
          </cell>
          <cell r="AL256">
            <v>-122028</v>
          </cell>
          <cell r="AM256">
            <v>7</v>
          </cell>
          <cell r="AN256">
            <v>457605</v>
          </cell>
          <cell r="AO256">
            <v>30150</v>
          </cell>
          <cell r="AP256">
            <v>30507</v>
          </cell>
          <cell r="AQ256">
            <v>118000</v>
          </cell>
          <cell r="AR256">
            <v>0</v>
          </cell>
          <cell r="AS256">
            <v>3.87</v>
          </cell>
          <cell r="AT256">
            <v>151394000</v>
          </cell>
          <cell r="AU256">
            <v>3.69</v>
          </cell>
          <cell r="AV256">
            <v>143043223</v>
          </cell>
          <cell r="AW256">
            <v>0.22</v>
          </cell>
          <cell r="AX256">
            <v>61731</v>
          </cell>
          <cell r="AY256">
            <v>99.45</v>
          </cell>
          <cell r="AZ256">
            <v>0</v>
          </cell>
          <cell r="BA256">
            <v>1269</v>
          </cell>
          <cell r="BB256">
            <v>9</v>
          </cell>
          <cell r="BC256">
            <v>1207</v>
          </cell>
          <cell r="BD256">
            <v>71</v>
          </cell>
          <cell r="BE256">
            <v>0</v>
          </cell>
          <cell r="BF256">
            <v>24</v>
          </cell>
          <cell r="BG256">
            <v>1</v>
          </cell>
          <cell r="BH256">
            <v>1</v>
          </cell>
          <cell r="BI256">
            <v>-2</v>
          </cell>
          <cell r="BJ256">
            <v>0</v>
          </cell>
          <cell r="BK256">
            <v>0</v>
          </cell>
          <cell r="BL256">
            <v>1</v>
          </cell>
          <cell r="BM256">
            <v>-2</v>
          </cell>
          <cell r="BN256">
            <v>-1</v>
          </cell>
          <cell r="BO256">
            <v>0</v>
          </cell>
          <cell r="BP256">
            <v>10</v>
          </cell>
          <cell r="BQ256">
            <v>0</v>
          </cell>
          <cell r="BR256">
            <v>0</v>
          </cell>
          <cell r="BS256">
            <v>9</v>
          </cell>
          <cell r="BT256">
            <v>0</v>
          </cell>
          <cell r="BU256">
            <v>1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448</v>
          </cell>
          <cell r="DN256">
            <v>91</v>
          </cell>
          <cell r="DO256">
            <v>79</v>
          </cell>
          <cell r="DP256">
            <v>111</v>
          </cell>
          <cell r="DQ256">
            <v>124</v>
          </cell>
          <cell r="DR256">
            <v>43</v>
          </cell>
          <cell r="DS256">
            <v>0</v>
          </cell>
          <cell r="DT256">
            <v>617</v>
          </cell>
          <cell r="DU256">
            <v>157</v>
          </cell>
          <cell r="DV256">
            <v>154</v>
          </cell>
          <cell r="DW256">
            <v>144</v>
          </cell>
          <cell r="DX256">
            <v>107</v>
          </cell>
          <cell r="DY256">
            <v>55</v>
          </cell>
          <cell r="DZ256">
            <v>0</v>
          </cell>
          <cell r="EA256">
            <v>124</v>
          </cell>
          <cell r="EB256">
            <v>26</v>
          </cell>
          <cell r="EC256">
            <v>42</v>
          </cell>
          <cell r="ED256">
            <v>26</v>
          </cell>
          <cell r="EE256">
            <v>13</v>
          </cell>
          <cell r="EF256">
            <v>17</v>
          </cell>
          <cell r="EG256">
            <v>0</v>
          </cell>
          <cell r="EH256">
            <v>81</v>
          </cell>
          <cell r="EI256">
            <v>2</v>
          </cell>
          <cell r="EJ256">
            <v>10</v>
          </cell>
          <cell r="EK256">
            <v>9</v>
          </cell>
          <cell r="EL256">
            <v>-5</v>
          </cell>
          <cell r="EM256">
            <v>65</v>
          </cell>
          <cell r="EN256">
            <v>0</v>
          </cell>
          <cell r="EO256" t="str">
            <v xml:space="preserve"> Mens Flint                                                 </v>
          </cell>
        </row>
        <row r="257">
          <cell r="A257" t="str">
            <v>CN3YM8853326</v>
          </cell>
          <cell r="B257" t="str">
            <v>CN3</v>
          </cell>
          <cell r="C257" t="str">
            <v>YM8853</v>
          </cell>
          <cell r="D257">
            <v>326</v>
          </cell>
          <cell r="E257" t="str">
            <v xml:space="preserve">   </v>
          </cell>
          <cell r="F257">
            <v>80728</v>
          </cell>
          <cell r="G257">
            <v>80812</v>
          </cell>
          <cell r="H257">
            <v>0</v>
          </cell>
          <cell r="I257">
            <v>700</v>
          </cell>
          <cell r="J257">
            <v>695</v>
          </cell>
          <cell r="K257">
            <v>694</v>
          </cell>
          <cell r="L257">
            <v>408</v>
          </cell>
          <cell r="M257">
            <v>408</v>
          </cell>
          <cell r="N257">
            <v>21105000</v>
          </cell>
          <cell r="O257">
            <v>21202365</v>
          </cell>
          <cell r="P257">
            <v>21171858</v>
          </cell>
          <cell r="Q257">
            <v>12446856</v>
          </cell>
          <cell r="R257">
            <v>46166697</v>
          </cell>
          <cell r="S257" t="str">
            <v xml:space="preserve"> </v>
          </cell>
          <cell r="T257" t="str">
            <v xml:space="preserve"> </v>
          </cell>
          <cell r="U257">
            <v>695</v>
          </cell>
          <cell r="V257">
            <v>21202365</v>
          </cell>
          <cell r="W257">
            <v>408</v>
          </cell>
          <cell r="X257">
            <v>12446856</v>
          </cell>
          <cell r="Y257">
            <v>58.71</v>
          </cell>
          <cell r="Z257">
            <v>58.71</v>
          </cell>
          <cell r="AA257">
            <v>12446856</v>
          </cell>
          <cell r="AB257">
            <v>0</v>
          </cell>
          <cell r="AC257">
            <v>1</v>
          </cell>
          <cell r="AD257">
            <v>4728585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286</v>
          </cell>
          <cell r="AN257">
            <v>12751926</v>
          </cell>
          <cell r="AO257">
            <v>30150</v>
          </cell>
          <cell r="AP257">
            <v>30507</v>
          </cell>
          <cell r="AQ257">
            <v>118000</v>
          </cell>
          <cell r="AR257">
            <v>0</v>
          </cell>
          <cell r="AS257">
            <v>3.87</v>
          </cell>
          <cell r="AT257">
            <v>82010000</v>
          </cell>
          <cell r="AU257">
            <v>3.71</v>
          </cell>
          <cell r="AV257">
            <v>46166697</v>
          </cell>
          <cell r="AW257">
            <v>0</v>
          </cell>
          <cell r="AX257">
            <v>0</v>
          </cell>
          <cell r="AY257">
            <v>58.71</v>
          </cell>
          <cell r="AZ257">
            <v>0</v>
          </cell>
          <cell r="BA257">
            <v>408</v>
          </cell>
          <cell r="BB257">
            <v>0</v>
          </cell>
          <cell r="BC257">
            <v>363</v>
          </cell>
          <cell r="BD257">
            <v>45</v>
          </cell>
          <cell r="BE257">
            <v>0</v>
          </cell>
          <cell r="BF257">
            <v>24</v>
          </cell>
          <cell r="BG257">
            <v>0</v>
          </cell>
          <cell r="BH257">
            <v>1</v>
          </cell>
          <cell r="BI257">
            <v>9</v>
          </cell>
          <cell r="BJ257">
            <v>1</v>
          </cell>
          <cell r="BK257">
            <v>0</v>
          </cell>
          <cell r="BL257">
            <v>3</v>
          </cell>
          <cell r="BM257">
            <v>2</v>
          </cell>
          <cell r="BN257">
            <v>3</v>
          </cell>
          <cell r="BO257">
            <v>0</v>
          </cell>
          <cell r="BP257">
            <v>-1</v>
          </cell>
          <cell r="BQ257">
            <v>0</v>
          </cell>
          <cell r="BR257">
            <v>-10</v>
          </cell>
          <cell r="BS257">
            <v>5</v>
          </cell>
          <cell r="BT257">
            <v>3</v>
          </cell>
          <cell r="BU257">
            <v>1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1</v>
          </cell>
          <cell r="DG257">
            <v>0</v>
          </cell>
          <cell r="DH257">
            <v>0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137</v>
          </cell>
          <cell r="DN257">
            <v>24</v>
          </cell>
          <cell r="DO257">
            <v>29</v>
          </cell>
          <cell r="DP257">
            <v>41</v>
          </cell>
          <cell r="DQ257">
            <v>35</v>
          </cell>
          <cell r="DR257">
            <v>8</v>
          </cell>
          <cell r="DS257">
            <v>0</v>
          </cell>
          <cell r="DT257">
            <v>143</v>
          </cell>
          <cell r="DU257">
            <v>32</v>
          </cell>
          <cell r="DV257">
            <v>37</v>
          </cell>
          <cell r="DW257">
            <v>20</v>
          </cell>
          <cell r="DX257">
            <v>33</v>
          </cell>
          <cell r="DY257">
            <v>21</v>
          </cell>
          <cell r="DZ257">
            <v>0</v>
          </cell>
          <cell r="EA257">
            <v>49</v>
          </cell>
          <cell r="EB257">
            <v>16</v>
          </cell>
          <cell r="EC257">
            <v>9</v>
          </cell>
          <cell r="ED257">
            <v>13</v>
          </cell>
          <cell r="EE257">
            <v>2</v>
          </cell>
          <cell r="EF257">
            <v>9</v>
          </cell>
          <cell r="EG257">
            <v>0</v>
          </cell>
          <cell r="EH257">
            <v>70</v>
          </cell>
          <cell r="EI257">
            <v>3</v>
          </cell>
          <cell r="EJ257">
            <v>4</v>
          </cell>
          <cell r="EK257">
            <v>4</v>
          </cell>
          <cell r="EL257">
            <v>0</v>
          </cell>
          <cell r="EM257">
            <v>59</v>
          </cell>
          <cell r="EN257">
            <v>0</v>
          </cell>
          <cell r="EO257" t="str">
            <v xml:space="preserve"> Mens Flint                                                 </v>
          </cell>
        </row>
        <row r="258">
          <cell r="A258" t="str">
            <v>CN3YM8853978</v>
          </cell>
          <cell r="B258" t="str">
            <v>CN3</v>
          </cell>
          <cell r="C258" t="str">
            <v>YM8853</v>
          </cell>
          <cell r="D258">
            <v>978</v>
          </cell>
          <cell r="E258" t="str">
            <v xml:space="preserve">   </v>
          </cell>
          <cell r="F258">
            <v>80728</v>
          </cell>
          <cell r="G258">
            <v>80812</v>
          </cell>
          <cell r="H258">
            <v>0</v>
          </cell>
          <cell r="I258">
            <v>400</v>
          </cell>
          <cell r="J258">
            <v>399</v>
          </cell>
          <cell r="K258">
            <v>377</v>
          </cell>
          <cell r="L258">
            <v>60</v>
          </cell>
          <cell r="M258">
            <v>60</v>
          </cell>
          <cell r="N258">
            <v>12060000</v>
          </cell>
          <cell r="O258">
            <v>12172293</v>
          </cell>
          <cell r="P258">
            <v>11501139</v>
          </cell>
          <cell r="Q258">
            <v>1830420</v>
          </cell>
          <cell r="R258">
            <v>6661897</v>
          </cell>
          <cell r="S258" t="str">
            <v xml:space="preserve"> </v>
          </cell>
          <cell r="T258" t="str">
            <v xml:space="preserve"> </v>
          </cell>
          <cell r="U258">
            <v>399</v>
          </cell>
          <cell r="V258">
            <v>12172293</v>
          </cell>
          <cell r="W258">
            <v>60</v>
          </cell>
          <cell r="X258">
            <v>1830420</v>
          </cell>
          <cell r="Y258">
            <v>15.54</v>
          </cell>
          <cell r="Z258">
            <v>16.04</v>
          </cell>
          <cell r="AA258">
            <v>1830420</v>
          </cell>
          <cell r="AB258">
            <v>0</v>
          </cell>
          <cell r="AC258">
            <v>22</v>
          </cell>
          <cell r="AD258">
            <v>6497991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2</v>
          </cell>
          <cell r="AL258">
            <v>122028</v>
          </cell>
          <cell r="AM258">
            <v>315</v>
          </cell>
          <cell r="AN258">
            <v>13941699</v>
          </cell>
          <cell r="AO258">
            <v>30150</v>
          </cell>
          <cell r="AP258">
            <v>30507</v>
          </cell>
          <cell r="AQ258">
            <v>118000</v>
          </cell>
          <cell r="AR258">
            <v>0</v>
          </cell>
          <cell r="AS258">
            <v>3.87</v>
          </cell>
          <cell r="AT258">
            <v>47082000</v>
          </cell>
          <cell r="AU258">
            <v>3.64</v>
          </cell>
          <cell r="AV258">
            <v>6661897</v>
          </cell>
          <cell r="AW258">
            <v>0</v>
          </cell>
          <cell r="AX258">
            <v>0</v>
          </cell>
          <cell r="AY258">
            <v>15.54</v>
          </cell>
          <cell r="AZ258">
            <v>0</v>
          </cell>
          <cell r="BA258">
            <v>60</v>
          </cell>
          <cell r="BB258">
            <v>0</v>
          </cell>
          <cell r="BC258">
            <v>60</v>
          </cell>
          <cell r="BD258">
            <v>0</v>
          </cell>
          <cell r="BE258">
            <v>0</v>
          </cell>
          <cell r="BF258">
            <v>6</v>
          </cell>
          <cell r="BG258">
            <v>0</v>
          </cell>
          <cell r="BH258">
            <v>1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-4</v>
          </cell>
          <cell r="BQ258">
            <v>0</v>
          </cell>
          <cell r="BR258">
            <v>0</v>
          </cell>
          <cell r="BS258">
            <v>-4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27</v>
          </cell>
          <cell r="DN258">
            <v>5</v>
          </cell>
          <cell r="DO258">
            <v>5</v>
          </cell>
          <cell r="DP258">
            <v>7</v>
          </cell>
          <cell r="DQ258">
            <v>7</v>
          </cell>
          <cell r="DR258">
            <v>3</v>
          </cell>
          <cell r="DS258">
            <v>0</v>
          </cell>
          <cell r="DT258">
            <v>18</v>
          </cell>
          <cell r="DU258">
            <v>3</v>
          </cell>
          <cell r="DV258">
            <v>8</v>
          </cell>
          <cell r="DW258">
            <v>-1</v>
          </cell>
          <cell r="DX258">
            <v>2</v>
          </cell>
          <cell r="DY258">
            <v>6</v>
          </cell>
          <cell r="DZ258">
            <v>0</v>
          </cell>
          <cell r="EA258">
            <v>7</v>
          </cell>
          <cell r="EB258">
            <v>0</v>
          </cell>
          <cell r="EC258">
            <v>3</v>
          </cell>
          <cell r="ED258">
            <v>1</v>
          </cell>
          <cell r="EE258">
            <v>1</v>
          </cell>
          <cell r="EF258">
            <v>2</v>
          </cell>
          <cell r="EG258">
            <v>0</v>
          </cell>
          <cell r="EH258">
            <v>12</v>
          </cell>
          <cell r="EI258">
            <v>1</v>
          </cell>
          <cell r="EJ258">
            <v>0</v>
          </cell>
          <cell r="EK258">
            <v>1</v>
          </cell>
          <cell r="EL258">
            <v>3</v>
          </cell>
          <cell r="EM258">
            <v>7</v>
          </cell>
          <cell r="EN258">
            <v>0</v>
          </cell>
          <cell r="EO258" t="str">
            <v xml:space="preserve"> Mens Flint                                                 </v>
          </cell>
        </row>
        <row r="259">
          <cell r="A259" t="str">
            <v>CN3YM8854053</v>
          </cell>
          <cell r="B259" t="str">
            <v>CN3</v>
          </cell>
          <cell r="C259" t="str">
            <v>YM8854</v>
          </cell>
          <cell r="D259">
            <v>53</v>
          </cell>
          <cell r="E259" t="str">
            <v xml:space="preserve">   </v>
          </cell>
          <cell r="F259">
            <v>80910</v>
          </cell>
          <cell r="G259">
            <v>80910</v>
          </cell>
          <cell r="H259">
            <v>90226</v>
          </cell>
          <cell r="I259">
            <v>800</v>
          </cell>
          <cell r="J259">
            <v>776</v>
          </cell>
          <cell r="K259">
            <v>769</v>
          </cell>
          <cell r="L259">
            <v>268</v>
          </cell>
          <cell r="M259">
            <v>268</v>
          </cell>
          <cell r="N259">
            <v>17000000</v>
          </cell>
          <cell r="O259">
            <v>16498492</v>
          </cell>
          <cell r="P259">
            <v>16349581</v>
          </cell>
          <cell r="Q259">
            <v>5699461</v>
          </cell>
          <cell r="R259">
            <v>23277251</v>
          </cell>
          <cell r="S259" t="str">
            <v>*</v>
          </cell>
          <cell r="T259" t="str">
            <v xml:space="preserve"> </v>
          </cell>
          <cell r="U259">
            <v>776</v>
          </cell>
          <cell r="V259">
            <v>16498492</v>
          </cell>
          <cell r="W259">
            <v>268</v>
          </cell>
          <cell r="X259">
            <v>5699461</v>
          </cell>
          <cell r="Y259">
            <v>35.18</v>
          </cell>
          <cell r="Z259">
            <v>35.71</v>
          </cell>
          <cell r="AA259">
            <v>5231455</v>
          </cell>
          <cell r="AB259">
            <v>468006</v>
          </cell>
          <cell r="AC259">
            <v>7</v>
          </cell>
          <cell r="AD259">
            <v>382914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5</v>
          </cell>
          <cell r="AL259">
            <v>191457</v>
          </cell>
          <cell r="AM259">
            <v>496</v>
          </cell>
          <cell r="AN259">
            <v>21889917</v>
          </cell>
          <cell r="AO259">
            <v>21250</v>
          </cell>
          <cell r="AP259">
            <v>21273</v>
          </cell>
          <cell r="AQ259">
            <v>98000</v>
          </cell>
          <cell r="AR259">
            <v>59000</v>
          </cell>
          <cell r="AS259">
            <v>4.6100000000000003</v>
          </cell>
          <cell r="AT259">
            <v>76048000</v>
          </cell>
          <cell r="AU259">
            <v>4.22</v>
          </cell>
          <cell r="AV259">
            <v>22083533</v>
          </cell>
          <cell r="AW259">
            <v>2.5499999999999998</v>
          </cell>
          <cell r="AX259">
            <v>1193718</v>
          </cell>
          <cell r="AY259">
            <v>35.18</v>
          </cell>
          <cell r="AZ259">
            <v>0</v>
          </cell>
          <cell r="BA259">
            <v>246</v>
          </cell>
          <cell r="BB259">
            <v>22</v>
          </cell>
          <cell r="BC259">
            <v>268</v>
          </cell>
          <cell r="BD259">
            <v>0</v>
          </cell>
          <cell r="BE259">
            <v>0</v>
          </cell>
          <cell r="BF259">
            <v>46</v>
          </cell>
          <cell r="BG259">
            <v>1</v>
          </cell>
          <cell r="BH259">
            <v>1</v>
          </cell>
          <cell r="BI259">
            <v>11</v>
          </cell>
          <cell r="BJ259">
            <v>1</v>
          </cell>
          <cell r="BK259">
            <v>5</v>
          </cell>
          <cell r="BL259">
            <v>2</v>
          </cell>
          <cell r="BM259">
            <v>2</v>
          </cell>
          <cell r="BN259">
            <v>1</v>
          </cell>
          <cell r="BO259">
            <v>0</v>
          </cell>
          <cell r="BP259">
            <v>40</v>
          </cell>
          <cell r="BQ259">
            <v>1</v>
          </cell>
          <cell r="BR259">
            <v>8</v>
          </cell>
          <cell r="BS259">
            <v>5</v>
          </cell>
          <cell r="BT259">
            <v>4</v>
          </cell>
          <cell r="BU259">
            <v>22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70</v>
          </cell>
          <cell r="DN259">
            <v>0</v>
          </cell>
          <cell r="DO259">
            <v>1</v>
          </cell>
          <cell r="DP259">
            <v>12</v>
          </cell>
          <cell r="DQ259">
            <v>53</v>
          </cell>
          <cell r="DR259">
            <v>4</v>
          </cell>
          <cell r="DS259">
            <v>0</v>
          </cell>
          <cell r="DT259">
            <v>93</v>
          </cell>
          <cell r="DU259">
            <v>19</v>
          </cell>
          <cell r="DV259">
            <v>30</v>
          </cell>
          <cell r="DW259">
            <v>21</v>
          </cell>
          <cell r="DX259">
            <v>19</v>
          </cell>
          <cell r="DY259">
            <v>4</v>
          </cell>
          <cell r="DZ259">
            <v>0</v>
          </cell>
          <cell r="EA259">
            <v>39</v>
          </cell>
          <cell r="EB259">
            <v>6</v>
          </cell>
          <cell r="EC259">
            <v>19</v>
          </cell>
          <cell r="ED259">
            <v>7</v>
          </cell>
          <cell r="EE259">
            <v>5</v>
          </cell>
          <cell r="EF259">
            <v>2</v>
          </cell>
          <cell r="EG259">
            <v>0</v>
          </cell>
          <cell r="EH259">
            <v>15</v>
          </cell>
          <cell r="EI259">
            <v>0</v>
          </cell>
          <cell r="EJ259">
            <v>4</v>
          </cell>
          <cell r="EK259">
            <v>2</v>
          </cell>
          <cell r="EL259">
            <v>6</v>
          </cell>
          <cell r="EM259">
            <v>3</v>
          </cell>
          <cell r="EN259">
            <v>0</v>
          </cell>
          <cell r="EO259" t="str">
            <v xml:space="preserve">Mens Elgin                                                  </v>
          </cell>
        </row>
        <row r="260">
          <cell r="A260" t="str">
            <v>CN3YM8854094</v>
          </cell>
          <cell r="B260" t="str">
            <v>CN3</v>
          </cell>
          <cell r="C260" t="str">
            <v>YM8854</v>
          </cell>
          <cell r="D260">
            <v>94</v>
          </cell>
          <cell r="E260" t="str">
            <v xml:space="preserve">   </v>
          </cell>
          <cell r="F260">
            <v>80910</v>
          </cell>
          <cell r="G260">
            <v>80910</v>
          </cell>
          <cell r="H260">
            <v>90226</v>
          </cell>
          <cell r="I260">
            <v>1000</v>
          </cell>
          <cell r="J260">
            <v>1010</v>
          </cell>
          <cell r="K260">
            <v>1010</v>
          </cell>
          <cell r="L260">
            <v>638</v>
          </cell>
          <cell r="M260">
            <v>638</v>
          </cell>
          <cell r="N260">
            <v>21250000</v>
          </cell>
          <cell r="O260">
            <v>21473542</v>
          </cell>
          <cell r="P260">
            <v>21473565</v>
          </cell>
          <cell r="Q260">
            <v>13568346</v>
          </cell>
          <cell r="R260">
            <v>55303240</v>
          </cell>
          <cell r="S260" t="str">
            <v>*</v>
          </cell>
          <cell r="T260" t="str">
            <v xml:space="preserve"> </v>
          </cell>
          <cell r="U260">
            <v>1010</v>
          </cell>
          <cell r="V260">
            <v>21473542</v>
          </cell>
          <cell r="W260">
            <v>638</v>
          </cell>
          <cell r="X260">
            <v>13568346</v>
          </cell>
          <cell r="Y260">
            <v>62.87</v>
          </cell>
          <cell r="Z260">
            <v>62.69</v>
          </cell>
          <cell r="AA260">
            <v>12823791</v>
          </cell>
          <cell r="AB260">
            <v>744555</v>
          </cell>
          <cell r="AC260">
            <v>0</v>
          </cell>
          <cell r="AD260">
            <v>42546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-3</v>
          </cell>
          <cell r="AL260">
            <v>-106365</v>
          </cell>
          <cell r="AM260">
            <v>375</v>
          </cell>
          <cell r="AN260">
            <v>17146038</v>
          </cell>
          <cell r="AO260">
            <v>21250</v>
          </cell>
          <cell r="AP260">
            <v>21273</v>
          </cell>
          <cell r="AQ260">
            <v>98000</v>
          </cell>
          <cell r="AR260">
            <v>59000</v>
          </cell>
          <cell r="AS260">
            <v>4.6100000000000003</v>
          </cell>
          <cell r="AT260">
            <v>98980000</v>
          </cell>
          <cell r="AU260">
            <v>4.16</v>
          </cell>
          <cell r="AV260">
            <v>53342522</v>
          </cell>
          <cell r="AW260">
            <v>2.63</v>
          </cell>
          <cell r="AX260">
            <v>1960718</v>
          </cell>
          <cell r="AY260">
            <v>62.87</v>
          </cell>
          <cell r="AZ260">
            <v>0</v>
          </cell>
          <cell r="BA260">
            <v>603</v>
          </cell>
          <cell r="BB260">
            <v>35</v>
          </cell>
          <cell r="BC260">
            <v>638</v>
          </cell>
          <cell r="BD260">
            <v>0</v>
          </cell>
          <cell r="BE260">
            <v>0</v>
          </cell>
          <cell r="BF260">
            <v>79</v>
          </cell>
          <cell r="BG260">
            <v>0</v>
          </cell>
          <cell r="BH260">
            <v>1</v>
          </cell>
          <cell r="BI260">
            <v>21</v>
          </cell>
          <cell r="BJ260">
            <v>3</v>
          </cell>
          <cell r="BK260">
            <v>4</v>
          </cell>
          <cell r="BL260">
            <v>8</v>
          </cell>
          <cell r="BM260">
            <v>0</v>
          </cell>
          <cell r="BN260">
            <v>6</v>
          </cell>
          <cell r="BO260">
            <v>0</v>
          </cell>
          <cell r="BP260">
            <v>59</v>
          </cell>
          <cell r="BQ260">
            <v>1</v>
          </cell>
          <cell r="BR260">
            <v>9</v>
          </cell>
          <cell r="BS260">
            <v>8</v>
          </cell>
          <cell r="BT260">
            <v>6</v>
          </cell>
          <cell r="BU260">
            <v>35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155</v>
          </cell>
          <cell r="DN260">
            <v>0</v>
          </cell>
          <cell r="DO260">
            <v>6</v>
          </cell>
          <cell r="DP260">
            <v>22</v>
          </cell>
          <cell r="DQ260">
            <v>119</v>
          </cell>
          <cell r="DR260">
            <v>8</v>
          </cell>
          <cell r="DS260">
            <v>0</v>
          </cell>
          <cell r="DT260">
            <v>263</v>
          </cell>
          <cell r="DU260">
            <v>59</v>
          </cell>
          <cell r="DV260">
            <v>73</v>
          </cell>
          <cell r="DW260">
            <v>64</v>
          </cell>
          <cell r="DX260">
            <v>48</v>
          </cell>
          <cell r="DY260">
            <v>19</v>
          </cell>
          <cell r="DZ260">
            <v>0</v>
          </cell>
          <cell r="EA260">
            <v>106</v>
          </cell>
          <cell r="EB260">
            <v>18</v>
          </cell>
          <cell r="EC260">
            <v>58</v>
          </cell>
          <cell r="ED260">
            <v>17</v>
          </cell>
          <cell r="EE260">
            <v>6</v>
          </cell>
          <cell r="EF260">
            <v>7</v>
          </cell>
          <cell r="EG260">
            <v>0</v>
          </cell>
          <cell r="EH260">
            <v>34</v>
          </cell>
          <cell r="EI260">
            <v>3</v>
          </cell>
          <cell r="EJ260">
            <v>5</v>
          </cell>
          <cell r="EK260">
            <v>10</v>
          </cell>
          <cell r="EL260">
            <v>16</v>
          </cell>
          <cell r="EM260">
            <v>0</v>
          </cell>
          <cell r="EN260">
            <v>0</v>
          </cell>
          <cell r="EO260" t="str">
            <v xml:space="preserve">Mens Elgin                                                  </v>
          </cell>
        </row>
        <row r="261">
          <cell r="A261" t="str">
            <v>CN3YM8854221</v>
          </cell>
          <cell r="B261" t="str">
            <v>CN3</v>
          </cell>
          <cell r="C261" t="str">
            <v>YM8854</v>
          </cell>
          <cell r="D261">
            <v>221</v>
          </cell>
          <cell r="E261" t="str">
            <v xml:space="preserve">   </v>
          </cell>
          <cell r="F261">
            <v>80924</v>
          </cell>
          <cell r="G261">
            <v>80924</v>
          </cell>
          <cell r="H261">
            <v>90226</v>
          </cell>
          <cell r="I261">
            <v>600</v>
          </cell>
          <cell r="J261">
            <v>594</v>
          </cell>
          <cell r="K261">
            <v>594</v>
          </cell>
          <cell r="L261">
            <v>317</v>
          </cell>
          <cell r="M261">
            <v>317</v>
          </cell>
          <cell r="N261">
            <v>12750000</v>
          </cell>
          <cell r="O261">
            <v>12628162</v>
          </cell>
          <cell r="P261">
            <v>12628801</v>
          </cell>
          <cell r="Q261">
            <v>6742390</v>
          </cell>
          <cell r="R261">
            <v>28265274</v>
          </cell>
          <cell r="S261" t="str">
            <v>*</v>
          </cell>
          <cell r="T261" t="str">
            <v xml:space="preserve"> </v>
          </cell>
          <cell r="U261">
            <v>594</v>
          </cell>
          <cell r="V261">
            <v>12628162</v>
          </cell>
          <cell r="W261">
            <v>317</v>
          </cell>
          <cell r="X261">
            <v>6742390</v>
          </cell>
          <cell r="Y261">
            <v>53.03</v>
          </cell>
          <cell r="Z261">
            <v>52.72</v>
          </cell>
          <cell r="AA261">
            <v>6444568</v>
          </cell>
          <cell r="AB261">
            <v>297822</v>
          </cell>
          <cell r="AC261">
            <v>0</v>
          </cell>
          <cell r="AD261">
            <v>21273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-2</v>
          </cell>
          <cell r="AL261">
            <v>-85092</v>
          </cell>
          <cell r="AM261">
            <v>279</v>
          </cell>
          <cell r="AN261">
            <v>12678708</v>
          </cell>
          <cell r="AO261">
            <v>21250</v>
          </cell>
          <cell r="AP261">
            <v>21273</v>
          </cell>
          <cell r="AQ261">
            <v>98000</v>
          </cell>
          <cell r="AR261">
            <v>59000</v>
          </cell>
          <cell r="AS261">
            <v>4.6100000000000003</v>
          </cell>
          <cell r="AT261">
            <v>58212000</v>
          </cell>
          <cell r="AU261">
            <v>4.2699999999999996</v>
          </cell>
          <cell r="AV261">
            <v>27491415</v>
          </cell>
          <cell r="AW261">
            <v>2.6</v>
          </cell>
          <cell r="AX261">
            <v>773859</v>
          </cell>
          <cell r="AY261">
            <v>53.03</v>
          </cell>
          <cell r="AZ261">
            <v>0</v>
          </cell>
          <cell r="BA261">
            <v>303</v>
          </cell>
          <cell r="BB261">
            <v>14</v>
          </cell>
          <cell r="BC261">
            <v>317</v>
          </cell>
          <cell r="BD261">
            <v>0</v>
          </cell>
          <cell r="BE261">
            <v>0</v>
          </cell>
          <cell r="BF261">
            <v>53</v>
          </cell>
          <cell r="BG261">
            <v>0</v>
          </cell>
          <cell r="BH261">
            <v>1</v>
          </cell>
          <cell r="BI261">
            <v>19</v>
          </cell>
          <cell r="BJ261">
            <v>2</v>
          </cell>
          <cell r="BK261">
            <v>4</v>
          </cell>
          <cell r="BL261">
            <v>3</v>
          </cell>
          <cell r="BM261">
            <v>6</v>
          </cell>
          <cell r="BN261">
            <v>4</v>
          </cell>
          <cell r="BO261">
            <v>0</v>
          </cell>
          <cell r="BP261">
            <v>39</v>
          </cell>
          <cell r="BQ261">
            <v>2</v>
          </cell>
          <cell r="BR261">
            <v>8</v>
          </cell>
          <cell r="BS261">
            <v>6</v>
          </cell>
          <cell r="BT261">
            <v>9</v>
          </cell>
          <cell r="BU261">
            <v>14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44</v>
          </cell>
          <cell r="DN261">
            <v>0</v>
          </cell>
          <cell r="DO261">
            <v>0</v>
          </cell>
          <cell r="DP261">
            <v>0</v>
          </cell>
          <cell r="DQ261">
            <v>43</v>
          </cell>
          <cell r="DR261">
            <v>1</v>
          </cell>
          <cell r="DS261">
            <v>0</v>
          </cell>
          <cell r="DT261">
            <v>139</v>
          </cell>
          <cell r="DU261">
            <v>35</v>
          </cell>
          <cell r="DV261">
            <v>38</v>
          </cell>
          <cell r="DW261">
            <v>41</v>
          </cell>
          <cell r="DX261">
            <v>13</v>
          </cell>
          <cell r="DY261">
            <v>12</v>
          </cell>
          <cell r="DZ261">
            <v>0</v>
          </cell>
          <cell r="EA261">
            <v>56</v>
          </cell>
          <cell r="EB261">
            <v>9</v>
          </cell>
          <cell r="EC261">
            <v>22</v>
          </cell>
          <cell r="ED261">
            <v>11</v>
          </cell>
          <cell r="EE261">
            <v>8</v>
          </cell>
          <cell r="EF261">
            <v>6</v>
          </cell>
          <cell r="EG261">
            <v>0</v>
          </cell>
          <cell r="EH261">
            <v>20</v>
          </cell>
          <cell r="EI261">
            <v>2</v>
          </cell>
          <cell r="EJ261">
            <v>2</v>
          </cell>
          <cell r="EK261">
            <v>4</v>
          </cell>
          <cell r="EL261">
            <v>10</v>
          </cell>
          <cell r="EM261">
            <v>2</v>
          </cell>
          <cell r="EN261">
            <v>0</v>
          </cell>
          <cell r="EO261" t="str">
            <v xml:space="preserve">Mens Elgin                                                  </v>
          </cell>
        </row>
        <row r="262">
          <cell r="A262" t="str">
            <v>CN3YM8855010</v>
          </cell>
          <cell r="B262" t="str">
            <v>CN3</v>
          </cell>
          <cell r="C262" t="str">
            <v>YM8855</v>
          </cell>
          <cell r="D262">
            <v>10</v>
          </cell>
          <cell r="E262" t="str">
            <v xml:space="preserve">   </v>
          </cell>
          <cell r="F262">
            <v>80814</v>
          </cell>
          <cell r="G262">
            <v>80818</v>
          </cell>
          <cell r="H262">
            <v>0</v>
          </cell>
          <cell r="I262">
            <v>1100</v>
          </cell>
          <cell r="J262">
            <v>1047</v>
          </cell>
          <cell r="K262">
            <v>1047</v>
          </cell>
          <cell r="L262">
            <v>1047</v>
          </cell>
          <cell r="M262">
            <v>1047</v>
          </cell>
          <cell r="N262">
            <v>34974500</v>
          </cell>
          <cell r="O262">
            <v>33385689</v>
          </cell>
          <cell r="P262">
            <v>33385689</v>
          </cell>
          <cell r="Q262">
            <v>33385689</v>
          </cell>
          <cell r="R262">
            <v>154680019</v>
          </cell>
          <cell r="S262" t="str">
            <v xml:space="preserve"> </v>
          </cell>
          <cell r="T262" t="str">
            <v>C</v>
          </cell>
          <cell r="U262">
            <v>1047</v>
          </cell>
          <cell r="V262">
            <v>33385689</v>
          </cell>
          <cell r="W262">
            <v>1047</v>
          </cell>
          <cell r="X262">
            <v>33385689</v>
          </cell>
          <cell r="Y262">
            <v>100</v>
          </cell>
          <cell r="Z262">
            <v>100</v>
          </cell>
          <cell r="AA262">
            <v>33385689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31887</v>
          </cell>
          <cell r="AO262">
            <v>31795</v>
          </cell>
          <cell r="AP262">
            <v>31887</v>
          </cell>
          <cell r="AQ262">
            <v>158000</v>
          </cell>
          <cell r="AR262">
            <v>0</v>
          </cell>
          <cell r="AS262">
            <v>4.95</v>
          </cell>
          <cell r="AT262">
            <v>165426000</v>
          </cell>
          <cell r="AU262">
            <v>4.63</v>
          </cell>
          <cell r="AV262">
            <v>154680019</v>
          </cell>
          <cell r="AW262">
            <v>0</v>
          </cell>
          <cell r="AX262">
            <v>0</v>
          </cell>
          <cell r="AY262">
            <v>100</v>
          </cell>
          <cell r="AZ262">
            <v>0</v>
          </cell>
          <cell r="BA262">
            <v>1047</v>
          </cell>
          <cell r="BB262">
            <v>0</v>
          </cell>
          <cell r="BC262">
            <v>1047</v>
          </cell>
          <cell r="BD262">
            <v>0</v>
          </cell>
          <cell r="BE262">
            <v>0</v>
          </cell>
          <cell r="BF262">
            <v>7</v>
          </cell>
          <cell r="BG262">
            <v>1</v>
          </cell>
          <cell r="BH262">
            <v>1</v>
          </cell>
          <cell r="BI262">
            <v>-1</v>
          </cell>
          <cell r="BJ262">
            <v>0</v>
          </cell>
          <cell r="BK262">
            <v>0</v>
          </cell>
          <cell r="BL262">
            <v>-1</v>
          </cell>
          <cell r="BM262">
            <v>0</v>
          </cell>
          <cell r="BN262">
            <v>0</v>
          </cell>
          <cell r="BO262">
            <v>0</v>
          </cell>
          <cell r="BP262">
            <v>1</v>
          </cell>
          <cell r="BQ262">
            <v>0</v>
          </cell>
          <cell r="BR262">
            <v>1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63</v>
          </cell>
          <cell r="DG262">
            <v>0</v>
          </cell>
          <cell r="DH262">
            <v>0</v>
          </cell>
          <cell r="DI262">
            <v>0</v>
          </cell>
          <cell r="DJ262">
            <v>22</v>
          </cell>
          <cell r="DK262">
            <v>41</v>
          </cell>
          <cell r="DL262">
            <v>0</v>
          </cell>
          <cell r="DM262">
            <v>401</v>
          </cell>
          <cell r="DN262">
            <v>56</v>
          </cell>
          <cell r="DO262">
            <v>43</v>
          </cell>
          <cell r="DP262">
            <v>81</v>
          </cell>
          <cell r="DQ262">
            <v>209</v>
          </cell>
          <cell r="DR262">
            <v>12</v>
          </cell>
          <cell r="DS262">
            <v>0</v>
          </cell>
          <cell r="DT262">
            <v>253</v>
          </cell>
          <cell r="DU262">
            <v>75</v>
          </cell>
          <cell r="DV262">
            <v>54</v>
          </cell>
          <cell r="DW262">
            <v>50</v>
          </cell>
          <cell r="DX262">
            <v>45</v>
          </cell>
          <cell r="DY262">
            <v>29</v>
          </cell>
          <cell r="DZ262">
            <v>0</v>
          </cell>
          <cell r="EA262">
            <v>41</v>
          </cell>
          <cell r="EB262">
            <v>12</v>
          </cell>
          <cell r="EC262">
            <v>16</v>
          </cell>
          <cell r="ED262">
            <v>7</v>
          </cell>
          <cell r="EE262">
            <v>5</v>
          </cell>
          <cell r="EF262">
            <v>1</v>
          </cell>
          <cell r="EG262">
            <v>0</v>
          </cell>
          <cell r="EH262">
            <v>289</v>
          </cell>
          <cell r="EI262">
            <v>287</v>
          </cell>
          <cell r="EJ262">
            <v>0</v>
          </cell>
          <cell r="EK262">
            <v>1</v>
          </cell>
          <cell r="EL262">
            <v>0</v>
          </cell>
          <cell r="EM262">
            <v>1</v>
          </cell>
          <cell r="EN262">
            <v>0</v>
          </cell>
          <cell r="EO262" t="str">
            <v xml:space="preserve"> Mens Sand Point                                            </v>
          </cell>
        </row>
        <row r="263">
          <cell r="A263" t="str">
            <v>CN3YM8855357</v>
          </cell>
          <cell r="B263" t="str">
            <v>CN3</v>
          </cell>
          <cell r="C263" t="str">
            <v>YM8855</v>
          </cell>
          <cell r="D263">
            <v>357</v>
          </cell>
          <cell r="E263" t="str">
            <v xml:space="preserve">   </v>
          </cell>
          <cell r="F263">
            <v>80814</v>
          </cell>
          <cell r="G263">
            <v>80818</v>
          </cell>
          <cell r="H263">
            <v>0</v>
          </cell>
          <cell r="I263">
            <v>600</v>
          </cell>
          <cell r="J263">
            <v>515</v>
          </cell>
          <cell r="K263">
            <v>515</v>
          </cell>
          <cell r="L263">
            <v>315</v>
          </cell>
          <cell r="M263">
            <v>315</v>
          </cell>
          <cell r="N263">
            <v>19077000</v>
          </cell>
          <cell r="O263">
            <v>16421805</v>
          </cell>
          <cell r="P263">
            <v>16421805</v>
          </cell>
          <cell r="Q263">
            <v>10044405</v>
          </cell>
          <cell r="R263">
            <v>45503843</v>
          </cell>
          <cell r="S263" t="str">
            <v xml:space="preserve"> </v>
          </cell>
          <cell r="T263" t="str">
            <v xml:space="preserve"> </v>
          </cell>
          <cell r="U263">
            <v>515</v>
          </cell>
          <cell r="V263">
            <v>16421805</v>
          </cell>
          <cell r="W263">
            <v>315</v>
          </cell>
          <cell r="X263">
            <v>10044405</v>
          </cell>
          <cell r="Y263">
            <v>61.17</v>
          </cell>
          <cell r="Z263">
            <v>61.17</v>
          </cell>
          <cell r="AA263">
            <v>10044405</v>
          </cell>
          <cell r="AB263">
            <v>0</v>
          </cell>
          <cell r="AC263">
            <v>0</v>
          </cell>
          <cell r="AD263">
            <v>63774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200</v>
          </cell>
          <cell r="AN263">
            <v>12818574</v>
          </cell>
          <cell r="AO263">
            <v>31795</v>
          </cell>
          <cell r="AP263">
            <v>31887</v>
          </cell>
          <cell r="AQ263">
            <v>158000</v>
          </cell>
          <cell r="AR263">
            <v>0</v>
          </cell>
          <cell r="AS263">
            <v>4.95</v>
          </cell>
          <cell r="AT263">
            <v>81370000</v>
          </cell>
          <cell r="AU263">
            <v>4.53</v>
          </cell>
          <cell r="AV263">
            <v>45503843</v>
          </cell>
          <cell r="AW263">
            <v>0</v>
          </cell>
          <cell r="AX263">
            <v>0</v>
          </cell>
          <cell r="AY263">
            <v>61.17</v>
          </cell>
          <cell r="AZ263">
            <v>0</v>
          </cell>
          <cell r="BA263">
            <v>315</v>
          </cell>
          <cell r="BB263">
            <v>0</v>
          </cell>
          <cell r="BC263">
            <v>315</v>
          </cell>
          <cell r="BD263">
            <v>0</v>
          </cell>
          <cell r="BE263">
            <v>0</v>
          </cell>
          <cell r="BF263">
            <v>16</v>
          </cell>
          <cell r="BG263">
            <v>0</v>
          </cell>
          <cell r="BH263">
            <v>1</v>
          </cell>
          <cell r="BI263">
            <v>3</v>
          </cell>
          <cell r="BJ263">
            <v>0</v>
          </cell>
          <cell r="BK263">
            <v>2</v>
          </cell>
          <cell r="BL263">
            <v>0</v>
          </cell>
          <cell r="BM263">
            <v>0</v>
          </cell>
          <cell r="BN263">
            <v>1</v>
          </cell>
          <cell r="BO263">
            <v>0</v>
          </cell>
          <cell r="BP263">
            <v>4</v>
          </cell>
          <cell r="BQ263">
            <v>1</v>
          </cell>
          <cell r="BR263">
            <v>1</v>
          </cell>
          <cell r="BS263">
            <v>0</v>
          </cell>
          <cell r="BT263">
            <v>3</v>
          </cell>
          <cell r="BU263">
            <v>-1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29</v>
          </cell>
          <cell r="DG263">
            <v>0</v>
          </cell>
          <cell r="DH263">
            <v>0</v>
          </cell>
          <cell r="DI263">
            <v>0</v>
          </cell>
          <cell r="DJ263">
            <v>17</v>
          </cell>
          <cell r="DK263">
            <v>12</v>
          </cell>
          <cell r="DL263">
            <v>0</v>
          </cell>
          <cell r="DM263">
            <v>158</v>
          </cell>
          <cell r="DN263">
            <v>24</v>
          </cell>
          <cell r="DO263">
            <v>19</v>
          </cell>
          <cell r="DP263">
            <v>28</v>
          </cell>
          <cell r="DQ263">
            <v>83</v>
          </cell>
          <cell r="DR263">
            <v>4</v>
          </cell>
          <cell r="DS263">
            <v>0</v>
          </cell>
          <cell r="DT263">
            <v>91</v>
          </cell>
          <cell r="DU263">
            <v>22</v>
          </cell>
          <cell r="DV263">
            <v>25</v>
          </cell>
          <cell r="DW263">
            <v>19</v>
          </cell>
          <cell r="DX263">
            <v>18</v>
          </cell>
          <cell r="DY263">
            <v>7</v>
          </cell>
          <cell r="DZ263">
            <v>0</v>
          </cell>
          <cell r="EA263">
            <v>25</v>
          </cell>
          <cell r="EB263">
            <v>3</v>
          </cell>
          <cell r="EC263">
            <v>16</v>
          </cell>
          <cell r="ED263">
            <v>6</v>
          </cell>
          <cell r="EE263">
            <v>1</v>
          </cell>
          <cell r="EF263">
            <v>-1</v>
          </cell>
          <cell r="EG263">
            <v>0</v>
          </cell>
          <cell r="EH263">
            <v>5</v>
          </cell>
          <cell r="EI263">
            <v>1</v>
          </cell>
          <cell r="EJ263">
            <v>2</v>
          </cell>
          <cell r="EK263">
            <v>1</v>
          </cell>
          <cell r="EL263">
            <v>1</v>
          </cell>
          <cell r="EM263">
            <v>0</v>
          </cell>
          <cell r="EN263">
            <v>0</v>
          </cell>
          <cell r="EO263" t="str">
            <v xml:space="preserve"> Mens Sand Point                                            </v>
          </cell>
        </row>
        <row r="264">
          <cell r="A264" t="str">
            <v>CN3YM8856010</v>
          </cell>
          <cell r="B264" t="str">
            <v>CN3</v>
          </cell>
          <cell r="C264" t="str">
            <v>YM8856</v>
          </cell>
          <cell r="D264">
            <v>10</v>
          </cell>
          <cell r="E264" t="str">
            <v xml:space="preserve">   </v>
          </cell>
          <cell r="F264">
            <v>80904</v>
          </cell>
          <cell r="G264">
            <v>80905</v>
          </cell>
          <cell r="H264">
            <v>90226</v>
          </cell>
          <cell r="I264">
            <v>1000</v>
          </cell>
          <cell r="J264">
            <v>994</v>
          </cell>
          <cell r="K264">
            <v>994</v>
          </cell>
          <cell r="L264">
            <v>452</v>
          </cell>
          <cell r="M264">
            <v>452</v>
          </cell>
          <cell r="N264">
            <v>27050000</v>
          </cell>
          <cell r="O264">
            <v>26888692</v>
          </cell>
          <cell r="P264">
            <v>26888834</v>
          </cell>
          <cell r="Q264">
            <v>12227413</v>
          </cell>
          <cell r="R264">
            <v>62749859</v>
          </cell>
          <cell r="S264" t="str">
            <v>*</v>
          </cell>
          <cell r="T264" t="str">
            <v xml:space="preserve"> </v>
          </cell>
          <cell r="U264">
            <v>994</v>
          </cell>
          <cell r="V264">
            <v>26888692</v>
          </cell>
          <cell r="W264">
            <v>452</v>
          </cell>
          <cell r="X264">
            <v>12227413</v>
          </cell>
          <cell r="Y264">
            <v>45.47</v>
          </cell>
          <cell r="Z264">
            <v>45.47</v>
          </cell>
          <cell r="AA264">
            <v>11794581</v>
          </cell>
          <cell r="AB264">
            <v>432832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542</v>
          </cell>
          <cell r="AN264">
            <v>30704020</v>
          </cell>
          <cell r="AO264">
            <v>27050</v>
          </cell>
          <cell r="AP264">
            <v>27052</v>
          </cell>
          <cell r="AQ264">
            <v>158000</v>
          </cell>
          <cell r="AR264">
            <v>95000</v>
          </cell>
          <cell r="AS264">
            <v>5.84</v>
          </cell>
          <cell r="AT264">
            <v>157052000</v>
          </cell>
          <cell r="AU264">
            <v>5.2</v>
          </cell>
          <cell r="AV264">
            <v>61318000</v>
          </cell>
          <cell r="AW264">
            <v>3.31</v>
          </cell>
          <cell r="AX264">
            <v>1431859</v>
          </cell>
          <cell r="AY264">
            <v>45.47</v>
          </cell>
          <cell r="AZ264">
            <v>0</v>
          </cell>
          <cell r="BA264">
            <v>436</v>
          </cell>
          <cell r="BB264">
            <v>16</v>
          </cell>
          <cell r="BC264">
            <v>452</v>
          </cell>
          <cell r="BD264">
            <v>0</v>
          </cell>
          <cell r="BE264">
            <v>0</v>
          </cell>
          <cell r="BF264">
            <v>77</v>
          </cell>
          <cell r="BG264">
            <v>1</v>
          </cell>
          <cell r="BH264">
            <v>1</v>
          </cell>
          <cell r="BI264">
            <v>67</v>
          </cell>
          <cell r="BJ264">
            <v>14</v>
          </cell>
          <cell r="BK264">
            <v>15</v>
          </cell>
          <cell r="BL264">
            <v>17</v>
          </cell>
          <cell r="BM264">
            <v>9</v>
          </cell>
          <cell r="BN264">
            <v>12</v>
          </cell>
          <cell r="BO264">
            <v>0</v>
          </cell>
          <cell r="BP264">
            <v>51</v>
          </cell>
          <cell r="BQ264">
            <v>3</v>
          </cell>
          <cell r="BR264">
            <v>14</v>
          </cell>
          <cell r="BS264">
            <v>11</v>
          </cell>
          <cell r="BT264">
            <v>8</v>
          </cell>
          <cell r="BU264">
            <v>15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91</v>
          </cell>
          <cell r="DN264">
            <v>9</v>
          </cell>
          <cell r="DO264">
            <v>11</v>
          </cell>
          <cell r="DP264">
            <v>11</v>
          </cell>
          <cell r="DQ264">
            <v>57</v>
          </cell>
          <cell r="DR264">
            <v>3</v>
          </cell>
          <cell r="DS264">
            <v>0</v>
          </cell>
          <cell r="DT264">
            <v>116</v>
          </cell>
          <cell r="DU264">
            <v>13</v>
          </cell>
          <cell r="DV264">
            <v>31</v>
          </cell>
          <cell r="DW264">
            <v>31</v>
          </cell>
          <cell r="DX264">
            <v>27</v>
          </cell>
          <cell r="DY264">
            <v>14</v>
          </cell>
          <cell r="DZ264">
            <v>0</v>
          </cell>
          <cell r="EA264">
            <v>87</v>
          </cell>
          <cell r="EB264">
            <v>10</v>
          </cell>
          <cell r="EC264">
            <v>43</v>
          </cell>
          <cell r="ED264">
            <v>12</v>
          </cell>
          <cell r="EE264">
            <v>12</v>
          </cell>
          <cell r="EF264">
            <v>10</v>
          </cell>
          <cell r="EG264">
            <v>0</v>
          </cell>
          <cell r="EH264">
            <v>40</v>
          </cell>
          <cell r="EI264">
            <v>6</v>
          </cell>
          <cell r="EJ264">
            <v>10</v>
          </cell>
          <cell r="EK264">
            <v>6</v>
          </cell>
          <cell r="EL264">
            <v>17</v>
          </cell>
          <cell r="EM264">
            <v>1</v>
          </cell>
          <cell r="EN264">
            <v>0</v>
          </cell>
          <cell r="EO264" t="str">
            <v xml:space="preserve">Mens Sand Key Park                                          </v>
          </cell>
        </row>
        <row r="265">
          <cell r="A265" t="str">
            <v>CN3YM8856028</v>
          </cell>
          <cell r="B265" t="str">
            <v>CN3</v>
          </cell>
          <cell r="C265" t="str">
            <v>YM8856</v>
          </cell>
          <cell r="D265">
            <v>28</v>
          </cell>
          <cell r="E265" t="str">
            <v xml:space="preserve">   </v>
          </cell>
          <cell r="F265">
            <v>80904</v>
          </cell>
          <cell r="G265">
            <v>80904</v>
          </cell>
          <cell r="H265">
            <v>90226</v>
          </cell>
          <cell r="I265">
            <v>500</v>
          </cell>
          <cell r="J265">
            <v>486</v>
          </cell>
          <cell r="K265">
            <v>486</v>
          </cell>
          <cell r="L265">
            <v>128</v>
          </cell>
          <cell r="M265">
            <v>128</v>
          </cell>
          <cell r="N265">
            <v>13525000</v>
          </cell>
          <cell r="O265">
            <v>13146786</v>
          </cell>
          <cell r="P265">
            <v>13146802</v>
          </cell>
          <cell r="Q265">
            <v>3462623</v>
          </cell>
          <cell r="R265">
            <v>17656818</v>
          </cell>
          <cell r="S265" t="str">
            <v>*</v>
          </cell>
          <cell r="T265" t="str">
            <v xml:space="preserve"> </v>
          </cell>
          <cell r="U265">
            <v>486</v>
          </cell>
          <cell r="V265">
            <v>13146786</v>
          </cell>
          <cell r="W265">
            <v>128</v>
          </cell>
          <cell r="X265">
            <v>3462623</v>
          </cell>
          <cell r="Y265">
            <v>25.93</v>
          </cell>
          <cell r="Z265">
            <v>25.52</v>
          </cell>
          <cell r="AA265">
            <v>3246207</v>
          </cell>
          <cell r="AB265">
            <v>216416</v>
          </cell>
          <cell r="AC265">
            <v>0</v>
          </cell>
          <cell r="AD265">
            <v>135260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-2</v>
          </cell>
          <cell r="AL265">
            <v>-108208</v>
          </cell>
          <cell r="AM265">
            <v>360</v>
          </cell>
          <cell r="AN265">
            <v>19639752</v>
          </cell>
          <cell r="AO265">
            <v>27050</v>
          </cell>
          <cell r="AP265">
            <v>27052</v>
          </cell>
          <cell r="AQ265">
            <v>158000</v>
          </cell>
          <cell r="AR265">
            <v>95000</v>
          </cell>
          <cell r="AS265">
            <v>5.84</v>
          </cell>
          <cell r="AT265">
            <v>76788000</v>
          </cell>
          <cell r="AU265">
            <v>5.26</v>
          </cell>
          <cell r="AV265">
            <v>17073100</v>
          </cell>
          <cell r="AW265">
            <v>2.7</v>
          </cell>
          <cell r="AX265">
            <v>583718</v>
          </cell>
          <cell r="AY265">
            <v>25.93</v>
          </cell>
          <cell r="AZ265">
            <v>0</v>
          </cell>
          <cell r="BA265">
            <v>120</v>
          </cell>
          <cell r="BB265">
            <v>8</v>
          </cell>
          <cell r="BC265">
            <v>128</v>
          </cell>
          <cell r="BD265">
            <v>0</v>
          </cell>
          <cell r="BE265">
            <v>0</v>
          </cell>
          <cell r="BF265">
            <v>11</v>
          </cell>
          <cell r="BG265">
            <v>0</v>
          </cell>
          <cell r="BH265">
            <v>1</v>
          </cell>
          <cell r="BI265">
            <v>20</v>
          </cell>
          <cell r="BJ265">
            <v>2</v>
          </cell>
          <cell r="BK265">
            <v>3</v>
          </cell>
          <cell r="BL265">
            <v>7</v>
          </cell>
          <cell r="BM265">
            <v>4</v>
          </cell>
          <cell r="BN265">
            <v>4</v>
          </cell>
          <cell r="BO265">
            <v>0</v>
          </cell>
          <cell r="BP265">
            <v>11</v>
          </cell>
          <cell r="BQ265">
            <v>0</v>
          </cell>
          <cell r="BR265">
            <v>3</v>
          </cell>
          <cell r="BS265">
            <v>0</v>
          </cell>
          <cell r="BT265">
            <v>1</v>
          </cell>
          <cell r="BU265">
            <v>7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33</v>
          </cell>
          <cell r="DN265">
            <v>0</v>
          </cell>
          <cell r="DO265">
            <v>5</v>
          </cell>
          <cell r="DP265">
            <v>6</v>
          </cell>
          <cell r="DQ265">
            <v>18</v>
          </cell>
          <cell r="DR265">
            <v>4</v>
          </cell>
          <cell r="DS265">
            <v>0</v>
          </cell>
          <cell r="DT265">
            <v>41</v>
          </cell>
          <cell r="DU265">
            <v>3</v>
          </cell>
          <cell r="DV265">
            <v>14</v>
          </cell>
          <cell r="DW265">
            <v>12</v>
          </cell>
          <cell r="DX265">
            <v>10</v>
          </cell>
          <cell r="DY265">
            <v>2</v>
          </cell>
          <cell r="DZ265">
            <v>0</v>
          </cell>
          <cell r="EA265">
            <v>12</v>
          </cell>
          <cell r="EB265">
            <v>3</v>
          </cell>
          <cell r="EC265">
            <v>6</v>
          </cell>
          <cell r="ED265">
            <v>3</v>
          </cell>
          <cell r="EE265">
            <v>0</v>
          </cell>
          <cell r="EF265">
            <v>0</v>
          </cell>
          <cell r="EG265">
            <v>0</v>
          </cell>
          <cell r="EH265">
            <v>11</v>
          </cell>
          <cell r="EI265">
            <v>1</v>
          </cell>
          <cell r="EJ265">
            <v>3</v>
          </cell>
          <cell r="EK265">
            <v>1</v>
          </cell>
          <cell r="EL265">
            <v>6</v>
          </cell>
          <cell r="EM265">
            <v>0</v>
          </cell>
          <cell r="EN265">
            <v>0</v>
          </cell>
          <cell r="EO265" t="str">
            <v xml:space="preserve">Mens Sand Key Park                                          </v>
          </cell>
        </row>
        <row r="266">
          <cell r="A266" t="str">
            <v>CN3YM8856969</v>
          </cell>
          <cell r="B266" t="str">
            <v>CN3</v>
          </cell>
          <cell r="C266" t="str">
            <v>YM8856</v>
          </cell>
          <cell r="D266">
            <v>969</v>
          </cell>
          <cell r="E266" t="str">
            <v xml:space="preserve">   </v>
          </cell>
          <cell r="F266">
            <v>80904</v>
          </cell>
          <cell r="G266">
            <v>80905</v>
          </cell>
          <cell r="H266">
            <v>90226</v>
          </cell>
          <cell r="I266">
            <v>500</v>
          </cell>
          <cell r="J266">
            <v>496</v>
          </cell>
          <cell r="K266">
            <v>490</v>
          </cell>
          <cell r="L266">
            <v>115</v>
          </cell>
          <cell r="M266">
            <v>115</v>
          </cell>
          <cell r="N266">
            <v>13525000</v>
          </cell>
          <cell r="O266">
            <v>13417296</v>
          </cell>
          <cell r="P266">
            <v>13255027</v>
          </cell>
          <cell r="Q266">
            <v>3110949</v>
          </cell>
          <cell r="R266">
            <v>15955318</v>
          </cell>
          <cell r="S266" t="str">
            <v>*</v>
          </cell>
          <cell r="T266" t="str">
            <v xml:space="preserve"> </v>
          </cell>
          <cell r="U266">
            <v>496</v>
          </cell>
          <cell r="V266">
            <v>13417296</v>
          </cell>
          <cell r="W266">
            <v>115</v>
          </cell>
          <cell r="X266">
            <v>3110949</v>
          </cell>
          <cell r="Y266">
            <v>23.39</v>
          </cell>
          <cell r="Z266">
            <v>23.59</v>
          </cell>
          <cell r="AA266">
            <v>2948637</v>
          </cell>
          <cell r="AB266">
            <v>162312</v>
          </cell>
          <cell r="AC266">
            <v>6</v>
          </cell>
          <cell r="AD266">
            <v>243468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1</v>
          </cell>
          <cell r="AL266">
            <v>54104</v>
          </cell>
          <cell r="AM266">
            <v>374</v>
          </cell>
          <cell r="AN266">
            <v>20532468</v>
          </cell>
          <cell r="AO266">
            <v>27050</v>
          </cell>
          <cell r="AP266">
            <v>27052</v>
          </cell>
          <cell r="AQ266">
            <v>158000</v>
          </cell>
          <cell r="AR266">
            <v>95000</v>
          </cell>
          <cell r="AS266">
            <v>5.84</v>
          </cell>
          <cell r="AT266">
            <v>78368000</v>
          </cell>
          <cell r="AU266">
            <v>5.28</v>
          </cell>
          <cell r="AV266">
            <v>15561600</v>
          </cell>
          <cell r="AW266">
            <v>2.4300000000000002</v>
          </cell>
          <cell r="AX266">
            <v>393718</v>
          </cell>
          <cell r="AY266">
            <v>23.39</v>
          </cell>
          <cell r="AZ266">
            <v>0</v>
          </cell>
          <cell r="BA266">
            <v>109</v>
          </cell>
          <cell r="BB266">
            <v>6</v>
          </cell>
          <cell r="BC266">
            <v>115</v>
          </cell>
          <cell r="BD266">
            <v>0</v>
          </cell>
          <cell r="BE266">
            <v>0</v>
          </cell>
          <cell r="BF266">
            <v>14</v>
          </cell>
          <cell r="BG266">
            <v>0</v>
          </cell>
          <cell r="BH266">
            <v>1</v>
          </cell>
          <cell r="BI266">
            <v>8</v>
          </cell>
          <cell r="BJ266">
            <v>0</v>
          </cell>
          <cell r="BK266">
            <v>1</v>
          </cell>
          <cell r="BL266">
            <v>1</v>
          </cell>
          <cell r="BM266">
            <v>2</v>
          </cell>
          <cell r="BN266">
            <v>4</v>
          </cell>
          <cell r="BO266">
            <v>0</v>
          </cell>
          <cell r="BP266">
            <v>8</v>
          </cell>
          <cell r="BQ266">
            <v>1</v>
          </cell>
          <cell r="BR266">
            <v>1</v>
          </cell>
          <cell r="BS266">
            <v>0</v>
          </cell>
          <cell r="BT266">
            <v>3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31</v>
          </cell>
          <cell r="DN266">
            <v>1</v>
          </cell>
          <cell r="DO266">
            <v>2</v>
          </cell>
          <cell r="DP266">
            <v>8</v>
          </cell>
          <cell r="DQ266">
            <v>19</v>
          </cell>
          <cell r="DR266">
            <v>1</v>
          </cell>
          <cell r="DS266">
            <v>0</v>
          </cell>
          <cell r="DT266">
            <v>35</v>
          </cell>
          <cell r="DU266">
            <v>9</v>
          </cell>
          <cell r="DV266">
            <v>6</v>
          </cell>
          <cell r="DW266">
            <v>7</v>
          </cell>
          <cell r="DX266">
            <v>9</v>
          </cell>
          <cell r="DY266">
            <v>4</v>
          </cell>
          <cell r="DZ266">
            <v>0</v>
          </cell>
          <cell r="EA266">
            <v>23</v>
          </cell>
          <cell r="EB266">
            <v>0</v>
          </cell>
          <cell r="EC266">
            <v>12</v>
          </cell>
          <cell r="ED266">
            <v>5</v>
          </cell>
          <cell r="EE266">
            <v>4</v>
          </cell>
          <cell r="EF266">
            <v>2</v>
          </cell>
          <cell r="EG266">
            <v>0</v>
          </cell>
          <cell r="EH266">
            <v>10</v>
          </cell>
          <cell r="EI266">
            <v>2</v>
          </cell>
          <cell r="EJ266">
            <v>4</v>
          </cell>
          <cell r="EK266">
            <v>0</v>
          </cell>
          <cell r="EL266">
            <v>3</v>
          </cell>
          <cell r="EM266">
            <v>1</v>
          </cell>
          <cell r="EN266">
            <v>0</v>
          </cell>
          <cell r="EO266" t="str">
            <v xml:space="preserve">Mens Sand Key Park                                          </v>
          </cell>
        </row>
        <row r="267">
          <cell r="A267" t="str">
            <v>CN4EB4573610</v>
          </cell>
          <cell r="B267" t="str">
            <v>CN4</v>
          </cell>
          <cell r="C267" t="str">
            <v>EB4573</v>
          </cell>
          <cell r="D267">
            <v>610</v>
          </cell>
          <cell r="E267" t="str">
            <v xml:space="preserve">   </v>
          </cell>
          <cell r="F267">
            <v>80813</v>
          </cell>
          <cell r="G267">
            <v>81008</v>
          </cell>
          <cell r="H267">
            <v>0</v>
          </cell>
          <cell r="I267">
            <v>306</v>
          </cell>
          <cell r="J267">
            <v>306</v>
          </cell>
          <cell r="K267">
            <v>306</v>
          </cell>
          <cell r="L267">
            <v>102</v>
          </cell>
          <cell r="M267">
            <v>102</v>
          </cell>
          <cell r="N267">
            <v>7808508</v>
          </cell>
          <cell r="O267">
            <v>7958754</v>
          </cell>
          <cell r="P267">
            <v>7958754</v>
          </cell>
          <cell r="Q267">
            <v>2652918</v>
          </cell>
          <cell r="R267">
            <v>13376400</v>
          </cell>
          <cell r="S267" t="str">
            <v xml:space="preserve"> </v>
          </cell>
          <cell r="T267" t="str">
            <v xml:space="preserve"> </v>
          </cell>
          <cell r="U267">
            <v>306</v>
          </cell>
          <cell r="V267">
            <v>7958754</v>
          </cell>
          <cell r="W267">
            <v>102</v>
          </cell>
          <cell r="X267">
            <v>2652918</v>
          </cell>
          <cell r="Y267">
            <v>33.33</v>
          </cell>
          <cell r="Z267">
            <v>33.33</v>
          </cell>
          <cell r="AA267">
            <v>2652918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1</v>
          </cell>
          <cell r="AJ267">
            <v>52018</v>
          </cell>
          <cell r="AK267">
            <v>0</v>
          </cell>
          <cell r="AL267">
            <v>0</v>
          </cell>
          <cell r="AM267">
            <v>203</v>
          </cell>
          <cell r="AN267">
            <v>10767726</v>
          </cell>
          <cell r="AO267">
            <v>25518</v>
          </cell>
          <cell r="AP267">
            <v>26009</v>
          </cell>
          <cell r="AQ267">
            <v>138000</v>
          </cell>
          <cell r="AR267">
            <v>0</v>
          </cell>
          <cell r="AS267">
            <v>5.31</v>
          </cell>
          <cell r="AT267">
            <v>42228000</v>
          </cell>
          <cell r="AU267">
            <v>5.04</v>
          </cell>
          <cell r="AV267">
            <v>13376400</v>
          </cell>
          <cell r="AW267">
            <v>0</v>
          </cell>
          <cell r="AX267">
            <v>0</v>
          </cell>
          <cell r="AY267">
            <v>33.33</v>
          </cell>
          <cell r="AZ267">
            <v>0</v>
          </cell>
          <cell r="BA267">
            <v>102</v>
          </cell>
          <cell r="BB267">
            <v>0</v>
          </cell>
          <cell r="BC267">
            <v>102</v>
          </cell>
          <cell r="BD267">
            <v>0</v>
          </cell>
          <cell r="BE267">
            <v>0</v>
          </cell>
          <cell r="BF267">
            <v>12</v>
          </cell>
          <cell r="BG267">
            <v>1</v>
          </cell>
          <cell r="BH267">
            <v>1</v>
          </cell>
          <cell r="BI267">
            <v>34</v>
          </cell>
          <cell r="BJ267">
            <v>6</v>
          </cell>
          <cell r="BK267">
            <v>10</v>
          </cell>
          <cell r="BL267">
            <v>7</v>
          </cell>
          <cell r="BM267">
            <v>9</v>
          </cell>
          <cell r="BN267">
            <v>2</v>
          </cell>
          <cell r="BO267">
            <v>0</v>
          </cell>
          <cell r="BP267">
            <v>8</v>
          </cell>
          <cell r="BQ267">
            <v>0</v>
          </cell>
          <cell r="BR267">
            <v>4</v>
          </cell>
          <cell r="BS267">
            <v>1</v>
          </cell>
          <cell r="BT267">
            <v>4</v>
          </cell>
          <cell r="BU267">
            <v>-1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6</v>
          </cell>
          <cell r="DU267">
            <v>0</v>
          </cell>
          <cell r="DV267">
            <v>3</v>
          </cell>
          <cell r="DW267">
            <v>1</v>
          </cell>
          <cell r="DX267">
            <v>2</v>
          </cell>
          <cell r="DY267">
            <v>0</v>
          </cell>
          <cell r="DZ267">
            <v>0</v>
          </cell>
          <cell r="EA267">
            <v>15</v>
          </cell>
          <cell r="EB267">
            <v>3</v>
          </cell>
          <cell r="EC267">
            <v>2</v>
          </cell>
          <cell r="ED267">
            <v>1</v>
          </cell>
          <cell r="EE267">
            <v>4</v>
          </cell>
          <cell r="EF267">
            <v>5</v>
          </cell>
          <cell r="EG267">
            <v>0</v>
          </cell>
          <cell r="EH267">
            <v>39</v>
          </cell>
          <cell r="EI267">
            <v>8</v>
          </cell>
          <cell r="EJ267">
            <v>9</v>
          </cell>
          <cell r="EK267">
            <v>4</v>
          </cell>
          <cell r="EL267">
            <v>13</v>
          </cell>
          <cell r="EM267">
            <v>5</v>
          </cell>
          <cell r="EN267">
            <v>0</v>
          </cell>
          <cell r="EO267" t="str">
            <v xml:space="preserve">MAD RIVER JACKET                                            </v>
          </cell>
        </row>
        <row r="268">
          <cell r="A268" t="str">
            <v>CN4EB8502005</v>
          </cell>
          <cell r="B268" t="str">
            <v>CN4</v>
          </cell>
          <cell r="C268" t="str">
            <v>EB8502</v>
          </cell>
          <cell r="D268">
            <v>5</v>
          </cell>
          <cell r="E268" t="str">
            <v xml:space="preserve">   </v>
          </cell>
          <cell r="F268">
            <v>80813</v>
          </cell>
          <cell r="G268">
            <v>81015</v>
          </cell>
          <cell r="H268">
            <v>0</v>
          </cell>
          <cell r="I268">
            <v>306</v>
          </cell>
          <cell r="J268">
            <v>306</v>
          </cell>
          <cell r="K268">
            <v>306</v>
          </cell>
          <cell r="L268">
            <v>95</v>
          </cell>
          <cell r="M268">
            <v>95</v>
          </cell>
          <cell r="N268">
            <v>6394176</v>
          </cell>
          <cell r="O268">
            <v>6560028</v>
          </cell>
          <cell r="P268">
            <v>6560028</v>
          </cell>
          <cell r="Q268">
            <v>2036610</v>
          </cell>
          <cell r="R268">
            <v>9426279</v>
          </cell>
          <cell r="S268" t="str">
            <v xml:space="preserve"> </v>
          </cell>
          <cell r="T268" t="str">
            <v xml:space="preserve"> </v>
          </cell>
          <cell r="U268">
            <v>306</v>
          </cell>
          <cell r="V268">
            <v>6560028</v>
          </cell>
          <cell r="W268">
            <v>95</v>
          </cell>
          <cell r="X268">
            <v>2036610</v>
          </cell>
          <cell r="Y268">
            <v>31.05</v>
          </cell>
          <cell r="Z268">
            <v>31.05</v>
          </cell>
          <cell r="AA268">
            <v>2015172</v>
          </cell>
          <cell r="AB268">
            <v>21438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1</v>
          </cell>
          <cell r="AJ268">
            <v>42876</v>
          </cell>
          <cell r="AK268">
            <v>0</v>
          </cell>
          <cell r="AL268">
            <v>0</v>
          </cell>
          <cell r="AM268">
            <v>210</v>
          </cell>
          <cell r="AN268">
            <v>9068274</v>
          </cell>
          <cell r="AO268">
            <v>20896</v>
          </cell>
          <cell r="AP268">
            <v>21438</v>
          </cell>
          <cell r="AQ268">
            <v>108000</v>
          </cell>
          <cell r="AR268">
            <v>0</v>
          </cell>
          <cell r="AS268">
            <v>5.04</v>
          </cell>
          <cell r="AT268">
            <v>33048000</v>
          </cell>
          <cell r="AU268">
            <v>4.67</v>
          </cell>
          <cell r="AV268">
            <v>9419420</v>
          </cell>
          <cell r="AW268">
            <v>0.32</v>
          </cell>
          <cell r="AX268">
            <v>6859</v>
          </cell>
          <cell r="AY268">
            <v>31.05</v>
          </cell>
          <cell r="AZ268">
            <v>0</v>
          </cell>
          <cell r="BA268">
            <v>94</v>
          </cell>
          <cell r="BB268">
            <v>1</v>
          </cell>
          <cell r="BC268">
            <v>95</v>
          </cell>
          <cell r="BD268">
            <v>0</v>
          </cell>
          <cell r="BE268">
            <v>0</v>
          </cell>
          <cell r="BF268">
            <v>7</v>
          </cell>
          <cell r="BG268">
            <v>1</v>
          </cell>
          <cell r="BH268">
            <v>1</v>
          </cell>
          <cell r="BI268">
            <v>25</v>
          </cell>
          <cell r="BJ268">
            <v>3</v>
          </cell>
          <cell r="BK268">
            <v>5</v>
          </cell>
          <cell r="BL268">
            <v>11</v>
          </cell>
          <cell r="BM268">
            <v>1</v>
          </cell>
          <cell r="BN268">
            <v>5</v>
          </cell>
          <cell r="BO268">
            <v>0</v>
          </cell>
          <cell r="BP268">
            <v>3</v>
          </cell>
          <cell r="BQ268">
            <v>0</v>
          </cell>
          <cell r="BR268">
            <v>2</v>
          </cell>
          <cell r="BS268">
            <v>0</v>
          </cell>
          <cell r="BT268">
            <v>1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</v>
          </cell>
          <cell r="DU268">
            <v>0</v>
          </cell>
          <cell r="DV268">
            <v>0</v>
          </cell>
          <cell r="DW268">
            <v>0</v>
          </cell>
          <cell r="DX268">
            <v>1</v>
          </cell>
          <cell r="DY268">
            <v>0</v>
          </cell>
          <cell r="DZ268">
            <v>0</v>
          </cell>
          <cell r="EA268">
            <v>24</v>
          </cell>
          <cell r="EB268">
            <v>2</v>
          </cell>
          <cell r="EC268">
            <v>6</v>
          </cell>
          <cell r="ED268">
            <v>1</v>
          </cell>
          <cell r="EE268">
            <v>7</v>
          </cell>
          <cell r="EF268">
            <v>8</v>
          </cell>
          <cell r="EG268">
            <v>0</v>
          </cell>
          <cell r="EH268">
            <v>42</v>
          </cell>
          <cell r="EI268">
            <v>9</v>
          </cell>
          <cell r="EJ268">
            <v>8</v>
          </cell>
          <cell r="EK268">
            <v>4</v>
          </cell>
          <cell r="EL268">
            <v>19</v>
          </cell>
          <cell r="EM268">
            <v>2</v>
          </cell>
          <cell r="EN268">
            <v>0</v>
          </cell>
          <cell r="EO268" t="str">
            <v xml:space="preserve">DOWN HILL PANT                                              </v>
          </cell>
        </row>
        <row r="269">
          <cell r="A269" t="str">
            <v>CN4EL8421010</v>
          </cell>
          <cell r="B269" t="str">
            <v>CN4</v>
          </cell>
          <cell r="C269" t="str">
            <v>EL8421</v>
          </cell>
          <cell r="D269">
            <v>10</v>
          </cell>
          <cell r="E269" t="str">
            <v xml:space="preserve">   </v>
          </cell>
          <cell r="F269">
            <v>80812</v>
          </cell>
          <cell r="G269">
            <v>81104</v>
          </cell>
          <cell r="H269">
            <v>0</v>
          </cell>
          <cell r="I269">
            <v>402</v>
          </cell>
          <cell r="J269">
            <v>402</v>
          </cell>
          <cell r="K269">
            <v>402</v>
          </cell>
          <cell r="L269">
            <v>315</v>
          </cell>
          <cell r="M269">
            <v>315</v>
          </cell>
          <cell r="N269">
            <v>10230096</v>
          </cell>
          <cell r="O269">
            <v>11099622</v>
          </cell>
          <cell r="P269">
            <v>11099622</v>
          </cell>
          <cell r="Q269">
            <v>8697465</v>
          </cell>
          <cell r="R269">
            <v>41368800</v>
          </cell>
          <cell r="S269" t="str">
            <v xml:space="preserve"> </v>
          </cell>
          <cell r="T269" t="str">
            <v xml:space="preserve"> </v>
          </cell>
          <cell r="U269">
            <v>402</v>
          </cell>
          <cell r="V269">
            <v>11099622</v>
          </cell>
          <cell r="W269">
            <v>315</v>
          </cell>
          <cell r="X269">
            <v>8697465</v>
          </cell>
          <cell r="Y269">
            <v>77.36</v>
          </cell>
          <cell r="Z269">
            <v>76.62</v>
          </cell>
          <cell r="AA269">
            <v>8697465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-4</v>
          </cell>
          <cell r="AL269">
            <v>-193277</v>
          </cell>
          <cell r="AM269">
            <v>91</v>
          </cell>
          <cell r="AN269">
            <v>5135646</v>
          </cell>
          <cell r="AO269">
            <v>25448</v>
          </cell>
          <cell r="AP269">
            <v>27611</v>
          </cell>
          <cell r="AQ269">
            <v>158000</v>
          </cell>
          <cell r="AR269">
            <v>0</v>
          </cell>
          <cell r="AS269">
            <v>5.72</v>
          </cell>
          <cell r="AT269">
            <v>63516000</v>
          </cell>
          <cell r="AU269">
            <v>4.76</v>
          </cell>
          <cell r="AV269">
            <v>41368800</v>
          </cell>
          <cell r="AW269">
            <v>0</v>
          </cell>
          <cell r="AX269">
            <v>0</v>
          </cell>
          <cell r="AY269">
            <v>77.36</v>
          </cell>
          <cell r="AZ269">
            <v>0</v>
          </cell>
          <cell r="BA269">
            <v>315</v>
          </cell>
          <cell r="BB269">
            <v>0</v>
          </cell>
          <cell r="BC269">
            <v>315</v>
          </cell>
          <cell r="BD269">
            <v>0</v>
          </cell>
          <cell r="BE269">
            <v>0</v>
          </cell>
          <cell r="BF269">
            <v>37</v>
          </cell>
          <cell r="BG269">
            <v>1</v>
          </cell>
          <cell r="BH269">
            <v>1</v>
          </cell>
          <cell r="BI269">
            <v>130</v>
          </cell>
          <cell r="BJ269">
            <v>24</v>
          </cell>
          <cell r="BK269">
            <v>48</v>
          </cell>
          <cell r="BL269">
            <v>20</v>
          </cell>
          <cell r="BM269">
            <v>18</v>
          </cell>
          <cell r="BN269">
            <v>20</v>
          </cell>
          <cell r="BO269">
            <v>0</v>
          </cell>
          <cell r="BP269">
            <v>5</v>
          </cell>
          <cell r="BQ269">
            <v>3</v>
          </cell>
          <cell r="BR269">
            <v>2</v>
          </cell>
          <cell r="BS269">
            <v>3</v>
          </cell>
          <cell r="BT269">
            <v>-2</v>
          </cell>
          <cell r="BU269">
            <v>-1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38</v>
          </cell>
          <cell r="EB269">
            <v>0</v>
          </cell>
          <cell r="EC269">
            <v>7</v>
          </cell>
          <cell r="ED269">
            <v>2</v>
          </cell>
          <cell r="EE269">
            <v>11</v>
          </cell>
          <cell r="EF269">
            <v>18</v>
          </cell>
          <cell r="EG269">
            <v>0</v>
          </cell>
          <cell r="EH269">
            <v>142</v>
          </cell>
          <cell r="EI269">
            <v>19</v>
          </cell>
          <cell r="EJ269">
            <v>17</v>
          </cell>
          <cell r="EK269">
            <v>36</v>
          </cell>
          <cell r="EL269">
            <v>55</v>
          </cell>
          <cell r="EM269">
            <v>15</v>
          </cell>
          <cell r="EN269">
            <v>0</v>
          </cell>
          <cell r="EO269" t="str">
            <v xml:space="preserve">ALEXANDRIA PANT                                             </v>
          </cell>
        </row>
        <row r="270">
          <cell r="A270" t="str">
            <v>CN4EL8421100</v>
          </cell>
          <cell r="B270" t="str">
            <v>CN4</v>
          </cell>
          <cell r="C270" t="str">
            <v>EL8421</v>
          </cell>
          <cell r="D270">
            <v>100</v>
          </cell>
          <cell r="E270" t="str">
            <v xml:space="preserve">   </v>
          </cell>
          <cell r="F270">
            <v>80812</v>
          </cell>
          <cell r="G270">
            <v>81104</v>
          </cell>
          <cell r="H270">
            <v>0</v>
          </cell>
          <cell r="I270">
            <v>402</v>
          </cell>
          <cell r="J270">
            <v>402</v>
          </cell>
          <cell r="K270">
            <v>402</v>
          </cell>
          <cell r="L270">
            <v>276</v>
          </cell>
          <cell r="M270">
            <v>276</v>
          </cell>
          <cell r="N270">
            <v>10230096</v>
          </cell>
          <cell r="O270">
            <v>11099622</v>
          </cell>
          <cell r="P270">
            <v>11099622</v>
          </cell>
          <cell r="Q270">
            <v>7620636</v>
          </cell>
          <cell r="R270">
            <v>36398459</v>
          </cell>
          <cell r="S270" t="str">
            <v xml:space="preserve"> </v>
          </cell>
          <cell r="T270" t="str">
            <v xml:space="preserve"> </v>
          </cell>
          <cell r="U270">
            <v>402</v>
          </cell>
          <cell r="V270">
            <v>11099622</v>
          </cell>
          <cell r="W270">
            <v>276</v>
          </cell>
          <cell r="X270">
            <v>7620636</v>
          </cell>
          <cell r="Y270">
            <v>69.150000000000006</v>
          </cell>
          <cell r="Z270">
            <v>69.400000000000006</v>
          </cell>
          <cell r="AA270">
            <v>7593025</v>
          </cell>
          <cell r="AB270">
            <v>27611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2</v>
          </cell>
          <cell r="AL270">
            <v>82833</v>
          </cell>
          <cell r="AM270">
            <v>124</v>
          </cell>
          <cell r="AN270">
            <v>7013194</v>
          </cell>
          <cell r="AO270">
            <v>25448</v>
          </cell>
          <cell r="AP270">
            <v>27611</v>
          </cell>
          <cell r="AQ270">
            <v>158000</v>
          </cell>
          <cell r="AR270">
            <v>0</v>
          </cell>
          <cell r="AS270">
            <v>5.72</v>
          </cell>
          <cell r="AT270">
            <v>63516000</v>
          </cell>
          <cell r="AU270">
            <v>4.79</v>
          </cell>
          <cell r="AV270">
            <v>36391600</v>
          </cell>
          <cell r="AW270">
            <v>0.25</v>
          </cell>
          <cell r="AX270">
            <v>6859</v>
          </cell>
          <cell r="AY270">
            <v>69.150000000000006</v>
          </cell>
          <cell r="AZ270">
            <v>0</v>
          </cell>
          <cell r="BA270">
            <v>275</v>
          </cell>
          <cell r="BB270">
            <v>1</v>
          </cell>
          <cell r="BC270">
            <v>276</v>
          </cell>
          <cell r="BD270">
            <v>0</v>
          </cell>
          <cell r="BE270">
            <v>0</v>
          </cell>
          <cell r="BF270">
            <v>25</v>
          </cell>
          <cell r="BG270">
            <v>0</v>
          </cell>
          <cell r="BH270">
            <v>1</v>
          </cell>
          <cell r="BI270">
            <v>123</v>
          </cell>
          <cell r="BJ270">
            <v>34</v>
          </cell>
          <cell r="BK270">
            <v>39</v>
          </cell>
          <cell r="BL270">
            <v>25</v>
          </cell>
          <cell r="BM270">
            <v>13</v>
          </cell>
          <cell r="BN270">
            <v>12</v>
          </cell>
          <cell r="BO270">
            <v>0</v>
          </cell>
          <cell r="BP270">
            <v>5</v>
          </cell>
          <cell r="BQ270">
            <v>2</v>
          </cell>
          <cell r="BR270">
            <v>1</v>
          </cell>
          <cell r="BS270">
            <v>2</v>
          </cell>
          <cell r="BT270">
            <v>-1</v>
          </cell>
          <cell r="BU270">
            <v>1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31</v>
          </cell>
          <cell r="EB270">
            <v>0</v>
          </cell>
          <cell r="EC270">
            <v>4</v>
          </cell>
          <cell r="ED270">
            <v>2</v>
          </cell>
          <cell r="EE270">
            <v>10</v>
          </cell>
          <cell r="EF270">
            <v>15</v>
          </cell>
          <cell r="EG270">
            <v>0</v>
          </cell>
          <cell r="EH270">
            <v>117</v>
          </cell>
          <cell r="EI270">
            <v>13</v>
          </cell>
          <cell r="EJ270">
            <v>21</v>
          </cell>
          <cell r="EK270">
            <v>29</v>
          </cell>
          <cell r="EL270">
            <v>41</v>
          </cell>
          <cell r="EM270">
            <v>13</v>
          </cell>
          <cell r="EN270">
            <v>0</v>
          </cell>
          <cell r="EO270" t="str">
            <v xml:space="preserve">ALEXANDRIA PANT                                             </v>
          </cell>
        </row>
        <row r="271">
          <cell r="A271" t="str">
            <v>CN4PL2150610</v>
          </cell>
          <cell r="B271" t="str">
            <v>CN4</v>
          </cell>
          <cell r="C271" t="str">
            <v>PL2150</v>
          </cell>
          <cell r="D271">
            <v>610</v>
          </cell>
          <cell r="E271" t="str">
            <v xml:space="preserve">   </v>
          </cell>
          <cell r="F271">
            <v>80922</v>
          </cell>
          <cell r="G271">
            <v>81105</v>
          </cell>
          <cell r="H271">
            <v>0</v>
          </cell>
          <cell r="I271">
            <v>402</v>
          </cell>
          <cell r="J271">
            <v>405</v>
          </cell>
          <cell r="K271">
            <v>253</v>
          </cell>
          <cell r="L271">
            <v>232</v>
          </cell>
          <cell r="M271">
            <v>232</v>
          </cell>
          <cell r="N271">
            <v>16461900</v>
          </cell>
          <cell r="O271">
            <v>18540495</v>
          </cell>
          <cell r="P271">
            <v>11582087</v>
          </cell>
          <cell r="Q271">
            <v>10620728</v>
          </cell>
          <cell r="R271">
            <v>50030100</v>
          </cell>
          <cell r="S271" t="str">
            <v xml:space="preserve"> </v>
          </cell>
          <cell r="T271" t="str">
            <v xml:space="preserve"> </v>
          </cell>
          <cell r="U271">
            <v>405</v>
          </cell>
          <cell r="V271">
            <v>18540495</v>
          </cell>
          <cell r="W271">
            <v>232</v>
          </cell>
          <cell r="X271">
            <v>10620728</v>
          </cell>
          <cell r="Y271">
            <v>57.53</v>
          </cell>
          <cell r="Z271">
            <v>57.78</v>
          </cell>
          <cell r="AA271">
            <v>10620728</v>
          </cell>
          <cell r="AB271">
            <v>0</v>
          </cell>
          <cell r="AC271">
            <v>152</v>
          </cell>
          <cell r="AD271">
            <v>6958408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1</v>
          </cell>
          <cell r="AL271">
            <v>91558</v>
          </cell>
          <cell r="AM271">
            <v>20</v>
          </cell>
          <cell r="AN271">
            <v>9247358</v>
          </cell>
          <cell r="AO271">
            <v>40950</v>
          </cell>
          <cell r="AP271">
            <v>45779</v>
          </cell>
          <cell r="AQ271">
            <v>258000</v>
          </cell>
          <cell r="AR271">
            <v>0</v>
          </cell>
          <cell r="AS271">
            <v>5.64</v>
          </cell>
          <cell r="AT271">
            <v>104490000</v>
          </cell>
          <cell r="AU271">
            <v>4.71</v>
          </cell>
          <cell r="AV271">
            <v>50030100</v>
          </cell>
          <cell r="AW271">
            <v>0</v>
          </cell>
          <cell r="AX271">
            <v>0</v>
          </cell>
          <cell r="AY271">
            <v>57.53</v>
          </cell>
          <cell r="AZ271">
            <v>0</v>
          </cell>
          <cell r="BA271">
            <v>232</v>
          </cell>
          <cell r="BB271">
            <v>0</v>
          </cell>
          <cell r="BC271">
            <v>232</v>
          </cell>
          <cell r="BD271">
            <v>0</v>
          </cell>
          <cell r="BE271">
            <v>0</v>
          </cell>
          <cell r="BF271">
            <v>26</v>
          </cell>
          <cell r="BG271">
            <v>1</v>
          </cell>
          <cell r="BH271">
            <v>1</v>
          </cell>
          <cell r="BI271">
            <v>97</v>
          </cell>
          <cell r="BJ271">
            <v>22</v>
          </cell>
          <cell r="BK271">
            <v>21</v>
          </cell>
          <cell r="BL271">
            <v>34</v>
          </cell>
          <cell r="BM271">
            <v>10</v>
          </cell>
          <cell r="BN271">
            <v>10</v>
          </cell>
          <cell r="BO271">
            <v>0</v>
          </cell>
          <cell r="BP271">
            <v>10</v>
          </cell>
          <cell r="BQ271">
            <v>3</v>
          </cell>
          <cell r="BR271">
            <v>8</v>
          </cell>
          <cell r="BS271">
            <v>0</v>
          </cell>
          <cell r="BT271">
            <v>-1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27</v>
          </cell>
          <cell r="EB271">
            <v>0</v>
          </cell>
          <cell r="EC271">
            <v>2</v>
          </cell>
          <cell r="ED271">
            <v>5</v>
          </cell>
          <cell r="EE271">
            <v>8</v>
          </cell>
          <cell r="EF271">
            <v>12</v>
          </cell>
          <cell r="EG271">
            <v>0</v>
          </cell>
          <cell r="EH271">
            <v>98</v>
          </cell>
          <cell r="EI271">
            <v>11</v>
          </cell>
          <cell r="EJ271">
            <v>9</v>
          </cell>
          <cell r="EK271">
            <v>30</v>
          </cell>
          <cell r="EL271">
            <v>38</v>
          </cell>
          <cell r="EM271">
            <v>10</v>
          </cell>
          <cell r="EN271">
            <v>0</v>
          </cell>
          <cell r="EO271" t="str">
            <v xml:space="preserve">EXTREME POINT JACKET                                        </v>
          </cell>
        </row>
        <row r="272">
          <cell r="A272" t="str">
            <v>CN4PL2150684</v>
          </cell>
          <cell r="B272" t="str">
            <v>CN4</v>
          </cell>
          <cell r="C272" t="str">
            <v>PL2150</v>
          </cell>
          <cell r="D272">
            <v>684</v>
          </cell>
          <cell r="E272" t="str">
            <v xml:space="preserve">   </v>
          </cell>
          <cell r="F272">
            <v>80922</v>
          </cell>
          <cell r="G272">
            <v>81105</v>
          </cell>
          <cell r="H272">
            <v>0</v>
          </cell>
          <cell r="I272">
            <v>402</v>
          </cell>
          <cell r="J272">
            <v>397</v>
          </cell>
          <cell r="K272">
            <v>291</v>
          </cell>
          <cell r="L272">
            <v>275</v>
          </cell>
          <cell r="M272">
            <v>275</v>
          </cell>
          <cell r="N272">
            <v>16461900</v>
          </cell>
          <cell r="O272">
            <v>18174263</v>
          </cell>
          <cell r="P272">
            <v>13321689</v>
          </cell>
          <cell r="Q272">
            <v>12589225</v>
          </cell>
          <cell r="R272">
            <v>57511400</v>
          </cell>
          <cell r="S272" t="str">
            <v xml:space="preserve"> </v>
          </cell>
          <cell r="T272" t="str">
            <v xml:space="preserve"> </v>
          </cell>
          <cell r="U272">
            <v>397</v>
          </cell>
          <cell r="V272">
            <v>18174263</v>
          </cell>
          <cell r="W272">
            <v>275</v>
          </cell>
          <cell r="X272">
            <v>12589225</v>
          </cell>
          <cell r="Y272">
            <v>69.27</v>
          </cell>
          <cell r="Z272">
            <v>69.27</v>
          </cell>
          <cell r="AA272">
            <v>12589225</v>
          </cell>
          <cell r="AB272">
            <v>0</v>
          </cell>
          <cell r="AC272">
            <v>106</v>
          </cell>
          <cell r="AD272">
            <v>4852574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16</v>
          </cell>
          <cell r="AN272">
            <v>6637955</v>
          </cell>
          <cell r="AO272">
            <v>40950</v>
          </cell>
          <cell r="AP272">
            <v>45779</v>
          </cell>
          <cell r="AQ272">
            <v>258000</v>
          </cell>
          <cell r="AR272">
            <v>0</v>
          </cell>
          <cell r="AS272">
            <v>5.64</v>
          </cell>
          <cell r="AT272">
            <v>102426000</v>
          </cell>
          <cell r="AU272">
            <v>4.57</v>
          </cell>
          <cell r="AV272">
            <v>57511400</v>
          </cell>
          <cell r="AW272">
            <v>0</v>
          </cell>
          <cell r="AX272">
            <v>0</v>
          </cell>
          <cell r="AY272">
            <v>69.27</v>
          </cell>
          <cell r="AZ272">
            <v>0</v>
          </cell>
          <cell r="BA272">
            <v>275</v>
          </cell>
          <cell r="BB272">
            <v>0</v>
          </cell>
          <cell r="BC272">
            <v>275</v>
          </cell>
          <cell r="BD272">
            <v>0</v>
          </cell>
          <cell r="BE272">
            <v>0</v>
          </cell>
          <cell r="BF272">
            <v>31</v>
          </cell>
          <cell r="BG272">
            <v>0</v>
          </cell>
          <cell r="BH272">
            <v>1</v>
          </cell>
          <cell r="BI272">
            <v>136</v>
          </cell>
          <cell r="BJ272">
            <v>30</v>
          </cell>
          <cell r="BK272">
            <v>42</v>
          </cell>
          <cell r="BL272">
            <v>24</v>
          </cell>
          <cell r="BM272">
            <v>28</v>
          </cell>
          <cell r="BN272">
            <v>12</v>
          </cell>
          <cell r="BO272">
            <v>0</v>
          </cell>
          <cell r="BP272">
            <v>7</v>
          </cell>
          <cell r="BQ272">
            <v>5</v>
          </cell>
          <cell r="BR272">
            <v>2</v>
          </cell>
          <cell r="BS272">
            <v>-1</v>
          </cell>
          <cell r="BT272">
            <v>0</v>
          </cell>
          <cell r="BU272">
            <v>1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16</v>
          </cell>
          <cell r="EB272">
            <v>0</v>
          </cell>
          <cell r="EC272">
            <v>5</v>
          </cell>
          <cell r="ED272">
            <v>2</v>
          </cell>
          <cell r="EE272">
            <v>2</v>
          </cell>
          <cell r="EF272">
            <v>7</v>
          </cell>
          <cell r="EG272">
            <v>0</v>
          </cell>
          <cell r="EH272">
            <v>116</v>
          </cell>
          <cell r="EI272">
            <v>7</v>
          </cell>
          <cell r="EJ272">
            <v>13</v>
          </cell>
          <cell r="EK272">
            <v>31</v>
          </cell>
          <cell r="EL272">
            <v>50</v>
          </cell>
          <cell r="EM272">
            <v>15</v>
          </cell>
          <cell r="EN272">
            <v>0</v>
          </cell>
          <cell r="EO272" t="str">
            <v xml:space="preserve">EXTREME POINT JACKET                                        </v>
          </cell>
        </row>
        <row r="273">
          <cell r="A273" t="str">
            <v>CN4PL2151120</v>
          </cell>
          <cell r="B273" t="str">
            <v>CN4</v>
          </cell>
          <cell r="C273" t="str">
            <v>PL2151</v>
          </cell>
          <cell r="D273">
            <v>120</v>
          </cell>
          <cell r="E273" t="str">
            <v xml:space="preserve">   </v>
          </cell>
          <cell r="F273">
            <v>80804</v>
          </cell>
          <cell r="G273">
            <v>0</v>
          </cell>
          <cell r="H273">
            <v>0</v>
          </cell>
          <cell r="I273">
            <v>402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14298336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 t="str">
            <v xml:space="preserve"> </v>
          </cell>
          <cell r="T273" t="str">
            <v xml:space="preserve"> 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35568</v>
          </cell>
          <cell r="AP273">
            <v>35428</v>
          </cell>
          <cell r="AQ273">
            <v>278000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1</v>
          </cell>
          <cell r="BH273">
            <v>1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 t="str">
            <v xml:space="preserve">WS SYNTAX JACKET                                            </v>
          </cell>
        </row>
        <row r="274">
          <cell r="A274" t="str">
            <v>CN4PL2151684</v>
          </cell>
          <cell r="B274" t="str">
            <v>CN4</v>
          </cell>
          <cell r="C274" t="str">
            <v>PL2151</v>
          </cell>
          <cell r="D274">
            <v>684</v>
          </cell>
          <cell r="E274" t="str">
            <v xml:space="preserve">   </v>
          </cell>
          <cell r="F274">
            <v>80804</v>
          </cell>
          <cell r="G274">
            <v>90114</v>
          </cell>
          <cell r="H274">
            <v>0</v>
          </cell>
          <cell r="I274">
            <v>402</v>
          </cell>
          <cell r="J274">
            <v>35</v>
          </cell>
          <cell r="K274">
            <v>10</v>
          </cell>
          <cell r="L274">
            <v>0</v>
          </cell>
          <cell r="M274">
            <v>0</v>
          </cell>
          <cell r="N274">
            <v>14298336</v>
          </cell>
          <cell r="O274">
            <v>1239980</v>
          </cell>
          <cell r="P274">
            <v>354280</v>
          </cell>
          <cell r="Q274">
            <v>0</v>
          </cell>
          <cell r="R274">
            <v>0</v>
          </cell>
          <cell r="S274" t="str">
            <v xml:space="preserve"> </v>
          </cell>
          <cell r="T274" t="str">
            <v xml:space="preserve"> </v>
          </cell>
          <cell r="U274">
            <v>35</v>
          </cell>
          <cell r="V274">
            <v>1239980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25</v>
          </cell>
          <cell r="AD274">
            <v>1771400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10</v>
          </cell>
          <cell r="AN274">
            <v>708560</v>
          </cell>
          <cell r="AO274">
            <v>35568</v>
          </cell>
          <cell r="AP274">
            <v>35428</v>
          </cell>
          <cell r="AQ274">
            <v>278000</v>
          </cell>
          <cell r="AR274">
            <v>0</v>
          </cell>
          <cell r="AS274">
            <v>7.85</v>
          </cell>
          <cell r="AT274">
            <v>9730000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1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 t="str">
            <v xml:space="preserve">WS SYNTAX JACKET                                            </v>
          </cell>
        </row>
        <row r="275">
          <cell r="A275" t="str">
            <v>CN4PL5001019</v>
          </cell>
          <cell r="B275" t="str">
            <v>CN4</v>
          </cell>
          <cell r="C275" t="str">
            <v>PL5001</v>
          </cell>
          <cell r="D275">
            <v>19</v>
          </cell>
          <cell r="E275" t="str">
            <v xml:space="preserve">   </v>
          </cell>
          <cell r="F275">
            <v>80829</v>
          </cell>
          <cell r="G275">
            <v>80901</v>
          </cell>
          <cell r="H275">
            <v>0</v>
          </cell>
          <cell r="I275">
            <v>504</v>
          </cell>
          <cell r="J275">
            <v>504</v>
          </cell>
          <cell r="K275">
            <v>459</v>
          </cell>
          <cell r="L275">
            <v>361</v>
          </cell>
          <cell r="M275">
            <v>361</v>
          </cell>
          <cell r="N275">
            <v>18162144</v>
          </cell>
          <cell r="O275">
            <v>19399968</v>
          </cell>
          <cell r="P275">
            <v>17667828</v>
          </cell>
          <cell r="Q275">
            <v>13895612</v>
          </cell>
          <cell r="R275">
            <v>52613806</v>
          </cell>
          <cell r="S275" t="str">
            <v xml:space="preserve"> </v>
          </cell>
          <cell r="T275" t="str">
            <v xml:space="preserve"> </v>
          </cell>
          <cell r="U275">
            <v>504</v>
          </cell>
          <cell r="V275">
            <v>19399968</v>
          </cell>
          <cell r="W275">
            <v>361</v>
          </cell>
          <cell r="X275">
            <v>13895612</v>
          </cell>
          <cell r="Y275">
            <v>71.63</v>
          </cell>
          <cell r="Z275">
            <v>71.63</v>
          </cell>
          <cell r="AA275">
            <v>13857120</v>
          </cell>
          <cell r="AB275">
            <v>38492</v>
          </cell>
          <cell r="AC275">
            <v>45</v>
          </cell>
          <cell r="AD275">
            <v>3579756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98</v>
          </cell>
          <cell r="AN275">
            <v>7929352</v>
          </cell>
          <cell r="AO275">
            <v>36036</v>
          </cell>
          <cell r="AP275">
            <v>38492</v>
          </cell>
          <cell r="AQ275">
            <v>158000</v>
          </cell>
          <cell r="AR275">
            <v>0</v>
          </cell>
          <cell r="AS275">
            <v>4.0999999999999996</v>
          </cell>
          <cell r="AT275">
            <v>79632000</v>
          </cell>
          <cell r="AU275">
            <v>3.8</v>
          </cell>
          <cell r="AV275">
            <v>52606947</v>
          </cell>
          <cell r="AW275">
            <v>0.18</v>
          </cell>
          <cell r="AX275">
            <v>6859</v>
          </cell>
          <cell r="AY275">
            <v>71.63</v>
          </cell>
          <cell r="AZ275">
            <v>0</v>
          </cell>
          <cell r="BA275">
            <v>360</v>
          </cell>
          <cell r="BB275">
            <v>1</v>
          </cell>
          <cell r="BC275">
            <v>360</v>
          </cell>
          <cell r="BD275">
            <v>1</v>
          </cell>
          <cell r="BE275">
            <v>0</v>
          </cell>
          <cell r="BF275">
            <v>21</v>
          </cell>
          <cell r="BG275">
            <v>1</v>
          </cell>
          <cell r="BH275">
            <v>1</v>
          </cell>
          <cell r="BI275">
            <v>-1</v>
          </cell>
          <cell r="BJ275">
            <v>0</v>
          </cell>
          <cell r="BK275">
            <v>-1</v>
          </cell>
          <cell r="BL275">
            <v>4</v>
          </cell>
          <cell r="BM275">
            <v>-6</v>
          </cell>
          <cell r="BN275">
            <v>2</v>
          </cell>
          <cell r="BO275">
            <v>0</v>
          </cell>
          <cell r="BP275">
            <v>13</v>
          </cell>
          <cell r="BQ275">
            <v>0</v>
          </cell>
          <cell r="BR275">
            <v>4</v>
          </cell>
          <cell r="BS275">
            <v>5</v>
          </cell>
          <cell r="BT275">
            <v>4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102</v>
          </cell>
          <cell r="DN275">
            <v>23</v>
          </cell>
          <cell r="DO275">
            <v>24</v>
          </cell>
          <cell r="DP275">
            <v>33</v>
          </cell>
          <cell r="DQ275">
            <v>21</v>
          </cell>
          <cell r="DR275">
            <v>1</v>
          </cell>
          <cell r="DS275">
            <v>0</v>
          </cell>
          <cell r="DT275">
            <v>126</v>
          </cell>
          <cell r="DU275">
            <v>28</v>
          </cell>
          <cell r="DV275">
            <v>28</v>
          </cell>
          <cell r="DW275">
            <v>11</v>
          </cell>
          <cell r="DX275">
            <v>24</v>
          </cell>
          <cell r="DY275">
            <v>35</v>
          </cell>
          <cell r="DZ275">
            <v>0</v>
          </cell>
          <cell r="EA275">
            <v>102</v>
          </cell>
          <cell r="EB275">
            <v>10</v>
          </cell>
          <cell r="EC275">
            <v>34</v>
          </cell>
          <cell r="ED275">
            <v>30</v>
          </cell>
          <cell r="EE275">
            <v>20</v>
          </cell>
          <cell r="EF275">
            <v>8</v>
          </cell>
          <cell r="EG275">
            <v>0</v>
          </cell>
          <cell r="EH275">
            <v>19</v>
          </cell>
          <cell r="EI275">
            <v>16</v>
          </cell>
          <cell r="EJ275">
            <v>4</v>
          </cell>
          <cell r="EK275">
            <v>11</v>
          </cell>
          <cell r="EL275">
            <v>-12</v>
          </cell>
          <cell r="EM275">
            <v>0</v>
          </cell>
          <cell r="EN275">
            <v>0</v>
          </cell>
          <cell r="EO275" t="str">
            <v xml:space="preserve">WS VERGLAS JACKETKET                                        </v>
          </cell>
        </row>
        <row r="276">
          <cell r="A276" t="str">
            <v>CN4PL5001029</v>
          </cell>
          <cell r="B276" t="str">
            <v>CN4</v>
          </cell>
          <cell r="C276" t="str">
            <v>PL5001</v>
          </cell>
          <cell r="D276">
            <v>29</v>
          </cell>
          <cell r="E276" t="str">
            <v xml:space="preserve">   </v>
          </cell>
          <cell r="F276">
            <v>80829</v>
          </cell>
          <cell r="G276">
            <v>80901</v>
          </cell>
          <cell r="H276">
            <v>0</v>
          </cell>
          <cell r="I276">
            <v>600</v>
          </cell>
          <cell r="J276">
            <v>600</v>
          </cell>
          <cell r="K276">
            <v>600</v>
          </cell>
          <cell r="L276">
            <v>596</v>
          </cell>
          <cell r="M276">
            <v>596</v>
          </cell>
          <cell r="N276">
            <v>21621600</v>
          </cell>
          <cell r="O276">
            <v>23095200</v>
          </cell>
          <cell r="P276">
            <v>23095200</v>
          </cell>
          <cell r="Q276">
            <v>22941232</v>
          </cell>
          <cell r="R276">
            <v>87788095</v>
          </cell>
          <cell r="S276" t="str">
            <v xml:space="preserve"> </v>
          </cell>
          <cell r="T276" t="str">
            <v xml:space="preserve"> </v>
          </cell>
          <cell r="U276">
            <v>600</v>
          </cell>
          <cell r="V276">
            <v>23095200</v>
          </cell>
          <cell r="W276">
            <v>596</v>
          </cell>
          <cell r="X276">
            <v>22941232</v>
          </cell>
          <cell r="Y276">
            <v>99.17</v>
          </cell>
          <cell r="Z276">
            <v>99</v>
          </cell>
          <cell r="AA276">
            <v>22748772</v>
          </cell>
          <cell r="AB276">
            <v>192460</v>
          </cell>
          <cell r="AC276">
            <v>0</v>
          </cell>
          <cell r="AD276">
            <v>-38492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-1</v>
          </cell>
          <cell r="AL276">
            <v>-76984</v>
          </cell>
          <cell r="AM276">
            <v>5</v>
          </cell>
          <cell r="AN276">
            <v>346428</v>
          </cell>
          <cell r="AO276">
            <v>36036</v>
          </cell>
          <cell r="AP276">
            <v>38492</v>
          </cell>
          <cell r="AQ276">
            <v>158000</v>
          </cell>
          <cell r="AR276">
            <v>0</v>
          </cell>
          <cell r="AS276">
            <v>4.0999999999999996</v>
          </cell>
          <cell r="AT276">
            <v>94800000</v>
          </cell>
          <cell r="AU276">
            <v>3.86</v>
          </cell>
          <cell r="AV276">
            <v>87753800</v>
          </cell>
          <cell r="AW276">
            <v>0.18</v>
          </cell>
          <cell r="AX276">
            <v>34295</v>
          </cell>
          <cell r="AY276">
            <v>99.17</v>
          </cell>
          <cell r="AZ276">
            <v>0</v>
          </cell>
          <cell r="BA276">
            <v>591</v>
          </cell>
          <cell r="BB276">
            <v>5</v>
          </cell>
          <cell r="BC276">
            <v>596</v>
          </cell>
          <cell r="BD276">
            <v>0</v>
          </cell>
          <cell r="BE276">
            <v>0</v>
          </cell>
          <cell r="BF276">
            <v>8</v>
          </cell>
          <cell r="BG276">
            <v>0</v>
          </cell>
          <cell r="BH276">
            <v>1</v>
          </cell>
          <cell r="BI276">
            <v>-3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-3</v>
          </cell>
          <cell r="BO276">
            <v>0</v>
          </cell>
          <cell r="BP276">
            <v>-2</v>
          </cell>
          <cell r="BQ276">
            <v>0</v>
          </cell>
          <cell r="BR276">
            <v>-3</v>
          </cell>
          <cell r="BS276">
            <v>-1</v>
          </cell>
          <cell r="BT276">
            <v>0</v>
          </cell>
          <cell r="BU276">
            <v>2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363</v>
          </cell>
          <cell r="DN276">
            <v>119</v>
          </cell>
          <cell r="DO276">
            <v>73</v>
          </cell>
          <cell r="DP276">
            <v>91</v>
          </cell>
          <cell r="DQ276">
            <v>65</v>
          </cell>
          <cell r="DR276">
            <v>15</v>
          </cell>
          <cell r="DS276">
            <v>0</v>
          </cell>
          <cell r="DT276">
            <v>208</v>
          </cell>
          <cell r="DU276">
            <v>67</v>
          </cell>
          <cell r="DV276">
            <v>43</v>
          </cell>
          <cell r="DW276">
            <v>32</v>
          </cell>
          <cell r="DX276">
            <v>50</v>
          </cell>
          <cell r="DY276">
            <v>16</v>
          </cell>
          <cell r="DZ276">
            <v>0</v>
          </cell>
          <cell r="EA276">
            <v>32</v>
          </cell>
          <cell r="EB276">
            <v>5</v>
          </cell>
          <cell r="EC276">
            <v>22</v>
          </cell>
          <cell r="ED276">
            <v>0</v>
          </cell>
          <cell r="EE276">
            <v>7</v>
          </cell>
          <cell r="EF276">
            <v>-2</v>
          </cell>
          <cell r="EG276">
            <v>0</v>
          </cell>
          <cell r="EH276">
            <v>-2</v>
          </cell>
          <cell r="EI276">
            <v>-7</v>
          </cell>
          <cell r="EJ276">
            <v>5</v>
          </cell>
          <cell r="EK276">
            <v>1</v>
          </cell>
          <cell r="EL276">
            <v>0</v>
          </cell>
          <cell r="EM276">
            <v>-1</v>
          </cell>
          <cell r="EN276">
            <v>0</v>
          </cell>
          <cell r="EO276" t="str">
            <v xml:space="preserve">WS VERGLAS JACKETKET                                        </v>
          </cell>
        </row>
        <row r="277">
          <cell r="A277" t="str">
            <v>CN4PL5003666</v>
          </cell>
          <cell r="B277" t="str">
            <v>CN4</v>
          </cell>
          <cell r="C277" t="str">
            <v>PL5003</v>
          </cell>
          <cell r="D277">
            <v>666</v>
          </cell>
          <cell r="E277" t="str">
            <v xml:space="preserve">   </v>
          </cell>
          <cell r="F277">
            <v>80829</v>
          </cell>
          <cell r="G277">
            <v>80901</v>
          </cell>
          <cell r="H277">
            <v>0</v>
          </cell>
          <cell r="I277">
            <v>702</v>
          </cell>
          <cell r="J277">
            <v>702</v>
          </cell>
          <cell r="K277">
            <v>695</v>
          </cell>
          <cell r="L277">
            <v>682</v>
          </cell>
          <cell r="M277">
            <v>682</v>
          </cell>
          <cell r="N277">
            <v>23408190</v>
          </cell>
          <cell r="O277">
            <v>25007346</v>
          </cell>
          <cell r="P277">
            <v>24757985</v>
          </cell>
          <cell r="Q277">
            <v>24294886</v>
          </cell>
          <cell r="R277">
            <v>100611053</v>
          </cell>
          <cell r="S277" t="str">
            <v xml:space="preserve"> </v>
          </cell>
          <cell r="T277" t="str">
            <v xml:space="preserve"> </v>
          </cell>
          <cell r="U277">
            <v>702</v>
          </cell>
          <cell r="V277">
            <v>25007346</v>
          </cell>
          <cell r="W277">
            <v>682</v>
          </cell>
          <cell r="X277">
            <v>24294886</v>
          </cell>
          <cell r="Y277">
            <v>97.15</v>
          </cell>
          <cell r="Z277">
            <v>97.15</v>
          </cell>
          <cell r="AA277">
            <v>24188017</v>
          </cell>
          <cell r="AB277">
            <v>106869</v>
          </cell>
          <cell r="AC277">
            <v>7</v>
          </cell>
          <cell r="AD277">
            <v>534345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2</v>
          </cell>
          <cell r="AJ277">
            <v>142492</v>
          </cell>
          <cell r="AK277">
            <v>0</v>
          </cell>
          <cell r="AL277">
            <v>0</v>
          </cell>
          <cell r="AM277">
            <v>11</v>
          </cell>
          <cell r="AN277">
            <v>605591</v>
          </cell>
          <cell r="AO277">
            <v>33345</v>
          </cell>
          <cell r="AP277">
            <v>35623</v>
          </cell>
          <cell r="AQ277">
            <v>158000</v>
          </cell>
          <cell r="AR277">
            <v>0</v>
          </cell>
          <cell r="AS277">
            <v>4.4400000000000004</v>
          </cell>
          <cell r="AT277">
            <v>110916000</v>
          </cell>
          <cell r="AU277">
            <v>4.16</v>
          </cell>
          <cell r="AV277">
            <v>100590476</v>
          </cell>
          <cell r="AW277">
            <v>0.19</v>
          </cell>
          <cell r="AX277">
            <v>20577</v>
          </cell>
          <cell r="AY277">
            <v>97.15</v>
          </cell>
          <cell r="AZ277">
            <v>0</v>
          </cell>
          <cell r="BA277">
            <v>679</v>
          </cell>
          <cell r="BB277">
            <v>3</v>
          </cell>
          <cell r="BC277">
            <v>645</v>
          </cell>
          <cell r="BD277">
            <v>37</v>
          </cell>
          <cell r="BE277">
            <v>0</v>
          </cell>
          <cell r="BF277">
            <v>33</v>
          </cell>
          <cell r="BG277">
            <v>1</v>
          </cell>
          <cell r="BH277">
            <v>1</v>
          </cell>
          <cell r="BI277">
            <v>-9</v>
          </cell>
          <cell r="BJ277">
            <v>-1</v>
          </cell>
          <cell r="BK277">
            <v>-13</v>
          </cell>
          <cell r="BL277">
            <v>8</v>
          </cell>
          <cell r="BM277">
            <v>-2</v>
          </cell>
          <cell r="BN277">
            <v>-1</v>
          </cell>
          <cell r="BO277">
            <v>0</v>
          </cell>
          <cell r="BP277">
            <v>-4</v>
          </cell>
          <cell r="BQ277">
            <v>0</v>
          </cell>
          <cell r="BR277">
            <v>2</v>
          </cell>
          <cell r="BS277">
            <v>-3</v>
          </cell>
          <cell r="BT277">
            <v>-4</v>
          </cell>
          <cell r="BU277">
            <v>1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240</v>
          </cell>
          <cell r="DN277">
            <v>72</v>
          </cell>
          <cell r="DO277">
            <v>39</v>
          </cell>
          <cell r="DP277">
            <v>52</v>
          </cell>
          <cell r="DQ277">
            <v>64</v>
          </cell>
          <cell r="DR277">
            <v>13</v>
          </cell>
          <cell r="DS277">
            <v>0</v>
          </cell>
          <cell r="DT277">
            <v>259</v>
          </cell>
          <cell r="DU277">
            <v>47</v>
          </cell>
          <cell r="DV277">
            <v>58</v>
          </cell>
          <cell r="DW277">
            <v>56</v>
          </cell>
          <cell r="DX277">
            <v>32</v>
          </cell>
          <cell r="DY277">
            <v>66</v>
          </cell>
          <cell r="DZ277">
            <v>0</v>
          </cell>
          <cell r="EA277">
            <v>141</v>
          </cell>
          <cell r="EB277">
            <v>17</v>
          </cell>
          <cell r="EC277">
            <v>57</v>
          </cell>
          <cell r="ED277">
            <v>23</v>
          </cell>
          <cell r="EE277">
            <v>30</v>
          </cell>
          <cell r="EF277">
            <v>14</v>
          </cell>
          <cell r="EG277">
            <v>0</v>
          </cell>
          <cell r="EH277">
            <v>55</v>
          </cell>
          <cell r="EI277">
            <v>12</v>
          </cell>
          <cell r="EJ277">
            <v>16</v>
          </cell>
          <cell r="EK277">
            <v>1</v>
          </cell>
          <cell r="EL277">
            <v>-8</v>
          </cell>
          <cell r="EM277">
            <v>34</v>
          </cell>
          <cell r="EN277">
            <v>0</v>
          </cell>
          <cell r="EO277" t="str">
            <v xml:space="preserve">WS VERGLAS JACKETKET                                        </v>
          </cell>
        </row>
        <row r="278">
          <cell r="A278" t="str">
            <v>CN4PL5005331</v>
          </cell>
          <cell r="B278" t="str">
            <v>CN4</v>
          </cell>
          <cell r="C278" t="str">
            <v>PL5005</v>
          </cell>
          <cell r="D278">
            <v>331</v>
          </cell>
          <cell r="E278" t="str">
            <v xml:space="preserve">   </v>
          </cell>
          <cell r="F278">
            <v>80829</v>
          </cell>
          <cell r="G278">
            <v>80919</v>
          </cell>
          <cell r="H278">
            <v>0</v>
          </cell>
          <cell r="I278">
            <v>504</v>
          </cell>
          <cell r="J278">
            <v>504</v>
          </cell>
          <cell r="K278">
            <v>502</v>
          </cell>
          <cell r="L278">
            <v>189</v>
          </cell>
          <cell r="M278">
            <v>189</v>
          </cell>
          <cell r="N278">
            <v>20108088</v>
          </cell>
          <cell r="O278">
            <v>21475440</v>
          </cell>
          <cell r="P278">
            <v>21390220</v>
          </cell>
          <cell r="Q278">
            <v>8053290</v>
          </cell>
          <cell r="R278">
            <v>40973659</v>
          </cell>
          <cell r="S278" t="str">
            <v xml:space="preserve"> </v>
          </cell>
          <cell r="T278" t="str">
            <v xml:space="preserve"> </v>
          </cell>
          <cell r="U278">
            <v>504</v>
          </cell>
          <cell r="V278">
            <v>21475440</v>
          </cell>
          <cell r="W278">
            <v>189</v>
          </cell>
          <cell r="X278">
            <v>8053290</v>
          </cell>
          <cell r="Y278">
            <v>37.5</v>
          </cell>
          <cell r="Z278">
            <v>37.5</v>
          </cell>
          <cell r="AA278">
            <v>8010680</v>
          </cell>
          <cell r="AB278">
            <v>42610</v>
          </cell>
          <cell r="AC278">
            <v>2</v>
          </cell>
          <cell r="AD278">
            <v>85220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313</v>
          </cell>
          <cell r="AN278">
            <v>27227790</v>
          </cell>
          <cell r="AO278">
            <v>39897</v>
          </cell>
          <cell r="AP278">
            <v>42610</v>
          </cell>
          <cell r="AQ278">
            <v>238000</v>
          </cell>
          <cell r="AR278">
            <v>0</v>
          </cell>
          <cell r="AS278">
            <v>5.59</v>
          </cell>
          <cell r="AT278">
            <v>119952000</v>
          </cell>
          <cell r="AU278">
            <v>5.1100000000000003</v>
          </cell>
          <cell r="AV278">
            <v>40966800</v>
          </cell>
          <cell r="AW278">
            <v>0.16</v>
          </cell>
          <cell r="AX278">
            <v>6859</v>
          </cell>
          <cell r="AY278">
            <v>37.5</v>
          </cell>
          <cell r="AZ278">
            <v>0</v>
          </cell>
          <cell r="BA278">
            <v>188</v>
          </cell>
          <cell r="BB278">
            <v>1</v>
          </cell>
          <cell r="BC278">
            <v>189</v>
          </cell>
          <cell r="BD278">
            <v>0</v>
          </cell>
          <cell r="BE278">
            <v>0</v>
          </cell>
          <cell r="BF278">
            <v>37</v>
          </cell>
          <cell r="BG278">
            <v>1</v>
          </cell>
          <cell r="BH278">
            <v>1</v>
          </cell>
          <cell r="BI278">
            <v>35</v>
          </cell>
          <cell r="BJ278">
            <v>9</v>
          </cell>
          <cell r="BK278">
            <v>2</v>
          </cell>
          <cell r="BL278">
            <v>7</v>
          </cell>
          <cell r="BM278">
            <v>10</v>
          </cell>
          <cell r="BN278">
            <v>7</v>
          </cell>
          <cell r="BO278">
            <v>0</v>
          </cell>
          <cell r="BP278">
            <v>11</v>
          </cell>
          <cell r="BQ278">
            <v>0</v>
          </cell>
          <cell r="BR278">
            <v>3</v>
          </cell>
          <cell r="BS278">
            <v>-2</v>
          </cell>
          <cell r="BT278">
            <v>5</v>
          </cell>
          <cell r="BU278">
            <v>5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36</v>
          </cell>
          <cell r="DN278">
            <v>0</v>
          </cell>
          <cell r="DO278">
            <v>0</v>
          </cell>
          <cell r="DP278">
            <v>2</v>
          </cell>
          <cell r="DQ278">
            <v>30</v>
          </cell>
          <cell r="DR278">
            <v>4</v>
          </cell>
          <cell r="DS278">
            <v>0</v>
          </cell>
          <cell r="DT278">
            <v>22</v>
          </cell>
          <cell r="DU278">
            <v>4</v>
          </cell>
          <cell r="DV278">
            <v>1</v>
          </cell>
          <cell r="DW278">
            <v>3</v>
          </cell>
          <cell r="DX278">
            <v>6</v>
          </cell>
          <cell r="DY278">
            <v>8</v>
          </cell>
          <cell r="DZ278">
            <v>0</v>
          </cell>
          <cell r="EA278">
            <v>41</v>
          </cell>
          <cell r="EB278">
            <v>4</v>
          </cell>
          <cell r="EC278">
            <v>9</v>
          </cell>
          <cell r="ED278">
            <v>7</v>
          </cell>
          <cell r="EE278">
            <v>8</v>
          </cell>
          <cell r="EF278">
            <v>13</v>
          </cell>
          <cell r="EG278">
            <v>0</v>
          </cell>
          <cell r="EH278">
            <v>44</v>
          </cell>
          <cell r="EI278">
            <v>15</v>
          </cell>
          <cell r="EJ278">
            <v>12</v>
          </cell>
          <cell r="EK278">
            <v>-1</v>
          </cell>
          <cell r="EL278">
            <v>16</v>
          </cell>
          <cell r="EM278">
            <v>2</v>
          </cell>
          <cell r="EN278">
            <v>0</v>
          </cell>
          <cell r="EO278" t="str">
            <v xml:space="preserve">WS GIBRALTER CHUTE JACKET                                   </v>
          </cell>
        </row>
        <row r="279">
          <cell r="A279" t="str">
            <v>CN4PL5005425</v>
          </cell>
          <cell r="B279" t="str">
            <v>CN4</v>
          </cell>
          <cell r="C279" t="str">
            <v>PL5005</v>
          </cell>
          <cell r="D279">
            <v>425</v>
          </cell>
          <cell r="E279" t="str">
            <v xml:space="preserve">   </v>
          </cell>
          <cell r="F279">
            <v>80829</v>
          </cell>
          <cell r="G279">
            <v>80919</v>
          </cell>
          <cell r="H279">
            <v>0</v>
          </cell>
          <cell r="I279">
            <v>600</v>
          </cell>
          <cell r="J279">
            <v>600</v>
          </cell>
          <cell r="K279">
            <v>600</v>
          </cell>
          <cell r="L279">
            <v>527</v>
          </cell>
          <cell r="M279">
            <v>527</v>
          </cell>
          <cell r="N279">
            <v>23938200</v>
          </cell>
          <cell r="O279">
            <v>25566000</v>
          </cell>
          <cell r="P279">
            <v>25566000</v>
          </cell>
          <cell r="Q279">
            <v>22455470</v>
          </cell>
          <cell r="R279">
            <v>113350440</v>
          </cell>
          <cell r="S279" t="str">
            <v xml:space="preserve"> </v>
          </cell>
          <cell r="T279" t="str">
            <v xml:space="preserve"> </v>
          </cell>
          <cell r="U279">
            <v>600</v>
          </cell>
          <cell r="V279">
            <v>25566000</v>
          </cell>
          <cell r="W279">
            <v>527</v>
          </cell>
          <cell r="X279">
            <v>22455470</v>
          </cell>
          <cell r="Y279">
            <v>88</v>
          </cell>
          <cell r="Z279">
            <v>88</v>
          </cell>
          <cell r="AA279">
            <v>22455470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1</v>
          </cell>
          <cell r="AL279">
            <v>42610</v>
          </cell>
          <cell r="AM279">
            <v>72</v>
          </cell>
          <cell r="AN279">
            <v>5965400</v>
          </cell>
          <cell r="AO279">
            <v>39897</v>
          </cell>
          <cell r="AP279">
            <v>42610</v>
          </cell>
          <cell r="AQ279">
            <v>238000</v>
          </cell>
          <cell r="AR279">
            <v>0</v>
          </cell>
          <cell r="AS279">
            <v>5.59</v>
          </cell>
          <cell r="AT279">
            <v>142800000</v>
          </cell>
          <cell r="AU279">
            <v>5.05</v>
          </cell>
          <cell r="AV279">
            <v>113350440</v>
          </cell>
          <cell r="AW279">
            <v>0</v>
          </cell>
          <cell r="AX279">
            <v>0</v>
          </cell>
          <cell r="AY279">
            <v>88</v>
          </cell>
          <cell r="AZ279">
            <v>0</v>
          </cell>
          <cell r="BA279">
            <v>527</v>
          </cell>
          <cell r="BB279">
            <v>0</v>
          </cell>
          <cell r="BC279">
            <v>527</v>
          </cell>
          <cell r="BD279">
            <v>0</v>
          </cell>
          <cell r="BE279">
            <v>0</v>
          </cell>
          <cell r="BF279">
            <v>53</v>
          </cell>
          <cell r="BG279">
            <v>0</v>
          </cell>
          <cell r="BH279">
            <v>1</v>
          </cell>
          <cell r="BI279">
            <v>54</v>
          </cell>
          <cell r="BJ279">
            <v>14</v>
          </cell>
          <cell r="BK279">
            <v>24</v>
          </cell>
          <cell r="BL279">
            <v>5</v>
          </cell>
          <cell r="BM279">
            <v>9</v>
          </cell>
          <cell r="BN279">
            <v>2</v>
          </cell>
          <cell r="BO279">
            <v>0</v>
          </cell>
          <cell r="BP279">
            <v>-5</v>
          </cell>
          <cell r="BQ279">
            <v>-2</v>
          </cell>
          <cell r="BR279">
            <v>4</v>
          </cell>
          <cell r="BS279">
            <v>-1</v>
          </cell>
          <cell r="BT279">
            <v>-1</v>
          </cell>
          <cell r="BU279">
            <v>-5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90</v>
          </cell>
          <cell r="DN279">
            <v>0</v>
          </cell>
          <cell r="DO279">
            <v>0</v>
          </cell>
          <cell r="DP279">
            <v>4</v>
          </cell>
          <cell r="DQ279">
            <v>86</v>
          </cell>
          <cell r="DR279">
            <v>0</v>
          </cell>
          <cell r="DS279">
            <v>0</v>
          </cell>
          <cell r="DT279">
            <v>69</v>
          </cell>
          <cell r="DU279">
            <v>25</v>
          </cell>
          <cell r="DV279">
            <v>5</v>
          </cell>
          <cell r="DW279">
            <v>10</v>
          </cell>
          <cell r="DX279">
            <v>13</v>
          </cell>
          <cell r="DY279">
            <v>16</v>
          </cell>
          <cell r="DZ279">
            <v>0</v>
          </cell>
          <cell r="EA279">
            <v>147</v>
          </cell>
          <cell r="EB279">
            <v>14</v>
          </cell>
          <cell r="EC279">
            <v>39</v>
          </cell>
          <cell r="ED279">
            <v>28</v>
          </cell>
          <cell r="EE279">
            <v>38</v>
          </cell>
          <cell r="EF279">
            <v>28</v>
          </cell>
          <cell r="EG279">
            <v>0</v>
          </cell>
          <cell r="EH279">
            <v>172</v>
          </cell>
          <cell r="EI279">
            <v>39</v>
          </cell>
          <cell r="EJ279">
            <v>31</v>
          </cell>
          <cell r="EK279">
            <v>52</v>
          </cell>
          <cell r="EL279">
            <v>42</v>
          </cell>
          <cell r="EM279">
            <v>8</v>
          </cell>
          <cell r="EN279">
            <v>0</v>
          </cell>
          <cell r="EO279" t="str">
            <v xml:space="preserve">WS GIBRALTER CHUTE JACKET                                   </v>
          </cell>
        </row>
        <row r="280">
          <cell r="A280" t="str">
            <v>CN4PL8613238</v>
          </cell>
          <cell r="B280" t="str">
            <v>CN4</v>
          </cell>
          <cell r="C280" t="str">
            <v>PL8613</v>
          </cell>
          <cell r="D280">
            <v>238</v>
          </cell>
          <cell r="E280" t="str">
            <v xml:space="preserve">   </v>
          </cell>
          <cell r="F280">
            <v>80826</v>
          </cell>
          <cell r="G280">
            <v>80909</v>
          </cell>
          <cell r="H280">
            <v>0</v>
          </cell>
          <cell r="I280">
            <v>402</v>
          </cell>
          <cell r="J280">
            <v>402</v>
          </cell>
          <cell r="K280">
            <v>400</v>
          </cell>
          <cell r="L280">
            <v>218</v>
          </cell>
          <cell r="M280">
            <v>218</v>
          </cell>
          <cell r="N280">
            <v>6114420</v>
          </cell>
          <cell r="O280">
            <v>6630186</v>
          </cell>
          <cell r="P280">
            <v>6597200</v>
          </cell>
          <cell r="Q280">
            <v>3595474</v>
          </cell>
          <cell r="R280">
            <v>19938200</v>
          </cell>
          <cell r="S280" t="str">
            <v xml:space="preserve"> </v>
          </cell>
          <cell r="T280" t="str">
            <v xml:space="preserve"> </v>
          </cell>
          <cell r="U280">
            <v>402</v>
          </cell>
          <cell r="V280">
            <v>6630186</v>
          </cell>
          <cell r="W280">
            <v>218</v>
          </cell>
          <cell r="X280">
            <v>3595474</v>
          </cell>
          <cell r="Y280">
            <v>54.23</v>
          </cell>
          <cell r="Z280">
            <v>54.23</v>
          </cell>
          <cell r="AA280">
            <v>3595474</v>
          </cell>
          <cell r="AB280">
            <v>0</v>
          </cell>
          <cell r="AC280">
            <v>2</v>
          </cell>
          <cell r="AD280">
            <v>32986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182</v>
          </cell>
          <cell r="AN280">
            <v>6267340</v>
          </cell>
          <cell r="AO280">
            <v>15210</v>
          </cell>
          <cell r="AP280">
            <v>16493</v>
          </cell>
          <cell r="AQ280">
            <v>98000</v>
          </cell>
          <cell r="AR280">
            <v>0</v>
          </cell>
          <cell r="AS280">
            <v>5.94</v>
          </cell>
          <cell r="AT280">
            <v>39396000</v>
          </cell>
          <cell r="AU280">
            <v>5.55</v>
          </cell>
          <cell r="AV280">
            <v>19938200</v>
          </cell>
          <cell r="AW280">
            <v>0</v>
          </cell>
          <cell r="AX280">
            <v>0</v>
          </cell>
          <cell r="AY280">
            <v>54.23</v>
          </cell>
          <cell r="AZ280">
            <v>0</v>
          </cell>
          <cell r="BA280">
            <v>218</v>
          </cell>
          <cell r="BB280">
            <v>0</v>
          </cell>
          <cell r="BC280">
            <v>218</v>
          </cell>
          <cell r="BD280">
            <v>0</v>
          </cell>
          <cell r="BE280">
            <v>0</v>
          </cell>
          <cell r="BF280">
            <v>20</v>
          </cell>
          <cell r="BG280">
            <v>1</v>
          </cell>
          <cell r="BH280">
            <v>1</v>
          </cell>
          <cell r="BI280">
            <v>17</v>
          </cell>
          <cell r="BJ280">
            <v>6</v>
          </cell>
          <cell r="BK280">
            <v>4</v>
          </cell>
          <cell r="BL280">
            <v>3</v>
          </cell>
          <cell r="BM280">
            <v>1</v>
          </cell>
          <cell r="BN280">
            <v>3</v>
          </cell>
          <cell r="BO280">
            <v>0</v>
          </cell>
          <cell r="BP280">
            <v>14</v>
          </cell>
          <cell r="BQ280">
            <v>0</v>
          </cell>
          <cell r="BR280">
            <v>2</v>
          </cell>
          <cell r="BS280">
            <v>6</v>
          </cell>
          <cell r="BT280">
            <v>2</v>
          </cell>
          <cell r="BU280">
            <v>4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45</v>
          </cell>
          <cell r="DN280">
            <v>0</v>
          </cell>
          <cell r="DO280">
            <v>0</v>
          </cell>
          <cell r="DP280">
            <v>13</v>
          </cell>
          <cell r="DQ280">
            <v>28</v>
          </cell>
          <cell r="DR280">
            <v>4</v>
          </cell>
          <cell r="DS280">
            <v>0</v>
          </cell>
          <cell r="DT280">
            <v>80</v>
          </cell>
          <cell r="DU280">
            <v>13</v>
          </cell>
          <cell r="DV280">
            <v>13</v>
          </cell>
          <cell r="DW280">
            <v>26</v>
          </cell>
          <cell r="DX280">
            <v>18</v>
          </cell>
          <cell r="DY280">
            <v>10</v>
          </cell>
          <cell r="DZ280">
            <v>0</v>
          </cell>
          <cell r="EA280">
            <v>36</v>
          </cell>
          <cell r="EB280">
            <v>4</v>
          </cell>
          <cell r="EC280">
            <v>12</v>
          </cell>
          <cell r="ED280">
            <v>10</v>
          </cell>
          <cell r="EE280">
            <v>6</v>
          </cell>
          <cell r="EF280">
            <v>4</v>
          </cell>
          <cell r="EG280">
            <v>0</v>
          </cell>
          <cell r="EH280">
            <v>26</v>
          </cell>
          <cell r="EI280">
            <v>9</v>
          </cell>
          <cell r="EJ280">
            <v>6</v>
          </cell>
          <cell r="EK280">
            <v>3</v>
          </cell>
          <cell r="EL280">
            <v>6</v>
          </cell>
          <cell r="EM280">
            <v>2</v>
          </cell>
          <cell r="EN280">
            <v>0</v>
          </cell>
          <cell r="EO280" t="str">
            <v xml:space="preserve">WS BROOKS LINED PANT                                        </v>
          </cell>
        </row>
        <row r="281">
          <cell r="A281" t="str">
            <v>CN4PL8613250</v>
          </cell>
          <cell r="B281" t="str">
            <v>CN4</v>
          </cell>
          <cell r="C281" t="str">
            <v>PL8613</v>
          </cell>
          <cell r="D281">
            <v>250</v>
          </cell>
          <cell r="E281" t="str">
            <v xml:space="preserve">   </v>
          </cell>
          <cell r="F281">
            <v>80826</v>
          </cell>
          <cell r="G281">
            <v>80909</v>
          </cell>
          <cell r="H281">
            <v>0</v>
          </cell>
          <cell r="I281">
            <v>600</v>
          </cell>
          <cell r="J281">
            <v>600</v>
          </cell>
          <cell r="K281">
            <v>600</v>
          </cell>
          <cell r="L281">
            <v>346</v>
          </cell>
          <cell r="M281">
            <v>346</v>
          </cell>
          <cell r="N281">
            <v>9126000</v>
          </cell>
          <cell r="O281">
            <v>9895800</v>
          </cell>
          <cell r="P281">
            <v>9895800</v>
          </cell>
          <cell r="Q281">
            <v>5706578</v>
          </cell>
          <cell r="R281">
            <v>31227277</v>
          </cell>
          <cell r="S281" t="str">
            <v xml:space="preserve"> </v>
          </cell>
          <cell r="T281" t="str">
            <v xml:space="preserve"> </v>
          </cell>
          <cell r="U281">
            <v>600</v>
          </cell>
          <cell r="V281">
            <v>9895800</v>
          </cell>
          <cell r="W281">
            <v>346</v>
          </cell>
          <cell r="X281">
            <v>5706578</v>
          </cell>
          <cell r="Y281">
            <v>57.67</v>
          </cell>
          <cell r="Z281">
            <v>57.67</v>
          </cell>
          <cell r="AA281">
            <v>5657099</v>
          </cell>
          <cell r="AB281">
            <v>49479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254</v>
          </cell>
          <cell r="AN281">
            <v>8724797</v>
          </cell>
          <cell r="AO281">
            <v>15210</v>
          </cell>
          <cell r="AP281">
            <v>16493</v>
          </cell>
          <cell r="AQ281">
            <v>98000</v>
          </cell>
          <cell r="AR281">
            <v>0</v>
          </cell>
          <cell r="AS281">
            <v>5.94</v>
          </cell>
          <cell r="AT281">
            <v>58800000</v>
          </cell>
          <cell r="AU281">
            <v>5.52</v>
          </cell>
          <cell r="AV281">
            <v>31206700</v>
          </cell>
          <cell r="AW281">
            <v>0.42</v>
          </cell>
          <cell r="AX281">
            <v>20577</v>
          </cell>
          <cell r="AY281">
            <v>57.67</v>
          </cell>
          <cell r="AZ281">
            <v>0</v>
          </cell>
          <cell r="BA281">
            <v>343</v>
          </cell>
          <cell r="BB281">
            <v>3</v>
          </cell>
          <cell r="BC281">
            <v>346</v>
          </cell>
          <cell r="BD281">
            <v>0</v>
          </cell>
          <cell r="BE281">
            <v>0</v>
          </cell>
          <cell r="BF281">
            <v>27</v>
          </cell>
          <cell r="BG281">
            <v>0</v>
          </cell>
          <cell r="BH281">
            <v>1</v>
          </cell>
          <cell r="BI281">
            <v>52</v>
          </cell>
          <cell r="BJ281">
            <v>10</v>
          </cell>
          <cell r="BK281">
            <v>15</v>
          </cell>
          <cell r="BL281">
            <v>12</v>
          </cell>
          <cell r="BM281">
            <v>10</v>
          </cell>
          <cell r="BN281">
            <v>5</v>
          </cell>
          <cell r="BO281">
            <v>0</v>
          </cell>
          <cell r="BP281">
            <v>21</v>
          </cell>
          <cell r="BQ281">
            <v>4</v>
          </cell>
          <cell r="BR281">
            <v>5</v>
          </cell>
          <cell r="BS281">
            <v>4</v>
          </cell>
          <cell r="BT281">
            <v>1</v>
          </cell>
          <cell r="BU281">
            <v>7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64</v>
          </cell>
          <cell r="DN281">
            <v>0</v>
          </cell>
          <cell r="DO281">
            <v>5</v>
          </cell>
          <cell r="DP281">
            <v>9</v>
          </cell>
          <cell r="DQ281">
            <v>46</v>
          </cell>
          <cell r="DR281">
            <v>4</v>
          </cell>
          <cell r="DS281">
            <v>0</v>
          </cell>
          <cell r="DT281">
            <v>89</v>
          </cell>
          <cell r="DU281">
            <v>11</v>
          </cell>
          <cell r="DV281">
            <v>22</v>
          </cell>
          <cell r="DW281">
            <v>26</v>
          </cell>
          <cell r="DX281">
            <v>21</v>
          </cell>
          <cell r="DY281">
            <v>9</v>
          </cell>
          <cell r="DZ281">
            <v>0</v>
          </cell>
          <cell r="EA281">
            <v>70</v>
          </cell>
          <cell r="EB281">
            <v>11</v>
          </cell>
          <cell r="EC281">
            <v>18</v>
          </cell>
          <cell r="ED281">
            <v>16</v>
          </cell>
          <cell r="EE281">
            <v>15</v>
          </cell>
          <cell r="EF281">
            <v>10</v>
          </cell>
          <cell r="EG281">
            <v>0</v>
          </cell>
          <cell r="EH281">
            <v>50</v>
          </cell>
          <cell r="EI281">
            <v>14</v>
          </cell>
          <cell r="EJ281">
            <v>13</v>
          </cell>
          <cell r="EK281">
            <v>7</v>
          </cell>
          <cell r="EL281">
            <v>11</v>
          </cell>
          <cell r="EM281">
            <v>5</v>
          </cell>
          <cell r="EN281">
            <v>0</v>
          </cell>
          <cell r="EO281" t="str">
            <v xml:space="preserve">WS BROOKS LINED PANT                                        </v>
          </cell>
        </row>
        <row r="282">
          <cell r="A282" t="str">
            <v>CN4PL8617010</v>
          </cell>
          <cell r="B282" t="str">
            <v>CN4</v>
          </cell>
          <cell r="C282" t="str">
            <v>PL8617</v>
          </cell>
          <cell r="D282">
            <v>10</v>
          </cell>
          <cell r="E282" t="str">
            <v xml:space="preserve">   </v>
          </cell>
          <cell r="F282">
            <v>80826</v>
          </cell>
          <cell r="G282">
            <v>80909</v>
          </cell>
          <cell r="H282">
            <v>0</v>
          </cell>
          <cell r="I282">
            <v>600</v>
          </cell>
          <cell r="J282">
            <v>600</v>
          </cell>
          <cell r="K282">
            <v>599</v>
          </cell>
          <cell r="L282">
            <v>195</v>
          </cell>
          <cell r="M282">
            <v>195</v>
          </cell>
          <cell r="N282">
            <v>9477000</v>
          </cell>
          <cell r="O282">
            <v>10086000</v>
          </cell>
          <cell r="P282">
            <v>10069190</v>
          </cell>
          <cell r="Q282">
            <v>3277950</v>
          </cell>
          <cell r="R282">
            <v>18032979</v>
          </cell>
          <cell r="S282" t="str">
            <v xml:space="preserve"> </v>
          </cell>
          <cell r="T282" t="str">
            <v xml:space="preserve"> </v>
          </cell>
          <cell r="U282">
            <v>600</v>
          </cell>
          <cell r="V282">
            <v>10086000</v>
          </cell>
          <cell r="W282">
            <v>195</v>
          </cell>
          <cell r="X282">
            <v>3277950</v>
          </cell>
          <cell r="Y282">
            <v>32.5</v>
          </cell>
          <cell r="Z282">
            <v>32.5</v>
          </cell>
          <cell r="AA282">
            <v>3277950</v>
          </cell>
          <cell r="AB282">
            <v>0</v>
          </cell>
          <cell r="AC282">
            <v>1</v>
          </cell>
          <cell r="AD282">
            <v>16810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404</v>
          </cell>
          <cell r="AN282">
            <v>13801010</v>
          </cell>
          <cell r="AO282">
            <v>15795</v>
          </cell>
          <cell r="AP282">
            <v>16810</v>
          </cell>
          <cell r="AQ282">
            <v>98000</v>
          </cell>
          <cell r="AR282">
            <v>0</v>
          </cell>
          <cell r="AS282">
            <v>5.83</v>
          </cell>
          <cell r="AT282">
            <v>58800000</v>
          </cell>
          <cell r="AU282">
            <v>5.5</v>
          </cell>
          <cell r="AV282">
            <v>18032979</v>
          </cell>
          <cell r="AW282">
            <v>0</v>
          </cell>
          <cell r="AX282">
            <v>0</v>
          </cell>
          <cell r="AY282">
            <v>32.5</v>
          </cell>
          <cell r="AZ282">
            <v>0</v>
          </cell>
          <cell r="BA282">
            <v>195</v>
          </cell>
          <cell r="BB282">
            <v>0</v>
          </cell>
          <cell r="BC282">
            <v>195</v>
          </cell>
          <cell r="BD282">
            <v>0</v>
          </cell>
          <cell r="BE282">
            <v>0</v>
          </cell>
          <cell r="BF282">
            <v>16</v>
          </cell>
          <cell r="BG282">
            <v>1</v>
          </cell>
          <cell r="BH282">
            <v>1</v>
          </cell>
          <cell r="BI282">
            <v>31</v>
          </cell>
          <cell r="BJ282">
            <v>8</v>
          </cell>
          <cell r="BK282">
            <v>9</v>
          </cell>
          <cell r="BL282">
            <v>6</v>
          </cell>
          <cell r="BM282">
            <v>6</v>
          </cell>
          <cell r="BN282">
            <v>2</v>
          </cell>
          <cell r="BO282">
            <v>0</v>
          </cell>
          <cell r="BP282">
            <v>12</v>
          </cell>
          <cell r="BQ282">
            <v>0</v>
          </cell>
          <cell r="BR282">
            <v>4</v>
          </cell>
          <cell r="BS282">
            <v>4</v>
          </cell>
          <cell r="BT282">
            <v>4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26</v>
          </cell>
          <cell r="DN282">
            <v>0</v>
          </cell>
          <cell r="DO282">
            <v>2</v>
          </cell>
          <cell r="DP282">
            <v>6</v>
          </cell>
          <cell r="DQ282">
            <v>20</v>
          </cell>
          <cell r="DR282">
            <v>-2</v>
          </cell>
          <cell r="DS282">
            <v>0</v>
          </cell>
          <cell r="DT282">
            <v>19</v>
          </cell>
          <cell r="DU282">
            <v>3</v>
          </cell>
          <cell r="DV282">
            <v>4</v>
          </cell>
          <cell r="DW282">
            <v>3</v>
          </cell>
          <cell r="DX282">
            <v>4</v>
          </cell>
          <cell r="DY282">
            <v>5</v>
          </cell>
          <cell r="DZ282">
            <v>0</v>
          </cell>
          <cell r="EA282">
            <v>68</v>
          </cell>
          <cell r="EB282">
            <v>4</v>
          </cell>
          <cell r="EC282">
            <v>14</v>
          </cell>
          <cell r="ED282">
            <v>12</v>
          </cell>
          <cell r="EE282">
            <v>22</v>
          </cell>
          <cell r="EF282">
            <v>16</v>
          </cell>
          <cell r="EG282">
            <v>0</v>
          </cell>
          <cell r="EH282">
            <v>39</v>
          </cell>
          <cell r="EI282">
            <v>9</v>
          </cell>
          <cell r="EJ282">
            <v>7</v>
          </cell>
          <cell r="EK282">
            <v>7</v>
          </cell>
          <cell r="EL282">
            <v>16</v>
          </cell>
          <cell r="EM282">
            <v>0</v>
          </cell>
          <cell r="EN282">
            <v>0</v>
          </cell>
          <cell r="EO282" t="str">
            <v xml:space="preserve">WS ESTHER PANT                                              </v>
          </cell>
        </row>
        <row r="283">
          <cell r="A283" t="str">
            <v>CN4PL8617287</v>
          </cell>
          <cell r="B283" t="str">
            <v>CN4</v>
          </cell>
          <cell r="C283" t="str">
            <v>PL8617</v>
          </cell>
          <cell r="D283">
            <v>287</v>
          </cell>
          <cell r="E283" t="str">
            <v xml:space="preserve">   </v>
          </cell>
          <cell r="F283">
            <v>80826</v>
          </cell>
          <cell r="G283">
            <v>80909</v>
          </cell>
          <cell r="H283">
            <v>0</v>
          </cell>
          <cell r="I283">
            <v>402</v>
          </cell>
          <cell r="J283">
            <v>402</v>
          </cell>
          <cell r="K283">
            <v>398</v>
          </cell>
          <cell r="L283">
            <v>56</v>
          </cell>
          <cell r="M283">
            <v>56</v>
          </cell>
          <cell r="N283">
            <v>6349590</v>
          </cell>
          <cell r="O283">
            <v>6757620</v>
          </cell>
          <cell r="P283">
            <v>6690380</v>
          </cell>
          <cell r="Q283">
            <v>941360</v>
          </cell>
          <cell r="R283">
            <v>5124744</v>
          </cell>
          <cell r="S283" t="str">
            <v xml:space="preserve"> </v>
          </cell>
          <cell r="T283" t="str">
            <v xml:space="preserve"> </v>
          </cell>
          <cell r="U283">
            <v>402</v>
          </cell>
          <cell r="V283">
            <v>6757620</v>
          </cell>
          <cell r="W283">
            <v>56</v>
          </cell>
          <cell r="X283">
            <v>941360</v>
          </cell>
          <cell r="Y283">
            <v>13.93</v>
          </cell>
          <cell r="Z283">
            <v>13.93</v>
          </cell>
          <cell r="AA283">
            <v>941360</v>
          </cell>
          <cell r="AB283">
            <v>0</v>
          </cell>
          <cell r="AC283">
            <v>4</v>
          </cell>
          <cell r="AD283">
            <v>84050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342</v>
          </cell>
          <cell r="AN283">
            <v>11598900</v>
          </cell>
          <cell r="AO283">
            <v>15795</v>
          </cell>
          <cell r="AP283">
            <v>16810</v>
          </cell>
          <cell r="AQ283">
            <v>98000</v>
          </cell>
          <cell r="AR283">
            <v>0</v>
          </cell>
          <cell r="AS283">
            <v>5.83</v>
          </cell>
          <cell r="AT283">
            <v>39396000</v>
          </cell>
          <cell r="AU283">
            <v>5.44</v>
          </cell>
          <cell r="AV283">
            <v>5124744</v>
          </cell>
          <cell r="AW283">
            <v>0</v>
          </cell>
          <cell r="AX283">
            <v>0</v>
          </cell>
          <cell r="AY283">
            <v>13.93</v>
          </cell>
          <cell r="AZ283">
            <v>0</v>
          </cell>
          <cell r="BA283">
            <v>56</v>
          </cell>
          <cell r="BB283">
            <v>0</v>
          </cell>
          <cell r="BC283">
            <v>56</v>
          </cell>
          <cell r="BD283">
            <v>0</v>
          </cell>
          <cell r="BE283">
            <v>0</v>
          </cell>
          <cell r="BF283">
            <v>5</v>
          </cell>
          <cell r="BG283">
            <v>0</v>
          </cell>
          <cell r="BH283">
            <v>1</v>
          </cell>
          <cell r="BI283">
            <v>13</v>
          </cell>
          <cell r="BJ283">
            <v>1</v>
          </cell>
          <cell r="BK283">
            <v>3</v>
          </cell>
          <cell r="BL283">
            <v>1</v>
          </cell>
          <cell r="BM283">
            <v>5</v>
          </cell>
          <cell r="BN283">
            <v>3</v>
          </cell>
          <cell r="BO283">
            <v>0</v>
          </cell>
          <cell r="BP283">
            <v>3</v>
          </cell>
          <cell r="BQ283">
            <v>2</v>
          </cell>
          <cell r="BR283">
            <v>0</v>
          </cell>
          <cell r="BS283">
            <v>1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8</v>
          </cell>
          <cell r="DN283">
            <v>0</v>
          </cell>
          <cell r="DO283">
            <v>0</v>
          </cell>
          <cell r="DP283">
            <v>1</v>
          </cell>
          <cell r="DQ283">
            <v>5</v>
          </cell>
          <cell r="DR283">
            <v>2</v>
          </cell>
          <cell r="DS283">
            <v>0</v>
          </cell>
          <cell r="DT283">
            <v>7</v>
          </cell>
          <cell r="DU283">
            <v>0</v>
          </cell>
          <cell r="DV283">
            <v>2</v>
          </cell>
          <cell r="DW283">
            <v>2</v>
          </cell>
          <cell r="DX283">
            <v>3</v>
          </cell>
          <cell r="DY283">
            <v>0</v>
          </cell>
          <cell r="DZ283">
            <v>0</v>
          </cell>
          <cell r="EA283">
            <v>16</v>
          </cell>
          <cell r="EB283">
            <v>2</v>
          </cell>
          <cell r="EC283">
            <v>5</v>
          </cell>
          <cell r="ED283">
            <v>3</v>
          </cell>
          <cell r="EE283">
            <v>4</v>
          </cell>
          <cell r="EF283">
            <v>2</v>
          </cell>
          <cell r="EG283">
            <v>0</v>
          </cell>
          <cell r="EH283">
            <v>9</v>
          </cell>
          <cell r="EI283">
            <v>1</v>
          </cell>
          <cell r="EJ283">
            <v>1</v>
          </cell>
          <cell r="EK283">
            <v>1</v>
          </cell>
          <cell r="EL283">
            <v>3</v>
          </cell>
          <cell r="EM283">
            <v>3</v>
          </cell>
          <cell r="EN283">
            <v>0</v>
          </cell>
          <cell r="EO283" t="str">
            <v xml:space="preserve">WS ESTHER PANT                                              </v>
          </cell>
        </row>
        <row r="284">
          <cell r="A284" t="str">
            <v>CN4PM1415010</v>
          </cell>
          <cell r="B284" t="str">
            <v>CN4</v>
          </cell>
          <cell r="C284" t="str">
            <v>PM1415</v>
          </cell>
          <cell r="D284">
            <v>10</v>
          </cell>
          <cell r="E284" t="str">
            <v xml:space="preserve">   </v>
          </cell>
          <cell r="F284">
            <v>80811</v>
          </cell>
          <cell r="G284">
            <v>80919</v>
          </cell>
          <cell r="H284">
            <v>0</v>
          </cell>
          <cell r="I284">
            <v>600</v>
          </cell>
          <cell r="J284">
            <v>600</v>
          </cell>
          <cell r="K284">
            <v>600</v>
          </cell>
          <cell r="L284">
            <v>551</v>
          </cell>
          <cell r="M284">
            <v>551</v>
          </cell>
          <cell r="N284">
            <v>19164600</v>
          </cell>
          <cell r="O284">
            <v>18047400</v>
          </cell>
          <cell r="P284">
            <v>18047400</v>
          </cell>
          <cell r="Q284">
            <v>16573529</v>
          </cell>
          <cell r="R284">
            <v>70124213</v>
          </cell>
          <cell r="S284" t="str">
            <v xml:space="preserve"> </v>
          </cell>
          <cell r="T284" t="str">
            <v xml:space="preserve"> </v>
          </cell>
          <cell r="U284">
            <v>600</v>
          </cell>
          <cell r="V284">
            <v>18047400</v>
          </cell>
          <cell r="W284">
            <v>551</v>
          </cell>
          <cell r="X284">
            <v>16573529</v>
          </cell>
          <cell r="Y284">
            <v>91.83</v>
          </cell>
          <cell r="Z284">
            <v>91.83</v>
          </cell>
          <cell r="AA284">
            <v>16362976</v>
          </cell>
          <cell r="AB284">
            <v>210553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49</v>
          </cell>
          <cell r="AN284">
            <v>2827426</v>
          </cell>
          <cell r="AO284">
            <v>31941</v>
          </cell>
          <cell r="AP284">
            <v>30079</v>
          </cell>
          <cell r="AQ284">
            <v>138000</v>
          </cell>
          <cell r="AR284">
            <v>0</v>
          </cell>
          <cell r="AS284">
            <v>4.59</v>
          </cell>
          <cell r="AT284">
            <v>82800000</v>
          </cell>
          <cell r="AU284">
            <v>4.28</v>
          </cell>
          <cell r="AV284">
            <v>70076200</v>
          </cell>
          <cell r="AW284">
            <v>0.23</v>
          </cell>
          <cell r="AX284">
            <v>48013</v>
          </cell>
          <cell r="AY284">
            <v>91.83</v>
          </cell>
          <cell r="AZ284">
            <v>0</v>
          </cell>
          <cell r="BA284">
            <v>544</v>
          </cell>
          <cell r="BB284">
            <v>7</v>
          </cell>
          <cell r="BC284">
            <v>551</v>
          </cell>
          <cell r="BD284">
            <v>0</v>
          </cell>
          <cell r="BE284">
            <v>0</v>
          </cell>
          <cell r="BF284">
            <v>30</v>
          </cell>
          <cell r="BG284">
            <v>1</v>
          </cell>
          <cell r="BH284">
            <v>1</v>
          </cell>
          <cell r="BI284">
            <v>79</v>
          </cell>
          <cell r="BJ284">
            <v>16</v>
          </cell>
          <cell r="BK284">
            <v>28</v>
          </cell>
          <cell r="BL284">
            <v>16</v>
          </cell>
          <cell r="BM284">
            <v>14</v>
          </cell>
          <cell r="BN284">
            <v>5</v>
          </cell>
          <cell r="BO284">
            <v>0</v>
          </cell>
          <cell r="BP284">
            <v>-4</v>
          </cell>
          <cell r="BQ284">
            <v>0</v>
          </cell>
          <cell r="BR284">
            <v>2</v>
          </cell>
          <cell r="BS284">
            <v>-3</v>
          </cell>
          <cell r="BT284">
            <v>0</v>
          </cell>
          <cell r="BU284">
            <v>-3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27</v>
          </cell>
          <cell r="DN284">
            <v>0</v>
          </cell>
          <cell r="DO284">
            <v>0</v>
          </cell>
          <cell r="DP284">
            <v>0</v>
          </cell>
          <cell r="DQ284">
            <v>26</v>
          </cell>
          <cell r="DR284">
            <v>1</v>
          </cell>
          <cell r="DS284">
            <v>0</v>
          </cell>
          <cell r="DT284">
            <v>58</v>
          </cell>
          <cell r="DU284">
            <v>2</v>
          </cell>
          <cell r="DV284">
            <v>10</v>
          </cell>
          <cell r="DW284">
            <v>8</v>
          </cell>
          <cell r="DX284">
            <v>22</v>
          </cell>
          <cell r="DY284">
            <v>16</v>
          </cell>
          <cell r="DZ284">
            <v>0</v>
          </cell>
          <cell r="EA284">
            <v>231</v>
          </cell>
          <cell r="EB284">
            <v>23</v>
          </cell>
          <cell r="EC284">
            <v>40</v>
          </cell>
          <cell r="ED284">
            <v>47</v>
          </cell>
          <cell r="EE284">
            <v>70</v>
          </cell>
          <cell r="EF284">
            <v>51</v>
          </cell>
          <cell r="EG284">
            <v>0</v>
          </cell>
          <cell r="EH284">
            <v>160</v>
          </cell>
          <cell r="EI284">
            <v>52</v>
          </cell>
          <cell r="EJ284">
            <v>51</v>
          </cell>
          <cell r="EK284">
            <v>35</v>
          </cell>
          <cell r="EL284">
            <v>15</v>
          </cell>
          <cell r="EM284">
            <v>7</v>
          </cell>
          <cell r="EN284">
            <v>0</v>
          </cell>
          <cell r="EO284" t="str">
            <v xml:space="preserve">CRATER LAKE VEST                                            </v>
          </cell>
        </row>
        <row r="285">
          <cell r="A285" t="str">
            <v>CN4PM1415265</v>
          </cell>
          <cell r="B285" t="str">
            <v>CN4</v>
          </cell>
          <cell r="C285" t="str">
            <v>PM1415</v>
          </cell>
          <cell r="D285">
            <v>265</v>
          </cell>
          <cell r="E285" t="str">
            <v xml:space="preserve">   </v>
          </cell>
          <cell r="F285">
            <v>80811</v>
          </cell>
          <cell r="G285">
            <v>80919</v>
          </cell>
          <cell r="H285">
            <v>0</v>
          </cell>
          <cell r="I285">
            <v>402</v>
          </cell>
          <cell r="J285">
            <v>402</v>
          </cell>
          <cell r="K285">
            <v>400</v>
          </cell>
          <cell r="L285">
            <v>74</v>
          </cell>
          <cell r="M285">
            <v>74</v>
          </cell>
          <cell r="N285">
            <v>12840282</v>
          </cell>
          <cell r="O285">
            <v>12091758</v>
          </cell>
          <cell r="P285">
            <v>12031600</v>
          </cell>
          <cell r="Q285">
            <v>2225846</v>
          </cell>
          <cell r="R285">
            <v>9427600</v>
          </cell>
          <cell r="S285" t="str">
            <v xml:space="preserve"> </v>
          </cell>
          <cell r="T285" t="str">
            <v xml:space="preserve"> </v>
          </cell>
          <cell r="U285">
            <v>402</v>
          </cell>
          <cell r="V285">
            <v>12091758</v>
          </cell>
          <cell r="W285">
            <v>74</v>
          </cell>
          <cell r="X285">
            <v>2225846</v>
          </cell>
          <cell r="Y285">
            <v>18.41</v>
          </cell>
          <cell r="Z285">
            <v>18.41</v>
          </cell>
          <cell r="AA285">
            <v>2225846</v>
          </cell>
          <cell r="AB285">
            <v>0</v>
          </cell>
          <cell r="AC285">
            <v>2</v>
          </cell>
          <cell r="AD285">
            <v>120316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326</v>
          </cell>
          <cell r="AN285">
            <v>19972456</v>
          </cell>
          <cell r="AO285">
            <v>31941</v>
          </cell>
          <cell r="AP285">
            <v>30079</v>
          </cell>
          <cell r="AQ285">
            <v>138000</v>
          </cell>
          <cell r="AR285">
            <v>0</v>
          </cell>
          <cell r="AS285">
            <v>4.59</v>
          </cell>
          <cell r="AT285">
            <v>55476000</v>
          </cell>
          <cell r="AU285">
            <v>4.24</v>
          </cell>
          <cell r="AV285">
            <v>9427600</v>
          </cell>
          <cell r="AW285">
            <v>0</v>
          </cell>
          <cell r="AX285">
            <v>0</v>
          </cell>
          <cell r="AY285">
            <v>18.41</v>
          </cell>
          <cell r="AZ285">
            <v>0</v>
          </cell>
          <cell r="BA285">
            <v>74</v>
          </cell>
          <cell r="BB285">
            <v>0</v>
          </cell>
          <cell r="BC285">
            <v>74</v>
          </cell>
          <cell r="BD285">
            <v>0</v>
          </cell>
          <cell r="BE285">
            <v>0</v>
          </cell>
          <cell r="BF285">
            <v>16</v>
          </cell>
          <cell r="BG285">
            <v>0</v>
          </cell>
          <cell r="BH285">
            <v>1</v>
          </cell>
          <cell r="BI285">
            <v>16</v>
          </cell>
          <cell r="BJ285">
            <v>6</v>
          </cell>
          <cell r="BK285">
            <v>2</v>
          </cell>
          <cell r="BL285">
            <v>1</v>
          </cell>
          <cell r="BM285">
            <v>6</v>
          </cell>
          <cell r="BN285">
            <v>1</v>
          </cell>
          <cell r="BO285">
            <v>0</v>
          </cell>
          <cell r="BP285">
            <v>12</v>
          </cell>
          <cell r="BQ285">
            <v>1</v>
          </cell>
          <cell r="BR285">
            <v>3</v>
          </cell>
          <cell r="BS285">
            <v>5</v>
          </cell>
          <cell r="BT285">
            <v>2</v>
          </cell>
          <cell r="BU285">
            <v>1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7</v>
          </cell>
          <cell r="DN285">
            <v>0</v>
          </cell>
          <cell r="DO285">
            <v>0</v>
          </cell>
          <cell r="DP285">
            <v>1</v>
          </cell>
          <cell r="DQ285">
            <v>6</v>
          </cell>
          <cell r="DR285">
            <v>0</v>
          </cell>
          <cell r="DS285">
            <v>0</v>
          </cell>
          <cell r="DT285">
            <v>8</v>
          </cell>
          <cell r="DU285">
            <v>2</v>
          </cell>
          <cell r="DV285">
            <v>1</v>
          </cell>
          <cell r="DW285">
            <v>2</v>
          </cell>
          <cell r="DX285">
            <v>2</v>
          </cell>
          <cell r="DY285">
            <v>1</v>
          </cell>
          <cell r="DZ285">
            <v>0</v>
          </cell>
          <cell r="EA285">
            <v>22</v>
          </cell>
          <cell r="EB285">
            <v>1</v>
          </cell>
          <cell r="EC285">
            <v>4</v>
          </cell>
          <cell r="ED285">
            <v>6</v>
          </cell>
          <cell r="EE285">
            <v>7</v>
          </cell>
          <cell r="EF285">
            <v>4</v>
          </cell>
          <cell r="EG285">
            <v>0</v>
          </cell>
          <cell r="EH285">
            <v>9</v>
          </cell>
          <cell r="EI285">
            <v>2</v>
          </cell>
          <cell r="EJ285">
            <v>1</v>
          </cell>
          <cell r="EK285">
            <v>2</v>
          </cell>
          <cell r="EL285">
            <v>5</v>
          </cell>
          <cell r="EM285">
            <v>-1</v>
          </cell>
          <cell r="EN285">
            <v>0</v>
          </cell>
          <cell r="EO285" t="str">
            <v xml:space="preserve">CRATER LAKE VEST                                            </v>
          </cell>
        </row>
        <row r="286">
          <cell r="A286" t="str">
            <v>CN4PM2156139</v>
          </cell>
          <cell r="B286" t="str">
            <v>CN4</v>
          </cell>
          <cell r="C286" t="str">
            <v>PM2156</v>
          </cell>
          <cell r="D286">
            <v>139</v>
          </cell>
          <cell r="E286" t="str">
            <v xml:space="preserve">   </v>
          </cell>
          <cell r="F286">
            <v>81024</v>
          </cell>
          <cell r="G286">
            <v>81105</v>
          </cell>
          <cell r="H286">
            <v>0</v>
          </cell>
          <cell r="I286">
            <v>402</v>
          </cell>
          <cell r="J286">
            <v>407</v>
          </cell>
          <cell r="K286">
            <v>191</v>
          </cell>
          <cell r="L286">
            <v>161</v>
          </cell>
          <cell r="M286">
            <v>161</v>
          </cell>
          <cell r="N286">
            <v>18249192</v>
          </cell>
          <cell r="O286">
            <v>22349591</v>
          </cell>
          <cell r="P286">
            <v>10488383</v>
          </cell>
          <cell r="Q286">
            <v>8840993</v>
          </cell>
          <cell r="R286">
            <v>34297200</v>
          </cell>
          <cell r="S286" t="str">
            <v xml:space="preserve"> </v>
          </cell>
          <cell r="T286" t="str">
            <v xml:space="preserve"> </v>
          </cell>
          <cell r="U286">
            <v>407</v>
          </cell>
          <cell r="V286">
            <v>22349591</v>
          </cell>
          <cell r="W286">
            <v>161</v>
          </cell>
          <cell r="X286">
            <v>8840993</v>
          </cell>
          <cell r="Y286">
            <v>39.56</v>
          </cell>
          <cell r="Z286">
            <v>39.56</v>
          </cell>
          <cell r="AA286">
            <v>8840993</v>
          </cell>
          <cell r="AB286">
            <v>0</v>
          </cell>
          <cell r="AC286">
            <v>216</v>
          </cell>
          <cell r="AD286">
            <v>11861208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30</v>
          </cell>
          <cell r="AN286">
            <v>15705118</v>
          </cell>
          <cell r="AO286">
            <v>45396</v>
          </cell>
          <cell r="AP286">
            <v>54913</v>
          </cell>
          <cell r="AQ286">
            <v>258000</v>
          </cell>
          <cell r="AR286">
            <v>0</v>
          </cell>
          <cell r="AS286">
            <v>4.7</v>
          </cell>
          <cell r="AT286">
            <v>105006000</v>
          </cell>
          <cell r="AU286">
            <v>3.88</v>
          </cell>
          <cell r="AV286">
            <v>34297200</v>
          </cell>
          <cell r="AW286">
            <v>0</v>
          </cell>
          <cell r="AX286">
            <v>0</v>
          </cell>
          <cell r="AY286">
            <v>39.56</v>
          </cell>
          <cell r="AZ286">
            <v>0</v>
          </cell>
          <cell r="BA286">
            <v>161</v>
          </cell>
          <cell r="BB286">
            <v>0</v>
          </cell>
          <cell r="BC286">
            <v>161</v>
          </cell>
          <cell r="BD286">
            <v>0</v>
          </cell>
          <cell r="BE286">
            <v>0</v>
          </cell>
          <cell r="BF286">
            <v>18</v>
          </cell>
          <cell r="BG286">
            <v>1</v>
          </cell>
          <cell r="BH286">
            <v>1</v>
          </cell>
          <cell r="BI286">
            <v>61</v>
          </cell>
          <cell r="BJ286">
            <v>21</v>
          </cell>
          <cell r="BK286">
            <v>13</v>
          </cell>
          <cell r="BL286">
            <v>12</v>
          </cell>
          <cell r="BM286">
            <v>6</v>
          </cell>
          <cell r="BN286">
            <v>9</v>
          </cell>
          <cell r="BO286">
            <v>0</v>
          </cell>
          <cell r="BP286">
            <v>10</v>
          </cell>
          <cell r="BQ286">
            <v>6</v>
          </cell>
          <cell r="BR286">
            <v>4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17</v>
          </cell>
          <cell r="EB286">
            <v>0</v>
          </cell>
          <cell r="EC286">
            <v>3</v>
          </cell>
          <cell r="ED286">
            <v>6</v>
          </cell>
          <cell r="EE286">
            <v>6</v>
          </cell>
          <cell r="EF286">
            <v>2</v>
          </cell>
          <cell r="EG286">
            <v>0</v>
          </cell>
          <cell r="EH286">
            <v>73</v>
          </cell>
          <cell r="EI286">
            <v>12</v>
          </cell>
          <cell r="EJ286">
            <v>7</v>
          </cell>
          <cell r="EK286">
            <v>21</v>
          </cell>
          <cell r="EL286">
            <v>25</v>
          </cell>
          <cell r="EM286">
            <v>8</v>
          </cell>
          <cell r="EN286">
            <v>0</v>
          </cell>
          <cell r="EO286" t="str">
            <v xml:space="preserve">EXTREME POINT JACKET                                        </v>
          </cell>
        </row>
        <row r="287">
          <cell r="A287" t="str">
            <v>CN4PM2156974</v>
          </cell>
          <cell r="B287" t="str">
            <v>CN4</v>
          </cell>
          <cell r="C287" t="str">
            <v>PM2156</v>
          </cell>
          <cell r="D287">
            <v>974</v>
          </cell>
          <cell r="E287" t="str">
            <v xml:space="preserve">   </v>
          </cell>
          <cell r="F287">
            <v>81024</v>
          </cell>
          <cell r="G287">
            <v>81105</v>
          </cell>
          <cell r="H287">
            <v>0</v>
          </cell>
          <cell r="I287">
            <v>402</v>
          </cell>
          <cell r="J287">
            <v>408</v>
          </cell>
          <cell r="K287">
            <v>130</v>
          </cell>
          <cell r="L287">
            <v>95</v>
          </cell>
          <cell r="M287">
            <v>95</v>
          </cell>
          <cell r="N287">
            <v>18249192</v>
          </cell>
          <cell r="O287">
            <v>22404504</v>
          </cell>
          <cell r="P287">
            <v>7138690</v>
          </cell>
          <cell r="Q287">
            <v>5216735</v>
          </cell>
          <cell r="R287">
            <v>20666159</v>
          </cell>
          <cell r="S287" t="str">
            <v xml:space="preserve"> </v>
          </cell>
          <cell r="T287" t="str">
            <v xml:space="preserve"> </v>
          </cell>
          <cell r="U287">
            <v>408</v>
          </cell>
          <cell r="V287">
            <v>22404504</v>
          </cell>
          <cell r="W287">
            <v>95</v>
          </cell>
          <cell r="X287">
            <v>5216735</v>
          </cell>
          <cell r="Y287">
            <v>23.04</v>
          </cell>
          <cell r="Z287">
            <v>22.79</v>
          </cell>
          <cell r="AA287">
            <v>5161822</v>
          </cell>
          <cell r="AB287">
            <v>54913</v>
          </cell>
          <cell r="AC287">
            <v>278</v>
          </cell>
          <cell r="AD287">
            <v>15375640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-1</v>
          </cell>
          <cell r="AL287">
            <v>-109826</v>
          </cell>
          <cell r="AM287">
            <v>36</v>
          </cell>
          <cell r="AN287">
            <v>19439202</v>
          </cell>
          <cell r="AO287">
            <v>45396</v>
          </cell>
          <cell r="AP287">
            <v>54913</v>
          </cell>
          <cell r="AQ287">
            <v>258000</v>
          </cell>
          <cell r="AR287">
            <v>0</v>
          </cell>
          <cell r="AS287">
            <v>4.7</v>
          </cell>
          <cell r="AT287">
            <v>105264000</v>
          </cell>
          <cell r="AU287">
            <v>4</v>
          </cell>
          <cell r="AV287">
            <v>20659300</v>
          </cell>
          <cell r="AW287">
            <v>0.12</v>
          </cell>
          <cell r="AX287">
            <v>6859</v>
          </cell>
          <cell r="AY287">
            <v>23.04</v>
          </cell>
          <cell r="AZ287">
            <v>0</v>
          </cell>
          <cell r="BA287">
            <v>94</v>
          </cell>
          <cell r="BB287">
            <v>1</v>
          </cell>
          <cell r="BC287">
            <v>95</v>
          </cell>
          <cell r="BD287">
            <v>0</v>
          </cell>
          <cell r="BE287">
            <v>0</v>
          </cell>
          <cell r="BF287">
            <v>12</v>
          </cell>
          <cell r="BG287">
            <v>0</v>
          </cell>
          <cell r="BH287">
            <v>1</v>
          </cell>
          <cell r="BI287">
            <v>39</v>
          </cell>
          <cell r="BJ287">
            <v>10</v>
          </cell>
          <cell r="BK287">
            <v>9</v>
          </cell>
          <cell r="BL287">
            <v>7</v>
          </cell>
          <cell r="BM287">
            <v>6</v>
          </cell>
          <cell r="BN287">
            <v>7</v>
          </cell>
          <cell r="BO287">
            <v>0</v>
          </cell>
          <cell r="BP287">
            <v>6</v>
          </cell>
          <cell r="BQ287">
            <v>0</v>
          </cell>
          <cell r="BR287">
            <v>2</v>
          </cell>
          <cell r="BS287">
            <v>2</v>
          </cell>
          <cell r="BT287">
            <v>1</v>
          </cell>
          <cell r="BU287">
            <v>1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15</v>
          </cell>
          <cell r="EB287">
            <v>0</v>
          </cell>
          <cell r="EC287">
            <v>3</v>
          </cell>
          <cell r="ED287">
            <v>5</v>
          </cell>
          <cell r="EE287">
            <v>1</v>
          </cell>
          <cell r="EF287">
            <v>6</v>
          </cell>
          <cell r="EG287">
            <v>0</v>
          </cell>
          <cell r="EH287">
            <v>35</v>
          </cell>
          <cell r="EI287">
            <v>2</v>
          </cell>
          <cell r="EJ287">
            <v>9</v>
          </cell>
          <cell r="EK287">
            <v>10</v>
          </cell>
          <cell r="EL287">
            <v>13</v>
          </cell>
          <cell r="EM287">
            <v>1</v>
          </cell>
          <cell r="EN287">
            <v>0</v>
          </cell>
          <cell r="EO287" t="str">
            <v xml:space="preserve">EXTREME POINT JACKET                                        </v>
          </cell>
        </row>
        <row r="288">
          <cell r="A288" t="str">
            <v>CN4PM5169010</v>
          </cell>
          <cell r="B288" t="str">
            <v>CN4</v>
          </cell>
          <cell r="C288" t="str">
            <v>PM5169</v>
          </cell>
          <cell r="D288">
            <v>10</v>
          </cell>
          <cell r="E288" t="str">
            <v xml:space="preserve">   </v>
          </cell>
          <cell r="F288">
            <v>80926</v>
          </cell>
          <cell r="G288">
            <v>80930</v>
          </cell>
          <cell r="H288">
            <v>0</v>
          </cell>
          <cell r="I288">
            <v>1500</v>
          </cell>
          <cell r="J288">
            <v>1491</v>
          </cell>
          <cell r="K288">
            <v>1491</v>
          </cell>
          <cell r="L288">
            <v>1485</v>
          </cell>
          <cell r="M288">
            <v>1485</v>
          </cell>
          <cell r="N288">
            <v>54229500</v>
          </cell>
          <cell r="O288">
            <v>62364057</v>
          </cell>
          <cell r="P288">
            <v>62364057</v>
          </cell>
          <cell r="Q288">
            <v>62113095</v>
          </cell>
          <cell r="R288">
            <v>215081533</v>
          </cell>
          <cell r="S288" t="str">
            <v xml:space="preserve"> </v>
          </cell>
          <cell r="T288" t="str">
            <v xml:space="preserve"> </v>
          </cell>
          <cell r="U288">
            <v>1491</v>
          </cell>
          <cell r="V288">
            <v>62364057</v>
          </cell>
          <cell r="W288">
            <v>1485</v>
          </cell>
          <cell r="X288">
            <v>62113095</v>
          </cell>
          <cell r="Y288">
            <v>99.8</v>
          </cell>
          <cell r="Z288">
            <v>100</v>
          </cell>
          <cell r="AA288">
            <v>61402036</v>
          </cell>
          <cell r="AB288">
            <v>711059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3</v>
          </cell>
          <cell r="AL288">
            <v>250962</v>
          </cell>
          <cell r="AM288">
            <v>3</v>
          </cell>
          <cell r="AN288">
            <v>250962</v>
          </cell>
          <cell r="AO288">
            <v>36153</v>
          </cell>
          <cell r="AP288">
            <v>41827</v>
          </cell>
          <cell r="AQ288">
            <v>158000</v>
          </cell>
          <cell r="AR288">
            <v>0</v>
          </cell>
          <cell r="AS288">
            <v>3.78</v>
          </cell>
          <cell r="AT288">
            <v>235578000</v>
          </cell>
          <cell r="AU288">
            <v>3.5</v>
          </cell>
          <cell r="AV288">
            <v>214964930</v>
          </cell>
          <cell r="AW288">
            <v>0.16</v>
          </cell>
          <cell r="AX288">
            <v>116603</v>
          </cell>
          <cell r="AY288">
            <v>99.8</v>
          </cell>
          <cell r="AZ288">
            <v>0</v>
          </cell>
          <cell r="BA288">
            <v>1468</v>
          </cell>
          <cell r="BB288">
            <v>17</v>
          </cell>
          <cell r="BC288">
            <v>1479</v>
          </cell>
          <cell r="BD288">
            <v>6</v>
          </cell>
          <cell r="BE288">
            <v>0</v>
          </cell>
          <cell r="BF288">
            <v>4</v>
          </cell>
          <cell r="BG288">
            <v>1</v>
          </cell>
          <cell r="BH288">
            <v>1</v>
          </cell>
          <cell r="BI288">
            <v>0</v>
          </cell>
          <cell r="BJ288">
            <v>0</v>
          </cell>
          <cell r="BK288">
            <v>-1</v>
          </cell>
          <cell r="BL288">
            <v>1</v>
          </cell>
          <cell r="BM288">
            <v>1</v>
          </cell>
          <cell r="BN288">
            <v>-1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1</v>
          </cell>
          <cell r="BT288">
            <v>-1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13</v>
          </cell>
          <cell r="DN288">
            <v>5</v>
          </cell>
          <cell r="DO288">
            <v>1</v>
          </cell>
          <cell r="DP288">
            <v>1</v>
          </cell>
          <cell r="DQ288">
            <v>2</v>
          </cell>
          <cell r="DR288">
            <v>4</v>
          </cell>
          <cell r="DS288">
            <v>0</v>
          </cell>
          <cell r="DT288">
            <v>729</v>
          </cell>
          <cell r="DU288">
            <v>149</v>
          </cell>
          <cell r="DV288">
            <v>132</v>
          </cell>
          <cell r="DW288">
            <v>99</v>
          </cell>
          <cell r="DX288">
            <v>216</v>
          </cell>
          <cell r="DY288">
            <v>133</v>
          </cell>
          <cell r="DZ288">
            <v>0</v>
          </cell>
          <cell r="EA288">
            <v>718</v>
          </cell>
          <cell r="EB288">
            <v>101</v>
          </cell>
          <cell r="EC288">
            <v>217</v>
          </cell>
          <cell r="ED288">
            <v>253</v>
          </cell>
          <cell r="EE288">
            <v>117</v>
          </cell>
          <cell r="EF288">
            <v>30</v>
          </cell>
          <cell r="EG288">
            <v>0</v>
          </cell>
          <cell r="EH288">
            <v>25</v>
          </cell>
          <cell r="EI288">
            <v>-5</v>
          </cell>
          <cell r="EJ288">
            <v>25</v>
          </cell>
          <cell r="EK288">
            <v>6</v>
          </cell>
          <cell r="EL288">
            <v>-1</v>
          </cell>
          <cell r="EM288">
            <v>0</v>
          </cell>
          <cell r="EN288">
            <v>0</v>
          </cell>
          <cell r="EO288" t="str">
            <v xml:space="preserve">VERGLAS JACKET                                              </v>
          </cell>
        </row>
        <row r="289">
          <cell r="A289" t="str">
            <v>CN4PM5169030</v>
          </cell>
          <cell r="B289" t="str">
            <v>CN4</v>
          </cell>
          <cell r="C289" t="str">
            <v>PM5169</v>
          </cell>
          <cell r="D289">
            <v>30</v>
          </cell>
          <cell r="E289" t="str">
            <v xml:space="preserve">   </v>
          </cell>
          <cell r="F289">
            <v>80926</v>
          </cell>
          <cell r="G289">
            <v>81001</v>
          </cell>
          <cell r="H289">
            <v>0</v>
          </cell>
          <cell r="I289">
            <v>804</v>
          </cell>
          <cell r="J289">
            <v>801</v>
          </cell>
          <cell r="K289">
            <v>799</v>
          </cell>
          <cell r="L289">
            <v>791</v>
          </cell>
          <cell r="M289">
            <v>791</v>
          </cell>
          <cell r="N289">
            <v>29067012</v>
          </cell>
          <cell r="O289">
            <v>33503427</v>
          </cell>
          <cell r="P289">
            <v>33419773</v>
          </cell>
          <cell r="Q289">
            <v>33085157</v>
          </cell>
          <cell r="R289">
            <v>115858379</v>
          </cell>
          <cell r="S289" t="str">
            <v xml:space="preserve"> </v>
          </cell>
          <cell r="T289" t="str">
            <v xml:space="preserve"> </v>
          </cell>
          <cell r="U289">
            <v>801</v>
          </cell>
          <cell r="V289">
            <v>33503427</v>
          </cell>
          <cell r="W289">
            <v>791</v>
          </cell>
          <cell r="X289">
            <v>33085157</v>
          </cell>
          <cell r="Y289">
            <v>98.75</v>
          </cell>
          <cell r="Z289">
            <v>98.75</v>
          </cell>
          <cell r="AA289">
            <v>32792368</v>
          </cell>
          <cell r="AB289">
            <v>292789</v>
          </cell>
          <cell r="AC289">
            <v>2</v>
          </cell>
          <cell r="AD289">
            <v>418270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8</v>
          </cell>
          <cell r="AN289">
            <v>543751</v>
          </cell>
          <cell r="AO289">
            <v>36153</v>
          </cell>
          <cell r="AP289">
            <v>41827</v>
          </cell>
          <cell r="AQ289">
            <v>158000</v>
          </cell>
          <cell r="AR289">
            <v>0</v>
          </cell>
          <cell r="AS289">
            <v>3.78</v>
          </cell>
          <cell r="AT289">
            <v>126558000</v>
          </cell>
          <cell r="AU289">
            <v>3.53</v>
          </cell>
          <cell r="AV289">
            <v>115810366</v>
          </cell>
          <cell r="AW289">
            <v>0.16</v>
          </cell>
          <cell r="AX289">
            <v>48013</v>
          </cell>
          <cell r="AY289">
            <v>98.75</v>
          </cell>
          <cell r="AZ289">
            <v>0</v>
          </cell>
          <cell r="BA289">
            <v>784</v>
          </cell>
          <cell r="BB289">
            <v>7</v>
          </cell>
          <cell r="BC289">
            <v>750</v>
          </cell>
          <cell r="BD289">
            <v>41</v>
          </cell>
          <cell r="BE289">
            <v>0</v>
          </cell>
          <cell r="BF289">
            <v>43</v>
          </cell>
          <cell r="BG289">
            <v>0</v>
          </cell>
          <cell r="BH289">
            <v>1</v>
          </cell>
          <cell r="BI289">
            <v>6</v>
          </cell>
          <cell r="BJ289">
            <v>1</v>
          </cell>
          <cell r="BK289">
            <v>-1</v>
          </cell>
          <cell r="BL289">
            <v>3</v>
          </cell>
          <cell r="BM289">
            <v>1</v>
          </cell>
          <cell r="BN289">
            <v>2</v>
          </cell>
          <cell r="BO289">
            <v>0</v>
          </cell>
          <cell r="BP289">
            <v>3</v>
          </cell>
          <cell r="BQ289">
            <v>0</v>
          </cell>
          <cell r="BR289">
            <v>0</v>
          </cell>
          <cell r="BS289">
            <v>3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272</v>
          </cell>
          <cell r="DU289">
            <v>66</v>
          </cell>
          <cell r="DV289">
            <v>43</v>
          </cell>
          <cell r="DW289">
            <v>62</v>
          </cell>
          <cell r="DX289">
            <v>54</v>
          </cell>
          <cell r="DY289">
            <v>47</v>
          </cell>
          <cell r="DZ289">
            <v>0</v>
          </cell>
          <cell r="EA289">
            <v>373</v>
          </cell>
          <cell r="EB289">
            <v>45</v>
          </cell>
          <cell r="EC289">
            <v>114</v>
          </cell>
          <cell r="ED289">
            <v>46</v>
          </cell>
          <cell r="EE289">
            <v>101</v>
          </cell>
          <cell r="EF289">
            <v>67</v>
          </cell>
          <cell r="EG289">
            <v>0</v>
          </cell>
          <cell r="EH289">
            <v>137</v>
          </cell>
          <cell r="EI289">
            <v>54</v>
          </cell>
          <cell r="EJ289">
            <v>33</v>
          </cell>
          <cell r="EK289">
            <v>13</v>
          </cell>
          <cell r="EL289">
            <v>1</v>
          </cell>
          <cell r="EM289">
            <v>36</v>
          </cell>
          <cell r="EN289">
            <v>0</v>
          </cell>
          <cell r="EO289" t="str">
            <v xml:space="preserve">VERGLAS JACKET                                              </v>
          </cell>
        </row>
        <row r="290">
          <cell r="A290" t="str">
            <v>CN4PM5169249</v>
          </cell>
          <cell r="B290" t="str">
            <v>CN4</v>
          </cell>
          <cell r="C290" t="str">
            <v>PM5169</v>
          </cell>
          <cell r="D290">
            <v>249</v>
          </cell>
          <cell r="E290" t="str">
            <v xml:space="preserve">   </v>
          </cell>
          <cell r="F290">
            <v>80926</v>
          </cell>
          <cell r="G290">
            <v>81001</v>
          </cell>
          <cell r="H290">
            <v>0</v>
          </cell>
          <cell r="I290">
            <v>504</v>
          </cell>
          <cell r="J290">
            <v>494</v>
          </cell>
          <cell r="K290">
            <v>493</v>
          </cell>
          <cell r="L290">
            <v>493</v>
          </cell>
          <cell r="M290">
            <v>493</v>
          </cell>
          <cell r="N290">
            <v>18221112</v>
          </cell>
          <cell r="O290">
            <v>20662538</v>
          </cell>
          <cell r="P290">
            <v>20620711</v>
          </cell>
          <cell r="Q290">
            <v>20620711</v>
          </cell>
          <cell r="R290">
            <v>72391077</v>
          </cell>
          <cell r="S290" t="str">
            <v xml:space="preserve"> </v>
          </cell>
          <cell r="T290" t="str">
            <v xml:space="preserve"> </v>
          </cell>
          <cell r="U290">
            <v>494</v>
          </cell>
          <cell r="V290">
            <v>20662538</v>
          </cell>
          <cell r="W290">
            <v>493</v>
          </cell>
          <cell r="X290">
            <v>20620711</v>
          </cell>
          <cell r="Y290">
            <v>98.58</v>
          </cell>
          <cell r="Z290">
            <v>97.37</v>
          </cell>
          <cell r="AA290">
            <v>20495230</v>
          </cell>
          <cell r="AB290">
            <v>125481</v>
          </cell>
          <cell r="AC290">
            <v>1</v>
          </cell>
          <cell r="AD290">
            <v>376443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-6</v>
          </cell>
          <cell r="AL290">
            <v>-501924</v>
          </cell>
          <cell r="AM290">
            <v>6</v>
          </cell>
          <cell r="AN290">
            <v>376443</v>
          </cell>
          <cell r="AO290">
            <v>36153</v>
          </cell>
          <cell r="AP290">
            <v>41827</v>
          </cell>
          <cell r="AQ290">
            <v>158000</v>
          </cell>
          <cell r="AR290">
            <v>0</v>
          </cell>
          <cell r="AS290">
            <v>3.78</v>
          </cell>
          <cell r="AT290">
            <v>78052000</v>
          </cell>
          <cell r="AU290">
            <v>3.53</v>
          </cell>
          <cell r="AV290">
            <v>72370500</v>
          </cell>
          <cell r="AW290">
            <v>0.16</v>
          </cell>
          <cell r="AX290">
            <v>20577</v>
          </cell>
          <cell r="AY290">
            <v>98.58</v>
          </cell>
          <cell r="AZ290">
            <v>0</v>
          </cell>
          <cell r="BA290">
            <v>490</v>
          </cell>
          <cell r="BB290">
            <v>3</v>
          </cell>
          <cell r="BC290">
            <v>467</v>
          </cell>
          <cell r="BD290">
            <v>26</v>
          </cell>
          <cell r="BE290">
            <v>0</v>
          </cell>
          <cell r="BF290">
            <v>24</v>
          </cell>
          <cell r="BG290">
            <v>0</v>
          </cell>
          <cell r="BH290">
            <v>1</v>
          </cell>
          <cell r="BI290">
            <v>0</v>
          </cell>
          <cell r="BJ290">
            <v>2</v>
          </cell>
          <cell r="BK290">
            <v>-5</v>
          </cell>
          <cell r="BL290">
            <v>2</v>
          </cell>
          <cell r="BM290">
            <v>1</v>
          </cell>
          <cell r="BN290">
            <v>0</v>
          </cell>
          <cell r="BO290">
            <v>0</v>
          </cell>
          <cell r="BP290">
            <v>4</v>
          </cell>
          <cell r="BQ290">
            <v>0</v>
          </cell>
          <cell r="BR290">
            <v>-1</v>
          </cell>
          <cell r="BS290">
            <v>6</v>
          </cell>
          <cell r="BT290">
            <v>-1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224</v>
          </cell>
          <cell r="DU290">
            <v>46</v>
          </cell>
          <cell r="DV290">
            <v>63</v>
          </cell>
          <cell r="DW290">
            <v>43</v>
          </cell>
          <cell r="DX290">
            <v>35</v>
          </cell>
          <cell r="DY290">
            <v>37</v>
          </cell>
          <cell r="DZ290">
            <v>0</v>
          </cell>
          <cell r="EA290">
            <v>200</v>
          </cell>
          <cell r="EB290">
            <v>27</v>
          </cell>
          <cell r="EC290">
            <v>99</v>
          </cell>
          <cell r="ED290">
            <v>27</v>
          </cell>
          <cell r="EE290">
            <v>37</v>
          </cell>
          <cell r="EF290">
            <v>10</v>
          </cell>
          <cell r="EG290">
            <v>0</v>
          </cell>
          <cell r="EH290">
            <v>65</v>
          </cell>
          <cell r="EI290">
            <v>25</v>
          </cell>
          <cell r="EJ290">
            <v>15</v>
          </cell>
          <cell r="EK290">
            <v>2</v>
          </cell>
          <cell r="EL290">
            <v>0</v>
          </cell>
          <cell r="EM290">
            <v>23</v>
          </cell>
          <cell r="EN290">
            <v>0</v>
          </cell>
          <cell r="EO290" t="str">
            <v xml:space="preserve">VERGLAS JACKET                                              </v>
          </cell>
        </row>
        <row r="291">
          <cell r="A291" t="str">
            <v>CN4PM5195010</v>
          </cell>
          <cell r="B291" t="str">
            <v>CN4</v>
          </cell>
          <cell r="C291" t="str">
            <v>PM5195</v>
          </cell>
          <cell r="D291">
            <v>10</v>
          </cell>
          <cell r="E291" t="str">
            <v xml:space="preserve">   </v>
          </cell>
          <cell r="F291">
            <v>80917</v>
          </cell>
          <cell r="G291">
            <v>80919</v>
          </cell>
          <cell r="H291">
            <v>0</v>
          </cell>
          <cell r="I291">
            <v>504</v>
          </cell>
          <cell r="J291">
            <v>504</v>
          </cell>
          <cell r="K291">
            <v>504</v>
          </cell>
          <cell r="L291">
            <v>493</v>
          </cell>
          <cell r="M291">
            <v>493</v>
          </cell>
          <cell r="N291">
            <v>24471720</v>
          </cell>
          <cell r="O291">
            <v>28545048</v>
          </cell>
          <cell r="P291">
            <v>28545048</v>
          </cell>
          <cell r="Q291">
            <v>27922041</v>
          </cell>
          <cell r="R291">
            <v>124312668</v>
          </cell>
          <cell r="S291" t="str">
            <v xml:space="preserve"> </v>
          </cell>
          <cell r="T291" t="str">
            <v xml:space="preserve"> </v>
          </cell>
          <cell r="U291">
            <v>504</v>
          </cell>
          <cell r="V291">
            <v>28545048</v>
          </cell>
          <cell r="W291">
            <v>493</v>
          </cell>
          <cell r="X291">
            <v>27922041</v>
          </cell>
          <cell r="Y291">
            <v>97.82</v>
          </cell>
          <cell r="Z291">
            <v>97.82</v>
          </cell>
          <cell r="AA291">
            <v>27752130</v>
          </cell>
          <cell r="AB291">
            <v>169911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11</v>
          </cell>
          <cell r="AN291">
            <v>1019466</v>
          </cell>
          <cell r="AO291">
            <v>48555</v>
          </cell>
          <cell r="AP291">
            <v>56637</v>
          </cell>
          <cell r="AQ291">
            <v>278000</v>
          </cell>
          <cell r="AR291">
            <v>0</v>
          </cell>
          <cell r="AS291">
            <v>4.91</v>
          </cell>
          <cell r="AT291">
            <v>140112000</v>
          </cell>
          <cell r="AU291">
            <v>4.4800000000000004</v>
          </cell>
          <cell r="AV291">
            <v>124292091</v>
          </cell>
          <cell r="AW291">
            <v>0.12</v>
          </cell>
          <cell r="AX291">
            <v>20577</v>
          </cell>
          <cell r="AY291">
            <v>97.82</v>
          </cell>
          <cell r="AZ291">
            <v>0</v>
          </cell>
          <cell r="BA291">
            <v>490</v>
          </cell>
          <cell r="BB291">
            <v>3</v>
          </cell>
          <cell r="BC291">
            <v>493</v>
          </cell>
          <cell r="BD291">
            <v>0</v>
          </cell>
          <cell r="BE291">
            <v>0</v>
          </cell>
          <cell r="BF291">
            <v>6</v>
          </cell>
          <cell r="BG291">
            <v>1</v>
          </cell>
          <cell r="BH291">
            <v>1</v>
          </cell>
          <cell r="BI291">
            <v>22</v>
          </cell>
          <cell r="BJ291">
            <v>5</v>
          </cell>
          <cell r="BK291">
            <v>9</v>
          </cell>
          <cell r="BL291">
            <v>5</v>
          </cell>
          <cell r="BM291">
            <v>3</v>
          </cell>
          <cell r="BN291">
            <v>0</v>
          </cell>
          <cell r="BO291">
            <v>0</v>
          </cell>
          <cell r="BP291">
            <v>-4</v>
          </cell>
          <cell r="BQ291">
            <v>0</v>
          </cell>
          <cell r="BR291">
            <v>-1</v>
          </cell>
          <cell r="BS291">
            <v>0</v>
          </cell>
          <cell r="BT291">
            <v>-3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48</v>
          </cell>
          <cell r="DN291">
            <v>0</v>
          </cell>
          <cell r="DO291">
            <v>0</v>
          </cell>
          <cell r="DP291">
            <v>2</v>
          </cell>
          <cell r="DQ291">
            <v>41</v>
          </cell>
          <cell r="DR291">
            <v>5</v>
          </cell>
          <cell r="DS291">
            <v>0</v>
          </cell>
          <cell r="DT291">
            <v>86</v>
          </cell>
          <cell r="DU291">
            <v>32</v>
          </cell>
          <cell r="DV291">
            <v>13</v>
          </cell>
          <cell r="DW291">
            <v>10</v>
          </cell>
          <cell r="DX291">
            <v>16</v>
          </cell>
          <cell r="DY291">
            <v>15</v>
          </cell>
          <cell r="DZ291">
            <v>0</v>
          </cell>
          <cell r="EA291">
            <v>188</v>
          </cell>
          <cell r="EB291">
            <v>4</v>
          </cell>
          <cell r="EC291">
            <v>35</v>
          </cell>
          <cell r="ED291">
            <v>39</v>
          </cell>
          <cell r="EE291">
            <v>68</v>
          </cell>
          <cell r="EF291">
            <v>42</v>
          </cell>
          <cell r="EG291">
            <v>0</v>
          </cell>
          <cell r="EH291">
            <v>153</v>
          </cell>
          <cell r="EI291">
            <v>66</v>
          </cell>
          <cell r="EJ291">
            <v>31</v>
          </cell>
          <cell r="EK291">
            <v>36</v>
          </cell>
          <cell r="EL291">
            <v>7</v>
          </cell>
          <cell r="EM291">
            <v>13</v>
          </cell>
          <cell r="EN291">
            <v>0</v>
          </cell>
          <cell r="EO291" t="str">
            <v xml:space="preserve">TRAPPER CREEK JACKET                                        </v>
          </cell>
        </row>
        <row r="292">
          <cell r="A292" t="str">
            <v>CN4PM5195266</v>
          </cell>
          <cell r="B292" t="str">
            <v>CN4</v>
          </cell>
          <cell r="C292" t="str">
            <v>PM5195</v>
          </cell>
          <cell r="D292">
            <v>266</v>
          </cell>
          <cell r="E292" t="str">
            <v xml:space="preserve">   </v>
          </cell>
          <cell r="F292">
            <v>80917</v>
          </cell>
          <cell r="G292">
            <v>80919</v>
          </cell>
          <cell r="H292">
            <v>0</v>
          </cell>
          <cell r="I292">
            <v>402</v>
          </cell>
          <cell r="J292">
            <v>402</v>
          </cell>
          <cell r="K292">
            <v>401</v>
          </cell>
          <cell r="L292">
            <v>260</v>
          </cell>
          <cell r="M292">
            <v>260</v>
          </cell>
          <cell r="N292">
            <v>19519110</v>
          </cell>
          <cell r="O292">
            <v>22768074</v>
          </cell>
          <cell r="P292">
            <v>22711437</v>
          </cell>
          <cell r="Q292">
            <v>14725620</v>
          </cell>
          <cell r="R292">
            <v>67679900</v>
          </cell>
          <cell r="S292" t="str">
            <v xml:space="preserve"> </v>
          </cell>
          <cell r="T292" t="str">
            <v xml:space="preserve"> </v>
          </cell>
          <cell r="U292">
            <v>402</v>
          </cell>
          <cell r="V292">
            <v>22768074</v>
          </cell>
          <cell r="W292">
            <v>260</v>
          </cell>
          <cell r="X292">
            <v>14725620</v>
          </cell>
          <cell r="Y292">
            <v>64.680000000000007</v>
          </cell>
          <cell r="Z292">
            <v>64.680000000000007</v>
          </cell>
          <cell r="AA292">
            <v>14725620</v>
          </cell>
          <cell r="AB292">
            <v>0</v>
          </cell>
          <cell r="AC292">
            <v>1</v>
          </cell>
          <cell r="AD292">
            <v>56637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141</v>
          </cell>
          <cell r="AN292">
            <v>15745086</v>
          </cell>
          <cell r="AO292">
            <v>48555</v>
          </cell>
          <cell r="AP292">
            <v>56637</v>
          </cell>
          <cell r="AQ292">
            <v>278000</v>
          </cell>
          <cell r="AR292">
            <v>0</v>
          </cell>
          <cell r="AS292">
            <v>4.91</v>
          </cell>
          <cell r="AT292">
            <v>111756000</v>
          </cell>
          <cell r="AU292">
            <v>4.5999999999999996</v>
          </cell>
          <cell r="AV292">
            <v>67679900</v>
          </cell>
          <cell r="AW292">
            <v>0</v>
          </cell>
          <cell r="AX292">
            <v>0</v>
          </cell>
          <cell r="AY292">
            <v>64.680000000000007</v>
          </cell>
          <cell r="AZ292">
            <v>0</v>
          </cell>
          <cell r="BA292">
            <v>260</v>
          </cell>
          <cell r="BB292">
            <v>0</v>
          </cell>
          <cell r="BC292">
            <v>260</v>
          </cell>
          <cell r="BD292">
            <v>0</v>
          </cell>
          <cell r="BE292">
            <v>0</v>
          </cell>
          <cell r="BF292">
            <v>21</v>
          </cell>
          <cell r="BG292">
            <v>0</v>
          </cell>
          <cell r="BH292">
            <v>1</v>
          </cell>
          <cell r="BI292">
            <v>60</v>
          </cell>
          <cell r="BJ292">
            <v>14</v>
          </cell>
          <cell r="BK292">
            <v>13</v>
          </cell>
          <cell r="BL292">
            <v>20</v>
          </cell>
          <cell r="BM292">
            <v>4</v>
          </cell>
          <cell r="BN292">
            <v>9</v>
          </cell>
          <cell r="BO292">
            <v>0</v>
          </cell>
          <cell r="BP292">
            <v>-5</v>
          </cell>
          <cell r="BQ292">
            <v>0</v>
          </cell>
          <cell r="BR292">
            <v>-1</v>
          </cell>
          <cell r="BS292">
            <v>-5</v>
          </cell>
          <cell r="BT292">
            <v>4</v>
          </cell>
          <cell r="BU292">
            <v>-3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15</v>
          </cell>
          <cell r="DN292">
            <v>0</v>
          </cell>
          <cell r="DO292">
            <v>0</v>
          </cell>
          <cell r="DP292">
            <v>2</v>
          </cell>
          <cell r="DQ292">
            <v>13</v>
          </cell>
          <cell r="DR292">
            <v>0</v>
          </cell>
          <cell r="DS292">
            <v>0</v>
          </cell>
          <cell r="DT292">
            <v>16</v>
          </cell>
          <cell r="DU292">
            <v>3</v>
          </cell>
          <cell r="DV292">
            <v>5</v>
          </cell>
          <cell r="DW292">
            <v>2</v>
          </cell>
          <cell r="DX292">
            <v>4</v>
          </cell>
          <cell r="DY292">
            <v>2</v>
          </cell>
          <cell r="DZ292">
            <v>0</v>
          </cell>
          <cell r="EA292">
            <v>68</v>
          </cell>
          <cell r="EB292">
            <v>6</v>
          </cell>
          <cell r="EC292">
            <v>8</v>
          </cell>
          <cell r="ED292">
            <v>9</v>
          </cell>
          <cell r="EE292">
            <v>19</v>
          </cell>
          <cell r="EF292">
            <v>26</v>
          </cell>
          <cell r="EG292">
            <v>0</v>
          </cell>
          <cell r="EH292">
            <v>106</v>
          </cell>
          <cell r="EI292">
            <v>32</v>
          </cell>
          <cell r="EJ292">
            <v>32</v>
          </cell>
          <cell r="EK292">
            <v>12</v>
          </cell>
          <cell r="EL292">
            <v>25</v>
          </cell>
          <cell r="EM292">
            <v>5</v>
          </cell>
          <cell r="EN292">
            <v>0</v>
          </cell>
          <cell r="EO292" t="str">
            <v xml:space="preserve">TRAPPER CREEK JACKET                                        </v>
          </cell>
        </row>
        <row r="293">
          <cell r="A293" t="str">
            <v>CN4PM5198010</v>
          </cell>
          <cell r="B293" t="str">
            <v>CN4</v>
          </cell>
          <cell r="C293" t="str">
            <v>PM5198</v>
          </cell>
          <cell r="D293">
            <v>10</v>
          </cell>
          <cell r="E293" t="str">
            <v xml:space="preserve">   </v>
          </cell>
          <cell r="F293">
            <v>80811</v>
          </cell>
          <cell r="G293">
            <v>80829</v>
          </cell>
          <cell r="H293">
            <v>0</v>
          </cell>
          <cell r="I293">
            <v>702</v>
          </cell>
          <cell r="J293">
            <v>702</v>
          </cell>
          <cell r="K293">
            <v>702</v>
          </cell>
          <cell r="L293">
            <v>674</v>
          </cell>
          <cell r="M293">
            <v>674</v>
          </cell>
          <cell r="N293">
            <v>32032260</v>
          </cell>
          <cell r="O293">
            <v>31820256</v>
          </cell>
          <cell r="P293">
            <v>31820256</v>
          </cell>
          <cell r="Q293">
            <v>30551072</v>
          </cell>
          <cell r="R293">
            <v>148706500</v>
          </cell>
          <cell r="S293" t="str">
            <v xml:space="preserve"> </v>
          </cell>
          <cell r="T293" t="str">
            <v xml:space="preserve"> </v>
          </cell>
          <cell r="U293">
            <v>702</v>
          </cell>
          <cell r="V293">
            <v>31820256</v>
          </cell>
          <cell r="W293">
            <v>674</v>
          </cell>
          <cell r="X293">
            <v>30551072</v>
          </cell>
          <cell r="Y293">
            <v>96.01</v>
          </cell>
          <cell r="Z293">
            <v>96.01</v>
          </cell>
          <cell r="AA293">
            <v>29871152</v>
          </cell>
          <cell r="AB293">
            <v>679920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28</v>
          </cell>
          <cell r="AN293">
            <v>2311728</v>
          </cell>
          <cell r="AO293">
            <v>45630</v>
          </cell>
          <cell r="AP293">
            <v>45328</v>
          </cell>
          <cell r="AQ293">
            <v>258000</v>
          </cell>
          <cell r="AR293">
            <v>0</v>
          </cell>
          <cell r="AS293">
            <v>5.69</v>
          </cell>
          <cell r="AT293">
            <v>181116000</v>
          </cell>
          <cell r="AU293">
            <v>4.97</v>
          </cell>
          <cell r="AV293">
            <v>148603615</v>
          </cell>
          <cell r="AW293">
            <v>0.15</v>
          </cell>
          <cell r="AX293">
            <v>102885</v>
          </cell>
          <cell r="AY293">
            <v>96.01</v>
          </cell>
          <cell r="AZ293">
            <v>0</v>
          </cell>
          <cell r="BA293">
            <v>659</v>
          </cell>
          <cell r="BB293">
            <v>15</v>
          </cell>
          <cell r="BC293">
            <v>674</v>
          </cell>
          <cell r="BD293">
            <v>0</v>
          </cell>
          <cell r="BE293">
            <v>0</v>
          </cell>
          <cell r="BF293">
            <v>11</v>
          </cell>
          <cell r="BG293">
            <v>1</v>
          </cell>
          <cell r="BH293">
            <v>1</v>
          </cell>
          <cell r="BI293">
            <v>9</v>
          </cell>
          <cell r="BJ293">
            <v>2</v>
          </cell>
          <cell r="BK293">
            <v>2</v>
          </cell>
          <cell r="BL293">
            <v>6</v>
          </cell>
          <cell r="BM293">
            <v>-1</v>
          </cell>
          <cell r="BN293">
            <v>0</v>
          </cell>
          <cell r="BO293">
            <v>0</v>
          </cell>
          <cell r="BP293">
            <v>-5</v>
          </cell>
          <cell r="BQ293">
            <v>0</v>
          </cell>
          <cell r="BR293">
            <v>-1</v>
          </cell>
          <cell r="BS293">
            <v>-2</v>
          </cell>
          <cell r="BT293">
            <v>-1</v>
          </cell>
          <cell r="BU293">
            <v>-1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1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1</v>
          </cell>
          <cell r="DL293">
            <v>0</v>
          </cell>
          <cell r="DM293">
            <v>117</v>
          </cell>
          <cell r="DN293">
            <v>11</v>
          </cell>
          <cell r="DO293">
            <v>6</v>
          </cell>
          <cell r="DP293">
            <v>16</v>
          </cell>
          <cell r="DQ293">
            <v>76</v>
          </cell>
          <cell r="DR293">
            <v>8</v>
          </cell>
          <cell r="DS293">
            <v>0</v>
          </cell>
          <cell r="DT293">
            <v>153</v>
          </cell>
          <cell r="DU293">
            <v>9</v>
          </cell>
          <cell r="DV293">
            <v>7</v>
          </cell>
          <cell r="DW293">
            <v>9</v>
          </cell>
          <cell r="DX293">
            <v>15</v>
          </cell>
          <cell r="DY293">
            <v>113</v>
          </cell>
          <cell r="DZ293">
            <v>0</v>
          </cell>
          <cell r="EA293">
            <v>236</v>
          </cell>
          <cell r="EB293">
            <v>17</v>
          </cell>
          <cell r="EC293">
            <v>23</v>
          </cell>
          <cell r="ED293">
            <v>38</v>
          </cell>
          <cell r="EE293">
            <v>73</v>
          </cell>
          <cell r="EF293">
            <v>85</v>
          </cell>
          <cell r="EG293">
            <v>0</v>
          </cell>
          <cell r="EH293">
            <v>163</v>
          </cell>
          <cell r="EI293">
            <v>56</v>
          </cell>
          <cell r="EJ293">
            <v>61</v>
          </cell>
          <cell r="EK293">
            <v>14</v>
          </cell>
          <cell r="EL293">
            <v>23</v>
          </cell>
          <cell r="EM293">
            <v>9</v>
          </cell>
          <cell r="EN293">
            <v>0</v>
          </cell>
          <cell r="EO293" t="str">
            <v xml:space="preserve">CRATER LAKE JACKET                                          </v>
          </cell>
        </row>
        <row r="294">
          <cell r="A294" t="str">
            <v>CN4PM5199010</v>
          </cell>
          <cell r="B294" t="str">
            <v>CN4</v>
          </cell>
          <cell r="C294" t="str">
            <v>PM5199</v>
          </cell>
          <cell r="D294">
            <v>10</v>
          </cell>
          <cell r="E294" t="str">
            <v xml:space="preserve">   </v>
          </cell>
          <cell r="F294">
            <v>80922</v>
          </cell>
          <cell r="G294">
            <v>80923</v>
          </cell>
          <cell r="H294">
            <v>0</v>
          </cell>
          <cell r="I294">
            <v>606</v>
          </cell>
          <cell r="J294">
            <v>604</v>
          </cell>
          <cell r="K294">
            <v>604</v>
          </cell>
          <cell r="L294">
            <v>450</v>
          </cell>
          <cell r="M294">
            <v>450</v>
          </cell>
          <cell r="N294">
            <v>30416958</v>
          </cell>
          <cell r="O294">
            <v>33757560</v>
          </cell>
          <cell r="P294">
            <v>33757560</v>
          </cell>
          <cell r="Q294">
            <v>25150500</v>
          </cell>
          <cell r="R294">
            <v>107707661</v>
          </cell>
          <cell r="S294" t="str">
            <v xml:space="preserve"> </v>
          </cell>
          <cell r="T294" t="str">
            <v xml:space="preserve"> </v>
          </cell>
          <cell r="U294">
            <v>604</v>
          </cell>
          <cell r="V294">
            <v>33757560</v>
          </cell>
          <cell r="W294">
            <v>450</v>
          </cell>
          <cell r="X294">
            <v>25150500</v>
          </cell>
          <cell r="Y294">
            <v>74.5</v>
          </cell>
          <cell r="Z294">
            <v>74.5</v>
          </cell>
          <cell r="AA294">
            <v>25150500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154</v>
          </cell>
          <cell r="AN294">
            <v>18387810</v>
          </cell>
          <cell r="AO294">
            <v>50193</v>
          </cell>
          <cell r="AP294">
            <v>55890</v>
          </cell>
          <cell r="AQ294">
            <v>258000</v>
          </cell>
          <cell r="AR294">
            <v>0</v>
          </cell>
          <cell r="AS294">
            <v>4.62</v>
          </cell>
          <cell r="AT294">
            <v>155832000</v>
          </cell>
          <cell r="AU294">
            <v>4.28</v>
          </cell>
          <cell r="AV294">
            <v>107707661</v>
          </cell>
          <cell r="AW294">
            <v>0</v>
          </cell>
          <cell r="AX294">
            <v>0</v>
          </cell>
          <cell r="AY294">
            <v>74.5</v>
          </cell>
          <cell r="AZ294">
            <v>0</v>
          </cell>
          <cell r="BA294">
            <v>450</v>
          </cell>
          <cell r="BB294">
            <v>0</v>
          </cell>
          <cell r="BC294">
            <v>450</v>
          </cell>
          <cell r="BD294">
            <v>0</v>
          </cell>
          <cell r="BE294">
            <v>0</v>
          </cell>
          <cell r="BF294">
            <v>37</v>
          </cell>
          <cell r="BG294">
            <v>1</v>
          </cell>
          <cell r="BH294">
            <v>1</v>
          </cell>
          <cell r="BI294">
            <v>115</v>
          </cell>
          <cell r="BJ294">
            <v>22</v>
          </cell>
          <cell r="BK294">
            <v>45</v>
          </cell>
          <cell r="BL294">
            <v>12</v>
          </cell>
          <cell r="BM294">
            <v>25</v>
          </cell>
          <cell r="BN294">
            <v>11</v>
          </cell>
          <cell r="BO294">
            <v>0</v>
          </cell>
          <cell r="BP294">
            <v>21</v>
          </cell>
          <cell r="BQ294">
            <v>3</v>
          </cell>
          <cell r="BR294">
            <v>4</v>
          </cell>
          <cell r="BS294">
            <v>5</v>
          </cell>
          <cell r="BT294">
            <v>6</v>
          </cell>
          <cell r="BU294">
            <v>3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30</v>
          </cell>
          <cell r="DN294">
            <v>0</v>
          </cell>
          <cell r="DO294">
            <v>0</v>
          </cell>
          <cell r="DP294">
            <v>0</v>
          </cell>
          <cell r="DQ294">
            <v>30</v>
          </cell>
          <cell r="DR294">
            <v>0</v>
          </cell>
          <cell r="DS294">
            <v>0</v>
          </cell>
          <cell r="DT294">
            <v>51</v>
          </cell>
          <cell r="DU294">
            <v>10</v>
          </cell>
          <cell r="DV294">
            <v>8</v>
          </cell>
          <cell r="DW294">
            <v>12</v>
          </cell>
          <cell r="DX294">
            <v>10</v>
          </cell>
          <cell r="DY294">
            <v>11</v>
          </cell>
          <cell r="DZ294">
            <v>0</v>
          </cell>
          <cell r="EA294">
            <v>92</v>
          </cell>
          <cell r="EB294">
            <v>8</v>
          </cell>
          <cell r="EC294">
            <v>13</v>
          </cell>
          <cell r="ED294">
            <v>12</v>
          </cell>
          <cell r="EE294">
            <v>33</v>
          </cell>
          <cell r="EF294">
            <v>26</v>
          </cell>
          <cell r="EG294">
            <v>0</v>
          </cell>
          <cell r="EH294">
            <v>141</v>
          </cell>
          <cell r="EI294">
            <v>36</v>
          </cell>
          <cell r="EJ294">
            <v>28</v>
          </cell>
          <cell r="EK294">
            <v>26</v>
          </cell>
          <cell r="EL294">
            <v>39</v>
          </cell>
          <cell r="EM294">
            <v>12</v>
          </cell>
          <cell r="EN294">
            <v>0</v>
          </cell>
          <cell r="EO294" t="str">
            <v xml:space="preserve">CRATER LAKE JACKET WITH PATTERN                             </v>
          </cell>
        </row>
        <row r="295">
          <cell r="A295" t="str">
            <v>CN4PM5199265</v>
          </cell>
          <cell r="B295" t="str">
            <v>CN4</v>
          </cell>
          <cell r="C295" t="str">
            <v>PM5199</v>
          </cell>
          <cell r="D295">
            <v>265</v>
          </cell>
          <cell r="E295" t="str">
            <v xml:space="preserve">   </v>
          </cell>
          <cell r="F295">
            <v>80922</v>
          </cell>
          <cell r="G295">
            <v>80923</v>
          </cell>
          <cell r="H295">
            <v>0</v>
          </cell>
          <cell r="I295">
            <v>504</v>
          </cell>
          <cell r="J295">
            <v>503</v>
          </cell>
          <cell r="K295">
            <v>503</v>
          </cell>
          <cell r="L295">
            <v>120</v>
          </cell>
          <cell r="M295">
            <v>120</v>
          </cell>
          <cell r="N295">
            <v>25297272</v>
          </cell>
          <cell r="O295">
            <v>28112670</v>
          </cell>
          <cell r="P295">
            <v>28112670</v>
          </cell>
          <cell r="Q295">
            <v>6706800</v>
          </cell>
          <cell r="R295">
            <v>28556939</v>
          </cell>
          <cell r="S295" t="str">
            <v xml:space="preserve"> </v>
          </cell>
          <cell r="T295" t="str">
            <v xml:space="preserve"> </v>
          </cell>
          <cell r="U295">
            <v>503</v>
          </cell>
          <cell r="V295">
            <v>28112670</v>
          </cell>
          <cell r="W295">
            <v>120</v>
          </cell>
          <cell r="X295">
            <v>6706800</v>
          </cell>
          <cell r="Y295">
            <v>23.86</v>
          </cell>
          <cell r="Z295">
            <v>23.86</v>
          </cell>
          <cell r="AA295">
            <v>6706800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383</v>
          </cell>
          <cell r="AN295">
            <v>43147080</v>
          </cell>
          <cell r="AO295">
            <v>50193</v>
          </cell>
          <cell r="AP295">
            <v>55890</v>
          </cell>
          <cell r="AQ295">
            <v>258000</v>
          </cell>
          <cell r="AR295">
            <v>0</v>
          </cell>
          <cell r="AS295">
            <v>4.62</v>
          </cell>
          <cell r="AT295">
            <v>129774000</v>
          </cell>
          <cell r="AU295">
            <v>4.26</v>
          </cell>
          <cell r="AV295">
            <v>28556939</v>
          </cell>
          <cell r="AW295">
            <v>0</v>
          </cell>
          <cell r="AX295">
            <v>0</v>
          </cell>
          <cell r="AY295">
            <v>23.86</v>
          </cell>
          <cell r="AZ295">
            <v>0</v>
          </cell>
          <cell r="BA295">
            <v>120</v>
          </cell>
          <cell r="BB295">
            <v>0</v>
          </cell>
          <cell r="BC295">
            <v>120</v>
          </cell>
          <cell r="BD295">
            <v>0</v>
          </cell>
          <cell r="BE295">
            <v>0</v>
          </cell>
          <cell r="BF295">
            <v>20</v>
          </cell>
          <cell r="BG295">
            <v>0</v>
          </cell>
          <cell r="BH295">
            <v>1</v>
          </cell>
          <cell r="BI295">
            <v>30</v>
          </cell>
          <cell r="BJ295">
            <v>2</v>
          </cell>
          <cell r="BK295">
            <v>5</v>
          </cell>
          <cell r="BL295">
            <v>11</v>
          </cell>
          <cell r="BM295">
            <v>5</v>
          </cell>
          <cell r="BN295">
            <v>7</v>
          </cell>
          <cell r="BO295">
            <v>0</v>
          </cell>
          <cell r="BP295">
            <v>6</v>
          </cell>
          <cell r="BQ295">
            <v>-1</v>
          </cell>
          <cell r="BR295">
            <v>4</v>
          </cell>
          <cell r="BS295">
            <v>1</v>
          </cell>
          <cell r="BT295">
            <v>3</v>
          </cell>
          <cell r="BU295">
            <v>-1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13</v>
          </cell>
          <cell r="DN295">
            <v>0</v>
          </cell>
          <cell r="DO295">
            <v>0</v>
          </cell>
          <cell r="DP295">
            <v>0</v>
          </cell>
          <cell r="DQ295">
            <v>12</v>
          </cell>
          <cell r="DR295">
            <v>1</v>
          </cell>
          <cell r="DS295">
            <v>0</v>
          </cell>
          <cell r="DT295">
            <v>11</v>
          </cell>
          <cell r="DU295">
            <v>4</v>
          </cell>
          <cell r="DV295">
            <v>0</v>
          </cell>
          <cell r="DW295">
            <v>1</v>
          </cell>
          <cell r="DX295">
            <v>2</v>
          </cell>
          <cell r="DY295">
            <v>4</v>
          </cell>
          <cell r="DZ295">
            <v>0</v>
          </cell>
          <cell r="EA295">
            <v>28</v>
          </cell>
          <cell r="EB295">
            <v>3</v>
          </cell>
          <cell r="EC295">
            <v>8</v>
          </cell>
          <cell r="ED295">
            <v>5</v>
          </cell>
          <cell r="EE295">
            <v>7</v>
          </cell>
          <cell r="EF295">
            <v>5</v>
          </cell>
          <cell r="EG295">
            <v>0</v>
          </cell>
          <cell r="EH295">
            <v>32</v>
          </cell>
          <cell r="EI295">
            <v>4</v>
          </cell>
          <cell r="EJ295">
            <v>9</v>
          </cell>
          <cell r="EK295">
            <v>6</v>
          </cell>
          <cell r="EL295">
            <v>12</v>
          </cell>
          <cell r="EM295">
            <v>1</v>
          </cell>
          <cell r="EN295">
            <v>0</v>
          </cell>
          <cell r="EO295" t="str">
            <v xml:space="preserve">CRATER LAKE JACKET WITH PATTERN                             </v>
          </cell>
        </row>
        <row r="296">
          <cell r="A296" t="str">
            <v>CN4PM7124048</v>
          </cell>
          <cell r="B296" t="str">
            <v>CN4</v>
          </cell>
          <cell r="C296" t="str">
            <v>PM7124</v>
          </cell>
          <cell r="D296">
            <v>48</v>
          </cell>
          <cell r="E296" t="str">
            <v xml:space="preserve">   </v>
          </cell>
          <cell r="F296">
            <v>80922</v>
          </cell>
          <cell r="G296">
            <v>81017</v>
          </cell>
          <cell r="H296">
            <v>0</v>
          </cell>
          <cell r="I296">
            <v>702</v>
          </cell>
          <cell r="J296">
            <v>684</v>
          </cell>
          <cell r="K296">
            <v>662</v>
          </cell>
          <cell r="L296">
            <v>69</v>
          </cell>
          <cell r="M296">
            <v>69</v>
          </cell>
          <cell r="N296">
            <v>41559804</v>
          </cell>
          <cell r="O296">
            <v>45196668</v>
          </cell>
          <cell r="P296">
            <v>43742974</v>
          </cell>
          <cell r="Q296">
            <v>4559313</v>
          </cell>
          <cell r="R296">
            <v>23083000</v>
          </cell>
          <cell r="S296" t="str">
            <v xml:space="preserve"> </v>
          </cell>
          <cell r="T296" t="str">
            <v xml:space="preserve"> </v>
          </cell>
          <cell r="U296">
            <v>684</v>
          </cell>
          <cell r="V296">
            <v>45196668</v>
          </cell>
          <cell r="W296">
            <v>69</v>
          </cell>
          <cell r="X296">
            <v>4559313</v>
          </cell>
          <cell r="Y296">
            <v>9.65</v>
          </cell>
          <cell r="Z296">
            <v>9.2100000000000009</v>
          </cell>
          <cell r="AA296">
            <v>4559313</v>
          </cell>
          <cell r="AB296">
            <v>0</v>
          </cell>
          <cell r="AC296">
            <v>22</v>
          </cell>
          <cell r="AD296">
            <v>2577003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-3</v>
          </cell>
          <cell r="AL296">
            <v>-396462</v>
          </cell>
          <cell r="AM296">
            <v>596</v>
          </cell>
          <cell r="AN296">
            <v>79358477</v>
          </cell>
          <cell r="AO296">
            <v>59202</v>
          </cell>
          <cell r="AP296">
            <v>66077</v>
          </cell>
          <cell r="AQ296">
            <v>398000</v>
          </cell>
          <cell r="AR296">
            <v>0</v>
          </cell>
          <cell r="AS296">
            <v>6.02</v>
          </cell>
          <cell r="AT296">
            <v>272232000</v>
          </cell>
          <cell r="AU296">
            <v>5.0599999999999996</v>
          </cell>
          <cell r="AV296">
            <v>23083000</v>
          </cell>
          <cell r="AW296">
            <v>0</v>
          </cell>
          <cell r="AX296">
            <v>0</v>
          </cell>
          <cell r="AY296">
            <v>9.65</v>
          </cell>
          <cell r="AZ296">
            <v>0</v>
          </cell>
          <cell r="BA296">
            <v>69</v>
          </cell>
          <cell r="BB296">
            <v>0</v>
          </cell>
          <cell r="BC296">
            <v>69</v>
          </cell>
          <cell r="BD296">
            <v>0</v>
          </cell>
          <cell r="BE296">
            <v>0</v>
          </cell>
          <cell r="BF296">
            <v>16</v>
          </cell>
          <cell r="BG296">
            <v>1</v>
          </cell>
          <cell r="BH296">
            <v>1</v>
          </cell>
          <cell r="BI296">
            <v>34</v>
          </cell>
          <cell r="BJ296">
            <v>11</v>
          </cell>
          <cell r="BK296">
            <v>5</v>
          </cell>
          <cell r="BL296">
            <v>9</v>
          </cell>
          <cell r="BM296">
            <v>5</v>
          </cell>
          <cell r="BN296">
            <v>4</v>
          </cell>
          <cell r="BO296">
            <v>0</v>
          </cell>
          <cell r="BP296">
            <v>4</v>
          </cell>
          <cell r="BQ296">
            <v>1</v>
          </cell>
          <cell r="BR296">
            <v>4</v>
          </cell>
          <cell r="BS296">
            <v>2</v>
          </cell>
          <cell r="BT296">
            <v>-3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6</v>
          </cell>
          <cell r="DU296">
            <v>0</v>
          </cell>
          <cell r="DV296">
            <v>0</v>
          </cell>
          <cell r="DW296">
            <v>1</v>
          </cell>
          <cell r="DX296">
            <v>1</v>
          </cell>
          <cell r="DY296">
            <v>4</v>
          </cell>
          <cell r="DZ296">
            <v>0</v>
          </cell>
          <cell r="EA296">
            <v>15</v>
          </cell>
          <cell r="EB296">
            <v>0</v>
          </cell>
          <cell r="EC296">
            <v>5</v>
          </cell>
          <cell r="ED296">
            <v>2</v>
          </cell>
          <cell r="EE296">
            <v>4</v>
          </cell>
          <cell r="EF296">
            <v>4</v>
          </cell>
          <cell r="EG296">
            <v>0</v>
          </cell>
          <cell r="EH296">
            <v>10</v>
          </cell>
          <cell r="EI296">
            <v>2</v>
          </cell>
          <cell r="EJ296">
            <v>4</v>
          </cell>
          <cell r="EK296">
            <v>2</v>
          </cell>
          <cell r="EL296">
            <v>-1</v>
          </cell>
          <cell r="EM296">
            <v>3</v>
          </cell>
          <cell r="EN296">
            <v>0</v>
          </cell>
          <cell r="EO296" t="str">
            <v xml:space="preserve">SIX MILE PARKA                                              </v>
          </cell>
        </row>
        <row r="297">
          <cell r="A297" t="str">
            <v>CN4PM7124221</v>
          </cell>
          <cell r="B297" t="str">
            <v>CN4</v>
          </cell>
          <cell r="C297" t="str">
            <v>PM7124</v>
          </cell>
          <cell r="D297">
            <v>221</v>
          </cell>
          <cell r="E297" t="str">
            <v xml:space="preserve">   </v>
          </cell>
          <cell r="F297">
            <v>80922</v>
          </cell>
          <cell r="G297">
            <v>81017</v>
          </cell>
          <cell r="H297">
            <v>0</v>
          </cell>
          <cell r="I297">
            <v>504</v>
          </cell>
          <cell r="J297">
            <v>483</v>
          </cell>
          <cell r="K297">
            <v>475</v>
          </cell>
          <cell r="L297">
            <v>32</v>
          </cell>
          <cell r="M297">
            <v>32</v>
          </cell>
          <cell r="N297">
            <v>29837808</v>
          </cell>
          <cell r="O297">
            <v>31915191</v>
          </cell>
          <cell r="P297">
            <v>31386575</v>
          </cell>
          <cell r="Q297">
            <v>2114464</v>
          </cell>
          <cell r="R297">
            <v>10434059</v>
          </cell>
          <cell r="S297" t="str">
            <v xml:space="preserve"> </v>
          </cell>
          <cell r="T297" t="str">
            <v xml:space="preserve"> </v>
          </cell>
          <cell r="U297">
            <v>483</v>
          </cell>
          <cell r="V297">
            <v>31915191</v>
          </cell>
          <cell r="W297">
            <v>32</v>
          </cell>
          <cell r="X297">
            <v>2114464</v>
          </cell>
          <cell r="Y297">
            <v>6.83</v>
          </cell>
          <cell r="Z297">
            <v>7.04</v>
          </cell>
          <cell r="AA297">
            <v>2048387</v>
          </cell>
          <cell r="AB297">
            <v>66077</v>
          </cell>
          <cell r="AC297">
            <v>8</v>
          </cell>
          <cell r="AD297">
            <v>1057232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>
            <v>132154</v>
          </cell>
          <cell r="AM297">
            <v>442</v>
          </cell>
          <cell r="AN297">
            <v>59271069</v>
          </cell>
          <cell r="AO297">
            <v>59202</v>
          </cell>
          <cell r="AP297">
            <v>66077</v>
          </cell>
          <cell r="AQ297">
            <v>398000</v>
          </cell>
          <cell r="AR297">
            <v>0</v>
          </cell>
          <cell r="AS297">
            <v>6.02</v>
          </cell>
          <cell r="AT297">
            <v>192234000</v>
          </cell>
          <cell r="AU297">
            <v>5.09</v>
          </cell>
          <cell r="AV297">
            <v>10427200</v>
          </cell>
          <cell r="AW297">
            <v>0.1</v>
          </cell>
          <cell r="AX297">
            <v>6859</v>
          </cell>
          <cell r="AY297">
            <v>6.83</v>
          </cell>
          <cell r="AZ297">
            <v>0</v>
          </cell>
          <cell r="BA297">
            <v>31</v>
          </cell>
          <cell r="BB297">
            <v>1</v>
          </cell>
          <cell r="BC297">
            <v>32</v>
          </cell>
          <cell r="BD297">
            <v>0</v>
          </cell>
          <cell r="BE297">
            <v>0</v>
          </cell>
          <cell r="BF297">
            <v>19</v>
          </cell>
          <cell r="BG297">
            <v>0</v>
          </cell>
          <cell r="BH297">
            <v>1</v>
          </cell>
          <cell r="BI297">
            <v>8</v>
          </cell>
          <cell r="BJ297">
            <v>1</v>
          </cell>
          <cell r="BK297">
            <v>2</v>
          </cell>
          <cell r="BL297">
            <v>4</v>
          </cell>
          <cell r="BM297">
            <v>2</v>
          </cell>
          <cell r="BN297">
            <v>-1</v>
          </cell>
          <cell r="BO297">
            <v>0</v>
          </cell>
          <cell r="BP297">
            <v>13</v>
          </cell>
          <cell r="BQ297">
            <v>2</v>
          </cell>
          <cell r="BR297">
            <v>1</v>
          </cell>
          <cell r="BS297">
            <v>3</v>
          </cell>
          <cell r="BT297">
            <v>7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3</v>
          </cell>
          <cell r="DU297">
            <v>0</v>
          </cell>
          <cell r="DV297">
            <v>0</v>
          </cell>
          <cell r="DW297">
            <v>1</v>
          </cell>
          <cell r="DX297">
            <v>1</v>
          </cell>
          <cell r="DY297">
            <v>1</v>
          </cell>
          <cell r="DZ297">
            <v>0</v>
          </cell>
          <cell r="EA297">
            <v>5</v>
          </cell>
          <cell r="EB297">
            <v>0</v>
          </cell>
          <cell r="EC297">
            <v>1</v>
          </cell>
          <cell r="ED297">
            <v>2</v>
          </cell>
          <cell r="EE297">
            <v>0</v>
          </cell>
          <cell r="EF297">
            <v>2</v>
          </cell>
          <cell r="EG297">
            <v>0</v>
          </cell>
          <cell r="EH297">
            <v>3</v>
          </cell>
          <cell r="EI297">
            <v>2</v>
          </cell>
          <cell r="EJ297">
            <v>1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 t="str">
            <v xml:space="preserve">SIX MILE PARKA                                              </v>
          </cell>
        </row>
        <row r="298">
          <cell r="A298" t="str">
            <v>CN4PM7124703</v>
          </cell>
          <cell r="B298" t="str">
            <v>CN4</v>
          </cell>
          <cell r="C298" t="str">
            <v>PM7124</v>
          </cell>
          <cell r="D298">
            <v>703</v>
          </cell>
          <cell r="E298" t="str">
            <v xml:space="preserve">   </v>
          </cell>
          <cell r="F298">
            <v>80922</v>
          </cell>
          <cell r="G298">
            <v>81017</v>
          </cell>
          <cell r="H298">
            <v>0</v>
          </cell>
          <cell r="I298">
            <v>300</v>
          </cell>
          <cell r="J298">
            <v>273</v>
          </cell>
          <cell r="K298">
            <v>273</v>
          </cell>
          <cell r="L298">
            <v>122</v>
          </cell>
          <cell r="M298">
            <v>122</v>
          </cell>
          <cell r="N298">
            <v>17760600</v>
          </cell>
          <cell r="O298">
            <v>18039021</v>
          </cell>
          <cell r="P298">
            <v>18039021</v>
          </cell>
          <cell r="Q298">
            <v>8061394</v>
          </cell>
          <cell r="R298">
            <v>38644600</v>
          </cell>
          <cell r="S298" t="str">
            <v xml:space="preserve"> </v>
          </cell>
          <cell r="T298" t="str">
            <v xml:space="preserve"> </v>
          </cell>
          <cell r="U298">
            <v>273</v>
          </cell>
          <cell r="V298">
            <v>18039021</v>
          </cell>
          <cell r="W298">
            <v>122</v>
          </cell>
          <cell r="X298">
            <v>8061394</v>
          </cell>
          <cell r="Y298">
            <v>44.69</v>
          </cell>
          <cell r="Z298">
            <v>44.69</v>
          </cell>
          <cell r="AA298">
            <v>8061394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151</v>
          </cell>
          <cell r="AN298">
            <v>19823100</v>
          </cell>
          <cell r="AO298">
            <v>59202</v>
          </cell>
          <cell r="AP298">
            <v>66077</v>
          </cell>
          <cell r="AQ298">
            <v>398000</v>
          </cell>
          <cell r="AR298">
            <v>0</v>
          </cell>
          <cell r="AS298">
            <v>6.02</v>
          </cell>
          <cell r="AT298">
            <v>108654000</v>
          </cell>
          <cell r="AU298">
            <v>4.79</v>
          </cell>
          <cell r="AV298">
            <v>38644600</v>
          </cell>
          <cell r="AW298">
            <v>0</v>
          </cell>
          <cell r="AX298">
            <v>0</v>
          </cell>
          <cell r="AY298">
            <v>44.69</v>
          </cell>
          <cell r="AZ298">
            <v>0</v>
          </cell>
          <cell r="BA298">
            <v>122</v>
          </cell>
          <cell r="BB298">
            <v>0</v>
          </cell>
          <cell r="BC298">
            <v>122</v>
          </cell>
          <cell r="BD298">
            <v>0</v>
          </cell>
          <cell r="BE298">
            <v>0</v>
          </cell>
          <cell r="BF298">
            <v>6</v>
          </cell>
          <cell r="BG298">
            <v>0</v>
          </cell>
          <cell r="BH298">
            <v>1</v>
          </cell>
          <cell r="BI298">
            <v>18</v>
          </cell>
          <cell r="BJ298">
            <v>4</v>
          </cell>
          <cell r="BK298">
            <v>7</v>
          </cell>
          <cell r="BL298">
            <v>5</v>
          </cell>
          <cell r="BM298">
            <v>1</v>
          </cell>
          <cell r="BN298">
            <v>1</v>
          </cell>
          <cell r="BO298">
            <v>0</v>
          </cell>
          <cell r="BP298">
            <v>-2</v>
          </cell>
          <cell r="BQ298">
            <v>-1</v>
          </cell>
          <cell r="BR298">
            <v>-1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5</v>
          </cell>
          <cell r="DU298">
            <v>0</v>
          </cell>
          <cell r="DV298">
            <v>0</v>
          </cell>
          <cell r="DW298">
            <v>0</v>
          </cell>
          <cell r="DX298">
            <v>3</v>
          </cell>
          <cell r="DY298">
            <v>2</v>
          </cell>
          <cell r="DZ298">
            <v>0</v>
          </cell>
          <cell r="EA298">
            <v>18</v>
          </cell>
          <cell r="EB298">
            <v>2</v>
          </cell>
          <cell r="EC298">
            <v>17</v>
          </cell>
          <cell r="ED298">
            <v>-2</v>
          </cell>
          <cell r="EE298">
            <v>0</v>
          </cell>
          <cell r="EF298">
            <v>1</v>
          </cell>
          <cell r="EG298">
            <v>0</v>
          </cell>
          <cell r="EH298">
            <v>83</v>
          </cell>
          <cell r="EI298">
            <v>-3</v>
          </cell>
          <cell r="EJ298">
            <v>66</v>
          </cell>
          <cell r="EK298">
            <v>1</v>
          </cell>
          <cell r="EL298">
            <v>18</v>
          </cell>
          <cell r="EM298">
            <v>1</v>
          </cell>
          <cell r="EN298">
            <v>0</v>
          </cell>
          <cell r="EO298" t="str">
            <v xml:space="preserve">SIX MILE PARKA                                              </v>
          </cell>
        </row>
        <row r="299">
          <cell r="A299" t="str">
            <v>CN4PM8497010</v>
          </cell>
          <cell r="B299" t="str">
            <v>CN4</v>
          </cell>
          <cell r="C299" t="str">
            <v>PM8497</v>
          </cell>
          <cell r="D299">
            <v>10</v>
          </cell>
          <cell r="E299" t="str">
            <v xml:space="preserve">   </v>
          </cell>
          <cell r="F299">
            <v>80922</v>
          </cell>
          <cell r="G299">
            <v>81105</v>
          </cell>
          <cell r="H299">
            <v>0</v>
          </cell>
          <cell r="I299">
            <v>402</v>
          </cell>
          <cell r="J299">
            <v>410</v>
          </cell>
          <cell r="K299">
            <v>409</v>
          </cell>
          <cell r="L299">
            <v>259</v>
          </cell>
          <cell r="M299">
            <v>259</v>
          </cell>
          <cell r="N299">
            <v>16085628</v>
          </cell>
          <cell r="O299">
            <v>17572190</v>
          </cell>
          <cell r="P299">
            <v>17529331</v>
          </cell>
          <cell r="Q299">
            <v>11100481</v>
          </cell>
          <cell r="R299">
            <v>42486953</v>
          </cell>
          <cell r="S299" t="str">
            <v xml:space="preserve"> </v>
          </cell>
          <cell r="T299" t="str">
            <v xml:space="preserve"> </v>
          </cell>
          <cell r="U299">
            <v>410</v>
          </cell>
          <cell r="V299">
            <v>17572190</v>
          </cell>
          <cell r="W299">
            <v>259</v>
          </cell>
          <cell r="X299">
            <v>11100481</v>
          </cell>
          <cell r="Y299">
            <v>63.17</v>
          </cell>
          <cell r="Z299">
            <v>63.17</v>
          </cell>
          <cell r="AA299">
            <v>11100481</v>
          </cell>
          <cell r="AB299">
            <v>0</v>
          </cell>
          <cell r="AC299">
            <v>1</v>
          </cell>
          <cell r="AD299">
            <v>42859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150</v>
          </cell>
          <cell r="AN299">
            <v>12729123</v>
          </cell>
          <cell r="AO299">
            <v>40014</v>
          </cell>
          <cell r="AP299">
            <v>42859</v>
          </cell>
          <cell r="AQ299">
            <v>198000</v>
          </cell>
          <cell r="AR299">
            <v>0</v>
          </cell>
          <cell r="AS299">
            <v>4.62</v>
          </cell>
          <cell r="AT299">
            <v>81180000</v>
          </cell>
          <cell r="AU299">
            <v>3.83</v>
          </cell>
          <cell r="AV299">
            <v>42486953</v>
          </cell>
          <cell r="AW299">
            <v>0</v>
          </cell>
          <cell r="AX299">
            <v>0</v>
          </cell>
          <cell r="AY299">
            <v>63.17</v>
          </cell>
          <cell r="AZ299">
            <v>0</v>
          </cell>
          <cell r="BA299">
            <v>259</v>
          </cell>
          <cell r="BB299">
            <v>0</v>
          </cell>
          <cell r="BC299">
            <v>259</v>
          </cell>
          <cell r="BD299">
            <v>0</v>
          </cell>
          <cell r="BE299">
            <v>0</v>
          </cell>
          <cell r="BF299">
            <v>18</v>
          </cell>
          <cell r="BG299">
            <v>1</v>
          </cell>
          <cell r="BH299">
            <v>1</v>
          </cell>
          <cell r="BI299">
            <v>114</v>
          </cell>
          <cell r="BJ299">
            <v>37</v>
          </cell>
          <cell r="BK299">
            <v>32</v>
          </cell>
          <cell r="BL299">
            <v>20</v>
          </cell>
          <cell r="BM299">
            <v>13</v>
          </cell>
          <cell r="BN299">
            <v>12</v>
          </cell>
          <cell r="BO299">
            <v>0</v>
          </cell>
          <cell r="BP299">
            <v>-4</v>
          </cell>
          <cell r="BQ299">
            <v>3</v>
          </cell>
          <cell r="BR299">
            <v>-1</v>
          </cell>
          <cell r="BS299">
            <v>-4</v>
          </cell>
          <cell r="BT299">
            <v>-1</v>
          </cell>
          <cell r="BU299">
            <v>-1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32</v>
          </cell>
          <cell r="EB299">
            <v>0</v>
          </cell>
          <cell r="EC299">
            <v>3</v>
          </cell>
          <cell r="ED299">
            <v>4</v>
          </cell>
          <cell r="EE299">
            <v>12</v>
          </cell>
          <cell r="EF299">
            <v>13</v>
          </cell>
          <cell r="EG299">
            <v>0</v>
          </cell>
          <cell r="EH299">
            <v>117</v>
          </cell>
          <cell r="EI299">
            <v>17</v>
          </cell>
          <cell r="EJ299">
            <v>14</v>
          </cell>
          <cell r="EK299">
            <v>28</v>
          </cell>
          <cell r="EL299">
            <v>43</v>
          </cell>
          <cell r="EM299">
            <v>15</v>
          </cell>
          <cell r="EN299">
            <v>0</v>
          </cell>
          <cell r="EO299" t="str">
            <v xml:space="preserve">EXTREME POINT PANT                                          </v>
          </cell>
        </row>
        <row r="300">
          <cell r="A300" t="str">
            <v>CN4PM8497022</v>
          </cell>
          <cell r="B300" t="str">
            <v>CN4</v>
          </cell>
          <cell r="C300" t="str">
            <v>PM8497</v>
          </cell>
          <cell r="D300">
            <v>22</v>
          </cell>
          <cell r="E300" t="str">
            <v xml:space="preserve">   </v>
          </cell>
          <cell r="F300">
            <v>80922</v>
          </cell>
          <cell r="G300">
            <v>81105</v>
          </cell>
          <cell r="H300">
            <v>0</v>
          </cell>
          <cell r="I300">
            <v>402</v>
          </cell>
          <cell r="J300">
            <v>420</v>
          </cell>
          <cell r="K300">
            <v>419</v>
          </cell>
          <cell r="L300">
            <v>142</v>
          </cell>
          <cell r="M300">
            <v>142</v>
          </cell>
          <cell r="N300">
            <v>16085628</v>
          </cell>
          <cell r="O300">
            <v>18000780</v>
          </cell>
          <cell r="P300">
            <v>17957921</v>
          </cell>
          <cell r="Q300">
            <v>6085978</v>
          </cell>
          <cell r="R300">
            <v>23355047</v>
          </cell>
          <cell r="S300" t="str">
            <v xml:space="preserve"> </v>
          </cell>
          <cell r="T300" t="str">
            <v xml:space="preserve"> </v>
          </cell>
          <cell r="U300">
            <v>420</v>
          </cell>
          <cell r="V300">
            <v>18000780</v>
          </cell>
          <cell r="W300">
            <v>142</v>
          </cell>
          <cell r="X300">
            <v>6085978</v>
          </cell>
          <cell r="Y300">
            <v>34.049999999999997</v>
          </cell>
          <cell r="Z300">
            <v>34.29</v>
          </cell>
          <cell r="AA300">
            <v>6085978</v>
          </cell>
          <cell r="AB300">
            <v>0</v>
          </cell>
          <cell r="AC300">
            <v>1</v>
          </cell>
          <cell r="AD300">
            <v>42859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>
            <v>85718</v>
          </cell>
          <cell r="AM300">
            <v>276</v>
          </cell>
          <cell r="AN300">
            <v>24001040</v>
          </cell>
          <cell r="AO300">
            <v>40014</v>
          </cell>
          <cell r="AP300">
            <v>42859</v>
          </cell>
          <cell r="AQ300">
            <v>198000</v>
          </cell>
          <cell r="AR300">
            <v>0</v>
          </cell>
          <cell r="AS300">
            <v>4.62</v>
          </cell>
          <cell r="AT300">
            <v>83160000</v>
          </cell>
          <cell r="AU300">
            <v>3.84</v>
          </cell>
          <cell r="AV300">
            <v>23355047</v>
          </cell>
          <cell r="AW300">
            <v>0</v>
          </cell>
          <cell r="AX300">
            <v>0</v>
          </cell>
          <cell r="AY300">
            <v>34.049999999999997</v>
          </cell>
          <cell r="AZ300">
            <v>0</v>
          </cell>
          <cell r="BA300">
            <v>142</v>
          </cell>
          <cell r="BB300">
            <v>0</v>
          </cell>
          <cell r="BC300">
            <v>142</v>
          </cell>
          <cell r="BD300">
            <v>0</v>
          </cell>
          <cell r="BE300">
            <v>0</v>
          </cell>
          <cell r="BF300">
            <v>9</v>
          </cell>
          <cell r="BG300">
            <v>0</v>
          </cell>
          <cell r="BH300">
            <v>1</v>
          </cell>
          <cell r="BI300">
            <v>62</v>
          </cell>
          <cell r="BJ300">
            <v>19</v>
          </cell>
          <cell r="BK300">
            <v>19</v>
          </cell>
          <cell r="BL300">
            <v>10</v>
          </cell>
          <cell r="BM300">
            <v>11</v>
          </cell>
          <cell r="BN300">
            <v>3</v>
          </cell>
          <cell r="BO300">
            <v>0</v>
          </cell>
          <cell r="BP300">
            <v>7</v>
          </cell>
          <cell r="BQ300">
            <v>2</v>
          </cell>
          <cell r="BR300">
            <v>3</v>
          </cell>
          <cell r="BS300">
            <v>1</v>
          </cell>
          <cell r="BT300">
            <v>1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8</v>
          </cell>
          <cell r="EB300">
            <v>0</v>
          </cell>
          <cell r="EC300">
            <v>0</v>
          </cell>
          <cell r="ED300">
            <v>1</v>
          </cell>
          <cell r="EE300">
            <v>5</v>
          </cell>
          <cell r="EF300">
            <v>2</v>
          </cell>
          <cell r="EG300">
            <v>0</v>
          </cell>
          <cell r="EH300">
            <v>65</v>
          </cell>
          <cell r="EI300">
            <v>17</v>
          </cell>
          <cell r="EJ300">
            <v>3</v>
          </cell>
          <cell r="EK300">
            <v>14</v>
          </cell>
          <cell r="EL300">
            <v>22</v>
          </cell>
          <cell r="EM300">
            <v>9</v>
          </cell>
          <cell r="EN300">
            <v>0</v>
          </cell>
          <cell r="EO300" t="str">
            <v xml:space="preserve">EXTREME POINT PANT                                          </v>
          </cell>
        </row>
        <row r="301">
          <cell r="A301" t="str">
            <v>CN4PM8603010</v>
          </cell>
          <cell r="B301" t="str">
            <v>CN4</v>
          </cell>
          <cell r="C301" t="str">
            <v>PM8603</v>
          </cell>
          <cell r="D301">
            <v>10</v>
          </cell>
          <cell r="E301" t="str">
            <v xml:space="preserve">   </v>
          </cell>
          <cell r="F301">
            <v>80826</v>
          </cell>
          <cell r="G301">
            <v>80909</v>
          </cell>
          <cell r="H301">
            <v>0</v>
          </cell>
          <cell r="I301">
            <v>804</v>
          </cell>
          <cell r="J301">
            <v>802</v>
          </cell>
          <cell r="K301">
            <v>801</v>
          </cell>
          <cell r="L301">
            <v>579</v>
          </cell>
          <cell r="M301">
            <v>579</v>
          </cell>
          <cell r="N301">
            <v>12228840</v>
          </cell>
          <cell r="O301">
            <v>13168038</v>
          </cell>
          <cell r="P301">
            <v>13151619</v>
          </cell>
          <cell r="Q301">
            <v>9506601</v>
          </cell>
          <cell r="R301">
            <v>53229900</v>
          </cell>
          <cell r="S301" t="str">
            <v xml:space="preserve"> </v>
          </cell>
          <cell r="T301" t="str">
            <v xml:space="preserve"> </v>
          </cell>
          <cell r="U301">
            <v>802</v>
          </cell>
          <cell r="V301">
            <v>13168038</v>
          </cell>
          <cell r="W301">
            <v>579</v>
          </cell>
          <cell r="X301">
            <v>9506601</v>
          </cell>
          <cell r="Y301">
            <v>71.7</v>
          </cell>
          <cell r="Z301">
            <v>71.2</v>
          </cell>
          <cell r="AA301">
            <v>9506601</v>
          </cell>
          <cell r="AB301">
            <v>0</v>
          </cell>
          <cell r="AC301">
            <v>1</v>
          </cell>
          <cell r="AD301">
            <v>16419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-4</v>
          </cell>
          <cell r="AL301">
            <v>-131352</v>
          </cell>
          <cell r="AM301">
            <v>226</v>
          </cell>
          <cell r="AN301">
            <v>7749768</v>
          </cell>
          <cell r="AO301">
            <v>15210</v>
          </cell>
          <cell r="AP301">
            <v>16419</v>
          </cell>
          <cell r="AQ301">
            <v>98000</v>
          </cell>
          <cell r="AR301">
            <v>0</v>
          </cell>
          <cell r="AS301">
            <v>5.97</v>
          </cell>
          <cell r="AT301">
            <v>78596000</v>
          </cell>
          <cell r="AU301">
            <v>5.6</v>
          </cell>
          <cell r="AV301">
            <v>53229900</v>
          </cell>
          <cell r="AW301">
            <v>0</v>
          </cell>
          <cell r="AX301">
            <v>0</v>
          </cell>
          <cell r="AY301">
            <v>71.7</v>
          </cell>
          <cell r="AZ301">
            <v>0</v>
          </cell>
          <cell r="BA301">
            <v>579</v>
          </cell>
          <cell r="BB301">
            <v>0</v>
          </cell>
          <cell r="BC301">
            <v>579</v>
          </cell>
          <cell r="BD301">
            <v>0</v>
          </cell>
          <cell r="BE301">
            <v>0</v>
          </cell>
          <cell r="BF301">
            <v>39</v>
          </cell>
          <cell r="BG301">
            <v>1</v>
          </cell>
          <cell r="BH301">
            <v>1</v>
          </cell>
          <cell r="BI301">
            <v>84</v>
          </cell>
          <cell r="BJ301">
            <v>15</v>
          </cell>
          <cell r="BK301">
            <v>21</v>
          </cell>
          <cell r="BL301">
            <v>16</v>
          </cell>
          <cell r="BM301">
            <v>20</v>
          </cell>
          <cell r="BN301">
            <v>12</v>
          </cell>
          <cell r="BO301">
            <v>0</v>
          </cell>
          <cell r="BP301">
            <v>19</v>
          </cell>
          <cell r="BQ301">
            <v>3</v>
          </cell>
          <cell r="BR301">
            <v>6</v>
          </cell>
          <cell r="BS301">
            <v>6</v>
          </cell>
          <cell r="BT301">
            <v>0</v>
          </cell>
          <cell r="BU301">
            <v>4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82</v>
          </cell>
          <cell r="DN301">
            <v>0</v>
          </cell>
          <cell r="DO301">
            <v>10</v>
          </cell>
          <cell r="DP301">
            <v>13</v>
          </cell>
          <cell r="DQ301">
            <v>54</v>
          </cell>
          <cell r="DR301">
            <v>5</v>
          </cell>
          <cell r="DS301">
            <v>0</v>
          </cell>
          <cell r="DT301">
            <v>126</v>
          </cell>
          <cell r="DU301">
            <v>28</v>
          </cell>
          <cell r="DV301">
            <v>19</v>
          </cell>
          <cell r="DW301">
            <v>28</v>
          </cell>
          <cell r="DX301">
            <v>30</v>
          </cell>
          <cell r="DY301">
            <v>21</v>
          </cell>
          <cell r="DZ301">
            <v>0</v>
          </cell>
          <cell r="EA301">
            <v>155</v>
          </cell>
          <cell r="EB301">
            <v>20</v>
          </cell>
          <cell r="EC301">
            <v>35</v>
          </cell>
          <cell r="ED301">
            <v>25</v>
          </cell>
          <cell r="EE301">
            <v>40</v>
          </cell>
          <cell r="EF301">
            <v>35</v>
          </cell>
          <cell r="EG301">
            <v>0</v>
          </cell>
          <cell r="EH301">
            <v>113</v>
          </cell>
          <cell r="EI301">
            <v>33</v>
          </cell>
          <cell r="EJ301">
            <v>22</v>
          </cell>
          <cell r="EK301">
            <v>17</v>
          </cell>
          <cell r="EL301">
            <v>31</v>
          </cell>
          <cell r="EM301">
            <v>10</v>
          </cell>
          <cell r="EN301">
            <v>0</v>
          </cell>
          <cell r="EO301" t="str">
            <v xml:space="preserve">DOVER PEAK LINED PANT                                       </v>
          </cell>
        </row>
        <row r="302">
          <cell r="A302" t="str">
            <v>CN4PM8603310</v>
          </cell>
          <cell r="B302" t="str">
            <v>CN4</v>
          </cell>
          <cell r="C302" t="str">
            <v>PM8603</v>
          </cell>
          <cell r="D302">
            <v>310</v>
          </cell>
          <cell r="E302" t="str">
            <v xml:space="preserve">   </v>
          </cell>
          <cell r="F302">
            <v>80826</v>
          </cell>
          <cell r="G302">
            <v>80909</v>
          </cell>
          <cell r="H302">
            <v>0</v>
          </cell>
          <cell r="I302">
            <v>402</v>
          </cell>
          <cell r="J302">
            <v>402</v>
          </cell>
          <cell r="K302">
            <v>401</v>
          </cell>
          <cell r="L302">
            <v>172</v>
          </cell>
          <cell r="M302">
            <v>172</v>
          </cell>
          <cell r="N302">
            <v>6114420</v>
          </cell>
          <cell r="O302">
            <v>6600438</v>
          </cell>
          <cell r="P302">
            <v>6584019</v>
          </cell>
          <cell r="Q302">
            <v>2824068</v>
          </cell>
          <cell r="R302">
            <v>15615418</v>
          </cell>
          <cell r="S302" t="str">
            <v xml:space="preserve"> </v>
          </cell>
          <cell r="T302" t="str">
            <v xml:space="preserve"> </v>
          </cell>
          <cell r="U302">
            <v>402</v>
          </cell>
          <cell r="V302">
            <v>6600438</v>
          </cell>
          <cell r="W302">
            <v>172</v>
          </cell>
          <cell r="X302">
            <v>2824068</v>
          </cell>
          <cell r="Y302">
            <v>42.79</v>
          </cell>
          <cell r="Z302">
            <v>42.79</v>
          </cell>
          <cell r="AA302">
            <v>2791230</v>
          </cell>
          <cell r="AB302">
            <v>32838</v>
          </cell>
          <cell r="AC302">
            <v>1</v>
          </cell>
          <cell r="AD302">
            <v>16419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229</v>
          </cell>
          <cell r="AN302">
            <v>7634835</v>
          </cell>
          <cell r="AO302">
            <v>15210</v>
          </cell>
          <cell r="AP302">
            <v>16419</v>
          </cell>
          <cell r="AQ302">
            <v>98000</v>
          </cell>
          <cell r="AR302">
            <v>0</v>
          </cell>
          <cell r="AS302">
            <v>5.97</v>
          </cell>
          <cell r="AT302">
            <v>39396000</v>
          </cell>
          <cell r="AU302">
            <v>5.59</v>
          </cell>
          <cell r="AV302">
            <v>15601700</v>
          </cell>
          <cell r="AW302">
            <v>0.42</v>
          </cell>
          <cell r="AX302">
            <v>13718</v>
          </cell>
          <cell r="AY302">
            <v>42.79</v>
          </cell>
          <cell r="AZ302">
            <v>0</v>
          </cell>
          <cell r="BA302">
            <v>170</v>
          </cell>
          <cell r="BB302">
            <v>2</v>
          </cell>
          <cell r="BC302">
            <v>172</v>
          </cell>
          <cell r="BD302">
            <v>0</v>
          </cell>
          <cell r="BE302">
            <v>0</v>
          </cell>
          <cell r="BF302">
            <v>12</v>
          </cell>
          <cell r="BG302">
            <v>0</v>
          </cell>
          <cell r="BH302">
            <v>1</v>
          </cell>
          <cell r="BI302">
            <v>18</v>
          </cell>
          <cell r="BJ302">
            <v>3</v>
          </cell>
          <cell r="BK302">
            <v>6</v>
          </cell>
          <cell r="BL302">
            <v>3</v>
          </cell>
          <cell r="BM302">
            <v>4</v>
          </cell>
          <cell r="BN302">
            <v>2</v>
          </cell>
          <cell r="BO302">
            <v>0</v>
          </cell>
          <cell r="BP302">
            <v>6</v>
          </cell>
          <cell r="BQ302">
            <v>1</v>
          </cell>
          <cell r="BR302">
            <v>4</v>
          </cell>
          <cell r="BS302">
            <v>1</v>
          </cell>
          <cell r="BT302">
            <v>1</v>
          </cell>
          <cell r="BU302">
            <v>-1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33</v>
          </cell>
          <cell r="DN302">
            <v>0</v>
          </cell>
          <cell r="DO302">
            <v>5</v>
          </cell>
          <cell r="DP302">
            <v>5</v>
          </cell>
          <cell r="DQ302">
            <v>19</v>
          </cell>
          <cell r="DR302">
            <v>4</v>
          </cell>
          <cell r="DS302">
            <v>0</v>
          </cell>
          <cell r="DT302">
            <v>58</v>
          </cell>
          <cell r="DU302">
            <v>5</v>
          </cell>
          <cell r="DV302">
            <v>18</v>
          </cell>
          <cell r="DW302">
            <v>14</v>
          </cell>
          <cell r="DX302">
            <v>16</v>
          </cell>
          <cell r="DY302">
            <v>5</v>
          </cell>
          <cell r="DZ302">
            <v>0</v>
          </cell>
          <cell r="EA302">
            <v>30</v>
          </cell>
          <cell r="EB302">
            <v>3</v>
          </cell>
          <cell r="EC302">
            <v>4</v>
          </cell>
          <cell r="ED302">
            <v>5</v>
          </cell>
          <cell r="EE302">
            <v>11</v>
          </cell>
          <cell r="EF302">
            <v>7</v>
          </cell>
          <cell r="EG302">
            <v>0</v>
          </cell>
          <cell r="EH302">
            <v>27</v>
          </cell>
          <cell r="EI302">
            <v>8</v>
          </cell>
          <cell r="EJ302">
            <v>8</v>
          </cell>
          <cell r="EK302">
            <v>4</v>
          </cell>
          <cell r="EL302">
            <v>6</v>
          </cell>
          <cell r="EM302">
            <v>1</v>
          </cell>
          <cell r="EN302">
            <v>0</v>
          </cell>
          <cell r="EO302" t="str">
            <v xml:space="preserve">DOVER PEAK LINED PANT                                       </v>
          </cell>
        </row>
        <row r="303">
          <cell r="A303" t="str">
            <v>CN4PM8604010</v>
          </cell>
          <cell r="B303" t="str">
            <v>CN4</v>
          </cell>
          <cell r="C303" t="str">
            <v>PM8604</v>
          </cell>
          <cell r="D303">
            <v>10</v>
          </cell>
          <cell r="E303" t="str">
            <v xml:space="preserve">   </v>
          </cell>
          <cell r="F303">
            <v>80826</v>
          </cell>
          <cell r="G303">
            <v>80909</v>
          </cell>
          <cell r="H303">
            <v>0</v>
          </cell>
          <cell r="I303">
            <v>600</v>
          </cell>
          <cell r="J303">
            <v>600</v>
          </cell>
          <cell r="K303">
            <v>600</v>
          </cell>
          <cell r="L303">
            <v>357</v>
          </cell>
          <cell r="M303">
            <v>357</v>
          </cell>
          <cell r="N303">
            <v>6598800</v>
          </cell>
          <cell r="O303">
            <v>6673800</v>
          </cell>
          <cell r="P303">
            <v>6673800</v>
          </cell>
          <cell r="Q303">
            <v>3970911</v>
          </cell>
          <cell r="R303">
            <v>29921949</v>
          </cell>
          <cell r="S303" t="str">
            <v xml:space="preserve"> </v>
          </cell>
          <cell r="T303" t="str">
            <v xml:space="preserve"> </v>
          </cell>
          <cell r="U303">
            <v>600</v>
          </cell>
          <cell r="V303">
            <v>6673800</v>
          </cell>
          <cell r="W303">
            <v>357</v>
          </cell>
          <cell r="X303">
            <v>3970911</v>
          </cell>
          <cell r="Y303">
            <v>59.83</v>
          </cell>
          <cell r="Z303">
            <v>60.17</v>
          </cell>
          <cell r="AA303">
            <v>3937542</v>
          </cell>
          <cell r="AB303">
            <v>33369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2</v>
          </cell>
          <cell r="AL303">
            <v>44492</v>
          </cell>
          <cell r="AM303">
            <v>241</v>
          </cell>
          <cell r="AN303">
            <v>5394655</v>
          </cell>
          <cell r="AO303">
            <v>10998</v>
          </cell>
          <cell r="AP303">
            <v>11123</v>
          </cell>
          <cell r="AQ303">
            <v>89000</v>
          </cell>
          <cell r="AR303">
            <v>0</v>
          </cell>
          <cell r="AS303">
            <v>8</v>
          </cell>
          <cell r="AT303">
            <v>53400000</v>
          </cell>
          <cell r="AU303">
            <v>7.59</v>
          </cell>
          <cell r="AV303">
            <v>29901372</v>
          </cell>
          <cell r="AW303">
            <v>0.62</v>
          </cell>
          <cell r="AX303">
            <v>20577</v>
          </cell>
          <cell r="AY303">
            <v>59.83</v>
          </cell>
          <cell r="AZ303">
            <v>0</v>
          </cell>
          <cell r="BA303">
            <v>354</v>
          </cell>
          <cell r="BB303">
            <v>3</v>
          </cell>
          <cell r="BC303">
            <v>357</v>
          </cell>
          <cell r="BD303">
            <v>0</v>
          </cell>
          <cell r="BE303">
            <v>0</v>
          </cell>
          <cell r="BF303">
            <v>13</v>
          </cell>
          <cell r="BG303">
            <v>1</v>
          </cell>
          <cell r="BH303">
            <v>1</v>
          </cell>
          <cell r="BI303">
            <v>67</v>
          </cell>
          <cell r="BJ303">
            <v>17</v>
          </cell>
          <cell r="BK303">
            <v>17</v>
          </cell>
          <cell r="BL303">
            <v>18</v>
          </cell>
          <cell r="BM303">
            <v>11</v>
          </cell>
          <cell r="BN303">
            <v>4</v>
          </cell>
          <cell r="BO303">
            <v>0</v>
          </cell>
          <cell r="BP303">
            <v>3</v>
          </cell>
          <cell r="BQ303">
            <v>1</v>
          </cell>
          <cell r="BR303">
            <v>-3</v>
          </cell>
          <cell r="BS303">
            <v>1</v>
          </cell>
          <cell r="BT303">
            <v>5</v>
          </cell>
          <cell r="BU303">
            <v>-1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39</v>
          </cell>
          <cell r="DN303">
            <v>0</v>
          </cell>
          <cell r="DO303">
            <v>7</v>
          </cell>
          <cell r="DP303">
            <v>7</v>
          </cell>
          <cell r="DQ303">
            <v>23</v>
          </cell>
          <cell r="DR303">
            <v>2</v>
          </cell>
          <cell r="DS303">
            <v>0</v>
          </cell>
          <cell r="DT303">
            <v>52</v>
          </cell>
          <cell r="DU303">
            <v>7</v>
          </cell>
          <cell r="DV303">
            <v>6</v>
          </cell>
          <cell r="DW303">
            <v>11</v>
          </cell>
          <cell r="DX303">
            <v>13</v>
          </cell>
          <cell r="DY303">
            <v>15</v>
          </cell>
          <cell r="DZ303">
            <v>0</v>
          </cell>
          <cell r="EA303">
            <v>96</v>
          </cell>
          <cell r="EB303">
            <v>5</v>
          </cell>
          <cell r="EC303">
            <v>21</v>
          </cell>
          <cell r="ED303">
            <v>20</v>
          </cell>
          <cell r="EE303">
            <v>34</v>
          </cell>
          <cell r="EF303">
            <v>16</v>
          </cell>
          <cell r="EG303">
            <v>0</v>
          </cell>
          <cell r="EH303">
            <v>100</v>
          </cell>
          <cell r="EI303">
            <v>26</v>
          </cell>
          <cell r="EJ303">
            <v>25</v>
          </cell>
          <cell r="EK303">
            <v>20</v>
          </cell>
          <cell r="EL303">
            <v>24</v>
          </cell>
          <cell r="EM303">
            <v>5</v>
          </cell>
          <cell r="EN303">
            <v>0</v>
          </cell>
          <cell r="EO303" t="str">
            <v xml:space="preserve">TALKEETNA LINED PANT                                        </v>
          </cell>
        </row>
        <row r="304">
          <cell r="A304" t="str">
            <v>CN4PM8604230</v>
          </cell>
          <cell r="B304" t="str">
            <v>CN4</v>
          </cell>
          <cell r="C304" t="str">
            <v>PM8604</v>
          </cell>
          <cell r="D304">
            <v>230</v>
          </cell>
          <cell r="E304" t="str">
            <v xml:space="preserve">   </v>
          </cell>
          <cell r="F304">
            <v>80826</v>
          </cell>
          <cell r="G304">
            <v>80909</v>
          </cell>
          <cell r="H304">
            <v>0</v>
          </cell>
          <cell r="I304">
            <v>600</v>
          </cell>
          <cell r="J304">
            <v>402</v>
          </cell>
          <cell r="K304">
            <v>402</v>
          </cell>
          <cell r="L304">
            <v>241</v>
          </cell>
          <cell r="M304">
            <v>241</v>
          </cell>
          <cell r="N304">
            <v>6598800</v>
          </cell>
          <cell r="O304">
            <v>4471446</v>
          </cell>
          <cell r="P304">
            <v>4471446</v>
          </cell>
          <cell r="Q304">
            <v>2680643</v>
          </cell>
          <cell r="R304">
            <v>19660932</v>
          </cell>
          <cell r="S304" t="str">
            <v xml:space="preserve"> </v>
          </cell>
          <cell r="T304" t="str">
            <v xml:space="preserve"> </v>
          </cell>
          <cell r="U304">
            <v>402</v>
          </cell>
          <cell r="V304">
            <v>4471446</v>
          </cell>
          <cell r="W304">
            <v>241</v>
          </cell>
          <cell r="X304">
            <v>2680643</v>
          </cell>
          <cell r="Y304">
            <v>60.2</v>
          </cell>
          <cell r="Z304">
            <v>60.45</v>
          </cell>
          <cell r="AA304">
            <v>2669520</v>
          </cell>
          <cell r="AB304">
            <v>11123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22246</v>
          </cell>
          <cell r="AM304">
            <v>160</v>
          </cell>
          <cell r="AN304">
            <v>3692836</v>
          </cell>
          <cell r="AO304">
            <v>10998</v>
          </cell>
          <cell r="AP304">
            <v>11123</v>
          </cell>
          <cell r="AQ304">
            <v>89000</v>
          </cell>
          <cell r="AR304">
            <v>0</v>
          </cell>
          <cell r="AS304">
            <v>8</v>
          </cell>
          <cell r="AT304">
            <v>35778000</v>
          </cell>
          <cell r="AU304">
            <v>7.36</v>
          </cell>
          <cell r="AV304">
            <v>19654073</v>
          </cell>
          <cell r="AW304">
            <v>0.62</v>
          </cell>
          <cell r="AX304">
            <v>6859</v>
          </cell>
          <cell r="AY304">
            <v>60.2</v>
          </cell>
          <cell r="AZ304">
            <v>0</v>
          </cell>
          <cell r="BA304">
            <v>240</v>
          </cell>
          <cell r="BB304">
            <v>1</v>
          </cell>
          <cell r="BC304">
            <v>241</v>
          </cell>
          <cell r="BD304">
            <v>0</v>
          </cell>
          <cell r="BE304">
            <v>0</v>
          </cell>
          <cell r="BF304">
            <v>16</v>
          </cell>
          <cell r="BG304">
            <v>0</v>
          </cell>
          <cell r="BH304">
            <v>1</v>
          </cell>
          <cell r="BI304">
            <v>38</v>
          </cell>
          <cell r="BJ304">
            <v>2</v>
          </cell>
          <cell r="BK304">
            <v>9</v>
          </cell>
          <cell r="BL304">
            <v>10</v>
          </cell>
          <cell r="BM304">
            <v>10</v>
          </cell>
          <cell r="BN304">
            <v>7</v>
          </cell>
          <cell r="BO304">
            <v>0</v>
          </cell>
          <cell r="BP304">
            <v>12</v>
          </cell>
          <cell r="BQ304">
            <v>0</v>
          </cell>
          <cell r="BR304">
            <v>5</v>
          </cell>
          <cell r="BS304">
            <v>2</v>
          </cell>
          <cell r="BT304">
            <v>2</v>
          </cell>
          <cell r="BU304">
            <v>3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38</v>
          </cell>
          <cell r="DN304">
            <v>0</v>
          </cell>
          <cell r="DO304">
            <v>2</v>
          </cell>
          <cell r="DP304">
            <v>8</v>
          </cell>
          <cell r="DQ304">
            <v>27</v>
          </cell>
          <cell r="DR304">
            <v>1</v>
          </cell>
          <cell r="DS304">
            <v>0</v>
          </cell>
          <cell r="DT304">
            <v>34</v>
          </cell>
          <cell r="DU304">
            <v>7</v>
          </cell>
          <cell r="DV304">
            <v>4</v>
          </cell>
          <cell r="DW304">
            <v>5</v>
          </cell>
          <cell r="DX304">
            <v>10</v>
          </cell>
          <cell r="DY304">
            <v>8</v>
          </cell>
          <cell r="DZ304">
            <v>0</v>
          </cell>
          <cell r="EA304">
            <v>72</v>
          </cell>
          <cell r="EB304">
            <v>9</v>
          </cell>
          <cell r="EC304">
            <v>13</v>
          </cell>
          <cell r="ED304">
            <v>14</v>
          </cell>
          <cell r="EE304">
            <v>19</v>
          </cell>
          <cell r="EF304">
            <v>17</v>
          </cell>
          <cell r="EG304">
            <v>0</v>
          </cell>
          <cell r="EH304">
            <v>47</v>
          </cell>
          <cell r="EI304">
            <v>9</v>
          </cell>
          <cell r="EJ304">
            <v>17</v>
          </cell>
          <cell r="EK304">
            <v>7</v>
          </cell>
          <cell r="EL304">
            <v>12</v>
          </cell>
          <cell r="EM304">
            <v>2</v>
          </cell>
          <cell r="EN304">
            <v>0</v>
          </cell>
          <cell r="EO304" t="str">
            <v xml:space="preserve">TALKEETNA LINED PANT                                        </v>
          </cell>
        </row>
        <row r="305">
          <cell r="A305" t="str">
            <v>CN4SB1049010</v>
          </cell>
          <cell r="B305" t="str">
            <v>CN4</v>
          </cell>
          <cell r="C305" t="str">
            <v>SB1049</v>
          </cell>
          <cell r="D305">
            <v>10</v>
          </cell>
          <cell r="E305" t="str">
            <v xml:space="preserve">   </v>
          </cell>
          <cell r="F305">
            <v>80813</v>
          </cell>
          <cell r="G305">
            <v>81006</v>
          </cell>
          <cell r="H305">
            <v>0</v>
          </cell>
          <cell r="I305">
            <v>306</v>
          </cell>
          <cell r="J305">
            <v>306</v>
          </cell>
          <cell r="K305">
            <v>306</v>
          </cell>
          <cell r="L305">
            <v>113</v>
          </cell>
          <cell r="M305">
            <v>113</v>
          </cell>
          <cell r="N305">
            <v>3082644</v>
          </cell>
          <cell r="O305">
            <v>3203820</v>
          </cell>
          <cell r="P305">
            <v>3203820</v>
          </cell>
          <cell r="Q305">
            <v>1183110</v>
          </cell>
          <cell r="R305">
            <v>7283000</v>
          </cell>
          <cell r="S305" t="str">
            <v xml:space="preserve"> </v>
          </cell>
          <cell r="T305" t="str">
            <v xml:space="preserve"> </v>
          </cell>
          <cell r="U305">
            <v>306</v>
          </cell>
          <cell r="V305">
            <v>3203820</v>
          </cell>
          <cell r="W305">
            <v>113</v>
          </cell>
          <cell r="X305">
            <v>1183110</v>
          </cell>
          <cell r="Y305">
            <v>36.93</v>
          </cell>
          <cell r="Z305">
            <v>36.93</v>
          </cell>
          <cell r="AA305">
            <v>1183110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193</v>
          </cell>
          <cell r="AN305">
            <v>4125180</v>
          </cell>
          <cell r="AO305">
            <v>10074</v>
          </cell>
          <cell r="AP305">
            <v>10470</v>
          </cell>
          <cell r="AQ305">
            <v>68000</v>
          </cell>
          <cell r="AR305">
            <v>0</v>
          </cell>
          <cell r="AS305">
            <v>6.49</v>
          </cell>
          <cell r="AT305">
            <v>20808000</v>
          </cell>
          <cell r="AU305">
            <v>6.16</v>
          </cell>
          <cell r="AV305">
            <v>7283000</v>
          </cell>
          <cell r="AW305">
            <v>0</v>
          </cell>
          <cell r="AX305">
            <v>0</v>
          </cell>
          <cell r="AY305">
            <v>36.93</v>
          </cell>
          <cell r="AZ305">
            <v>0</v>
          </cell>
          <cell r="BA305">
            <v>113</v>
          </cell>
          <cell r="BB305">
            <v>0</v>
          </cell>
          <cell r="BC305">
            <v>113</v>
          </cell>
          <cell r="BD305">
            <v>0</v>
          </cell>
          <cell r="BE305">
            <v>0</v>
          </cell>
          <cell r="BF305">
            <v>16</v>
          </cell>
          <cell r="BG305">
            <v>1</v>
          </cell>
          <cell r="BH305">
            <v>1</v>
          </cell>
          <cell r="BI305">
            <v>14</v>
          </cell>
          <cell r="BJ305">
            <v>2</v>
          </cell>
          <cell r="BK305">
            <v>4</v>
          </cell>
          <cell r="BL305">
            <v>1</v>
          </cell>
          <cell r="BM305">
            <v>4</v>
          </cell>
          <cell r="BN305">
            <v>3</v>
          </cell>
          <cell r="BO305">
            <v>0</v>
          </cell>
          <cell r="BP305">
            <v>8</v>
          </cell>
          <cell r="BQ305">
            <v>-1</v>
          </cell>
          <cell r="BR305">
            <v>6</v>
          </cell>
          <cell r="BS305">
            <v>0</v>
          </cell>
          <cell r="BT305">
            <v>5</v>
          </cell>
          <cell r="BU305">
            <v>-2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16</v>
          </cell>
          <cell r="DU305">
            <v>0</v>
          </cell>
          <cell r="DV305">
            <v>1</v>
          </cell>
          <cell r="DW305">
            <v>10</v>
          </cell>
          <cell r="DX305">
            <v>3</v>
          </cell>
          <cell r="DY305">
            <v>2</v>
          </cell>
          <cell r="DZ305">
            <v>0</v>
          </cell>
          <cell r="EA305">
            <v>39</v>
          </cell>
          <cell r="EB305">
            <v>5</v>
          </cell>
          <cell r="EC305">
            <v>5</v>
          </cell>
          <cell r="ED305">
            <v>9</v>
          </cell>
          <cell r="EE305">
            <v>14</v>
          </cell>
          <cell r="EF305">
            <v>6</v>
          </cell>
          <cell r="EG305">
            <v>0</v>
          </cell>
          <cell r="EH305">
            <v>36</v>
          </cell>
          <cell r="EI305">
            <v>11</v>
          </cell>
          <cell r="EJ305">
            <v>4</v>
          </cell>
          <cell r="EK305">
            <v>10</v>
          </cell>
          <cell r="EL305">
            <v>10</v>
          </cell>
          <cell r="EM305">
            <v>1</v>
          </cell>
          <cell r="EN305">
            <v>0</v>
          </cell>
          <cell r="EO305" t="str">
            <v xml:space="preserve">CARIBU MOUNTAIN VEST                                        </v>
          </cell>
        </row>
        <row r="306">
          <cell r="A306" t="str">
            <v>CN4SB1049819</v>
          </cell>
          <cell r="B306" t="str">
            <v>CN4</v>
          </cell>
          <cell r="C306" t="str">
            <v>SB1049</v>
          </cell>
          <cell r="D306">
            <v>819</v>
          </cell>
          <cell r="E306" t="str">
            <v xml:space="preserve">   </v>
          </cell>
          <cell r="F306">
            <v>80813</v>
          </cell>
          <cell r="G306">
            <v>81006</v>
          </cell>
          <cell r="H306">
            <v>0</v>
          </cell>
          <cell r="I306">
            <v>306</v>
          </cell>
          <cell r="J306">
            <v>307</v>
          </cell>
          <cell r="K306">
            <v>307</v>
          </cell>
          <cell r="L306">
            <v>83</v>
          </cell>
          <cell r="M306">
            <v>83</v>
          </cell>
          <cell r="N306">
            <v>3082644</v>
          </cell>
          <cell r="O306">
            <v>3214290</v>
          </cell>
          <cell r="P306">
            <v>3214290</v>
          </cell>
          <cell r="Q306">
            <v>869010</v>
          </cell>
          <cell r="R306">
            <v>5260800</v>
          </cell>
          <cell r="S306" t="str">
            <v xml:space="preserve"> </v>
          </cell>
          <cell r="T306" t="str">
            <v xml:space="preserve"> </v>
          </cell>
          <cell r="U306">
            <v>307</v>
          </cell>
          <cell r="V306">
            <v>3214290</v>
          </cell>
          <cell r="W306">
            <v>83</v>
          </cell>
          <cell r="X306">
            <v>869010</v>
          </cell>
          <cell r="Y306">
            <v>27.04</v>
          </cell>
          <cell r="Z306">
            <v>27.04</v>
          </cell>
          <cell r="AA306">
            <v>869010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224</v>
          </cell>
          <cell r="AN306">
            <v>4795260</v>
          </cell>
          <cell r="AO306">
            <v>10074</v>
          </cell>
          <cell r="AP306">
            <v>10470</v>
          </cell>
          <cell r="AQ306">
            <v>68000</v>
          </cell>
          <cell r="AR306">
            <v>0</v>
          </cell>
          <cell r="AS306">
            <v>6.49</v>
          </cell>
          <cell r="AT306">
            <v>20876000</v>
          </cell>
          <cell r="AU306">
            <v>6.05</v>
          </cell>
          <cell r="AV306">
            <v>5260800</v>
          </cell>
          <cell r="AW306">
            <v>0</v>
          </cell>
          <cell r="AX306">
            <v>0</v>
          </cell>
          <cell r="AY306">
            <v>27.04</v>
          </cell>
          <cell r="AZ306">
            <v>0</v>
          </cell>
          <cell r="BA306">
            <v>83</v>
          </cell>
          <cell r="BB306">
            <v>0</v>
          </cell>
          <cell r="BC306">
            <v>83</v>
          </cell>
          <cell r="BD306">
            <v>0</v>
          </cell>
          <cell r="BE306">
            <v>0</v>
          </cell>
          <cell r="BF306">
            <v>14</v>
          </cell>
          <cell r="BG306">
            <v>0</v>
          </cell>
          <cell r="BH306">
            <v>1</v>
          </cell>
          <cell r="BI306">
            <v>20</v>
          </cell>
          <cell r="BJ306">
            <v>1</v>
          </cell>
          <cell r="BK306">
            <v>2</v>
          </cell>
          <cell r="BL306">
            <v>10</v>
          </cell>
          <cell r="BM306">
            <v>6</v>
          </cell>
          <cell r="BN306">
            <v>1</v>
          </cell>
          <cell r="BO306">
            <v>0</v>
          </cell>
          <cell r="BP306">
            <v>10</v>
          </cell>
          <cell r="BQ306">
            <v>0</v>
          </cell>
          <cell r="BR306">
            <v>3</v>
          </cell>
          <cell r="BS306">
            <v>6</v>
          </cell>
          <cell r="BT306">
            <v>3</v>
          </cell>
          <cell r="BU306">
            <v>-2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7</v>
          </cell>
          <cell r="DU306">
            <v>0</v>
          </cell>
          <cell r="DV306">
            <v>3</v>
          </cell>
          <cell r="DW306">
            <v>0</v>
          </cell>
          <cell r="DX306">
            <v>3</v>
          </cell>
          <cell r="DY306">
            <v>1</v>
          </cell>
          <cell r="DZ306">
            <v>0</v>
          </cell>
          <cell r="EA306">
            <v>22</v>
          </cell>
          <cell r="EB306">
            <v>2</v>
          </cell>
          <cell r="EC306">
            <v>6</v>
          </cell>
          <cell r="ED306">
            <v>13</v>
          </cell>
          <cell r="EE306">
            <v>0</v>
          </cell>
          <cell r="EF306">
            <v>1</v>
          </cell>
          <cell r="EG306">
            <v>0</v>
          </cell>
          <cell r="EH306">
            <v>24</v>
          </cell>
          <cell r="EI306">
            <v>2</v>
          </cell>
          <cell r="EJ306">
            <v>4</v>
          </cell>
          <cell r="EK306">
            <v>6</v>
          </cell>
          <cell r="EL306">
            <v>9</v>
          </cell>
          <cell r="EM306">
            <v>3</v>
          </cell>
          <cell r="EN306">
            <v>0</v>
          </cell>
          <cell r="EO306" t="str">
            <v xml:space="preserve">CARIBU MOUNTAIN VEST                                        </v>
          </cell>
        </row>
        <row r="307">
          <cell r="A307" t="str">
            <v>CN4SB1049918</v>
          </cell>
          <cell r="B307" t="str">
            <v>CN4</v>
          </cell>
          <cell r="C307" t="str">
            <v>SB1049</v>
          </cell>
          <cell r="D307">
            <v>918</v>
          </cell>
          <cell r="E307" t="str">
            <v xml:space="preserve">   </v>
          </cell>
          <cell r="F307">
            <v>80813</v>
          </cell>
          <cell r="G307">
            <v>81006</v>
          </cell>
          <cell r="H307">
            <v>0</v>
          </cell>
          <cell r="I307">
            <v>306</v>
          </cell>
          <cell r="J307">
            <v>305</v>
          </cell>
          <cell r="K307">
            <v>305</v>
          </cell>
          <cell r="L307">
            <v>138</v>
          </cell>
          <cell r="M307">
            <v>138</v>
          </cell>
          <cell r="N307">
            <v>3082644</v>
          </cell>
          <cell r="O307">
            <v>3193350</v>
          </cell>
          <cell r="P307">
            <v>3193350</v>
          </cell>
          <cell r="Q307">
            <v>1444860</v>
          </cell>
          <cell r="R307">
            <v>8593000</v>
          </cell>
          <cell r="S307" t="str">
            <v xml:space="preserve"> </v>
          </cell>
          <cell r="T307" t="str">
            <v xml:space="preserve"> </v>
          </cell>
          <cell r="U307">
            <v>305</v>
          </cell>
          <cell r="V307">
            <v>3193350</v>
          </cell>
          <cell r="W307">
            <v>138</v>
          </cell>
          <cell r="X307">
            <v>1444860</v>
          </cell>
          <cell r="Y307">
            <v>45.25</v>
          </cell>
          <cell r="Z307">
            <v>45.25</v>
          </cell>
          <cell r="AA307">
            <v>1444860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167</v>
          </cell>
          <cell r="AN307">
            <v>3538860</v>
          </cell>
          <cell r="AO307">
            <v>10074</v>
          </cell>
          <cell r="AP307">
            <v>10470</v>
          </cell>
          <cell r="AQ307">
            <v>68000</v>
          </cell>
          <cell r="AR307">
            <v>0</v>
          </cell>
          <cell r="AS307">
            <v>6.49</v>
          </cell>
          <cell r="AT307">
            <v>20740000</v>
          </cell>
          <cell r="AU307">
            <v>5.95</v>
          </cell>
          <cell r="AV307">
            <v>8593000</v>
          </cell>
          <cell r="AW307">
            <v>0</v>
          </cell>
          <cell r="AX307">
            <v>0</v>
          </cell>
          <cell r="AY307">
            <v>45.25</v>
          </cell>
          <cell r="AZ307">
            <v>0</v>
          </cell>
          <cell r="BA307">
            <v>138</v>
          </cell>
          <cell r="BB307">
            <v>0</v>
          </cell>
          <cell r="BC307">
            <v>138</v>
          </cell>
          <cell r="BD307">
            <v>0</v>
          </cell>
          <cell r="BE307">
            <v>0</v>
          </cell>
          <cell r="BF307">
            <v>8</v>
          </cell>
          <cell r="BG307">
            <v>0</v>
          </cell>
          <cell r="BH307">
            <v>1</v>
          </cell>
          <cell r="BI307">
            <v>17</v>
          </cell>
          <cell r="BJ307">
            <v>4</v>
          </cell>
          <cell r="BK307">
            <v>2</v>
          </cell>
          <cell r="BL307">
            <v>2</v>
          </cell>
          <cell r="BM307">
            <v>6</v>
          </cell>
          <cell r="BN307">
            <v>3</v>
          </cell>
          <cell r="BO307">
            <v>0</v>
          </cell>
          <cell r="BP307">
            <v>4</v>
          </cell>
          <cell r="BQ307">
            <v>0</v>
          </cell>
          <cell r="BR307">
            <v>3</v>
          </cell>
          <cell r="BS307">
            <v>0</v>
          </cell>
          <cell r="BT307">
            <v>1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37</v>
          </cell>
          <cell r="DU307">
            <v>0</v>
          </cell>
          <cell r="DV307">
            <v>8</v>
          </cell>
          <cell r="DW307">
            <v>12</v>
          </cell>
          <cell r="DX307">
            <v>13</v>
          </cell>
          <cell r="DY307">
            <v>4</v>
          </cell>
          <cell r="DZ307">
            <v>0</v>
          </cell>
          <cell r="EA307">
            <v>48</v>
          </cell>
          <cell r="EB307">
            <v>7</v>
          </cell>
          <cell r="EC307">
            <v>17</v>
          </cell>
          <cell r="ED307">
            <v>6</v>
          </cell>
          <cell r="EE307">
            <v>14</v>
          </cell>
          <cell r="EF307">
            <v>4</v>
          </cell>
          <cell r="EG307">
            <v>0</v>
          </cell>
          <cell r="EH307">
            <v>32</v>
          </cell>
          <cell r="EI307">
            <v>2</v>
          </cell>
          <cell r="EJ307">
            <v>5</v>
          </cell>
          <cell r="EK307">
            <v>8</v>
          </cell>
          <cell r="EL307">
            <v>13</v>
          </cell>
          <cell r="EM307">
            <v>4</v>
          </cell>
          <cell r="EN307">
            <v>0</v>
          </cell>
          <cell r="EO307" t="str">
            <v xml:space="preserve">CARIBU MOUNTAIN VEST                                        </v>
          </cell>
        </row>
        <row r="308">
          <cell r="A308" t="str">
            <v>CN4SB7712703</v>
          </cell>
          <cell r="B308" t="str">
            <v>CN4</v>
          </cell>
          <cell r="C308" t="str">
            <v>SB7712</v>
          </cell>
          <cell r="D308">
            <v>703</v>
          </cell>
          <cell r="E308" t="str">
            <v xml:space="preserve">   </v>
          </cell>
          <cell r="F308">
            <v>80909</v>
          </cell>
          <cell r="G308">
            <v>81008</v>
          </cell>
          <cell r="H308">
            <v>0</v>
          </cell>
          <cell r="I308">
            <v>306</v>
          </cell>
          <cell r="J308">
            <v>306</v>
          </cell>
          <cell r="K308">
            <v>306</v>
          </cell>
          <cell r="L308">
            <v>229</v>
          </cell>
          <cell r="M308">
            <v>229</v>
          </cell>
          <cell r="N308">
            <v>8302392</v>
          </cell>
          <cell r="O308">
            <v>9557298</v>
          </cell>
          <cell r="P308">
            <v>9557298</v>
          </cell>
          <cell r="Q308">
            <v>7152357</v>
          </cell>
          <cell r="R308">
            <v>33854244</v>
          </cell>
          <cell r="S308" t="str">
            <v xml:space="preserve"> </v>
          </cell>
          <cell r="T308" t="str">
            <v xml:space="preserve"> </v>
          </cell>
          <cell r="U308">
            <v>306</v>
          </cell>
          <cell r="V308">
            <v>9557298</v>
          </cell>
          <cell r="W308">
            <v>229</v>
          </cell>
          <cell r="X308">
            <v>7152357</v>
          </cell>
          <cell r="Y308">
            <v>74.84</v>
          </cell>
          <cell r="Z308">
            <v>74.84</v>
          </cell>
          <cell r="AA308">
            <v>7121124</v>
          </cell>
          <cell r="AB308">
            <v>31233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77</v>
          </cell>
          <cell r="AN308">
            <v>4872348</v>
          </cell>
          <cell r="AO308">
            <v>27132</v>
          </cell>
          <cell r="AP308">
            <v>31233</v>
          </cell>
          <cell r="AQ308">
            <v>158000</v>
          </cell>
          <cell r="AR308">
            <v>0</v>
          </cell>
          <cell r="AS308">
            <v>5.0599999999999996</v>
          </cell>
          <cell r="AT308">
            <v>48348000</v>
          </cell>
          <cell r="AU308">
            <v>4.75</v>
          </cell>
          <cell r="AV308">
            <v>33847385</v>
          </cell>
          <cell r="AW308">
            <v>0.22</v>
          </cell>
          <cell r="AX308">
            <v>6859</v>
          </cell>
          <cell r="AY308">
            <v>74.84</v>
          </cell>
          <cell r="AZ308">
            <v>0</v>
          </cell>
          <cell r="BA308">
            <v>228</v>
          </cell>
          <cell r="BB308">
            <v>1</v>
          </cell>
          <cell r="BC308">
            <v>229</v>
          </cell>
          <cell r="BD308">
            <v>0</v>
          </cell>
          <cell r="BE308">
            <v>0</v>
          </cell>
          <cell r="BF308">
            <v>14</v>
          </cell>
          <cell r="BG308">
            <v>1</v>
          </cell>
          <cell r="BH308">
            <v>1</v>
          </cell>
          <cell r="BI308">
            <v>22</v>
          </cell>
          <cell r="BJ308">
            <v>6</v>
          </cell>
          <cell r="BK308">
            <v>5</v>
          </cell>
          <cell r="BL308">
            <v>2</v>
          </cell>
          <cell r="BM308">
            <v>4</v>
          </cell>
          <cell r="BN308">
            <v>5</v>
          </cell>
          <cell r="BO308">
            <v>0</v>
          </cell>
          <cell r="BP308">
            <v>2</v>
          </cell>
          <cell r="BQ308">
            <v>1</v>
          </cell>
          <cell r="BR308">
            <v>3</v>
          </cell>
          <cell r="BS308">
            <v>-1</v>
          </cell>
          <cell r="BT308">
            <v>-1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50</v>
          </cell>
          <cell r="DU308">
            <v>0</v>
          </cell>
          <cell r="DV308">
            <v>10</v>
          </cell>
          <cell r="DW308">
            <v>16</v>
          </cell>
          <cell r="DX308">
            <v>18</v>
          </cell>
          <cell r="DY308">
            <v>6</v>
          </cell>
          <cell r="DZ308">
            <v>0</v>
          </cell>
          <cell r="EA308">
            <v>81</v>
          </cell>
          <cell r="EB308">
            <v>1</v>
          </cell>
          <cell r="EC308">
            <v>24</v>
          </cell>
          <cell r="ED308">
            <v>20</v>
          </cell>
          <cell r="EE308">
            <v>17</v>
          </cell>
          <cell r="EF308">
            <v>19</v>
          </cell>
          <cell r="EG308">
            <v>0</v>
          </cell>
          <cell r="EH308">
            <v>74</v>
          </cell>
          <cell r="EI308">
            <v>22</v>
          </cell>
          <cell r="EJ308">
            <v>15</v>
          </cell>
          <cell r="EK308">
            <v>16</v>
          </cell>
          <cell r="EL308">
            <v>16</v>
          </cell>
          <cell r="EM308">
            <v>5</v>
          </cell>
          <cell r="EN308">
            <v>0</v>
          </cell>
          <cell r="EO308" t="str">
            <v xml:space="preserve">BLADE RUN PARKA                                             </v>
          </cell>
        </row>
        <row r="309">
          <cell r="A309" t="str">
            <v>CN4SB7712971</v>
          </cell>
          <cell r="B309" t="str">
            <v>CN4</v>
          </cell>
          <cell r="C309" t="str">
            <v>SB7712</v>
          </cell>
          <cell r="D309">
            <v>971</v>
          </cell>
          <cell r="E309" t="str">
            <v xml:space="preserve">   </v>
          </cell>
          <cell r="F309">
            <v>80909</v>
          </cell>
          <cell r="G309">
            <v>81008</v>
          </cell>
          <cell r="H309">
            <v>0</v>
          </cell>
          <cell r="I309">
            <v>306</v>
          </cell>
          <cell r="J309">
            <v>306</v>
          </cell>
          <cell r="K309">
            <v>306</v>
          </cell>
          <cell r="L309">
            <v>214</v>
          </cell>
          <cell r="M309">
            <v>214</v>
          </cell>
          <cell r="N309">
            <v>8302392</v>
          </cell>
          <cell r="O309">
            <v>9557298</v>
          </cell>
          <cell r="P309">
            <v>9557298</v>
          </cell>
          <cell r="Q309">
            <v>6683862</v>
          </cell>
          <cell r="R309">
            <v>31795700</v>
          </cell>
          <cell r="S309" t="str">
            <v xml:space="preserve"> </v>
          </cell>
          <cell r="T309" t="str">
            <v xml:space="preserve"> </v>
          </cell>
          <cell r="U309">
            <v>306</v>
          </cell>
          <cell r="V309">
            <v>9557298</v>
          </cell>
          <cell r="W309">
            <v>214</v>
          </cell>
          <cell r="X309">
            <v>6683862</v>
          </cell>
          <cell r="Y309">
            <v>69.930000000000007</v>
          </cell>
          <cell r="Z309">
            <v>69.930000000000007</v>
          </cell>
          <cell r="AA309">
            <v>6683862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92</v>
          </cell>
          <cell r="AN309">
            <v>6152901</v>
          </cell>
          <cell r="AO309">
            <v>27132</v>
          </cell>
          <cell r="AP309">
            <v>31233</v>
          </cell>
          <cell r="AQ309">
            <v>158000</v>
          </cell>
          <cell r="AR309">
            <v>0</v>
          </cell>
          <cell r="AS309">
            <v>5.0599999999999996</v>
          </cell>
          <cell r="AT309">
            <v>48348000</v>
          </cell>
          <cell r="AU309">
            <v>4.76</v>
          </cell>
          <cell r="AV309">
            <v>31795700</v>
          </cell>
          <cell r="AW309">
            <v>0</v>
          </cell>
          <cell r="AX309">
            <v>0</v>
          </cell>
          <cell r="AY309">
            <v>69.930000000000007</v>
          </cell>
          <cell r="AZ309">
            <v>0</v>
          </cell>
          <cell r="BA309">
            <v>214</v>
          </cell>
          <cell r="BB309">
            <v>0</v>
          </cell>
          <cell r="BC309">
            <v>214</v>
          </cell>
          <cell r="BD309">
            <v>0</v>
          </cell>
          <cell r="BE309">
            <v>0</v>
          </cell>
          <cell r="BF309">
            <v>13</v>
          </cell>
          <cell r="BG309">
            <v>0</v>
          </cell>
          <cell r="BH309">
            <v>1</v>
          </cell>
          <cell r="BI309">
            <v>28</v>
          </cell>
          <cell r="BJ309">
            <v>5</v>
          </cell>
          <cell r="BK309">
            <v>11</v>
          </cell>
          <cell r="BL309">
            <v>8</v>
          </cell>
          <cell r="BM309">
            <v>-1</v>
          </cell>
          <cell r="BN309">
            <v>5</v>
          </cell>
          <cell r="BO309">
            <v>0</v>
          </cell>
          <cell r="BP309">
            <v>13</v>
          </cell>
          <cell r="BQ309">
            <v>3</v>
          </cell>
          <cell r="BR309">
            <v>3</v>
          </cell>
          <cell r="BS309">
            <v>5</v>
          </cell>
          <cell r="BT309">
            <v>2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20</v>
          </cell>
          <cell r="DU309">
            <v>0</v>
          </cell>
          <cell r="DV309">
            <v>3</v>
          </cell>
          <cell r="DW309">
            <v>5</v>
          </cell>
          <cell r="DX309">
            <v>8</v>
          </cell>
          <cell r="DY309">
            <v>4</v>
          </cell>
          <cell r="DZ309">
            <v>0</v>
          </cell>
          <cell r="EA309">
            <v>70</v>
          </cell>
          <cell r="EB309">
            <v>11</v>
          </cell>
          <cell r="EC309">
            <v>8</v>
          </cell>
          <cell r="ED309">
            <v>22</v>
          </cell>
          <cell r="EE309">
            <v>21</v>
          </cell>
          <cell r="EF309">
            <v>8</v>
          </cell>
          <cell r="EG309">
            <v>0</v>
          </cell>
          <cell r="EH309">
            <v>83</v>
          </cell>
          <cell r="EI309">
            <v>20</v>
          </cell>
          <cell r="EJ309">
            <v>21</v>
          </cell>
          <cell r="EK309">
            <v>20</v>
          </cell>
          <cell r="EL309">
            <v>17</v>
          </cell>
          <cell r="EM309">
            <v>5</v>
          </cell>
          <cell r="EN309">
            <v>0</v>
          </cell>
          <cell r="EO309" t="str">
            <v xml:space="preserve">BLADE RUN PARKA                                             </v>
          </cell>
        </row>
        <row r="310">
          <cell r="A310" t="str">
            <v>CN4SB8318093</v>
          </cell>
          <cell r="B310" t="str">
            <v>CN4</v>
          </cell>
          <cell r="C310" t="str">
            <v>SB8318</v>
          </cell>
          <cell r="D310">
            <v>93</v>
          </cell>
          <cell r="E310" t="str">
            <v xml:space="preserve">   </v>
          </cell>
          <cell r="F310">
            <v>80826</v>
          </cell>
          <cell r="G310">
            <v>81015</v>
          </cell>
          <cell r="H310">
            <v>0</v>
          </cell>
          <cell r="I310">
            <v>306</v>
          </cell>
          <cell r="J310">
            <v>306</v>
          </cell>
          <cell r="K310">
            <v>306</v>
          </cell>
          <cell r="L310">
            <v>132</v>
          </cell>
          <cell r="M310">
            <v>132</v>
          </cell>
          <cell r="N310">
            <v>4894164</v>
          </cell>
          <cell r="O310">
            <v>5174766</v>
          </cell>
          <cell r="P310">
            <v>5174766</v>
          </cell>
          <cell r="Q310">
            <v>2232252</v>
          </cell>
          <cell r="R310">
            <v>13285400</v>
          </cell>
          <cell r="S310" t="str">
            <v xml:space="preserve"> </v>
          </cell>
          <cell r="T310" t="str">
            <v xml:space="preserve"> </v>
          </cell>
          <cell r="U310">
            <v>306</v>
          </cell>
          <cell r="V310">
            <v>5174766</v>
          </cell>
          <cell r="W310">
            <v>132</v>
          </cell>
          <cell r="X310">
            <v>2232252</v>
          </cell>
          <cell r="Y310">
            <v>43.14</v>
          </cell>
          <cell r="Z310">
            <v>43.14</v>
          </cell>
          <cell r="AA310">
            <v>2232252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174</v>
          </cell>
          <cell r="AN310">
            <v>5969583</v>
          </cell>
          <cell r="AO310">
            <v>15994</v>
          </cell>
          <cell r="AP310">
            <v>16911</v>
          </cell>
          <cell r="AQ310">
            <v>108000</v>
          </cell>
          <cell r="AR310">
            <v>0</v>
          </cell>
          <cell r="AS310">
            <v>6.39</v>
          </cell>
          <cell r="AT310">
            <v>33048000</v>
          </cell>
          <cell r="AU310">
            <v>5.95</v>
          </cell>
          <cell r="AV310">
            <v>13285400</v>
          </cell>
          <cell r="AW310">
            <v>0</v>
          </cell>
          <cell r="AX310">
            <v>0</v>
          </cell>
          <cell r="AY310">
            <v>43.14</v>
          </cell>
          <cell r="AZ310">
            <v>0</v>
          </cell>
          <cell r="BA310">
            <v>132</v>
          </cell>
          <cell r="BB310">
            <v>0</v>
          </cell>
          <cell r="BC310">
            <v>132</v>
          </cell>
          <cell r="BD310">
            <v>0</v>
          </cell>
          <cell r="BE310">
            <v>0</v>
          </cell>
          <cell r="BF310">
            <v>7</v>
          </cell>
          <cell r="BG310">
            <v>1</v>
          </cell>
          <cell r="BH310">
            <v>1</v>
          </cell>
          <cell r="BI310">
            <v>29</v>
          </cell>
          <cell r="BJ310">
            <v>7</v>
          </cell>
          <cell r="BK310">
            <v>11</v>
          </cell>
          <cell r="BL310">
            <v>10</v>
          </cell>
          <cell r="BM310">
            <v>1</v>
          </cell>
          <cell r="BN310">
            <v>0</v>
          </cell>
          <cell r="BO310">
            <v>0</v>
          </cell>
          <cell r="BP310">
            <v>5</v>
          </cell>
          <cell r="BQ310">
            <v>0</v>
          </cell>
          <cell r="BR310">
            <v>3</v>
          </cell>
          <cell r="BS310">
            <v>3</v>
          </cell>
          <cell r="BT310">
            <v>-1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2</v>
          </cell>
          <cell r="DU310">
            <v>0</v>
          </cell>
          <cell r="DV310">
            <v>0</v>
          </cell>
          <cell r="DW310">
            <v>1</v>
          </cell>
          <cell r="DX310">
            <v>0</v>
          </cell>
          <cell r="DY310">
            <v>1</v>
          </cell>
          <cell r="DZ310">
            <v>0</v>
          </cell>
          <cell r="EA310">
            <v>31</v>
          </cell>
          <cell r="EB310">
            <v>1</v>
          </cell>
          <cell r="EC310">
            <v>6</v>
          </cell>
          <cell r="ED310">
            <v>5</v>
          </cell>
          <cell r="EE310">
            <v>13</v>
          </cell>
          <cell r="EF310">
            <v>6</v>
          </cell>
          <cell r="EG310">
            <v>0</v>
          </cell>
          <cell r="EH310">
            <v>65</v>
          </cell>
          <cell r="EI310">
            <v>18</v>
          </cell>
          <cell r="EJ310">
            <v>8</v>
          </cell>
          <cell r="EK310">
            <v>17</v>
          </cell>
          <cell r="EL310">
            <v>18</v>
          </cell>
          <cell r="EM310">
            <v>4</v>
          </cell>
          <cell r="EN310">
            <v>0</v>
          </cell>
          <cell r="EO310" t="str">
            <v xml:space="preserve">APOLLO PANT                                                 </v>
          </cell>
        </row>
        <row r="311">
          <cell r="A311" t="str">
            <v>CN4SG4159494</v>
          </cell>
          <cell r="B311" t="str">
            <v>CN4</v>
          </cell>
          <cell r="C311" t="str">
            <v>SG4159</v>
          </cell>
          <cell r="D311">
            <v>494</v>
          </cell>
          <cell r="E311" t="str">
            <v xml:space="preserve">   </v>
          </cell>
          <cell r="F311">
            <v>80829</v>
          </cell>
          <cell r="G311">
            <v>81008</v>
          </cell>
          <cell r="H311">
            <v>0</v>
          </cell>
          <cell r="I311">
            <v>306</v>
          </cell>
          <cell r="J311">
            <v>306</v>
          </cell>
          <cell r="K311">
            <v>306</v>
          </cell>
          <cell r="L311">
            <v>28</v>
          </cell>
          <cell r="M311">
            <v>28</v>
          </cell>
          <cell r="N311">
            <v>4521762</v>
          </cell>
          <cell r="O311">
            <v>8060346</v>
          </cell>
          <cell r="P311">
            <v>8060346</v>
          </cell>
          <cell r="Q311">
            <v>737548</v>
          </cell>
          <cell r="R311">
            <v>3529400</v>
          </cell>
          <cell r="S311" t="str">
            <v xml:space="preserve"> </v>
          </cell>
          <cell r="T311" t="str">
            <v xml:space="preserve"> </v>
          </cell>
          <cell r="U311">
            <v>306</v>
          </cell>
          <cell r="V311">
            <v>8060346</v>
          </cell>
          <cell r="W311">
            <v>28</v>
          </cell>
          <cell r="X311">
            <v>737548</v>
          </cell>
          <cell r="Y311">
            <v>9.15</v>
          </cell>
          <cell r="Z311">
            <v>9.15</v>
          </cell>
          <cell r="AA311">
            <v>737548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278</v>
          </cell>
          <cell r="AN311">
            <v>14671937</v>
          </cell>
          <cell r="AO311">
            <v>14777</v>
          </cell>
          <cell r="AP311">
            <v>26341</v>
          </cell>
          <cell r="AQ311">
            <v>138000</v>
          </cell>
          <cell r="AR311">
            <v>0</v>
          </cell>
          <cell r="AS311">
            <v>5.24</v>
          </cell>
          <cell r="AT311">
            <v>42228000</v>
          </cell>
          <cell r="AU311">
            <v>4.79</v>
          </cell>
          <cell r="AV311">
            <v>3529400</v>
          </cell>
          <cell r="AW311">
            <v>0</v>
          </cell>
          <cell r="AX311">
            <v>0</v>
          </cell>
          <cell r="AY311">
            <v>9.15</v>
          </cell>
          <cell r="AZ311">
            <v>0</v>
          </cell>
          <cell r="BA311">
            <v>28</v>
          </cell>
          <cell r="BB311">
            <v>0</v>
          </cell>
          <cell r="BC311">
            <v>28</v>
          </cell>
          <cell r="BD311">
            <v>0</v>
          </cell>
          <cell r="BE311">
            <v>0</v>
          </cell>
          <cell r="BF311">
            <v>1</v>
          </cell>
          <cell r="BG311">
            <v>1</v>
          </cell>
          <cell r="BH311">
            <v>1</v>
          </cell>
          <cell r="BI311">
            <v>8</v>
          </cell>
          <cell r="BJ311">
            <v>1</v>
          </cell>
          <cell r="BK311">
            <v>3</v>
          </cell>
          <cell r="BL311">
            <v>1</v>
          </cell>
          <cell r="BM311">
            <v>2</v>
          </cell>
          <cell r="BN311">
            <v>1</v>
          </cell>
          <cell r="BO311">
            <v>0</v>
          </cell>
          <cell r="BP311">
            <v>1</v>
          </cell>
          <cell r="BQ311">
            <v>0</v>
          </cell>
          <cell r="BR311">
            <v>1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1</v>
          </cell>
          <cell r="DU311">
            <v>0</v>
          </cell>
          <cell r="DV311">
            <v>0</v>
          </cell>
          <cell r="DW311">
            <v>1</v>
          </cell>
          <cell r="DX311">
            <v>0</v>
          </cell>
          <cell r="DY311">
            <v>0</v>
          </cell>
          <cell r="DZ311">
            <v>0</v>
          </cell>
          <cell r="EA311">
            <v>9</v>
          </cell>
          <cell r="EB311">
            <v>0</v>
          </cell>
          <cell r="EC311">
            <v>1</v>
          </cell>
          <cell r="ED311">
            <v>2</v>
          </cell>
          <cell r="EE311">
            <v>2</v>
          </cell>
          <cell r="EF311">
            <v>4</v>
          </cell>
          <cell r="EG311">
            <v>0</v>
          </cell>
          <cell r="EH311">
            <v>9</v>
          </cell>
          <cell r="EI311">
            <v>2</v>
          </cell>
          <cell r="EJ311">
            <v>2</v>
          </cell>
          <cell r="EK311">
            <v>1</v>
          </cell>
          <cell r="EL311">
            <v>5</v>
          </cell>
          <cell r="EM311">
            <v>-1</v>
          </cell>
          <cell r="EN311">
            <v>0</v>
          </cell>
          <cell r="EO311" t="str">
            <v xml:space="preserve">BELLE STAR JACKET                                           </v>
          </cell>
        </row>
        <row r="312">
          <cell r="A312" t="str">
            <v>CN4SG4159552</v>
          </cell>
          <cell r="B312" t="str">
            <v>CN4</v>
          </cell>
          <cell r="C312" t="str">
            <v>SG4159</v>
          </cell>
          <cell r="D312">
            <v>552</v>
          </cell>
          <cell r="E312" t="str">
            <v xml:space="preserve">   </v>
          </cell>
          <cell r="F312">
            <v>80829</v>
          </cell>
          <cell r="G312">
            <v>81008</v>
          </cell>
          <cell r="H312">
            <v>0</v>
          </cell>
          <cell r="I312">
            <v>306</v>
          </cell>
          <cell r="J312">
            <v>306</v>
          </cell>
          <cell r="K312">
            <v>306</v>
          </cell>
          <cell r="L312">
            <v>74</v>
          </cell>
          <cell r="M312">
            <v>74</v>
          </cell>
          <cell r="N312">
            <v>4521762</v>
          </cell>
          <cell r="O312">
            <v>8060346</v>
          </cell>
          <cell r="P312">
            <v>8060346</v>
          </cell>
          <cell r="Q312">
            <v>1949234</v>
          </cell>
          <cell r="R312">
            <v>9521800</v>
          </cell>
          <cell r="S312" t="str">
            <v xml:space="preserve"> </v>
          </cell>
          <cell r="T312" t="str">
            <v xml:space="preserve"> </v>
          </cell>
          <cell r="U312">
            <v>306</v>
          </cell>
          <cell r="V312">
            <v>8060346</v>
          </cell>
          <cell r="W312">
            <v>74</v>
          </cell>
          <cell r="X312">
            <v>1949234</v>
          </cell>
          <cell r="Y312">
            <v>24.51</v>
          </cell>
          <cell r="Z312">
            <v>24.51</v>
          </cell>
          <cell r="AA312">
            <v>1949234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>
            <v>26341</v>
          </cell>
          <cell r="AM312">
            <v>231</v>
          </cell>
          <cell r="AN312">
            <v>12380270</v>
          </cell>
          <cell r="AO312">
            <v>14777</v>
          </cell>
          <cell r="AP312">
            <v>26341</v>
          </cell>
          <cell r="AQ312">
            <v>138000</v>
          </cell>
          <cell r="AR312">
            <v>0</v>
          </cell>
          <cell r="AS312">
            <v>5.24</v>
          </cell>
          <cell r="AT312">
            <v>42228000</v>
          </cell>
          <cell r="AU312">
            <v>4.88</v>
          </cell>
          <cell r="AV312">
            <v>9521800</v>
          </cell>
          <cell r="AW312">
            <v>0</v>
          </cell>
          <cell r="AX312">
            <v>0</v>
          </cell>
          <cell r="AY312">
            <v>24.51</v>
          </cell>
          <cell r="AZ312">
            <v>0</v>
          </cell>
          <cell r="BA312">
            <v>74</v>
          </cell>
          <cell r="BB312">
            <v>0</v>
          </cell>
          <cell r="BC312">
            <v>74</v>
          </cell>
          <cell r="BD312">
            <v>0</v>
          </cell>
          <cell r="BE312">
            <v>0</v>
          </cell>
          <cell r="BF312">
            <v>9</v>
          </cell>
          <cell r="BG312">
            <v>0</v>
          </cell>
          <cell r="BH312">
            <v>1</v>
          </cell>
          <cell r="BI312">
            <v>18</v>
          </cell>
          <cell r="BJ312">
            <v>2</v>
          </cell>
          <cell r="BK312">
            <v>4</v>
          </cell>
          <cell r="BL312">
            <v>7</v>
          </cell>
          <cell r="BM312">
            <v>2</v>
          </cell>
          <cell r="BN312">
            <v>3</v>
          </cell>
          <cell r="BO312">
            <v>0</v>
          </cell>
          <cell r="BP312">
            <v>7</v>
          </cell>
          <cell r="BQ312">
            <v>1</v>
          </cell>
          <cell r="BR312">
            <v>3</v>
          </cell>
          <cell r="BS312">
            <v>1</v>
          </cell>
          <cell r="BT312">
            <v>2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2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2</v>
          </cell>
          <cell r="DZ312">
            <v>0</v>
          </cell>
          <cell r="EA312">
            <v>24</v>
          </cell>
          <cell r="EB312">
            <v>0</v>
          </cell>
          <cell r="EC312">
            <v>6</v>
          </cell>
          <cell r="ED312">
            <v>6</v>
          </cell>
          <cell r="EE312">
            <v>8</v>
          </cell>
          <cell r="EF312">
            <v>4</v>
          </cell>
          <cell r="EG312">
            <v>0</v>
          </cell>
          <cell r="EH312">
            <v>23</v>
          </cell>
          <cell r="EI312">
            <v>5</v>
          </cell>
          <cell r="EJ312">
            <v>5</v>
          </cell>
          <cell r="EK312">
            <v>5</v>
          </cell>
          <cell r="EL312">
            <v>7</v>
          </cell>
          <cell r="EM312">
            <v>1</v>
          </cell>
          <cell r="EN312">
            <v>0</v>
          </cell>
          <cell r="EO312" t="str">
            <v xml:space="preserve">BELLE STAR JACKET                                           </v>
          </cell>
        </row>
        <row r="313">
          <cell r="A313" t="str">
            <v>CN4SG4159684</v>
          </cell>
          <cell r="B313" t="str">
            <v>CN4</v>
          </cell>
          <cell r="C313" t="str">
            <v>SG4159</v>
          </cell>
          <cell r="D313">
            <v>684</v>
          </cell>
          <cell r="E313" t="str">
            <v xml:space="preserve">   </v>
          </cell>
          <cell r="F313">
            <v>80829</v>
          </cell>
          <cell r="G313">
            <v>81008</v>
          </cell>
          <cell r="H313">
            <v>0</v>
          </cell>
          <cell r="I313">
            <v>306</v>
          </cell>
          <cell r="J313">
            <v>306</v>
          </cell>
          <cell r="K313">
            <v>306</v>
          </cell>
          <cell r="L313">
            <v>65</v>
          </cell>
          <cell r="M313">
            <v>65</v>
          </cell>
          <cell r="N313">
            <v>4521762</v>
          </cell>
          <cell r="O313">
            <v>8060346</v>
          </cell>
          <cell r="P313">
            <v>8060346</v>
          </cell>
          <cell r="Q313">
            <v>1712165</v>
          </cell>
          <cell r="R313">
            <v>8406959</v>
          </cell>
          <cell r="S313" t="str">
            <v xml:space="preserve"> </v>
          </cell>
          <cell r="T313" t="str">
            <v xml:space="preserve"> </v>
          </cell>
          <cell r="U313">
            <v>306</v>
          </cell>
          <cell r="V313">
            <v>8060346</v>
          </cell>
          <cell r="W313">
            <v>65</v>
          </cell>
          <cell r="X313">
            <v>1712165</v>
          </cell>
          <cell r="Y313">
            <v>21.24</v>
          </cell>
          <cell r="Z313">
            <v>21.24</v>
          </cell>
          <cell r="AA313">
            <v>1685824</v>
          </cell>
          <cell r="AB313">
            <v>26341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241</v>
          </cell>
          <cell r="AN313">
            <v>12722703</v>
          </cell>
          <cell r="AO313">
            <v>14777</v>
          </cell>
          <cell r="AP313">
            <v>26341</v>
          </cell>
          <cell r="AQ313">
            <v>138000</v>
          </cell>
          <cell r="AR313">
            <v>0</v>
          </cell>
          <cell r="AS313">
            <v>5.24</v>
          </cell>
          <cell r="AT313">
            <v>42228000</v>
          </cell>
          <cell r="AU313">
            <v>4.9800000000000004</v>
          </cell>
          <cell r="AV313">
            <v>8400100</v>
          </cell>
          <cell r="AW313">
            <v>0.26</v>
          </cell>
          <cell r="AX313">
            <v>6859</v>
          </cell>
          <cell r="AY313">
            <v>21.24</v>
          </cell>
          <cell r="AZ313">
            <v>0</v>
          </cell>
          <cell r="BA313">
            <v>64</v>
          </cell>
          <cell r="BB313">
            <v>1</v>
          </cell>
          <cell r="BC313">
            <v>65</v>
          </cell>
          <cell r="BD313">
            <v>0</v>
          </cell>
          <cell r="BE313">
            <v>0</v>
          </cell>
          <cell r="BF313">
            <v>9</v>
          </cell>
          <cell r="BG313">
            <v>0</v>
          </cell>
          <cell r="BH313">
            <v>1</v>
          </cell>
          <cell r="BI313">
            <v>13</v>
          </cell>
          <cell r="BJ313">
            <v>5</v>
          </cell>
          <cell r="BK313">
            <v>2</v>
          </cell>
          <cell r="BL313">
            <v>2</v>
          </cell>
          <cell r="BM313">
            <v>1</v>
          </cell>
          <cell r="BN313">
            <v>3</v>
          </cell>
          <cell r="BO313">
            <v>0</v>
          </cell>
          <cell r="BP313">
            <v>1</v>
          </cell>
          <cell r="BQ313">
            <v>0</v>
          </cell>
          <cell r="BR313">
            <v>2</v>
          </cell>
          <cell r="BS313">
            <v>1</v>
          </cell>
          <cell r="BT313">
            <v>-2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4</v>
          </cell>
          <cell r="DU313">
            <v>0</v>
          </cell>
          <cell r="DV313">
            <v>2</v>
          </cell>
          <cell r="DW313">
            <v>1</v>
          </cell>
          <cell r="DX313">
            <v>1</v>
          </cell>
          <cell r="DY313">
            <v>0</v>
          </cell>
          <cell r="DZ313">
            <v>0</v>
          </cell>
          <cell r="EA313">
            <v>21</v>
          </cell>
          <cell r="EB313">
            <v>1</v>
          </cell>
          <cell r="EC313">
            <v>5</v>
          </cell>
          <cell r="ED313">
            <v>2</v>
          </cell>
          <cell r="EE313">
            <v>7</v>
          </cell>
          <cell r="EF313">
            <v>6</v>
          </cell>
          <cell r="EG313">
            <v>0</v>
          </cell>
          <cell r="EH313">
            <v>26</v>
          </cell>
          <cell r="EI313">
            <v>4</v>
          </cell>
          <cell r="EJ313">
            <v>10</v>
          </cell>
          <cell r="EK313">
            <v>6</v>
          </cell>
          <cell r="EL313">
            <v>5</v>
          </cell>
          <cell r="EM313">
            <v>1</v>
          </cell>
          <cell r="EN313">
            <v>0</v>
          </cell>
          <cell r="EO313" t="str">
            <v xml:space="preserve">BELLE STAR JACKET                                           </v>
          </cell>
        </row>
        <row r="314">
          <cell r="A314" t="str">
            <v>CN4SG8315100</v>
          </cell>
          <cell r="B314" t="str">
            <v>CN4</v>
          </cell>
          <cell r="C314" t="str">
            <v>SG8315</v>
          </cell>
          <cell r="D314">
            <v>100</v>
          </cell>
          <cell r="E314" t="str">
            <v xml:space="preserve">   </v>
          </cell>
          <cell r="F314">
            <v>80917</v>
          </cell>
          <cell r="G314">
            <v>81015</v>
          </cell>
          <cell r="H314">
            <v>0</v>
          </cell>
          <cell r="I314">
            <v>306</v>
          </cell>
          <cell r="J314">
            <v>305</v>
          </cell>
          <cell r="K314">
            <v>305</v>
          </cell>
          <cell r="L314">
            <v>76</v>
          </cell>
          <cell r="M314">
            <v>76</v>
          </cell>
          <cell r="N314">
            <v>4904874</v>
          </cell>
          <cell r="O314">
            <v>6178080</v>
          </cell>
          <cell r="P314">
            <v>6178080</v>
          </cell>
          <cell r="Q314">
            <v>1539456</v>
          </cell>
          <cell r="R314">
            <v>7118700</v>
          </cell>
          <cell r="S314" t="str">
            <v xml:space="preserve"> </v>
          </cell>
          <cell r="T314" t="str">
            <v xml:space="preserve"> </v>
          </cell>
          <cell r="U314">
            <v>305</v>
          </cell>
          <cell r="V314">
            <v>6178080</v>
          </cell>
          <cell r="W314">
            <v>76</v>
          </cell>
          <cell r="X314">
            <v>1539456</v>
          </cell>
          <cell r="Y314">
            <v>25.25</v>
          </cell>
          <cell r="Z314">
            <v>25.25</v>
          </cell>
          <cell r="AA314">
            <v>1539456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>
            <v>20256</v>
          </cell>
          <cell r="AM314">
            <v>228</v>
          </cell>
          <cell r="AN314">
            <v>9317760</v>
          </cell>
          <cell r="AO314">
            <v>16029</v>
          </cell>
          <cell r="AP314">
            <v>20256</v>
          </cell>
          <cell r="AQ314">
            <v>98000</v>
          </cell>
          <cell r="AR314">
            <v>0</v>
          </cell>
          <cell r="AS314">
            <v>4.84</v>
          </cell>
          <cell r="AT314">
            <v>29890000</v>
          </cell>
          <cell r="AU314">
            <v>4.62</v>
          </cell>
          <cell r="AV314">
            <v>7118700</v>
          </cell>
          <cell r="AW314">
            <v>0</v>
          </cell>
          <cell r="AX314">
            <v>0</v>
          </cell>
          <cell r="AY314">
            <v>25.25</v>
          </cell>
          <cell r="AZ314">
            <v>0</v>
          </cell>
          <cell r="BA314">
            <v>76</v>
          </cell>
          <cell r="BB314">
            <v>0</v>
          </cell>
          <cell r="BC314">
            <v>76</v>
          </cell>
          <cell r="BD314">
            <v>0</v>
          </cell>
          <cell r="BE314">
            <v>0</v>
          </cell>
          <cell r="BF314">
            <v>7</v>
          </cell>
          <cell r="BG314">
            <v>1</v>
          </cell>
          <cell r="BH314">
            <v>1</v>
          </cell>
          <cell r="BI314">
            <v>24</v>
          </cell>
          <cell r="BJ314">
            <v>6</v>
          </cell>
          <cell r="BK314">
            <v>3</v>
          </cell>
          <cell r="BL314">
            <v>8</v>
          </cell>
          <cell r="BM314">
            <v>1</v>
          </cell>
          <cell r="BN314">
            <v>6</v>
          </cell>
          <cell r="BO314">
            <v>0</v>
          </cell>
          <cell r="BP314">
            <v>3</v>
          </cell>
          <cell r="BQ314">
            <v>0</v>
          </cell>
          <cell r="BR314">
            <v>1</v>
          </cell>
          <cell r="BS314">
            <v>0</v>
          </cell>
          <cell r="BT314">
            <v>1</v>
          </cell>
          <cell r="BU314">
            <v>1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15</v>
          </cell>
          <cell r="EB314">
            <v>0</v>
          </cell>
          <cell r="EC314">
            <v>4</v>
          </cell>
          <cell r="ED314">
            <v>2</v>
          </cell>
          <cell r="EE314">
            <v>6</v>
          </cell>
          <cell r="EF314">
            <v>3</v>
          </cell>
          <cell r="EG314">
            <v>0</v>
          </cell>
          <cell r="EH314">
            <v>34</v>
          </cell>
          <cell r="EI314">
            <v>6</v>
          </cell>
          <cell r="EJ314">
            <v>7</v>
          </cell>
          <cell r="EK314">
            <v>13</v>
          </cell>
          <cell r="EL314">
            <v>8</v>
          </cell>
          <cell r="EM314">
            <v>0</v>
          </cell>
          <cell r="EN314">
            <v>0</v>
          </cell>
          <cell r="EO314" t="str">
            <v xml:space="preserve">TECHNO PANT                                                 </v>
          </cell>
        </row>
        <row r="315">
          <cell r="A315" t="str">
            <v>CN4SG8315684</v>
          </cell>
          <cell r="B315" t="str">
            <v>CN4</v>
          </cell>
          <cell r="C315" t="str">
            <v>SG8315</v>
          </cell>
          <cell r="D315">
            <v>684</v>
          </cell>
          <cell r="E315" t="str">
            <v xml:space="preserve">   </v>
          </cell>
          <cell r="F315">
            <v>80917</v>
          </cell>
          <cell r="G315">
            <v>81015</v>
          </cell>
          <cell r="H315">
            <v>0</v>
          </cell>
          <cell r="I315">
            <v>306</v>
          </cell>
          <cell r="J315">
            <v>304</v>
          </cell>
          <cell r="K315">
            <v>304</v>
          </cell>
          <cell r="L315">
            <v>39</v>
          </cell>
          <cell r="M315">
            <v>39</v>
          </cell>
          <cell r="N315">
            <v>4904874</v>
          </cell>
          <cell r="O315">
            <v>6157824</v>
          </cell>
          <cell r="P315">
            <v>6157824</v>
          </cell>
          <cell r="Q315">
            <v>789984</v>
          </cell>
          <cell r="R315">
            <v>3603400</v>
          </cell>
          <cell r="S315" t="str">
            <v xml:space="preserve"> </v>
          </cell>
          <cell r="T315" t="str">
            <v xml:space="preserve"> </v>
          </cell>
          <cell r="U315">
            <v>304</v>
          </cell>
          <cell r="V315">
            <v>6157824</v>
          </cell>
          <cell r="W315">
            <v>39</v>
          </cell>
          <cell r="X315">
            <v>789984</v>
          </cell>
          <cell r="Y315">
            <v>13.16</v>
          </cell>
          <cell r="Z315">
            <v>13.49</v>
          </cell>
          <cell r="AA315">
            <v>789984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>
            <v>40512</v>
          </cell>
          <cell r="AM315">
            <v>264</v>
          </cell>
          <cell r="AN315">
            <v>10715424</v>
          </cell>
          <cell r="AO315">
            <v>16029</v>
          </cell>
          <cell r="AP315">
            <v>20256</v>
          </cell>
          <cell r="AQ315">
            <v>98000</v>
          </cell>
          <cell r="AR315">
            <v>0</v>
          </cell>
          <cell r="AS315">
            <v>4.84</v>
          </cell>
          <cell r="AT315">
            <v>29792000</v>
          </cell>
          <cell r="AU315">
            <v>4.5599999999999996</v>
          </cell>
          <cell r="AV315">
            <v>3603400</v>
          </cell>
          <cell r="AW315">
            <v>0</v>
          </cell>
          <cell r="AX315">
            <v>0</v>
          </cell>
          <cell r="AY315">
            <v>13.16</v>
          </cell>
          <cell r="AZ315">
            <v>0</v>
          </cell>
          <cell r="BA315">
            <v>39</v>
          </cell>
          <cell r="BB315">
            <v>0</v>
          </cell>
          <cell r="BC315">
            <v>39</v>
          </cell>
          <cell r="BD315">
            <v>0</v>
          </cell>
          <cell r="BE315">
            <v>0</v>
          </cell>
          <cell r="BF315">
            <v>3</v>
          </cell>
          <cell r="BG315">
            <v>0</v>
          </cell>
          <cell r="BH315">
            <v>1</v>
          </cell>
          <cell r="BI315">
            <v>12</v>
          </cell>
          <cell r="BJ315">
            <v>5</v>
          </cell>
          <cell r="BK315">
            <v>6</v>
          </cell>
          <cell r="BL315">
            <v>-3</v>
          </cell>
          <cell r="BM315">
            <v>2</v>
          </cell>
          <cell r="BN315">
            <v>2</v>
          </cell>
          <cell r="BO315">
            <v>0</v>
          </cell>
          <cell r="BP315">
            <v>1</v>
          </cell>
          <cell r="BQ315">
            <v>0</v>
          </cell>
          <cell r="BR315">
            <v>1</v>
          </cell>
          <cell r="BS315">
            <v>1</v>
          </cell>
          <cell r="BT315">
            <v>-1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5</v>
          </cell>
          <cell r="EB315">
            <v>0</v>
          </cell>
          <cell r="EC315">
            <v>2</v>
          </cell>
          <cell r="ED315">
            <v>0</v>
          </cell>
          <cell r="EE315">
            <v>1</v>
          </cell>
          <cell r="EF315">
            <v>2</v>
          </cell>
          <cell r="EG315">
            <v>0</v>
          </cell>
          <cell r="EH315">
            <v>21</v>
          </cell>
          <cell r="EI315">
            <v>5</v>
          </cell>
          <cell r="EJ315">
            <v>9</v>
          </cell>
          <cell r="EK315">
            <v>2</v>
          </cell>
          <cell r="EL315">
            <v>4</v>
          </cell>
          <cell r="EM315">
            <v>1</v>
          </cell>
          <cell r="EN315">
            <v>0</v>
          </cell>
          <cell r="EO315" t="str">
            <v xml:space="preserve">TECHNO PANT                                                 </v>
          </cell>
        </row>
        <row r="316">
          <cell r="A316" t="str">
            <v>CN4SL4165144</v>
          </cell>
          <cell r="B316" t="str">
            <v>CN4</v>
          </cell>
          <cell r="C316" t="str">
            <v>SL4165</v>
          </cell>
          <cell r="D316">
            <v>144</v>
          </cell>
          <cell r="E316" t="str">
            <v xml:space="preserve">   </v>
          </cell>
          <cell r="F316">
            <v>80804</v>
          </cell>
          <cell r="G316">
            <v>81101</v>
          </cell>
          <cell r="H316">
            <v>0</v>
          </cell>
          <cell r="I316">
            <v>504</v>
          </cell>
          <cell r="J316">
            <v>503</v>
          </cell>
          <cell r="K316">
            <v>299</v>
          </cell>
          <cell r="L316">
            <v>260</v>
          </cell>
          <cell r="M316">
            <v>260</v>
          </cell>
          <cell r="N316">
            <v>18917136</v>
          </cell>
          <cell r="O316">
            <v>20756798</v>
          </cell>
          <cell r="P316">
            <v>12338534</v>
          </cell>
          <cell r="Q316">
            <v>10729160</v>
          </cell>
          <cell r="R316">
            <v>59400959</v>
          </cell>
          <cell r="S316" t="str">
            <v xml:space="preserve"> </v>
          </cell>
          <cell r="T316" t="str">
            <v xml:space="preserve"> </v>
          </cell>
          <cell r="U316">
            <v>503</v>
          </cell>
          <cell r="V316">
            <v>20756798</v>
          </cell>
          <cell r="W316">
            <v>260</v>
          </cell>
          <cell r="X316">
            <v>10729160</v>
          </cell>
          <cell r="Y316">
            <v>51.89</v>
          </cell>
          <cell r="Z316">
            <v>52.09</v>
          </cell>
          <cell r="AA316">
            <v>10687894</v>
          </cell>
          <cell r="AB316">
            <v>41266</v>
          </cell>
          <cell r="AC316">
            <v>204</v>
          </cell>
          <cell r="AD316">
            <v>8418264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>
            <v>82532</v>
          </cell>
          <cell r="AM316">
            <v>38</v>
          </cell>
          <cell r="AN316">
            <v>11637012</v>
          </cell>
          <cell r="AO316">
            <v>37534</v>
          </cell>
          <cell r="AP316">
            <v>41266</v>
          </cell>
          <cell r="AQ316">
            <v>278000</v>
          </cell>
          <cell r="AR316">
            <v>0</v>
          </cell>
          <cell r="AS316">
            <v>6.74</v>
          </cell>
          <cell r="AT316">
            <v>139834000</v>
          </cell>
          <cell r="AU316">
            <v>5.56</v>
          </cell>
          <cell r="AV316">
            <v>59394100</v>
          </cell>
          <cell r="AW316">
            <v>0.17</v>
          </cell>
          <cell r="AX316">
            <v>6859</v>
          </cell>
          <cell r="AY316">
            <v>51.89</v>
          </cell>
          <cell r="AZ316">
            <v>0</v>
          </cell>
          <cell r="BA316">
            <v>259</v>
          </cell>
          <cell r="BB316">
            <v>1</v>
          </cell>
          <cell r="BC316">
            <v>260</v>
          </cell>
          <cell r="BD316">
            <v>0</v>
          </cell>
          <cell r="BE316">
            <v>0</v>
          </cell>
          <cell r="BF316">
            <v>32</v>
          </cell>
          <cell r="BG316">
            <v>1</v>
          </cell>
          <cell r="BH316">
            <v>1</v>
          </cell>
          <cell r="BI316">
            <v>89</v>
          </cell>
          <cell r="BJ316">
            <v>17</v>
          </cell>
          <cell r="BK316">
            <v>30</v>
          </cell>
          <cell r="BL316">
            <v>24</v>
          </cell>
          <cell r="BM316">
            <v>10</v>
          </cell>
          <cell r="BN316">
            <v>8</v>
          </cell>
          <cell r="BO316">
            <v>0</v>
          </cell>
          <cell r="BP316">
            <v>2</v>
          </cell>
          <cell r="BQ316">
            <v>6</v>
          </cell>
          <cell r="BR316">
            <v>0</v>
          </cell>
          <cell r="BS316">
            <v>-2</v>
          </cell>
          <cell r="BT316">
            <v>0</v>
          </cell>
          <cell r="BU316">
            <v>-2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38</v>
          </cell>
          <cell r="EB316">
            <v>4</v>
          </cell>
          <cell r="EC316">
            <v>4</v>
          </cell>
          <cell r="ED316">
            <v>6</v>
          </cell>
          <cell r="EE316">
            <v>12</v>
          </cell>
          <cell r="EF316">
            <v>12</v>
          </cell>
          <cell r="EG316">
            <v>0</v>
          </cell>
          <cell r="EH316">
            <v>131</v>
          </cell>
          <cell r="EI316">
            <v>14</v>
          </cell>
          <cell r="EJ316">
            <v>13</v>
          </cell>
          <cell r="EK316">
            <v>39</v>
          </cell>
          <cell r="EL316">
            <v>53</v>
          </cell>
          <cell r="EM316">
            <v>12</v>
          </cell>
          <cell r="EN316">
            <v>0</v>
          </cell>
          <cell r="EO316" t="str">
            <v xml:space="preserve">BLING BLING JACKET                                          </v>
          </cell>
        </row>
        <row r="317">
          <cell r="A317" t="str">
            <v>CN4SL4165755</v>
          </cell>
          <cell r="B317" t="str">
            <v>CN4</v>
          </cell>
          <cell r="C317" t="str">
            <v>SL4165</v>
          </cell>
          <cell r="D317">
            <v>755</v>
          </cell>
          <cell r="E317" t="str">
            <v xml:space="preserve">   </v>
          </cell>
          <cell r="F317">
            <v>80804</v>
          </cell>
          <cell r="G317">
            <v>81101</v>
          </cell>
          <cell r="H317">
            <v>0</v>
          </cell>
          <cell r="I317">
            <v>600</v>
          </cell>
          <cell r="J317">
            <v>598</v>
          </cell>
          <cell r="K317">
            <v>198</v>
          </cell>
          <cell r="L317">
            <v>142</v>
          </cell>
          <cell r="M317">
            <v>142</v>
          </cell>
          <cell r="N317">
            <v>22520400</v>
          </cell>
          <cell r="O317">
            <v>24677068</v>
          </cell>
          <cell r="P317">
            <v>8170668</v>
          </cell>
          <cell r="Q317">
            <v>5859772</v>
          </cell>
          <cell r="R317">
            <v>33113700</v>
          </cell>
          <cell r="S317" t="str">
            <v xml:space="preserve"> </v>
          </cell>
          <cell r="T317" t="str">
            <v xml:space="preserve"> </v>
          </cell>
          <cell r="U317">
            <v>598</v>
          </cell>
          <cell r="V317">
            <v>24677068</v>
          </cell>
          <cell r="W317">
            <v>142</v>
          </cell>
          <cell r="X317">
            <v>5859772</v>
          </cell>
          <cell r="Y317">
            <v>23.75</v>
          </cell>
          <cell r="Z317">
            <v>23.75</v>
          </cell>
          <cell r="AA317">
            <v>5859772</v>
          </cell>
          <cell r="AB317">
            <v>0</v>
          </cell>
          <cell r="AC317">
            <v>400</v>
          </cell>
          <cell r="AD317">
            <v>16506400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56</v>
          </cell>
          <cell r="AN317">
            <v>21334522</v>
          </cell>
          <cell r="AO317">
            <v>37534</v>
          </cell>
          <cell r="AP317">
            <v>41266</v>
          </cell>
          <cell r="AQ317">
            <v>278000</v>
          </cell>
          <cell r="AR317">
            <v>0</v>
          </cell>
          <cell r="AS317">
            <v>6.74</v>
          </cell>
          <cell r="AT317">
            <v>166244000</v>
          </cell>
          <cell r="AU317">
            <v>5.65</v>
          </cell>
          <cell r="AV317">
            <v>33113700</v>
          </cell>
          <cell r="AW317">
            <v>0</v>
          </cell>
          <cell r="AX317">
            <v>0</v>
          </cell>
          <cell r="AY317">
            <v>23.75</v>
          </cell>
          <cell r="AZ317">
            <v>0</v>
          </cell>
          <cell r="BA317">
            <v>142</v>
          </cell>
          <cell r="BB317">
            <v>0</v>
          </cell>
          <cell r="BC317">
            <v>142</v>
          </cell>
          <cell r="BD317">
            <v>0</v>
          </cell>
          <cell r="BE317">
            <v>0</v>
          </cell>
          <cell r="BF317">
            <v>15</v>
          </cell>
          <cell r="BG317">
            <v>0</v>
          </cell>
          <cell r="BH317">
            <v>1</v>
          </cell>
          <cell r="BI317">
            <v>58</v>
          </cell>
          <cell r="BJ317">
            <v>11</v>
          </cell>
          <cell r="BK317">
            <v>19</v>
          </cell>
          <cell r="BL317">
            <v>16</v>
          </cell>
          <cell r="BM317">
            <v>9</v>
          </cell>
          <cell r="BN317">
            <v>3</v>
          </cell>
          <cell r="BO317">
            <v>0</v>
          </cell>
          <cell r="BP317">
            <v>5</v>
          </cell>
          <cell r="BQ317">
            <v>2</v>
          </cell>
          <cell r="BR317">
            <v>3</v>
          </cell>
          <cell r="BS317">
            <v>-1</v>
          </cell>
          <cell r="BT317">
            <v>1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29</v>
          </cell>
          <cell r="EB317">
            <v>1</v>
          </cell>
          <cell r="EC317">
            <v>4</v>
          </cell>
          <cell r="ED317">
            <v>7</v>
          </cell>
          <cell r="EE317">
            <v>8</v>
          </cell>
          <cell r="EF317">
            <v>9</v>
          </cell>
          <cell r="EG317">
            <v>0</v>
          </cell>
          <cell r="EH317">
            <v>50</v>
          </cell>
          <cell r="EI317">
            <v>12</v>
          </cell>
          <cell r="EJ317">
            <v>4</v>
          </cell>
          <cell r="EK317">
            <v>12</v>
          </cell>
          <cell r="EL317">
            <v>12</v>
          </cell>
          <cell r="EM317">
            <v>10</v>
          </cell>
          <cell r="EN317">
            <v>0</v>
          </cell>
          <cell r="EO317" t="str">
            <v xml:space="preserve">BLING BLING JACKET                                          </v>
          </cell>
        </row>
        <row r="318">
          <cell r="A318" t="str">
            <v>CN4SL7704010</v>
          </cell>
          <cell r="B318" t="str">
            <v>CN4</v>
          </cell>
          <cell r="C318" t="str">
            <v>SL7704</v>
          </cell>
          <cell r="D318">
            <v>10</v>
          </cell>
          <cell r="E318" t="str">
            <v xml:space="preserve">   </v>
          </cell>
          <cell r="F318">
            <v>81031</v>
          </cell>
          <cell r="G318">
            <v>81103</v>
          </cell>
          <cell r="H318">
            <v>0</v>
          </cell>
          <cell r="I318">
            <v>600</v>
          </cell>
          <cell r="J318">
            <v>541</v>
          </cell>
          <cell r="K318">
            <v>81</v>
          </cell>
          <cell r="L318">
            <v>33</v>
          </cell>
          <cell r="M318">
            <v>33</v>
          </cell>
          <cell r="N318">
            <v>38469600</v>
          </cell>
          <cell r="O318">
            <v>43320575</v>
          </cell>
          <cell r="P318">
            <v>6486075</v>
          </cell>
          <cell r="Q318">
            <v>2642475</v>
          </cell>
          <cell r="R318">
            <v>10034088</v>
          </cell>
          <cell r="S318" t="str">
            <v xml:space="preserve"> </v>
          </cell>
          <cell r="T318" t="str">
            <v xml:space="preserve"> </v>
          </cell>
          <cell r="U318">
            <v>541</v>
          </cell>
          <cell r="V318">
            <v>43320575</v>
          </cell>
          <cell r="W318">
            <v>33</v>
          </cell>
          <cell r="X318">
            <v>2642475</v>
          </cell>
          <cell r="Y318">
            <v>5.73</v>
          </cell>
          <cell r="Z318">
            <v>5.36</v>
          </cell>
          <cell r="AA318">
            <v>2562400</v>
          </cell>
          <cell r="AB318">
            <v>80075</v>
          </cell>
          <cell r="AC318">
            <v>460</v>
          </cell>
          <cell r="AD318">
            <v>39316825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-2</v>
          </cell>
          <cell r="AL318">
            <v>-320300</v>
          </cell>
          <cell r="AM318">
            <v>50</v>
          </cell>
          <cell r="AN318">
            <v>42679975</v>
          </cell>
          <cell r="AO318">
            <v>64116</v>
          </cell>
          <cell r="AP318">
            <v>80075</v>
          </cell>
          <cell r="AQ318">
            <v>378000</v>
          </cell>
          <cell r="AR318">
            <v>0</v>
          </cell>
          <cell r="AS318">
            <v>4.72</v>
          </cell>
          <cell r="AT318">
            <v>204498000</v>
          </cell>
          <cell r="AU318">
            <v>3.91</v>
          </cell>
          <cell r="AV318">
            <v>10027229</v>
          </cell>
          <cell r="AW318">
            <v>0.09</v>
          </cell>
          <cell r="AX318">
            <v>6859</v>
          </cell>
          <cell r="AY318">
            <v>5.73</v>
          </cell>
          <cell r="AZ318">
            <v>0</v>
          </cell>
          <cell r="BA318">
            <v>32</v>
          </cell>
          <cell r="BB318">
            <v>1</v>
          </cell>
          <cell r="BC318">
            <v>33</v>
          </cell>
          <cell r="BD318">
            <v>0</v>
          </cell>
          <cell r="BE318">
            <v>0</v>
          </cell>
          <cell r="BF318">
            <v>8</v>
          </cell>
          <cell r="BG318">
            <v>1</v>
          </cell>
          <cell r="BH318">
            <v>1</v>
          </cell>
          <cell r="BI318">
            <v>8</v>
          </cell>
          <cell r="BJ318">
            <v>4</v>
          </cell>
          <cell r="BK318">
            <v>-1</v>
          </cell>
          <cell r="BL318">
            <v>4</v>
          </cell>
          <cell r="BM318">
            <v>2</v>
          </cell>
          <cell r="BN318">
            <v>-1</v>
          </cell>
          <cell r="BO318">
            <v>0</v>
          </cell>
          <cell r="BP318">
            <v>4</v>
          </cell>
          <cell r="BQ318">
            <v>2</v>
          </cell>
          <cell r="BR318">
            <v>1</v>
          </cell>
          <cell r="BS318">
            <v>1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4</v>
          </cell>
          <cell r="EB318">
            <v>0</v>
          </cell>
          <cell r="EC318">
            <v>0</v>
          </cell>
          <cell r="ED318">
            <v>4</v>
          </cell>
          <cell r="EE318">
            <v>0</v>
          </cell>
          <cell r="EF318">
            <v>0</v>
          </cell>
          <cell r="EG318">
            <v>0</v>
          </cell>
          <cell r="EH318">
            <v>17</v>
          </cell>
          <cell r="EI318">
            <v>2</v>
          </cell>
          <cell r="EJ318">
            <v>4</v>
          </cell>
          <cell r="EK318">
            <v>2</v>
          </cell>
          <cell r="EL318">
            <v>8</v>
          </cell>
          <cell r="EM318">
            <v>1</v>
          </cell>
          <cell r="EN318">
            <v>0</v>
          </cell>
          <cell r="EO318" t="str">
            <v xml:space="preserve">RETRO PARKA                                                 </v>
          </cell>
        </row>
        <row r="319">
          <cell r="A319" t="str">
            <v>CN4SL7704100</v>
          </cell>
          <cell r="B319" t="str">
            <v>CN4</v>
          </cell>
          <cell r="C319" t="str">
            <v>SL7704</v>
          </cell>
          <cell r="D319">
            <v>100</v>
          </cell>
          <cell r="E319" t="str">
            <v xml:space="preserve">   </v>
          </cell>
          <cell r="F319">
            <v>81031</v>
          </cell>
          <cell r="G319">
            <v>81103</v>
          </cell>
          <cell r="H319">
            <v>0</v>
          </cell>
          <cell r="I319">
            <v>402</v>
          </cell>
          <cell r="J319">
            <v>401</v>
          </cell>
          <cell r="K319">
            <v>153</v>
          </cell>
          <cell r="L319">
            <v>117</v>
          </cell>
          <cell r="M319">
            <v>117</v>
          </cell>
          <cell r="N319">
            <v>25774632</v>
          </cell>
          <cell r="O319">
            <v>32110075</v>
          </cell>
          <cell r="P319">
            <v>12251475</v>
          </cell>
          <cell r="Q319">
            <v>9368775</v>
          </cell>
          <cell r="R319">
            <v>36769600</v>
          </cell>
          <cell r="S319" t="str">
            <v xml:space="preserve"> </v>
          </cell>
          <cell r="T319" t="str">
            <v xml:space="preserve"> </v>
          </cell>
          <cell r="U319">
            <v>401</v>
          </cell>
          <cell r="V319">
            <v>32110075</v>
          </cell>
          <cell r="W319">
            <v>117</v>
          </cell>
          <cell r="X319">
            <v>9368775</v>
          </cell>
          <cell r="Y319">
            <v>29.43</v>
          </cell>
          <cell r="Z319">
            <v>29.43</v>
          </cell>
          <cell r="AA319">
            <v>9368775</v>
          </cell>
          <cell r="AB319">
            <v>0</v>
          </cell>
          <cell r="AC319">
            <v>248</v>
          </cell>
          <cell r="AD319">
            <v>19858600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80075</v>
          </cell>
          <cell r="AM319">
            <v>35</v>
          </cell>
          <cell r="AN319">
            <v>25784150</v>
          </cell>
          <cell r="AO319">
            <v>64116</v>
          </cell>
          <cell r="AP319">
            <v>80075</v>
          </cell>
          <cell r="AQ319">
            <v>378000</v>
          </cell>
          <cell r="AR319">
            <v>0</v>
          </cell>
          <cell r="AS319">
            <v>4.72</v>
          </cell>
          <cell r="AT319">
            <v>151578000</v>
          </cell>
          <cell r="AU319">
            <v>3.92</v>
          </cell>
          <cell r="AV319">
            <v>36769600</v>
          </cell>
          <cell r="AW319">
            <v>0</v>
          </cell>
          <cell r="AX319">
            <v>0</v>
          </cell>
          <cell r="AY319">
            <v>29.43</v>
          </cell>
          <cell r="AZ319">
            <v>0</v>
          </cell>
          <cell r="BA319">
            <v>117</v>
          </cell>
          <cell r="BB319">
            <v>0</v>
          </cell>
          <cell r="BC319">
            <v>117</v>
          </cell>
          <cell r="BD319">
            <v>0</v>
          </cell>
          <cell r="BE319">
            <v>0</v>
          </cell>
          <cell r="BF319">
            <v>7</v>
          </cell>
          <cell r="BG319">
            <v>0</v>
          </cell>
          <cell r="BH319">
            <v>1</v>
          </cell>
          <cell r="BI319">
            <v>47</v>
          </cell>
          <cell r="BJ319">
            <v>5</v>
          </cell>
          <cell r="BK319">
            <v>13</v>
          </cell>
          <cell r="BL319">
            <v>9</v>
          </cell>
          <cell r="BM319">
            <v>8</v>
          </cell>
          <cell r="BN319">
            <v>12</v>
          </cell>
          <cell r="BO319">
            <v>0</v>
          </cell>
          <cell r="BP319">
            <v>3</v>
          </cell>
          <cell r="BQ319">
            <v>0</v>
          </cell>
          <cell r="BR319">
            <v>3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12</v>
          </cell>
          <cell r="EB319">
            <v>0</v>
          </cell>
          <cell r="EC319">
            <v>1</v>
          </cell>
          <cell r="ED319">
            <v>2</v>
          </cell>
          <cell r="EE319">
            <v>5</v>
          </cell>
          <cell r="EF319">
            <v>4</v>
          </cell>
          <cell r="EG319">
            <v>0</v>
          </cell>
          <cell r="EH319">
            <v>55</v>
          </cell>
          <cell r="EI319">
            <v>5</v>
          </cell>
          <cell r="EJ319">
            <v>11</v>
          </cell>
          <cell r="EK319">
            <v>9</v>
          </cell>
          <cell r="EL319">
            <v>21</v>
          </cell>
          <cell r="EM319">
            <v>9</v>
          </cell>
          <cell r="EN319">
            <v>0</v>
          </cell>
          <cell r="EO319" t="str">
            <v xml:space="preserve">RETRO PARKA                                                 </v>
          </cell>
        </row>
        <row r="320">
          <cell r="A320" t="str">
            <v>CN4SL7704527</v>
          </cell>
          <cell r="B320" t="str">
            <v>CN4</v>
          </cell>
          <cell r="C320" t="str">
            <v>SL7704</v>
          </cell>
          <cell r="D320">
            <v>527</v>
          </cell>
          <cell r="E320" t="str">
            <v xml:space="preserve">   </v>
          </cell>
          <cell r="F320">
            <v>81031</v>
          </cell>
          <cell r="G320">
            <v>81103</v>
          </cell>
          <cell r="H320">
            <v>0</v>
          </cell>
          <cell r="I320">
            <v>402</v>
          </cell>
          <cell r="J320">
            <v>401</v>
          </cell>
          <cell r="K320">
            <v>77</v>
          </cell>
          <cell r="L320">
            <v>41</v>
          </cell>
          <cell r="M320">
            <v>41</v>
          </cell>
          <cell r="N320">
            <v>25774632</v>
          </cell>
          <cell r="O320">
            <v>32110075</v>
          </cell>
          <cell r="P320">
            <v>6165775</v>
          </cell>
          <cell r="Q320">
            <v>3283075</v>
          </cell>
          <cell r="R320">
            <v>12778700</v>
          </cell>
          <cell r="S320" t="str">
            <v xml:space="preserve"> </v>
          </cell>
          <cell r="T320" t="str">
            <v xml:space="preserve"> </v>
          </cell>
          <cell r="U320">
            <v>401</v>
          </cell>
          <cell r="V320">
            <v>32110075</v>
          </cell>
          <cell r="W320">
            <v>41</v>
          </cell>
          <cell r="X320">
            <v>3283075</v>
          </cell>
          <cell r="Y320">
            <v>10.220000000000001</v>
          </cell>
          <cell r="Z320">
            <v>10.220000000000001</v>
          </cell>
          <cell r="AA320">
            <v>3283075</v>
          </cell>
          <cell r="AB320">
            <v>0</v>
          </cell>
          <cell r="AC320">
            <v>324</v>
          </cell>
          <cell r="AD320">
            <v>26985275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36</v>
          </cell>
          <cell r="AN320">
            <v>30668725</v>
          </cell>
          <cell r="AO320">
            <v>64116</v>
          </cell>
          <cell r="AP320">
            <v>80075</v>
          </cell>
          <cell r="AQ320">
            <v>378000</v>
          </cell>
          <cell r="AR320">
            <v>0</v>
          </cell>
          <cell r="AS320">
            <v>4.72</v>
          </cell>
          <cell r="AT320">
            <v>151578000</v>
          </cell>
          <cell r="AU320">
            <v>3.89</v>
          </cell>
          <cell r="AV320">
            <v>12778700</v>
          </cell>
          <cell r="AW320">
            <v>0</v>
          </cell>
          <cell r="AX320">
            <v>0</v>
          </cell>
          <cell r="AY320">
            <v>10.220000000000001</v>
          </cell>
          <cell r="AZ320">
            <v>0</v>
          </cell>
          <cell r="BA320">
            <v>41</v>
          </cell>
          <cell r="BB320">
            <v>0</v>
          </cell>
          <cell r="BC320">
            <v>41</v>
          </cell>
          <cell r="BD320">
            <v>0</v>
          </cell>
          <cell r="BE320">
            <v>0</v>
          </cell>
          <cell r="BF320">
            <v>4</v>
          </cell>
          <cell r="BG320">
            <v>0</v>
          </cell>
          <cell r="BH320">
            <v>1</v>
          </cell>
          <cell r="BI320">
            <v>19</v>
          </cell>
          <cell r="BJ320">
            <v>5</v>
          </cell>
          <cell r="BK320">
            <v>3</v>
          </cell>
          <cell r="BL320">
            <v>7</v>
          </cell>
          <cell r="BM320">
            <v>0</v>
          </cell>
          <cell r="BN320">
            <v>4</v>
          </cell>
          <cell r="BO320">
            <v>0</v>
          </cell>
          <cell r="BP320">
            <v>0</v>
          </cell>
          <cell r="BQ320">
            <v>0</v>
          </cell>
          <cell r="BR320">
            <v>1</v>
          </cell>
          <cell r="BS320">
            <v>0</v>
          </cell>
          <cell r="BT320">
            <v>0</v>
          </cell>
          <cell r="BU320">
            <v>-1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4</v>
          </cell>
          <cell r="EB320">
            <v>0</v>
          </cell>
          <cell r="EC320">
            <v>0</v>
          </cell>
          <cell r="ED320">
            <v>3</v>
          </cell>
          <cell r="EE320">
            <v>-1</v>
          </cell>
          <cell r="EF320">
            <v>2</v>
          </cell>
          <cell r="EG320">
            <v>0</v>
          </cell>
          <cell r="EH320">
            <v>18</v>
          </cell>
          <cell r="EI320">
            <v>6</v>
          </cell>
          <cell r="EJ320">
            <v>1</v>
          </cell>
          <cell r="EK320">
            <v>2</v>
          </cell>
          <cell r="EL320">
            <v>5</v>
          </cell>
          <cell r="EM320">
            <v>4</v>
          </cell>
          <cell r="EN320">
            <v>0</v>
          </cell>
          <cell r="EO320" t="str">
            <v xml:space="preserve">RETRO PARKA                                                 </v>
          </cell>
        </row>
        <row r="321">
          <cell r="A321" t="str">
            <v>CN4SL7709010</v>
          </cell>
          <cell r="B321" t="str">
            <v>CN4</v>
          </cell>
          <cell r="C321" t="str">
            <v>SL7709</v>
          </cell>
          <cell r="D321">
            <v>10</v>
          </cell>
          <cell r="E321" t="str">
            <v xml:space="preserve">   </v>
          </cell>
          <cell r="F321">
            <v>81111</v>
          </cell>
          <cell r="G321">
            <v>81112</v>
          </cell>
          <cell r="H321">
            <v>0</v>
          </cell>
          <cell r="I321">
            <v>702</v>
          </cell>
          <cell r="J321">
            <v>700</v>
          </cell>
          <cell r="K321">
            <v>675</v>
          </cell>
          <cell r="L321">
            <v>163</v>
          </cell>
          <cell r="M321">
            <v>163</v>
          </cell>
          <cell r="N321">
            <v>36516636</v>
          </cell>
          <cell r="O321">
            <v>44161600</v>
          </cell>
          <cell r="P321">
            <v>42584400</v>
          </cell>
          <cell r="Q321">
            <v>10283344</v>
          </cell>
          <cell r="R321">
            <v>46223959</v>
          </cell>
          <cell r="S321" t="str">
            <v xml:space="preserve"> </v>
          </cell>
          <cell r="T321" t="str">
            <v xml:space="preserve"> </v>
          </cell>
          <cell r="U321">
            <v>700</v>
          </cell>
          <cell r="V321">
            <v>44161600</v>
          </cell>
          <cell r="W321">
            <v>163</v>
          </cell>
          <cell r="X321">
            <v>10283344</v>
          </cell>
          <cell r="Y321">
            <v>23.29</v>
          </cell>
          <cell r="Z321">
            <v>23.29</v>
          </cell>
          <cell r="AA321">
            <v>10220256</v>
          </cell>
          <cell r="AB321">
            <v>63088</v>
          </cell>
          <cell r="AC321">
            <v>25</v>
          </cell>
          <cell r="AD321">
            <v>1703376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512</v>
          </cell>
          <cell r="AN321">
            <v>66557840</v>
          </cell>
          <cell r="AO321">
            <v>52018</v>
          </cell>
          <cell r="AP321">
            <v>63088</v>
          </cell>
          <cell r="AQ321">
            <v>338000</v>
          </cell>
          <cell r="AR321">
            <v>0</v>
          </cell>
          <cell r="AS321">
            <v>5.36</v>
          </cell>
          <cell r="AT321">
            <v>236600000</v>
          </cell>
          <cell r="AU321">
            <v>4.5199999999999996</v>
          </cell>
          <cell r="AV321">
            <v>46217100</v>
          </cell>
          <cell r="AW321">
            <v>0.11</v>
          </cell>
          <cell r="AX321">
            <v>6859</v>
          </cell>
          <cell r="AY321">
            <v>23.29</v>
          </cell>
          <cell r="AZ321">
            <v>0</v>
          </cell>
          <cell r="BA321">
            <v>162</v>
          </cell>
          <cell r="BB321">
            <v>1</v>
          </cell>
          <cell r="BC321">
            <v>163</v>
          </cell>
          <cell r="BD321">
            <v>0</v>
          </cell>
          <cell r="BE321">
            <v>0</v>
          </cell>
          <cell r="BF321">
            <v>24</v>
          </cell>
          <cell r="BG321">
            <v>1</v>
          </cell>
          <cell r="BH321">
            <v>1</v>
          </cell>
          <cell r="BI321">
            <v>69</v>
          </cell>
          <cell r="BJ321">
            <v>13</v>
          </cell>
          <cell r="BK321">
            <v>19</v>
          </cell>
          <cell r="BL321">
            <v>17</v>
          </cell>
          <cell r="BM321">
            <v>5</v>
          </cell>
          <cell r="BN321">
            <v>15</v>
          </cell>
          <cell r="BO321">
            <v>0</v>
          </cell>
          <cell r="BP321">
            <v>8</v>
          </cell>
          <cell r="BQ321">
            <v>0</v>
          </cell>
          <cell r="BR321">
            <v>2</v>
          </cell>
          <cell r="BS321">
            <v>5</v>
          </cell>
          <cell r="BT321">
            <v>2</v>
          </cell>
          <cell r="BU321">
            <v>-1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26</v>
          </cell>
          <cell r="EB321">
            <v>0</v>
          </cell>
          <cell r="EC321">
            <v>0</v>
          </cell>
          <cell r="ED321">
            <v>5</v>
          </cell>
          <cell r="EE321">
            <v>10</v>
          </cell>
          <cell r="EF321">
            <v>11</v>
          </cell>
          <cell r="EG321">
            <v>0</v>
          </cell>
          <cell r="EH321">
            <v>60</v>
          </cell>
          <cell r="EI321">
            <v>11</v>
          </cell>
          <cell r="EJ321">
            <v>12</v>
          </cell>
          <cell r="EK321">
            <v>13</v>
          </cell>
          <cell r="EL321">
            <v>18</v>
          </cell>
          <cell r="EM321">
            <v>6</v>
          </cell>
          <cell r="EN321">
            <v>0</v>
          </cell>
          <cell r="EO321" t="str">
            <v xml:space="preserve">THE ELECTRA PARKA                                           </v>
          </cell>
        </row>
        <row r="322">
          <cell r="A322" t="str">
            <v>CN4SL7709986</v>
          </cell>
          <cell r="B322" t="str">
            <v>CN4</v>
          </cell>
          <cell r="C322" t="str">
            <v>SL7709</v>
          </cell>
          <cell r="D322">
            <v>986</v>
          </cell>
          <cell r="E322" t="str">
            <v xml:space="preserve">   </v>
          </cell>
          <cell r="F322">
            <v>81111</v>
          </cell>
          <cell r="G322">
            <v>81112</v>
          </cell>
          <cell r="H322">
            <v>0</v>
          </cell>
          <cell r="I322">
            <v>702</v>
          </cell>
          <cell r="J322">
            <v>702</v>
          </cell>
          <cell r="K322">
            <v>682</v>
          </cell>
          <cell r="L322">
            <v>200</v>
          </cell>
          <cell r="M322">
            <v>200</v>
          </cell>
          <cell r="N322">
            <v>36516636</v>
          </cell>
          <cell r="O322">
            <v>44287776</v>
          </cell>
          <cell r="P322">
            <v>43026016</v>
          </cell>
          <cell r="Q322">
            <v>12617600</v>
          </cell>
          <cell r="R322">
            <v>56729600</v>
          </cell>
          <cell r="S322" t="str">
            <v xml:space="preserve"> </v>
          </cell>
          <cell r="T322" t="str">
            <v xml:space="preserve"> </v>
          </cell>
          <cell r="U322">
            <v>702</v>
          </cell>
          <cell r="V322">
            <v>44287776</v>
          </cell>
          <cell r="W322">
            <v>200</v>
          </cell>
          <cell r="X322">
            <v>12617600</v>
          </cell>
          <cell r="Y322">
            <v>28.35</v>
          </cell>
          <cell r="Z322">
            <v>28.21</v>
          </cell>
          <cell r="AA322">
            <v>12617600</v>
          </cell>
          <cell r="AB322">
            <v>0</v>
          </cell>
          <cell r="AC322">
            <v>20</v>
          </cell>
          <cell r="AD322">
            <v>1577200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-1</v>
          </cell>
          <cell r="AL322">
            <v>-126176</v>
          </cell>
          <cell r="AM322">
            <v>483</v>
          </cell>
          <cell r="AN322">
            <v>62961824</v>
          </cell>
          <cell r="AO322">
            <v>52018</v>
          </cell>
          <cell r="AP322">
            <v>63088</v>
          </cell>
          <cell r="AQ322">
            <v>338000</v>
          </cell>
          <cell r="AR322">
            <v>0</v>
          </cell>
          <cell r="AS322">
            <v>5.36</v>
          </cell>
          <cell r="AT322">
            <v>237276000</v>
          </cell>
          <cell r="AU322">
            <v>4.5</v>
          </cell>
          <cell r="AV322">
            <v>56729600</v>
          </cell>
          <cell r="AW322">
            <v>0</v>
          </cell>
          <cell r="AX322">
            <v>0</v>
          </cell>
          <cell r="AY322">
            <v>28.35</v>
          </cell>
          <cell r="AZ322">
            <v>0</v>
          </cell>
          <cell r="BA322">
            <v>200</v>
          </cell>
          <cell r="BB322">
            <v>0</v>
          </cell>
          <cell r="BC322">
            <v>200</v>
          </cell>
          <cell r="BD322">
            <v>0</v>
          </cell>
          <cell r="BE322">
            <v>0</v>
          </cell>
          <cell r="BF322">
            <v>35</v>
          </cell>
          <cell r="BG322">
            <v>0</v>
          </cell>
          <cell r="BH322">
            <v>1</v>
          </cell>
          <cell r="BI322">
            <v>97</v>
          </cell>
          <cell r="BJ322">
            <v>22</v>
          </cell>
          <cell r="BK322">
            <v>34</v>
          </cell>
          <cell r="BL322">
            <v>23</v>
          </cell>
          <cell r="BM322">
            <v>11</v>
          </cell>
          <cell r="BN322">
            <v>7</v>
          </cell>
          <cell r="BO322">
            <v>0</v>
          </cell>
          <cell r="BP322">
            <v>17</v>
          </cell>
          <cell r="BQ322">
            <v>5</v>
          </cell>
          <cell r="BR322">
            <v>6</v>
          </cell>
          <cell r="BS322">
            <v>4</v>
          </cell>
          <cell r="BT322">
            <v>0</v>
          </cell>
          <cell r="BU322">
            <v>2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19</v>
          </cell>
          <cell r="EB322">
            <v>0</v>
          </cell>
          <cell r="EC322">
            <v>0</v>
          </cell>
          <cell r="ED322">
            <v>5</v>
          </cell>
          <cell r="EE322">
            <v>8</v>
          </cell>
          <cell r="EF322">
            <v>6</v>
          </cell>
          <cell r="EG322">
            <v>0</v>
          </cell>
          <cell r="EH322">
            <v>67</v>
          </cell>
          <cell r="EI322">
            <v>9</v>
          </cell>
          <cell r="EJ322">
            <v>15</v>
          </cell>
          <cell r="EK322">
            <v>10</v>
          </cell>
          <cell r="EL322">
            <v>23</v>
          </cell>
          <cell r="EM322">
            <v>10</v>
          </cell>
          <cell r="EN322">
            <v>0</v>
          </cell>
          <cell r="EO322" t="str">
            <v xml:space="preserve">THE ELECTRA PARKA                                           </v>
          </cell>
        </row>
        <row r="323">
          <cell r="A323" t="str">
            <v>CN4SM2227010</v>
          </cell>
          <cell r="B323" t="str">
            <v>CN4</v>
          </cell>
          <cell r="C323" t="str">
            <v>SM2227</v>
          </cell>
          <cell r="D323">
            <v>10</v>
          </cell>
          <cell r="E323" t="str">
            <v xml:space="preserve">   </v>
          </cell>
          <cell r="F323">
            <v>81009</v>
          </cell>
          <cell r="G323">
            <v>0</v>
          </cell>
          <cell r="H323">
            <v>0</v>
          </cell>
          <cell r="I323">
            <v>402</v>
          </cell>
          <cell r="J323">
            <v>-3</v>
          </cell>
          <cell r="K323">
            <v>-8</v>
          </cell>
          <cell r="L323">
            <v>1</v>
          </cell>
          <cell r="M323">
            <v>1</v>
          </cell>
          <cell r="N323">
            <v>27519714</v>
          </cell>
          <cell r="O323">
            <v>-235587</v>
          </cell>
          <cell r="P323">
            <v>-628232</v>
          </cell>
          <cell r="Q323">
            <v>78529</v>
          </cell>
          <cell r="R323">
            <v>458000</v>
          </cell>
          <cell r="S323" t="str">
            <v xml:space="preserve"> </v>
          </cell>
          <cell r="T323" t="str">
            <v xml:space="preserve"> </v>
          </cell>
          <cell r="U323">
            <v>-3</v>
          </cell>
          <cell r="V323">
            <v>-235587</v>
          </cell>
          <cell r="W323">
            <v>1</v>
          </cell>
          <cell r="X323">
            <v>78529</v>
          </cell>
          <cell r="Y323">
            <v>333.33</v>
          </cell>
          <cell r="Z323">
            <v>700</v>
          </cell>
          <cell r="AA323">
            <v>78529</v>
          </cell>
          <cell r="AB323">
            <v>0</v>
          </cell>
          <cell r="AC323">
            <v>5</v>
          </cell>
          <cell r="AD323">
            <v>785290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3</v>
          </cell>
          <cell r="AJ323">
            <v>471174</v>
          </cell>
          <cell r="AK323">
            <v>-11</v>
          </cell>
          <cell r="AL323">
            <v>-1727638</v>
          </cell>
          <cell r="AM323">
            <v>-1</v>
          </cell>
          <cell r="AN323">
            <v>-157058</v>
          </cell>
          <cell r="AO323">
            <v>68457</v>
          </cell>
          <cell r="AP323">
            <v>78529</v>
          </cell>
          <cell r="AQ323">
            <v>458000</v>
          </cell>
          <cell r="AR323">
            <v>0</v>
          </cell>
          <cell r="AS323">
            <v>5.83</v>
          </cell>
          <cell r="AT323">
            <v>-1374000</v>
          </cell>
          <cell r="AU323">
            <v>5.83</v>
          </cell>
          <cell r="AV323">
            <v>458000</v>
          </cell>
          <cell r="AW323">
            <v>0</v>
          </cell>
          <cell r="AX323">
            <v>0</v>
          </cell>
          <cell r="AY323">
            <v>333.33</v>
          </cell>
          <cell r="AZ323">
            <v>0</v>
          </cell>
          <cell r="BA323">
            <v>1</v>
          </cell>
          <cell r="BB323">
            <v>0</v>
          </cell>
          <cell r="BC323">
            <v>1</v>
          </cell>
          <cell r="BD323">
            <v>0</v>
          </cell>
          <cell r="BE323">
            <v>0</v>
          </cell>
          <cell r="BF323">
            <v>0</v>
          </cell>
          <cell r="BG323">
            <v>1</v>
          </cell>
          <cell r="BH323">
            <v>1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1</v>
          </cell>
          <cell r="EI323">
            <v>0</v>
          </cell>
          <cell r="EJ323">
            <v>1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 t="str">
            <v xml:space="preserve">MULTI PITCH SHELL                                           </v>
          </cell>
        </row>
        <row r="324">
          <cell r="A324" t="str">
            <v>CN4SM2227969</v>
          </cell>
          <cell r="B324" t="str">
            <v>CN4</v>
          </cell>
          <cell r="C324" t="str">
            <v>SM2227</v>
          </cell>
          <cell r="D324">
            <v>969</v>
          </cell>
          <cell r="E324" t="str">
            <v xml:space="preserve">   </v>
          </cell>
          <cell r="F324">
            <v>81009</v>
          </cell>
          <cell r="G324">
            <v>0</v>
          </cell>
          <cell r="H324">
            <v>0</v>
          </cell>
          <cell r="I324">
            <v>402</v>
          </cell>
          <cell r="J324">
            <v>15</v>
          </cell>
          <cell r="K324">
            <v>12</v>
          </cell>
          <cell r="L324">
            <v>0</v>
          </cell>
          <cell r="M324">
            <v>0</v>
          </cell>
          <cell r="N324">
            <v>27519714</v>
          </cell>
          <cell r="O324">
            <v>1177935</v>
          </cell>
          <cell r="P324">
            <v>942348</v>
          </cell>
          <cell r="Q324">
            <v>0</v>
          </cell>
          <cell r="R324">
            <v>0</v>
          </cell>
          <cell r="S324" t="str">
            <v xml:space="preserve"> </v>
          </cell>
          <cell r="T324" t="str">
            <v xml:space="preserve"> </v>
          </cell>
          <cell r="U324">
            <v>15</v>
          </cell>
          <cell r="V324">
            <v>1177935</v>
          </cell>
          <cell r="W324">
            <v>0</v>
          </cell>
          <cell r="X324">
            <v>0</v>
          </cell>
          <cell r="Y324">
            <v>73.33</v>
          </cell>
          <cell r="Z324">
            <v>146.66999999999999</v>
          </cell>
          <cell r="AA324">
            <v>0</v>
          </cell>
          <cell r="AB324">
            <v>0</v>
          </cell>
          <cell r="AC324">
            <v>3</v>
          </cell>
          <cell r="AD324">
            <v>471174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1</v>
          </cell>
          <cell r="AJ324">
            <v>157058</v>
          </cell>
          <cell r="AK324">
            <v>11</v>
          </cell>
          <cell r="AL324">
            <v>1727638</v>
          </cell>
          <cell r="AM324">
            <v>0</v>
          </cell>
          <cell r="AN324">
            <v>0</v>
          </cell>
          <cell r="AO324">
            <v>68457</v>
          </cell>
          <cell r="AP324">
            <v>78529</v>
          </cell>
          <cell r="AQ324">
            <v>458000</v>
          </cell>
          <cell r="AR324">
            <v>0</v>
          </cell>
          <cell r="AS324">
            <v>5.83</v>
          </cell>
          <cell r="AT324">
            <v>6870000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73.33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1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 t="str">
            <v xml:space="preserve">MULTI PITCH SHELL                                           </v>
          </cell>
        </row>
        <row r="325">
          <cell r="A325" t="str">
            <v>CN4SM7715093</v>
          </cell>
          <cell r="B325" t="str">
            <v>CN4</v>
          </cell>
          <cell r="C325" t="str">
            <v>SM7715</v>
          </cell>
          <cell r="D325">
            <v>93</v>
          </cell>
          <cell r="E325" t="str">
            <v xml:space="preserve">   </v>
          </cell>
          <cell r="F325">
            <v>80813</v>
          </cell>
          <cell r="G325">
            <v>81101</v>
          </cell>
          <cell r="H325">
            <v>0</v>
          </cell>
          <cell r="I325">
            <v>504</v>
          </cell>
          <cell r="J325">
            <v>504</v>
          </cell>
          <cell r="K325">
            <v>504</v>
          </cell>
          <cell r="L325">
            <v>424</v>
          </cell>
          <cell r="M325">
            <v>424</v>
          </cell>
          <cell r="N325">
            <v>37055592</v>
          </cell>
          <cell r="O325">
            <v>37936080</v>
          </cell>
          <cell r="P325">
            <v>37936080</v>
          </cell>
          <cell r="Q325">
            <v>31914480</v>
          </cell>
          <cell r="R325">
            <v>139561059</v>
          </cell>
          <cell r="S325" t="str">
            <v xml:space="preserve"> </v>
          </cell>
          <cell r="T325" t="str">
            <v xml:space="preserve"> </v>
          </cell>
          <cell r="U325">
            <v>504</v>
          </cell>
          <cell r="V325">
            <v>37936080</v>
          </cell>
          <cell r="W325">
            <v>424</v>
          </cell>
          <cell r="X325">
            <v>31914480</v>
          </cell>
          <cell r="Y325">
            <v>84.33</v>
          </cell>
          <cell r="Z325">
            <v>84.52</v>
          </cell>
          <cell r="AA325">
            <v>31839210</v>
          </cell>
          <cell r="AB325">
            <v>75270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>
            <v>150540</v>
          </cell>
          <cell r="AM325">
            <v>79</v>
          </cell>
          <cell r="AN325">
            <v>12419550</v>
          </cell>
          <cell r="AO325">
            <v>73523</v>
          </cell>
          <cell r="AP325">
            <v>75270</v>
          </cell>
          <cell r="AQ325">
            <v>398000</v>
          </cell>
          <cell r="AR325">
            <v>0</v>
          </cell>
          <cell r="AS325">
            <v>5.29</v>
          </cell>
          <cell r="AT325">
            <v>200592000</v>
          </cell>
          <cell r="AU325">
            <v>4.38</v>
          </cell>
          <cell r="AV325">
            <v>139554200</v>
          </cell>
          <cell r="AW325">
            <v>0.09</v>
          </cell>
          <cell r="AX325">
            <v>6859</v>
          </cell>
          <cell r="AY325">
            <v>84.33</v>
          </cell>
          <cell r="AZ325">
            <v>0</v>
          </cell>
          <cell r="BA325">
            <v>423</v>
          </cell>
          <cell r="BB325">
            <v>1</v>
          </cell>
          <cell r="BC325">
            <v>423</v>
          </cell>
          <cell r="BD325">
            <v>1</v>
          </cell>
          <cell r="BE325">
            <v>0</v>
          </cell>
          <cell r="BF325">
            <v>29</v>
          </cell>
          <cell r="BG325">
            <v>1</v>
          </cell>
          <cell r="BH325">
            <v>1</v>
          </cell>
          <cell r="BI325">
            <v>151</v>
          </cell>
          <cell r="BJ325">
            <v>41</v>
          </cell>
          <cell r="BK325">
            <v>45</v>
          </cell>
          <cell r="BL325">
            <v>33</v>
          </cell>
          <cell r="BM325">
            <v>22</v>
          </cell>
          <cell r="BN325">
            <v>10</v>
          </cell>
          <cell r="BO325">
            <v>0</v>
          </cell>
          <cell r="BP325">
            <v>7</v>
          </cell>
          <cell r="BQ325">
            <v>7</v>
          </cell>
          <cell r="BR325">
            <v>3</v>
          </cell>
          <cell r="BS325">
            <v>0</v>
          </cell>
          <cell r="BT325">
            <v>-4</v>
          </cell>
          <cell r="BU325">
            <v>1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65</v>
          </cell>
          <cell r="EB325">
            <v>10</v>
          </cell>
          <cell r="EC325">
            <v>5</v>
          </cell>
          <cell r="ED325">
            <v>10</v>
          </cell>
          <cell r="EE325">
            <v>19</v>
          </cell>
          <cell r="EF325">
            <v>21</v>
          </cell>
          <cell r="EG325">
            <v>0</v>
          </cell>
          <cell r="EH325">
            <v>201</v>
          </cell>
          <cell r="EI325">
            <v>32</v>
          </cell>
          <cell r="EJ325">
            <v>27</v>
          </cell>
          <cell r="EK325">
            <v>59</v>
          </cell>
          <cell r="EL325">
            <v>60</v>
          </cell>
          <cell r="EM325">
            <v>23</v>
          </cell>
          <cell r="EN325">
            <v>0</v>
          </cell>
          <cell r="EO325" t="str">
            <v xml:space="preserve">RODEO MAGIC PARKA                                           </v>
          </cell>
        </row>
        <row r="326">
          <cell r="A326" t="str">
            <v>CN4SM7715144</v>
          </cell>
          <cell r="B326" t="str">
            <v>CN4</v>
          </cell>
          <cell r="C326" t="str">
            <v>SM7715</v>
          </cell>
          <cell r="D326">
            <v>144</v>
          </cell>
          <cell r="E326" t="str">
            <v xml:space="preserve">   </v>
          </cell>
          <cell r="F326">
            <v>80813</v>
          </cell>
          <cell r="G326">
            <v>81101</v>
          </cell>
          <cell r="H326">
            <v>0</v>
          </cell>
          <cell r="I326">
            <v>504</v>
          </cell>
          <cell r="J326">
            <v>504</v>
          </cell>
          <cell r="K326">
            <v>499</v>
          </cell>
          <cell r="L326">
            <v>191</v>
          </cell>
          <cell r="M326">
            <v>191</v>
          </cell>
          <cell r="N326">
            <v>37055592</v>
          </cell>
          <cell r="O326">
            <v>37936080</v>
          </cell>
          <cell r="P326">
            <v>37559730</v>
          </cell>
          <cell r="Q326">
            <v>14376570</v>
          </cell>
          <cell r="R326">
            <v>59885613</v>
          </cell>
          <cell r="S326" t="str">
            <v xml:space="preserve"> </v>
          </cell>
          <cell r="T326" t="str">
            <v xml:space="preserve"> </v>
          </cell>
          <cell r="U326">
            <v>504</v>
          </cell>
          <cell r="V326">
            <v>37936080</v>
          </cell>
          <cell r="W326">
            <v>191</v>
          </cell>
          <cell r="X326">
            <v>14376570</v>
          </cell>
          <cell r="Y326">
            <v>37.9</v>
          </cell>
          <cell r="Z326">
            <v>37.9</v>
          </cell>
          <cell r="AA326">
            <v>13849680</v>
          </cell>
          <cell r="AB326">
            <v>526890</v>
          </cell>
          <cell r="AC326">
            <v>5</v>
          </cell>
          <cell r="AD326">
            <v>376350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308</v>
          </cell>
          <cell r="AN326">
            <v>47269560</v>
          </cell>
          <cell r="AO326">
            <v>73523</v>
          </cell>
          <cell r="AP326">
            <v>75270</v>
          </cell>
          <cell r="AQ326">
            <v>398000</v>
          </cell>
          <cell r="AR326">
            <v>0</v>
          </cell>
          <cell r="AS326">
            <v>5.29</v>
          </cell>
          <cell r="AT326">
            <v>200592000</v>
          </cell>
          <cell r="AU326">
            <v>4.32</v>
          </cell>
          <cell r="AV326">
            <v>59837600</v>
          </cell>
          <cell r="AW326">
            <v>0.09</v>
          </cell>
          <cell r="AX326">
            <v>48013</v>
          </cell>
          <cell r="AY326">
            <v>37.9</v>
          </cell>
          <cell r="AZ326">
            <v>0</v>
          </cell>
          <cell r="BA326">
            <v>184</v>
          </cell>
          <cell r="BB326">
            <v>7</v>
          </cell>
          <cell r="BC326">
            <v>191</v>
          </cell>
          <cell r="BD326">
            <v>0</v>
          </cell>
          <cell r="BE326">
            <v>0</v>
          </cell>
          <cell r="BF326">
            <v>27</v>
          </cell>
          <cell r="BG326">
            <v>0</v>
          </cell>
          <cell r="BH326">
            <v>1</v>
          </cell>
          <cell r="BI326">
            <v>79</v>
          </cell>
          <cell r="BJ326">
            <v>12</v>
          </cell>
          <cell r="BK326">
            <v>24</v>
          </cell>
          <cell r="BL326">
            <v>29</v>
          </cell>
          <cell r="BM326">
            <v>6</v>
          </cell>
          <cell r="BN326">
            <v>8</v>
          </cell>
          <cell r="BO326">
            <v>0</v>
          </cell>
          <cell r="BP326">
            <v>7</v>
          </cell>
          <cell r="BQ326">
            <v>-1</v>
          </cell>
          <cell r="BR326">
            <v>3</v>
          </cell>
          <cell r="BS326">
            <v>0</v>
          </cell>
          <cell r="BT326">
            <v>4</v>
          </cell>
          <cell r="BU326">
            <v>1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22</v>
          </cell>
          <cell r="EB326">
            <v>1</v>
          </cell>
          <cell r="EC326">
            <v>2</v>
          </cell>
          <cell r="ED326">
            <v>6</v>
          </cell>
          <cell r="EE326">
            <v>6</v>
          </cell>
          <cell r="EF326">
            <v>7</v>
          </cell>
          <cell r="EG326">
            <v>0</v>
          </cell>
          <cell r="EH326">
            <v>83</v>
          </cell>
          <cell r="EI326">
            <v>7</v>
          </cell>
          <cell r="EJ326">
            <v>24</v>
          </cell>
          <cell r="EK326">
            <v>17</v>
          </cell>
          <cell r="EL326">
            <v>29</v>
          </cell>
          <cell r="EM326">
            <v>6</v>
          </cell>
          <cell r="EN326">
            <v>0</v>
          </cell>
          <cell r="EO326" t="str">
            <v xml:space="preserve">RODEO MAGIC PARKA                                           </v>
          </cell>
        </row>
        <row r="327">
          <cell r="A327" t="str">
            <v>CN4SM7716049</v>
          </cell>
          <cell r="B327" t="str">
            <v>CN4</v>
          </cell>
          <cell r="C327" t="str">
            <v>SM7716</v>
          </cell>
          <cell r="D327">
            <v>49</v>
          </cell>
          <cell r="E327" t="str">
            <v xml:space="preserve">   </v>
          </cell>
          <cell r="F327">
            <v>80730</v>
          </cell>
          <cell r="G327">
            <v>81104</v>
          </cell>
          <cell r="H327">
            <v>0</v>
          </cell>
          <cell r="I327">
            <v>504</v>
          </cell>
          <cell r="J327">
            <v>504</v>
          </cell>
          <cell r="K327">
            <v>130</v>
          </cell>
          <cell r="L327">
            <v>67</v>
          </cell>
          <cell r="M327">
            <v>67</v>
          </cell>
          <cell r="N327">
            <v>39561480</v>
          </cell>
          <cell r="O327">
            <v>39995424</v>
          </cell>
          <cell r="P327">
            <v>10316280</v>
          </cell>
          <cell r="Q327">
            <v>5316852</v>
          </cell>
          <cell r="R327">
            <v>23390600</v>
          </cell>
          <cell r="S327" t="str">
            <v xml:space="preserve"> </v>
          </cell>
          <cell r="T327" t="str">
            <v xml:space="preserve"> </v>
          </cell>
          <cell r="U327">
            <v>504</v>
          </cell>
          <cell r="V327">
            <v>39995424</v>
          </cell>
          <cell r="W327">
            <v>67</v>
          </cell>
          <cell r="X327">
            <v>5316852</v>
          </cell>
          <cell r="Y327">
            <v>13.89</v>
          </cell>
          <cell r="Z327">
            <v>14.29</v>
          </cell>
          <cell r="AA327">
            <v>5316852</v>
          </cell>
          <cell r="AB327">
            <v>0</v>
          </cell>
          <cell r="AC327">
            <v>374</v>
          </cell>
          <cell r="AD327">
            <v>30155280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79356</v>
          </cell>
          <cell r="AK327">
            <v>3</v>
          </cell>
          <cell r="AL327">
            <v>396780</v>
          </cell>
          <cell r="AM327">
            <v>60</v>
          </cell>
          <cell r="AN327">
            <v>38646372</v>
          </cell>
          <cell r="AO327">
            <v>78495</v>
          </cell>
          <cell r="AP327">
            <v>79356</v>
          </cell>
          <cell r="AQ327">
            <v>438000</v>
          </cell>
          <cell r="AR327">
            <v>0</v>
          </cell>
          <cell r="AS327">
            <v>5.52</v>
          </cell>
          <cell r="AT327">
            <v>220752000</v>
          </cell>
          <cell r="AU327">
            <v>4.4000000000000004</v>
          </cell>
          <cell r="AV327">
            <v>23390600</v>
          </cell>
          <cell r="AW327">
            <v>0</v>
          </cell>
          <cell r="AX327">
            <v>0</v>
          </cell>
          <cell r="AY327">
            <v>13.89</v>
          </cell>
          <cell r="AZ327">
            <v>0</v>
          </cell>
          <cell r="BA327">
            <v>67</v>
          </cell>
          <cell r="BB327">
            <v>0</v>
          </cell>
          <cell r="BC327">
            <v>67</v>
          </cell>
          <cell r="BD327">
            <v>0</v>
          </cell>
          <cell r="BE327">
            <v>0</v>
          </cell>
          <cell r="BF327">
            <v>7</v>
          </cell>
          <cell r="BG327">
            <v>1</v>
          </cell>
          <cell r="BH327">
            <v>1</v>
          </cell>
          <cell r="BI327">
            <v>40</v>
          </cell>
          <cell r="BJ327">
            <v>9</v>
          </cell>
          <cell r="BK327">
            <v>18</v>
          </cell>
          <cell r="BL327">
            <v>4</v>
          </cell>
          <cell r="BM327">
            <v>4</v>
          </cell>
          <cell r="BN327">
            <v>5</v>
          </cell>
          <cell r="BO327">
            <v>0</v>
          </cell>
          <cell r="BP327">
            <v>-1</v>
          </cell>
          <cell r="BQ327">
            <v>3</v>
          </cell>
          <cell r="BR327">
            <v>-3</v>
          </cell>
          <cell r="BS327">
            <v>0</v>
          </cell>
          <cell r="BT327">
            <v>0</v>
          </cell>
          <cell r="BU327">
            <v>-1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1</v>
          </cell>
          <cell r="DU327">
            <v>0</v>
          </cell>
          <cell r="DV327">
            <v>1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6</v>
          </cell>
          <cell r="EB327">
            <v>0</v>
          </cell>
          <cell r="EC327">
            <v>2</v>
          </cell>
          <cell r="ED327">
            <v>1</v>
          </cell>
          <cell r="EE327">
            <v>2</v>
          </cell>
          <cell r="EF327">
            <v>1</v>
          </cell>
          <cell r="EG327">
            <v>0</v>
          </cell>
          <cell r="EH327">
            <v>21</v>
          </cell>
          <cell r="EI327">
            <v>1</v>
          </cell>
          <cell r="EJ327">
            <v>3</v>
          </cell>
          <cell r="EK327">
            <v>9</v>
          </cell>
          <cell r="EL327">
            <v>9</v>
          </cell>
          <cell r="EM327">
            <v>-1</v>
          </cell>
          <cell r="EN327">
            <v>0</v>
          </cell>
          <cell r="EO327" t="str">
            <v xml:space="preserve">THE CIRQUE PARKA                                            </v>
          </cell>
        </row>
        <row r="328">
          <cell r="A328" t="str">
            <v>CN4SM7716144</v>
          </cell>
          <cell r="B328" t="str">
            <v>CN4</v>
          </cell>
          <cell r="C328" t="str">
            <v>SM7716</v>
          </cell>
          <cell r="D328">
            <v>144</v>
          </cell>
          <cell r="E328" t="str">
            <v xml:space="preserve">   </v>
          </cell>
          <cell r="F328">
            <v>80730</v>
          </cell>
          <cell r="G328">
            <v>81104</v>
          </cell>
          <cell r="H328">
            <v>0</v>
          </cell>
          <cell r="I328">
            <v>504</v>
          </cell>
          <cell r="J328">
            <v>504</v>
          </cell>
          <cell r="K328">
            <v>230</v>
          </cell>
          <cell r="L328">
            <v>186</v>
          </cell>
          <cell r="M328">
            <v>186</v>
          </cell>
          <cell r="N328">
            <v>39561480</v>
          </cell>
          <cell r="O328">
            <v>39995424</v>
          </cell>
          <cell r="P328">
            <v>18251880</v>
          </cell>
          <cell r="Q328">
            <v>14760216</v>
          </cell>
          <cell r="R328">
            <v>65157277</v>
          </cell>
          <cell r="S328" t="str">
            <v xml:space="preserve"> </v>
          </cell>
          <cell r="T328" t="str">
            <v xml:space="preserve"> </v>
          </cell>
          <cell r="U328">
            <v>504</v>
          </cell>
          <cell r="V328">
            <v>39995424</v>
          </cell>
          <cell r="W328">
            <v>186</v>
          </cell>
          <cell r="X328">
            <v>14760216</v>
          </cell>
          <cell r="Y328">
            <v>36.51</v>
          </cell>
          <cell r="Z328">
            <v>36.11</v>
          </cell>
          <cell r="AA328">
            <v>14522148</v>
          </cell>
          <cell r="AB328">
            <v>238068</v>
          </cell>
          <cell r="AC328">
            <v>274</v>
          </cell>
          <cell r="AD328">
            <v>21822900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-2</v>
          </cell>
          <cell r="AL328">
            <v>-317424</v>
          </cell>
          <cell r="AM328">
            <v>46</v>
          </cell>
          <cell r="AN328">
            <v>28488804</v>
          </cell>
          <cell r="AO328">
            <v>78495</v>
          </cell>
          <cell r="AP328">
            <v>79356</v>
          </cell>
          <cell r="AQ328">
            <v>438000</v>
          </cell>
          <cell r="AR328">
            <v>0</v>
          </cell>
          <cell r="AS328">
            <v>5.52</v>
          </cell>
          <cell r="AT328">
            <v>220752000</v>
          </cell>
          <cell r="AU328">
            <v>4.49</v>
          </cell>
          <cell r="AV328">
            <v>65136700</v>
          </cell>
          <cell r="AW328">
            <v>0.09</v>
          </cell>
          <cell r="AX328">
            <v>20577</v>
          </cell>
          <cell r="AY328">
            <v>36.51</v>
          </cell>
          <cell r="AZ328">
            <v>0</v>
          </cell>
          <cell r="BA328">
            <v>183</v>
          </cell>
          <cell r="BB328">
            <v>3</v>
          </cell>
          <cell r="BC328">
            <v>186</v>
          </cell>
          <cell r="BD328">
            <v>0</v>
          </cell>
          <cell r="BE328">
            <v>0</v>
          </cell>
          <cell r="BF328">
            <v>18</v>
          </cell>
          <cell r="BG328">
            <v>0</v>
          </cell>
          <cell r="BH328">
            <v>1</v>
          </cell>
          <cell r="BI328">
            <v>60</v>
          </cell>
          <cell r="BJ328">
            <v>8</v>
          </cell>
          <cell r="BK328">
            <v>19</v>
          </cell>
          <cell r="BL328">
            <v>13</v>
          </cell>
          <cell r="BM328">
            <v>13</v>
          </cell>
          <cell r="BN328">
            <v>7</v>
          </cell>
          <cell r="BO328">
            <v>0</v>
          </cell>
          <cell r="BP328">
            <v>-6</v>
          </cell>
          <cell r="BQ328">
            <v>1</v>
          </cell>
          <cell r="BR328">
            <v>1</v>
          </cell>
          <cell r="BS328">
            <v>1</v>
          </cell>
          <cell r="BT328">
            <v>-7</v>
          </cell>
          <cell r="BU328">
            <v>-2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18</v>
          </cell>
          <cell r="EB328">
            <v>0</v>
          </cell>
          <cell r="EC328">
            <v>4</v>
          </cell>
          <cell r="ED328">
            <v>4</v>
          </cell>
          <cell r="EE328">
            <v>2</v>
          </cell>
          <cell r="EF328">
            <v>8</v>
          </cell>
          <cell r="EG328">
            <v>0</v>
          </cell>
          <cell r="EH328">
            <v>114</v>
          </cell>
          <cell r="EI328">
            <v>11</v>
          </cell>
          <cell r="EJ328">
            <v>12</v>
          </cell>
          <cell r="EK328">
            <v>16</v>
          </cell>
          <cell r="EL328">
            <v>65</v>
          </cell>
          <cell r="EM328">
            <v>10</v>
          </cell>
          <cell r="EN328">
            <v>0</v>
          </cell>
          <cell r="EO328" t="str">
            <v xml:space="preserve">THE CIRQUE PARKA                                            </v>
          </cell>
        </row>
        <row r="329">
          <cell r="A329" t="str">
            <v>CN4SM7729010</v>
          </cell>
          <cell r="B329" t="str">
            <v>CN4</v>
          </cell>
          <cell r="C329" t="str">
            <v>SM7729</v>
          </cell>
          <cell r="D329">
            <v>10</v>
          </cell>
          <cell r="E329" t="str">
            <v xml:space="preserve">   </v>
          </cell>
          <cell r="F329">
            <v>80924</v>
          </cell>
          <cell r="G329">
            <v>80930</v>
          </cell>
          <cell r="H329">
            <v>0</v>
          </cell>
          <cell r="I329">
            <v>600</v>
          </cell>
          <cell r="J329">
            <v>583</v>
          </cell>
          <cell r="K329">
            <v>581</v>
          </cell>
          <cell r="L329">
            <v>474</v>
          </cell>
          <cell r="M329">
            <v>474</v>
          </cell>
          <cell r="N329">
            <v>25433400</v>
          </cell>
          <cell r="O329">
            <v>28345460</v>
          </cell>
          <cell r="P329">
            <v>28248220</v>
          </cell>
          <cell r="Q329">
            <v>23045880</v>
          </cell>
          <cell r="R329">
            <v>134899100</v>
          </cell>
          <cell r="S329" t="str">
            <v xml:space="preserve"> </v>
          </cell>
          <cell r="T329" t="str">
            <v xml:space="preserve"> </v>
          </cell>
          <cell r="U329">
            <v>583</v>
          </cell>
          <cell r="V329">
            <v>28345460</v>
          </cell>
          <cell r="W329">
            <v>474</v>
          </cell>
          <cell r="X329">
            <v>23045880</v>
          </cell>
          <cell r="Y329">
            <v>81.3</v>
          </cell>
          <cell r="Z329">
            <v>81.3</v>
          </cell>
          <cell r="AA329">
            <v>23045880</v>
          </cell>
          <cell r="AB329">
            <v>0</v>
          </cell>
          <cell r="AC329">
            <v>2</v>
          </cell>
          <cell r="AD329">
            <v>97240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107</v>
          </cell>
          <cell r="AN329">
            <v>11668800</v>
          </cell>
          <cell r="AO329">
            <v>42389</v>
          </cell>
          <cell r="AP329">
            <v>48620</v>
          </cell>
          <cell r="AQ329">
            <v>338000</v>
          </cell>
          <cell r="AR329">
            <v>0</v>
          </cell>
          <cell r="AS329">
            <v>6.95</v>
          </cell>
          <cell r="AT329">
            <v>197054000</v>
          </cell>
          <cell r="AU329">
            <v>5.85</v>
          </cell>
          <cell r="AV329">
            <v>134899100</v>
          </cell>
          <cell r="AW329">
            <v>0</v>
          </cell>
          <cell r="AX329">
            <v>0</v>
          </cell>
          <cell r="AY329">
            <v>81.3</v>
          </cell>
          <cell r="AZ329">
            <v>0</v>
          </cell>
          <cell r="BA329">
            <v>474</v>
          </cell>
          <cell r="BB329">
            <v>0</v>
          </cell>
          <cell r="BC329">
            <v>468</v>
          </cell>
          <cell r="BD329">
            <v>6</v>
          </cell>
          <cell r="BE329">
            <v>0</v>
          </cell>
          <cell r="BF329">
            <v>52</v>
          </cell>
          <cell r="BG329">
            <v>1</v>
          </cell>
          <cell r="BH329">
            <v>1</v>
          </cell>
          <cell r="BI329">
            <v>184</v>
          </cell>
          <cell r="BJ329">
            <v>37</v>
          </cell>
          <cell r="BK329">
            <v>39</v>
          </cell>
          <cell r="BL329">
            <v>33</v>
          </cell>
          <cell r="BM329">
            <v>59</v>
          </cell>
          <cell r="BN329">
            <v>16</v>
          </cell>
          <cell r="BO329">
            <v>0</v>
          </cell>
          <cell r="BP329">
            <v>24</v>
          </cell>
          <cell r="BQ329">
            <v>20</v>
          </cell>
          <cell r="BR329">
            <v>4</v>
          </cell>
          <cell r="BS329">
            <v>-1</v>
          </cell>
          <cell r="BT329">
            <v>2</v>
          </cell>
          <cell r="BU329">
            <v>-1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1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1</v>
          </cell>
          <cell r="DS329">
            <v>0</v>
          </cell>
          <cell r="DT329">
            <v>2</v>
          </cell>
          <cell r="DU329">
            <v>0</v>
          </cell>
          <cell r="DV329">
            <v>1</v>
          </cell>
          <cell r="DW329">
            <v>0</v>
          </cell>
          <cell r="DX329">
            <v>1</v>
          </cell>
          <cell r="DY329">
            <v>0</v>
          </cell>
          <cell r="DZ329">
            <v>0</v>
          </cell>
          <cell r="EA329">
            <v>87</v>
          </cell>
          <cell r="EB329">
            <v>0</v>
          </cell>
          <cell r="EC329">
            <v>10</v>
          </cell>
          <cell r="ED329">
            <v>26</v>
          </cell>
          <cell r="EE329">
            <v>23</v>
          </cell>
          <cell r="EF329">
            <v>28</v>
          </cell>
          <cell r="EG329">
            <v>0</v>
          </cell>
          <cell r="EH329">
            <v>176</v>
          </cell>
          <cell r="EI329">
            <v>33</v>
          </cell>
          <cell r="EJ329">
            <v>30</v>
          </cell>
          <cell r="EK329">
            <v>41</v>
          </cell>
          <cell r="EL329">
            <v>56</v>
          </cell>
          <cell r="EM329">
            <v>16</v>
          </cell>
          <cell r="EN329">
            <v>0</v>
          </cell>
          <cell r="EO329" t="str">
            <v xml:space="preserve">TREELINE PARKA                                              </v>
          </cell>
        </row>
        <row r="330">
          <cell r="A330" t="str">
            <v>CN4SM7729144</v>
          </cell>
          <cell r="B330" t="str">
            <v>CN4</v>
          </cell>
          <cell r="C330" t="str">
            <v>SM7729</v>
          </cell>
          <cell r="D330">
            <v>144</v>
          </cell>
          <cell r="E330" t="str">
            <v xml:space="preserve">   </v>
          </cell>
          <cell r="F330">
            <v>80924</v>
          </cell>
          <cell r="G330">
            <v>81104</v>
          </cell>
          <cell r="H330">
            <v>0</v>
          </cell>
          <cell r="I330">
            <v>600</v>
          </cell>
          <cell r="J330">
            <v>584</v>
          </cell>
          <cell r="K330">
            <v>576</v>
          </cell>
          <cell r="L330">
            <v>79</v>
          </cell>
          <cell r="M330">
            <v>79</v>
          </cell>
          <cell r="N330">
            <v>25433400</v>
          </cell>
          <cell r="O330">
            <v>28394080</v>
          </cell>
          <cell r="P330">
            <v>28005120</v>
          </cell>
          <cell r="Q330">
            <v>3840980</v>
          </cell>
          <cell r="R330">
            <v>21558159</v>
          </cell>
          <cell r="S330" t="str">
            <v xml:space="preserve"> </v>
          </cell>
          <cell r="T330" t="str">
            <v xml:space="preserve"> </v>
          </cell>
          <cell r="U330">
            <v>584</v>
          </cell>
          <cell r="V330">
            <v>28394080</v>
          </cell>
          <cell r="W330">
            <v>79</v>
          </cell>
          <cell r="X330">
            <v>3840980</v>
          </cell>
          <cell r="Y330">
            <v>13.53</v>
          </cell>
          <cell r="Z330">
            <v>13.53</v>
          </cell>
          <cell r="AA330">
            <v>3792360</v>
          </cell>
          <cell r="AB330">
            <v>48620</v>
          </cell>
          <cell r="AC330">
            <v>8</v>
          </cell>
          <cell r="AD330">
            <v>826540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497</v>
          </cell>
          <cell r="AN330">
            <v>49057580</v>
          </cell>
          <cell r="AO330">
            <v>42389</v>
          </cell>
          <cell r="AP330">
            <v>48620</v>
          </cell>
          <cell r="AQ330">
            <v>338000</v>
          </cell>
          <cell r="AR330">
            <v>0</v>
          </cell>
          <cell r="AS330">
            <v>6.95</v>
          </cell>
          <cell r="AT330">
            <v>197392000</v>
          </cell>
          <cell r="AU330">
            <v>5.68</v>
          </cell>
          <cell r="AV330">
            <v>21551300</v>
          </cell>
          <cell r="AW330">
            <v>0.14000000000000001</v>
          </cell>
          <cell r="AX330">
            <v>6859</v>
          </cell>
          <cell r="AY330">
            <v>13.53</v>
          </cell>
          <cell r="AZ330">
            <v>0</v>
          </cell>
          <cell r="BA330">
            <v>78</v>
          </cell>
          <cell r="BB330">
            <v>1</v>
          </cell>
          <cell r="BC330">
            <v>79</v>
          </cell>
          <cell r="BD330">
            <v>0</v>
          </cell>
          <cell r="BE330">
            <v>0</v>
          </cell>
          <cell r="BF330">
            <v>22</v>
          </cell>
          <cell r="BG330">
            <v>0</v>
          </cell>
          <cell r="BH330">
            <v>1</v>
          </cell>
          <cell r="BI330">
            <v>25</v>
          </cell>
          <cell r="BJ330">
            <v>8</v>
          </cell>
          <cell r="BK330">
            <v>6</v>
          </cell>
          <cell r="BL330">
            <v>2</v>
          </cell>
          <cell r="BM330">
            <v>3</v>
          </cell>
          <cell r="BN330">
            <v>6</v>
          </cell>
          <cell r="BO330">
            <v>0</v>
          </cell>
          <cell r="BP330">
            <v>16</v>
          </cell>
          <cell r="BQ330">
            <v>10</v>
          </cell>
          <cell r="BR330">
            <v>2</v>
          </cell>
          <cell r="BS330">
            <v>1</v>
          </cell>
          <cell r="BT330">
            <v>2</v>
          </cell>
          <cell r="BU330">
            <v>1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5</v>
          </cell>
          <cell r="EB330">
            <v>0</v>
          </cell>
          <cell r="EC330">
            <v>2</v>
          </cell>
          <cell r="ED330">
            <v>1</v>
          </cell>
          <cell r="EE330">
            <v>1</v>
          </cell>
          <cell r="EF330">
            <v>1</v>
          </cell>
          <cell r="EG330">
            <v>0</v>
          </cell>
          <cell r="EH330">
            <v>33</v>
          </cell>
          <cell r="EI330">
            <v>4</v>
          </cell>
          <cell r="EJ330">
            <v>3</v>
          </cell>
          <cell r="EK330">
            <v>9</v>
          </cell>
          <cell r="EL330">
            <v>11</v>
          </cell>
          <cell r="EM330">
            <v>6</v>
          </cell>
          <cell r="EN330">
            <v>0</v>
          </cell>
          <cell r="EO330" t="str">
            <v xml:space="preserve">TREELINE PARKA                                              </v>
          </cell>
        </row>
        <row r="331">
          <cell r="A331" t="str">
            <v>CN4SM7735010</v>
          </cell>
          <cell r="B331" t="str">
            <v>CN4</v>
          </cell>
          <cell r="C331" t="str">
            <v>SM7735</v>
          </cell>
          <cell r="D331">
            <v>10</v>
          </cell>
          <cell r="E331" t="str">
            <v xml:space="preserve">   </v>
          </cell>
          <cell r="F331">
            <v>80826</v>
          </cell>
          <cell r="G331">
            <v>81020</v>
          </cell>
          <cell r="H331">
            <v>0</v>
          </cell>
          <cell r="I331">
            <v>504</v>
          </cell>
          <cell r="J331">
            <v>503</v>
          </cell>
          <cell r="K331">
            <v>220</v>
          </cell>
          <cell r="L331">
            <v>166</v>
          </cell>
          <cell r="M331">
            <v>166</v>
          </cell>
          <cell r="N331">
            <v>21246120</v>
          </cell>
          <cell r="O331">
            <v>22045484</v>
          </cell>
          <cell r="P331">
            <v>9823220</v>
          </cell>
          <cell r="Q331">
            <v>7412066</v>
          </cell>
          <cell r="R331">
            <v>47567600</v>
          </cell>
          <cell r="S331" t="str">
            <v xml:space="preserve"> </v>
          </cell>
          <cell r="T331" t="str">
            <v xml:space="preserve"> </v>
          </cell>
          <cell r="U331">
            <v>503</v>
          </cell>
          <cell r="V331">
            <v>22045484</v>
          </cell>
          <cell r="W331">
            <v>166</v>
          </cell>
          <cell r="X331">
            <v>7412066</v>
          </cell>
          <cell r="Y331">
            <v>33</v>
          </cell>
          <cell r="Z331">
            <v>33.619999999999997</v>
          </cell>
          <cell r="AA331">
            <v>7412066</v>
          </cell>
          <cell r="AB331">
            <v>0</v>
          </cell>
          <cell r="AC331">
            <v>283</v>
          </cell>
          <cell r="AD331">
            <v>12725535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54</v>
          </cell>
          <cell r="AN331">
            <v>17771098</v>
          </cell>
          <cell r="AO331">
            <v>42155</v>
          </cell>
          <cell r="AP331">
            <v>44651</v>
          </cell>
          <cell r="AQ331">
            <v>338000</v>
          </cell>
          <cell r="AR331">
            <v>0</v>
          </cell>
          <cell r="AS331">
            <v>7.71</v>
          </cell>
          <cell r="AT331">
            <v>170014000</v>
          </cell>
          <cell r="AU331">
            <v>6.42</v>
          </cell>
          <cell r="AV331">
            <v>47567600</v>
          </cell>
          <cell r="AW331">
            <v>0</v>
          </cell>
          <cell r="AX331">
            <v>0</v>
          </cell>
          <cell r="AY331">
            <v>33</v>
          </cell>
          <cell r="AZ331">
            <v>0</v>
          </cell>
          <cell r="BA331">
            <v>166</v>
          </cell>
          <cell r="BB331">
            <v>0</v>
          </cell>
          <cell r="BC331">
            <v>161</v>
          </cell>
          <cell r="BD331">
            <v>5</v>
          </cell>
          <cell r="BE331">
            <v>0</v>
          </cell>
          <cell r="BF331">
            <v>15</v>
          </cell>
          <cell r="BG331">
            <v>1</v>
          </cell>
          <cell r="BH331">
            <v>1</v>
          </cell>
          <cell r="BI331">
            <v>73</v>
          </cell>
          <cell r="BJ331">
            <v>14</v>
          </cell>
          <cell r="BK331">
            <v>23</v>
          </cell>
          <cell r="BL331">
            <v>16</v>
          </cell>
          <cell r="BM331">
            <v>15</v>
          </cell>
          <cell r="BN331">
            <v>5</v>
          </cell>
          <cell r="BO331">
            <v>0</v>
          </cell>
          <cell r="BP331">
            <v>9</v>
          </cell>
          <cell r="BQ331">
            <v>4</v>
          </cell>
          <cell r="BR331">
            <v>5</v>
          </cell>
          <cell r="BS331">
            <v>-1</v>
          </cell>
          <cell r="BT331">
            <v>0</v>
          </cell>
          <cell r="BU331">
            <v>1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2</v>
          </cell>
          <cell r="DU331">
            <v>0</v>
          </cell>
          <cell r="DV331">
            <v>0</v>
          </cell>
          <cell r="DW331">
            <v>0</v>
          </cell>
          <cell r="DX331">
            <v>2</v>
          </cell>
          <cell r="DY331">
            <v>0</v>
          </cell>
          <cell r="DZ331">
            <v>0</v>
          </cell>
          <cell r="EA331">
            <v>28</v>
          </cell>
          <cell r="EB331">
            <v>4</v>
          </cell>
          <cell r="EC331">
            <v>1</v>
          </cell>
          <cell r="ED331">
            <v>11</v>
          </cell>
          <cell r="EE331">
            <v>4</v>
          </cell>
          <cell r="EF331">
            <v>8</v>
          </cell>
          <cell r="EG331">
            <v>0</v>
          </cell>
          <cell r="EH331">
            <v>54</v>
          </cell>
          <cell r="EI331">
            <v>3</v>
          </cell>
          <cell r="EJ331">
            <v>7</v>
          </cell>
          <cell r="EK331">
            <v>17</v>
          </cell>
          <cell r="EL331">
            <v>19</v>
          </cell>
          <cell r="EM331">
            <v>8</v>
          </cell>
          <cell r="EN331">
            <v>0</v>
          </cell>
          <cell r="EO331" t="str">
            <v xml:space="preserve">BLADE RUN PARKA                                             </v>
          </cell>
        </row>
        <row r="332">
          <cell r="A332" t="str">
            <v>CN4SM7735144</v>
          </cell>
          <cell r="B332" t="str">
            <v>CN4</v>
          </cell>
          <cell r="C332" t="str">
            <v>SM7735</v>
          </cell>
          <cell r="D332">
            <v>144</v>
          </cell>
          <cell r="E332" t="str">
            <v xml:space="preserve">   </v>
          </cell>
          <cell r="F332">
            <v>80826</v>
          </cell>
          <cell r="G332">
            <v>81101</v>
          </cell>
          <cell r="H332">
            <v>0</v>
          </cell>
          <cell r="I332">
            <v>600</v>
          </cell>
          <cell r="J332">
            <v>600</v>
          </cell>
          <cell r="K332">
            <v>206</v>
          </cell>
          <cell r="L332">
            <v>138</v>
          </cell>
          <cell r="M332">
            <v>138</v>
          </cell>
          <cell r="N332">
            <v>25293000</v>
          </cell>
          <cell r="O332">
            <v>26296800</v>
          </cell>
          <cell r="P332">
            <v>9198106</v>
          </cell>
          <cell r="Q332">
            <v>6161838</v>
          </cell>
          <cell r="R332">
            <v>32355259</v>
          </cell>
          <cell r="S332" t="str">
            <v xml:space="preserve"> </v>
          </cell>
          <cell r="T332" t="str">
            <v xml:space="preserve"> </v>
          </cell>
          <cell r="U332">
            <v>600</v>
          </cell>
          <cell r="V332">
            <v>26296800</v>
          </cell>
          <cell r="W332">
            <v>138</v>
          </cell>
          <cell r="X332">
            <v>6161838</v>
          </cell>
          <cell r="Y332">
            <v>23</v>
          </cell>
          <cell r="Z332">
            <v>23.43</v>
          </cell>
          <cell r="AA332">
            <v>6117187</v>
          </cell>
          <cell r="AB332">
            <v>44651</v>
          </cell>
          <cell r="AC332">
            <v>394</v>
          </cell>
          <cell r="AD332">
            <v>17994353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68</v>
          </cell>
          <cell r="AN332">
            <v>23084567</v>
          </cell>
          <cell r="AO332">
            <v>42155</v>
          </cell>
          <cell r="AP332">
            <v>44651</v>
          </cell>
          <cell r="AQ332">
            <v>338000</v>
          </cell>
          <cell r="AR332">
            <v>0</v>
          </cell>
          <cell r="AS332">
            <v>7.71</v>
          </cell>
          <cell r="AT332">
            <v>202800000</v>
          </cell>
          <cell r="AU332">
            <v>5.29</v>
          </cell>
          <cell r="AV332">
            <v>32348400</v>
          </cell>
          <cell r="AW332">
            <v>0.15</v>
          </cell>
          <cell r="AX332">
            <v>6859</v>
          </cell>
          <cell r="AY332">
            <v>23</v>
          </cell>
          <cell r="AZ332">
            <v>0</v>
          </cell>
          <cell r="BA332">
            <v>137</v>
          </cell>
          <cell r="BB332">
            <v>1</v>
          </cell>
          <cell r="BC332">
            <v>138</v>
          </cell>
          <cell r="BD332">
            <v>0</v>
          </cell>
          <cell r="BE332">
            <v>0</v>
          </cell>
          <cell r="BF332">
            <v>10</v>
          </cell>
          <cell r="BG332">
            <v>0</v>
          </cell>
          <cell r="BH332">
            <v>1</v>
          </cell>
          <cell r="BI332">
            <v>117</v>
          </cell>
          <cell r="BJ332">
            <v>91</v>
          </cell>
          <cell r="BK332">
            <v>11</v>
          </cell>
          <cell r="BL332">
            <v>4</v>
          </cell>
          <cell r="BM332">
            <v>2</v>
          </cell>
          <cell r="BN332">
            <v>9</v>
          </cell>
          <cell r="BO332">
            <v>0</v>
          </cell>
          <cell r="BP332">
            <v>-4</v>
          </cell>
          <cell r="BQ332">
            <v>1</v>
          </cell>
          <cell r="BR332">
            <v>-1</v>
          </cell>
          <cell r="BS332">
            <v>-4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5</v>
          </cell>
          <cell r="EB332">
            <v>1</v>
          </cell>
          <cell r="EC332">
            <v>0</v>
          </cell>
          <cell r="ED332">
            <v>1</v>
          </cell>
          <cell r="EE332">
            <v>3</v>
          </cell>
          <cell r="EF332">
            <v>0</v>
          </cell>
          <cell r="EG332">
            <v>0</v>
          </cell>
          <cell r="EH332">
            <v>20</v>
          </cell>
          <cell r="EI332">
            <v>5</v>
          </cell>
          <cell r="EJ332">
            <v>4</v>
          </cell>
          <cell r="EK332">
            <v>0</v>
          </cell>
          <cell r="EL332">
            <v>8</v>
          </cell>
          <cell r="EM332">
            <v>3</v>
          </cell>
          <cell r="EN332">
            <v>0</v>
          </cell>
          <cell r="EO332" t="str">
            <v xml:space="preserve">BLADE RUN PARKA                                             </v>
          </cell>
        </row>
        <row r="333">
          <cell r="A333" t="str">
            <v>CN4SM7735145</v>
          </cell>
          <cell r="B333" t="str">
            <v>CN4</v>
          </cell>
          <cell r="C333" t="str">
            <v>SM7735</v>
          </cell>
          <cell r="D333">
            <v>145</v>
          </cell>
          <cell r="E333" t="str">
            <v xml:space="preserve">   </v>
          </cell>
          <cell r="F333">
            <v>80826</v>
          </cell>
          <cell r="G333">
            <v>81014</v>
          </cell>
          <cell r="H333">
            <v>0</v>
          </cell>
          <cell r="I333">
            <v>858</v>
          </cell>
          <cell r="J333">
            <v>856</v>
          </cell>
          <cell r="K333">
            <v>144</v>
          </cell>
          <cell r="L333">
            <v>54</v>
          </cell>
          <cell r="M333">
            <v>54</v>
          </cell>
          <cell r="N333">
            <v>36168990</v>
          </cell>
          <cell r="O333">
            <v>37808110</v>
          </cell>
          <cell r="P333">
            <v>6429744</v>
          </cell>
          <cell r="Q333">
            <v>2411154</v>
          </cell>
          <cell r="R333">
            <v>14814599</v>
          </cell>
          <cell r="S333" t="str">
            <v xml:space="preserve"> </v>
          </cell>
          <cell r="T333" t="str">
            <v xml:space="preserve"> </v>
          </cell>
          <cell r="U333">
            <v>856</v>
          </cell>
          <cell r="V333">
            <v>37808110</v>
          </cell>
          <cell r="W333">
            <v>54</v>
          </cell>
          <cell r="X333">
            <v>2411154</v>
          </cell>
          <cell r="Y333">
            <v>6.43</v>
          </cell>
          <cell r="Z333">
            <v>6.61</v>
          </cell>
          <cell r="AA333">
            <v>2411154</v>
          </cell>
          <cell r="AB333">
            <v>0</v>
          </cell>
          <cell r="AC333">
            <v>712</v>
          </cell>
          <cell r="AD333">
            <v>35318941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>
            <v>89302</v>
          </cell>
          <cell r="AM333">
            <v>89</v>
          </cell>
          <cell r="AN333">
            <v>36479867</v>
          </cell>
          <cell r="AO333">
            <v>42155</v>
          </cell>
          <cell r="AP333">
            <v>44651</v>
          </cell>
          <cell r="AQ333">
            <v>338000</v>
          </cell>
          <cell r="AR333">
            <v>0</v>
          </cell>
          <cell r="AS333">
            <v>7.65</v>
          </cell>
          <cell r="AT333">
            <v>289328000</v>
          </cell>
          <cell r="AU333">
            <v>6.14</v>
          </cell>
          <cell r="AV333">
            <v>14814599</v>
          </cell>
          <cell r="AW333">
            <v>0</v>
          </cell>
          <cell r="AX333">
            <v>0</v>
          </cell>
          <cell r="AY333">
            <v>6.43</v>
          </cell>
          <cell r="AZ333">
            <v>0</v>
          </cell>
          <cell r="BA333">
            <v>54</v>
          </cell>
          <cell r="BB333">
            <v>0</v>
          </cell>
          <cell r="BC333">
            <v>54</v>
          </cell>
          <cell r="BD333">
            <v>0</v>
          </cell>
          <cell r="BE333">
            <v>0</v>
          </cell>
          <cell r="BF333">
            <v>14</v>
          </cell>
          <cell r="BG333">
            <v>0</v>
          </cell>
          <cell r="BH333">
            <v>1</v>
          </cell>
          <cell r="BI333">
            <v>16</v>
          </cell>
          <cell r="BJ333">
            <v>7</v>
          </cell>
          <cell r="BK333">
            <v>0</v>
          </cell>
          <cell r="BL333">
            <v>6</v>
          </cell>
          <cell r="BM333">
            <v>2</v>
          </cell>
          <cell r="BN333">
            <v>1</v>
          </cell>
          <cell r="BO333">
            <v>0</v>
          </cell>
          <cell r="BP333">
            <v>6</v>
          </cell>
          <cell r="BQ333">
            <v>1</v>
          </cell>
          <cell r="BR333">
            <v>1</v>
          </cell>
          <cell r="BS333">
            <v>4</v>
          </cell>
          <cell r="BT333">
            <v>1</v>
          </cell>
          <cell r="BU333">
            <v>-1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2</v>
          </cell>
          <cell r="EB333">
            <v>0</v>
          </cell>
          <cell r="EC333">
            <v>0</v>
          </cell>
          <cell r="ED333">
            <v>0</v>
          </cell>
          <cell r="EE333">
            <v>2</v>
          </cell>
          <cell r="EF333">
            <v>0</v>
          </cell>
          <cell r="EG333">
            <v>0</v>
          </cell>
          <cell r="EH333">
            <v>30</v>
          </cell>
          <cell r="EI333">
            <v>1</v>
          </cell>
          <cell r="EJ333">
            <v>1</v>
          </cell>
          <cell r="EK333">
            <v>8</v>
          </cell>
          <cell r="EL333">
            <v>10</v>
          </cell>
          <cell r="EM333">
            <v>10</v>
          </cell>
          <cell r="EN333">
            <v>0</v>
          </cell>
          <cell r="EO333" t="str">
            <v xml:space="preserve">BLADE RUN PARKA                                             </v>
          </cell>
        </row>
        <row r="334">
          <cell r="A334" t="str">
            <v>CN4SM8305093</v>
          </cell>
          <cell r="B334" t="str">
            <v>CN4</v>
          </cell>
          <cell r="C334" t="str">
            <v>SM8305</v>
          </cell>
          <cell r="D334">
            <v>93</v>
          </cell>
          <cell r="E334" t="str">
            <v xml:space="preserve">   </v>
          </cell>
          <cell r="F334">
            <v>80829</v>
          </cell>
          <cell r="G334">
            <v>81101</v>
          </cell>
          <cell r="H334">
            <v>0</v>
          </cell>
          <cell r="I334">
            <v>600</v>
          </cell>
          <cell r="J334">
            <v>597</v>
          </cell>
          <cell r="K334">
            <v>596</v>
          </cell>
          <cell r="L334">
            <v>260</v>
          </cell>
          <cell r="M334">
            <v>260</v>
          </cell>
          <cell r="N334">
            <v>24078600</v>
          </cell>
          <cell r="O334">
            <v>25586823</v>
          </cell>
          <cell r="P334">
            <v>25543964</v>
          </cell>
          <cell r="Q334">
            <v>11143340</v>
          </cell>
          <cell r="R334">
            <v>45998700</v>
          </cell>
          <cell r="S334" t="str">
            <v xml:space="preserve"> </v>
          </cell>
          <cell r="T334" t="str">
            <v xml:space="preserve"> </v>
          </cell>
          <cell r="U334">
            <v>597</v>
          </cell>
          <cell r="V334">
            <v>25586823</v>
          </cell>
          <cell r="W334">
            <v>260</v>
          </cell>
          <cell r="X334">
            <v>11143340</v>
          </cell>
          <cell r="Y334">
            <v>43.72</v>
          </cell>
          <cell r="Z334">
            <v>43.72</v>
          </cell>
          <cell r="AA334">
            <v>11143340</v>
          </cell>
          <cell r="AB334">
            <v>0</v>
          </cell>
          <cell r="AC334">
            <v>1</v>
          </cell>
          <cell r="AD334">
            <v>42859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>
            <v>42859</v>
          </cell>
          <cell r="AM334">
            <v>335</v>
          </cell>
          <cell r="AN334">
            <v>28586953</v>
          </cell>
          <cell r="AO334">
            <v>40131</v>
          </cell>
          <cell r="AP334">
            <v>42859</v>
          </cell>
          <cell r="AQ334">
            <v>218000</v>
          </cell>
          <cell r="AR334">
            <v>0</v>
          </cell>
          <cell r="AS334">
            <v>5.09</v>
          </cell>
          <cell r="AT334">
            <v>130146000</v>
          </cell>
          <cell r="AU334">
            <v>4.13</v>
          </cell>
          <cell r="AV334">
            <v>45998700</v>
          </cell>
          <cell r="AW334">
            <v>0</v>
          </cell>
          <cell r="AX334">
            <v>0</v>
          </cell>
          <cell r="AY334">
            <v>43.72</v>
          </cell>
          <cell r="AZ334">
            <v>0</v>
          </cell>
          <cell r="BA334">
            <v>260</v>
          </cell>
          <cell r="BB334">
            <v>0</v>
          </cell>
          <cell r="BC334">
            <v>260</v>
          </cell>
          <cell r="BD334">
            <v>0</v>
          </cell>
          <cell r="BE334">
            <v>0</v>
          </cell>
          <cell r="BF334">
            <v>29</v>
          </cell>
          <cell r="BG334">
            <v>1</v>
          </cell>
          <cell r="BH334">
            <v>1</v>
          </cell>
          <cell r="BI334">
            <v>97</v>
          </cell>
          <cell r="BJ334">
            <v>23</v>
          </cell>
          <cell r="BK334">
            <v>33</v>
          </cell>
          <cell r="BL334">
            <v>19</v>
          </cell>
          <cell r="BM334">
            <v>9</v>
          </cell>
          <cell r="BN334">
            <v>13</v>
          </cell>
          <cell r="BO334">
            <v>0</v>
          </cell>
          <cell r="BP334">
            <v>-5</v>
          </cell>
          <cell r="BQ334">
            <v>4</v>
          </cell>
          <cell r="BR334">
            <v>-4</v>
          </cell>
          <cell r="BS334">
            <v>-1</v>
          </cell>
          <cell r="BT334">
            <v>0</v>
          </cell>
          <cell r="BU334">
            <v>-4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23</v>
          </cell>
          <cell r="EB334">
            <v>1</v>
          </cell>
          <cell r="EC334">
            <v>4</v>
          </cell>
          <cell r="ED334">
            <v>2</v>
          </cell>
          <cell r="EE334">
            <v>7</v>
          </cell>
          <cell r="EF334">
            <v>9</v>
          </cell>
          <cell r="EG334">
            <v>0</v>
          </cell>
          <cell r="EH334">
            <v>145</v>
          </cell>
          <cell r="EI334">
            <v>18</v>
          </cell>
          <cell r="EJ334">
            <v>15</v>
          </cell>
          <cell r="EK334">
            <v>40</v>
          </cell>
          <cell r="EL334">
            <v>60</v>
          </cell>
          <cell r="EM334">
            <v>12</v>
          </cell>
          <cell r="EN334">
            <v>0</v>
          </cell>
          <cell r="EO334" t="str">
            <v xml:space="preserve">CODDY SHACK PANT                                            </v>
          </cell>
        </row>
        <row r="335">
          <cell r="A335" t="str">
            <v>CN4SM8305144</v>
          </cell>
          <cell r="B335" t="str">
            <v>CN4</v>
          </cell>
          <cell r="C335" t="str">
            <v>SM8305</v>
          </cell>
          <cell r="D335">
            <v>144</v>
          </cell>
          <cell r="E335" t="str">
            <v xml:space="preserve">   </v>
          </cell>
          <cell r="F335">
            <v>80829</v>
          </cell>
          <cell r="G335">
            <v>80917</v>
          </cell>
          <cell r="H335">
            <v>0</v>
          </cell>
          <cell r="I335">
            <v>504</v>
          </cell>
          <cell r="J335">
            <v>504</v>
          </cell>
          <cell r="K335">
            <v>504</v>
          </cell>
          <cell r="L335">
            <v>137</v>
          </cell>
          <cell r="M335">
            <v>137</v>
          </cell>
          <cell r="N335">
            <v>20226024</v>
          </cell>
          <cell r="O335">
            <v>21600936</v>
          </cell>
          <cell r="P335">
            <v>21600936</v>
          </cell>
          <cell r="Q335">
            <v>5871683</v>
          </cell>
          <cell r="R335">
            <v>24338600</v>
          </cell>
          <cell r="S335" t="str">
            <v xml:space="preserve"> </v>
          </cell>
          <cell r="T335" t="str">
            <v xml:space="preserve"> </v>
          </cell>
          <cell r="U335">
            <v>504</v>
          </cell>
          <cell r="V335">
            <v>21600936</v>
          </cell>
          <cell r="W335">
            <v>137</v>
          </cell>
          <cell r="X335">
            <v>5871683</v>
          </cell>
          <cell r="Y335">
            <v>26.98</v>
          </cell>
          <cell r="Z335">
            <v>26.98</v>
          </cell>
          <cell r="AA335">
            <v>5871683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-1</v>
          </cell>
          <cell r="AL335">
            <v>-42859</v>
          </cell>
          <cell r="AM335">
            <v>368</v>
          </cell>
          <cell r="AN335">
            <v>31458506</v>
          </cell>
          <cell r="AO335">
            <v>40131</v>
          </cell>
          <cell r="AP335">
            <v>42859</v>
          </cell>
          <cell r="AQ335">
            <v>218000</v>
          </cell>
          <cell r="AR335">
            <v>0</v>
          </cell>
          <cell r="AS335">
            <v>5.09</v>
          </cell>
          <cell r="AT335">
            <v>109872000</v>
          </cell>
          <cell r="AU335">
            <v>4.1500000000000004</v>
          </cell>
          <cell r="AV335">
            <v>24338600</v>
          </cell>
          <cell r="AW335">
            <v>0</v>
          </cell>
          <cell r="AX335">
            <v>0</v>
          </cell>
          <cell r="AY335">
            <v>26.98</v>
          </cell>
          <cell r="AZ335">
            <v>0</v>
          </cell>
          <cell r="BA335">
            <v>137</v>
          </cell>
          <cell r="BB335">
            <v>0</v>
          </cell>
          <cell r="BC335">
            <v>136</v>
          </cell>
          <cell r="BD335">
            <v>1</v>
          </cell>
          <cell r="BE335">
            <v>0</v>
          </cell>
          <cell r="BF335">
            <v>13</v>
          </cell>
          <cell r="BG335">
            <v>0</v>
          </cell>
          <cell r="BH335">
            <v>1</v>
          </cell>
          <cell r="BI335">
            <v>72</v>
          </cell>
          <cell r="BJ335">
            <v>17</v>
          </cell>
          <cell r="BK335">
            <v>19</v>
          </cell>
          <cell r="BL335">
            <v>19</v>
          </cell>
          <cell r="BM335">
            <v>10</v>
          </cell>
          <cell r="BN335">
            <v>7</v>
          </cell>
          <cell r="BO335">
            <v>0</v>
          </cell>
          <cell r="BP335">
            <v>-1</v>
          </cell>
          <cell r="BQ335">
            <v>1</v>
          </cell>
          <cell r="BR335">
            <v>1</v>
          </cell>
          <cell r="BS335">
            <v>0</v>
          </cell>
          <cell r="BT335">
            <v>-3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1</v>
          </cell>
          <cell r="DN335">
            <v>0</v>
          </cell>
          <cell r="DO335">
            <v>0</v>
          </cell>
          <cell r="DP335">
            <v>1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17</v>
          </cell>
          <cell r="EB335">
            <v>1</v>
          </cell>
          <cell r="EC335">
            <v>2</v>
          </cell>
          <cell r="ED335">
            <v>0</v>
          </cell>
          <cell r="EE335">
            <v>2</v>
          </cell>
          <cell r="EF335">
            <v>12</v>
          </cell>
          <cell r="EG335">
            <v>0</v>
          </cell>
          <cell r="EH335">
            <v>48</v>
          </cell>
          <cell r="EI335">
            <v>7</v>
          </cell>
          <cell r="EJ335">
            <v>9</v>
          </cell>
          <cell r="EK335">
            <v>12</v>
          </cell>
          <cell r="EL335">
            <v>21</v>
          </cell>
          <cell r="EM335">
            <v>-1</v>
          </cell>
          <cell r="EN335">
            <v>0</v>
          </cell>
          <cell r="EO335" t="str">
            <v xml:space="preserve">CODDY SHACK PANT                                            </v>
          </cell>
        </row>
        <row r="336">
          <cell r="A336" t="str">
            <v>CN4SM8310010</v>
          </cell>
          <cell r="B336" t="str">
            <v>CN4</v>
          </cell>
          <cell r="C336" t="str">
            <v>SM8310</v>
          </cell>
          <cell r="D336">
            <v>10</v>
          </cell>
          <cell r="E336" t="str">
            <v xml:space="preserve">   </v>
          </cell>
          <cell r="F336">
            <v>80818</v>
          </cell>
          <cell r="G336">
            <v>81104</v>
          </cell>
          <cell r="H336">
            <v>0</v>
          </cell>
          <cell r="I336">
            <v>804</v>
          </cell>
          <cell r="J336">
            <v>803</v>
          </cell>
          <cell r="K336">
            <v>196</v>
          </cell>
          <cell r="L336">
            <v>124</v>
          </cell>
          <cell r="M336">
            <v>124</v>
          </cell>
          <cell r="N336">
            <v>20506824</v>
          </cell>
          <cell r="O336">
            <v>20780034</v>
          </cell>
          <cell r="P336">
            <v>5072088</v>
          </cell>
          <cell r="Q336">
            <v>3208872</v>
          </cell>
          <cell r="R336">
            <v>18140200</v>
          </cell>
          <cell r="S336" t="str">
            <v xml:space="preserve"> </v>
          </cell>
          <cell r="T336" t="str">
            <v xml:space="preserve"> </v>
          </cell>
          <cell r="U336">
            <v>803</v>
          </cell>
          <cell r="V336">
            <v>20780034</v>
          </cell>
          <cell r="W336">
            <v>124</v>
          </cell>
          <cell r="X336">
            <v>3208872</v>
          </cell>
          <cell r="Y336">
            <v>15.32</v>
          </cell>
          <cell r="Z336">
            <v>15.19</v>
          </cell>
          <cell r="AA336">
            <v>3208872</v>
          </cell>
          <cell r="AB336">
            <v>0</v>
          </cell>
          <cell r="AC336">
            <v>607</v>
          </cell>
          <cell r="AD336">
            <v>17778186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-1</v>
          </cell>
          <cell r="AL336">
            <v>-51756</v>
          </cell>
          <cell r="AM336">
            <v>73</v>
          </cell>
          <cell r="AN336">
            <v>17700552</v>
          </cell>
          <cell r="AO336">
            <v>25506</v>
          </cell>
          <cell r="AP336">
            <v>25878</v>
          </cell>
          <cell r="AQ336">
            <v>178000</v>
          </cell>
          <cell r="AR336">
            <v>0</v>
          </cell>
          <cell r="AS336">
            <v>6.88</v>
          </cell>
          <cell r="AT336">
            <v>142934000</v>
          </cell>
          <cell r="AU336">
            <v>5.65</v>
          </cell>
          <cell r="AV336">
            <v>18140200</v>
          </cell>
          <cell r="AW336">
            <v>0</v>
          </cell>
          <cell r="AX336">
            <v>0</v>
          </cell>
          <cell r="AY336">
            <v>15.32</v>
          </cell>
          <cell r="AZ336">
            <v>0</v>
          </cell>
          <cell r="BA336">
            <v>124</v>
          </cell>
          <cell r="BB336">
            <v>0</v>
          </cell>
          <cell r="BC336">
            <v>123</v>
          </cell>
          <cell r="BD336">
            <v>1</v>
          </cell>
          <cell r="BE336">
            <v>0</v>
          </cell>
          <cell r="BF336">
            <v>15</v>
          </cell>
          <cell r="BG336">
            <v>1</v>
          </cell>
          <cell r="BH336">
            <v>1</v>
          </cell>
          <cell r="BI336">
            <v>65</v>
          </cell>
          <cell r="BJ336">
            <v>16</v>
          </cell>
          <cell r="BK336">
            <v>15</v>
          </cell>
          <cell r="BL336">
            <v>20</v>
          </cell>
          <cell r="BM336">
            <v>7</v>
          </cell>
          <cell r="BN336">
            <v>7</v>
          </cell>
          <cell r="BO336">
            <v>0</v>
          </cell>
          <cell r="BP336">
            <v>11</v>
          </cell>
          <cell r="BQ336">
            <v>4</v>
          </cell>
          <cell r="BR336">
            <v>4</v>
          </cell>
          <cell r="BS336">
            <v>3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8</v>
          </cell>
          <cell r="EB336">
            <v>0</v>
          </cell>
          <cell r="EC336">
            <v>0</v>
          </cell>
          <cell r="ED336">
            <v>3</v>
          </cell>
          <cell r="EE336">
            <v>4</v>
          </cell>
          <cell r="EF336">
            <v>1</v>
          </cell>
          <cell r="EG336">
            <v>0</v>
          </cell>
          <cell r="EH336">
            <v>40</v>
          </cell>
          <cell r="EI336">
            <v>6</v>
          </cell>
          <cell r="EJ336">
            <v>6</v>
          </cell>
          <cell r="EK336">
            <v>10</v>
          </cell>
          <cell r="EL336">
            <v>12</v>
          </cell>
          <cell r="EM336">
            <v>6</v>
          </cell>
          <cell r="EN336">
            <v>0</v>
          </cell>
          <cell r="EO336" t="str">
            <v xml:space="preserve">RIDGE RUN PANT                                              </v>
          </cell>
        </row>
        <row r="337">
          <cell r="A337" t="str">
            <v>CN4SM8310058</v>
          </cell>
          <cell r="B337" t="str">
            <v>CN4</v>
          </cell>
          <cell r="C337" t="str">
            <v>SM8310</v>
          </cell>
          <cell r="D337">
            <v>58</v>
          </cell>
          <cell r="E337" t="str">
            <v xml:space="preserve">   </v>
          </cell>
          <cell r="F337">
            <v>80818</v>
          </cell>
          <cell r="G337">
            <v>81104</v>
          </cell>
          <cell r="H337">
            <v>0</v>
          </cell>
          <cell r="I337">
            <v>504</v>
          </cell>
          <cell r="J337">
            <v>503</v>
          </cell>
          <cell r="K337">
            <v>128</v>
          </cell>
          <cell r="L337">
            <v>95</v>
          </cell>
          <cell r="M337">
            <v>95</v>
          </cell>
          <cell r="N337">
            <v>12855024</v>
          </cell>
          <cell r="O337">
            <v>13016634</v>
          </cell>
          <cell r="P337">
            <v>3312384</v>
          </cell>
          <cell r="Q337">
            <v>2458410</v>
          </cell>
          <cell r="R337">
            <v>13993100</v>
          </cell>
          <cell r="S337" t="str">
            <v xml:space="preserve"> </v>
          </cell>
          <cell r="T337" t="str">
            <v xml:space="preserve"> </v>
          </cell>
          <cell r="U337">
            <v>503</v>
          </cell>
          <cell r="V337">
            <v>13016634</v>
          </cell>
          <cell r="W337">
            <v>95</v>
          </cell>
          <cell r="X337">
            <v>2458410</v>
          </cell>
          <cell r="Y337">
            <v>18.89</v>
          </cell>
          <cell r="Z337">
            <v>18.89</v>
          </cell>
          <cell r="AA337">
            <v>2458410</v>
          </cell>
          <cell r="AB337">
            <v>0</v>
          </cell>
          <cell r="AC337">
            <v>375</v>
          </cell>
          <cell r="AD337">
            <v>10377078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33</v>
          </cell>
          <cell r="AN337">
            <v>10842882</v>
          </cell>
          <cell r="AO337">
            <v>25506</v>
          </cell>
          <cell r="AP337">
            <v>25878</v>
          </cell>
          <cell r="AQ337">
            <v>178000</v>
          </cell>
          <cell r="AR337">
            <v>0</v>
          </cell>
          <cell r="AS337">
            <v>6.88</v>
          </cell>
          <cell r="AT337">
            <v>89534000</v>
          </cell>
          <cell r="AU337">
            <v>5.69</v>
          </cell>
          <cell r="AV337">
            <v>13993100</v>
          </cell>
          <cell r="AW337">
            <v>0</v>
          </cell>
          <cell r="AX337">
            <v>0</v>
          </cell>
          <cell r="AY337">
            <v>18.89</v>
          </cell>
          <cell r="AZ337">
            <v>0</v>
          </cell>
          <cell r="BA337">
            <v>95</v>
          </cell>
          <cell r="BB337">
            <v>0</v>
          </cell>
          <cell r="BC337">
            <v>95</v>
          </cell>
          <cell r="BD337">
            <v>0</v>
          </cell>
          <cell r="BE337">
            <v>0</v>
          </cell>
          <cell r="BF337">
            <v>10</v>
          </cell>
          <cell r="BG337">
            <v>0</v>
          </cell>
          <cell r="BH337">
            <v>1</v>
          </cell>
          <cell r="BI337">
            <v>41</v>
          </cell>
          <cell r="BJ337">
            <v>8</v>
          </cell>
          <cell r="BK337">
            <v>13</v>
          </cell>
          <cell r="BL337">
            <v>8</v>
          </cell>
          <cell r="BM337">
            <v>8</v>
          </cell>
          <cell r="BN337">
            <v>4</v>
          </cell>
          <cell r="BO337">
            <v>0</v>
          </cell>
          <cell r="BP337">
            <v>4</v>
          </cell>
          <cell r="BQ337">
            <v>3</v>
          </cell>
          <cell r="BR337">
            <v>0</v>
          </cell>
          <cell r="BS337">
            <v>0</v>
          </cell>
          <cell r="BT337">
            <v>0</v>
          </cell>
          <cell r="BU337">
            <v>1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8</v>
          </cell>
          <cell r="EB337">
            <v>0</v>
          </cell>
          <cell r="EC337">
            <v>1</v>
          </cell>
          <cell r="ED337">
            <v>4</v>
          </cell>
          <cell r="EE337">
            <v>2</v>
          </cell>
          <cell r="EF337">
            <v>1</v>
          </cell>
          <cell r="EG337">
            <v>0</v>
          </cell>
          <cell r="EH337">
            <v>42</v>
          </cell>
          <cell r="EI337">
            <v>6</v>
          </cell>
          <cell r="EJ337">
            <v>4</v>
          </cell>
          <cell r="EK337">
            <v>12</v>
          </cell>
          <cell r="EL337">
            <v>14</v>
          </cell>
          <cell r="EM337">
            <v>6</v>
          </cell>
          <cell r="EN337">
            <v>0</v>
          </cell>
          <cell r="EO337" t="str">
            <v xml:space="preserve">RIDGE RUN PANT                                              </v>
          </cell>
        </row>
        <row r="338">
          <cell r="A338" t="str">
            <v>CN4SM8310350</v>
          </cell>
          <cell r="B338" t="str">
            <v>CN4</v>
          </cell>
          <cell r="C338" t="str">
            <v>SM8310</v>
          </cell>
          <cell r="D338">
            <v>350</v>
          </cell>
          <cell r="E338" t="str">
            <v xml:space="preserve">   </v>
          </cell>
          <cell r="F338">
            <v>80818</v>
          </cell>
          <cell r="G338">
            <v>81104</v>
          </cell>
          <cell r="H338">
            <v>0</v>
          </cell>
          <cell r="I338">
            <v>402</v>
          </cell>
          <cell r="J338">
            <v>399</v>
          </cell>
          <cell r="K338">
            <v>106</v>
          </cell>
          <cell r="L338">
            <v>69</v>
          </cell>
          <cell r="M338">
            <v>69</v>
          </cell>
          <cell r="N338">
            <v>10253412</v>
          </cell>
          <cell r="O338">
            <v>10325322</v>
          </cell>
          <cell r="P338">
            <v>2743068</v>
          </cell>
          <cell r="Q338">
            <v>1785582</v>
          </cell>
          <cell r="R338">
            <v>10133959</v>
          </cell>
          <cell r="S338" t="str">
            <v xml:space="preserve"> </v>
          </cell>
          <cell r="T338" t="str">
            <v xml:space="preserve"> </v>
          </cell>
          <cell r="U338">
            <v>399</v>
          </cell>
          <cell r="V338">
            <v>10325322</v>
          </cell>
          <cell r="W338">
            <v>69</v>
          </cell>
          <cell r="X338">
            <v>1785582</v>
          </cell>
          <cell r="Y338">
            <v>17.79</v>
          </cell>
          <cell r="Z338">
            <v>18.05</v>
          </cell>
          <cell r="AA338">
            <v>1759704</v>
          </cell>
          <cell r="AB338">
            <v>25878</v>
          </cell>
          <cell r="AC338">
            <v>293</v>
          </cell>
          <cell r="AD338">
            <v>7582254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25878</v>
          </cell>
          <cell r="AK338">
            <v>2</v>
          </cell>
          <cell r="AL338">
            <v>77634</v>
          </cell>
          <cell r="AM338">
            <v>35</v>
          </cell>
          <cell r="AN338">
            <v>9471348</v>
          </cell>
          <cell r="AO338">
            <v>25506</v>
          </cell>
          <cell r="AP338">
            <v>25878</v>
          </cell>
          <cell r="AQ338">
            <v>178000</v>
          </cell>
          <cell r="AR338">
            <v>0</v>
          </cell>
          <cell r="AS338">
            <v>6.88</v>
          </cell>
          <cell r="AT338">
            <v>71022000</v>
          </cell>
          <cell r="AU338">
            <v>5.76</v>
          </cell>
          <cell r="AV338">
            <v>10127100</v>
          </cell>
          <cell r="AW338">
            <v>0.27</v>
          </cell>
          <cell r="AX338">
            <v>6859</v>
          </cell>
          <cell r="AY338">
            <v>17.79</v>
          </cell>
          <cell r="AZ338">
            <v>0</v>
          </cell>
          <cell r="BA338">
            <v>68</v>
          </cell>
          <cell r="BB338">
            <v>1</v>
          </cell>
          <cell r="BC338">
            <v>69</v>
          </cell>
          <cell r="BD338">
            <v>0</v>
          </cell>
          <cell r="BE338">
            <v>0</v>
          </cell>
          <cell r="BF338">
            <v>9</v>
          </cell>
          <cell r="BG338">
            <v>0</v>
          </cell>
          <cell r="BH338">
            <v>1</v>
          </cell>
          <cell r="BI338">
            <v>35</v>
          </cell>
          <cell r="BJ338">
            <v>5</v>
          </cell>
          <cell r="BK338">
            <v>12</v>
          </cell>
          <cell r="BL338">
            <v>10</v>
          </cell>
          <cell r="BM338">
            <v>5</v>
          </cell>
          <cell r="BN338">
            <v>3</v>
          </cell>
          <cell r="BO338">
            <v>0</v>
          </cell>
          <cell r="BP338">
            <v>3</v>
          </cell>
          <cell r="BQ338">
            <v>2</v>
          </cell>
          <cell r="BR338">
            <v>1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5</v>
          </cell>
          <cell r="EB338">
            <v>0</v>
          </cell>
          <cell r="EC338">
            <v>1</v>
          </cell>
          <cell r="ED338">
            <v>0</v>
          </cell>
          <cell r="EE338">
            <v>2</v>
          </cell>
          <cell r="EF338">
            <v>2</v>
          </cell>
          <cell r="EG338">
            <v>0</v>
          </cell>
          <cell r="EH338">
            <v>26</v>
          </cell>
          <cell r="EI338">
            <v>4</v>
          </cell>
          <cell r="EJ338">
            <v>6</v>
          </cell>
          <cell r="EK338">
            <v>6</v>
          </cell>
          <cell r="EL338">
            <v>8</v>
          </cell>
          <cell r="EM338">
            <v>2</v>
          </cell>
          <cell r="EN338">
            <v>0</v>
          </cell>
          <cell r="EO338" t="str">
            <v xml:space="preserve">RIDGE RUN PANT                                              </v>
          </cell>
        </row>
        <row r="339">
          <cell r="A339" t="str">
            <v>CN4VB4051012</v>
          </cell>
          <cell r="B339" t="str">
            <v>CN4</v>
          </cell>
          <cell r="C339" t="str">
            <v>VB4051</v>
          </cell>
          <cell r="D339">
            <v>12</v>
          </cell>
          <cell r="E339" t="str">
            <v xml:space="preserve">   </v>
          </cell>
          <cell r="F339">
            <v>80730</v>
          </cell>
          <cell r="G339">
            <v>80901</v>
          </cell>
          <cell r="H339">
            <v>0</v>
          </cell>
          <cell r="I339">
            <v>600</v>
          </cell>
          <cell r="J339">
            <v>600</v>
          </cell>
          <cell r="K339">
            <v>588</v>
          </cell>
          <cell r="L339">
            <v>281</v>
          </cell>
          <cell r="M339">
            <v>281</v>
          </cell>
          <cell r="N339">
            <v>11239200</v>
          </cell>
          <cell r="O339">
            <v>11289600</v>
          </cell>
          <cell r="P339">
            <v>11063808</v>
          </cell>
          <cell r="Q339">
            <v>5287296</v>
          </cell>
          <cell r="R339">
            <v>36673059</v>
          </cell>
          <cell r="S339" t="str">
            <v xml:space="preserve"> </v>
          </cell>
          <cell r="T339" t="str">
            <v xml:space="preserve"> </v>
          </cell>
          <cell r="U339">
            <v>600</v>
          </cell>
          <cell r="V339">
            <v>11289600</v>
          </cell>
          <cell r="W339">
            <v>281</v>
          </cell>
          <cell r="X339">
            <v>5287296</v>
          </cell>
          <cell r="Y339">
            <v>47</v>
          </cell>
          <cell r="Z339">
            <v>47.17</v>
          </cell>
          <cell r="AA339">
            <v>5268480</v>
          </cell>
          <cell r="AB339">
            <v>18816</v>
          </cell>
          <cell r="AC339">
            <v>12</v>
          </cell>
          <cell r="AD339">
            <v>470400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>
            <v>37632</v>
          </cell>
          <cell r="AM339">
            <v>306</v>
          </cell>
          <cell r="AN339">
            <v>11684736</v>
          </cell>
          <cell r="AO339">
            <v>18732</v>
          </cell>
          <cell r="AP339">
            <v>18816</v>
          </cell>
          <cell r="AQ339">
            <v>138000</v>
          </cell>
          <cell r="AR339">
            <v>0</v>
          </cell>
          <cell r="AS339">
            <v>7.33</v>
          </cell>
          <cell r="AT339">
            <v>82800000</v>
          </cell>
          <cell r="AU339">
            <v>6.96</v>
          </cell>
          <cell r="AV339">
            <v>36666200</v>
          </cell>
          <cell r="AW339">
            <v>0.36</v>
          </cell>
          <cell r="AX339">
            <v>6859</v>
          </cell>
          <cell r="AY339">
            <v>47</v>
          </cell>
          <cell r="AZ339">
            <v>0</v>
          </cell>
          <cell r="BA339">
            <v>280</v>
          </cell>
          <cell r="BB339">
            <v>1</v>
          </cell>
          <cell r="BC339">
            <v>279</v>
          </cell>
          <cell r="BD339">
            <v>2</v>
          </cell>
          <cell r="BE339">
            <v>0</v>
          </cell>
          <cell r="BF339">
            <v>16</v>
          </cell>
          <cell r="BG339">
            <v>1</v>
          </cell>
          <cell r="BH339">
            <v>1</v>
          </cell>
          <cell r="BI339">
            <v>65</v>
          </cell>
          <cell r="BJ339">
            <v>14</v>
          </cell>
          <cell r="BK339">
            <v>20</v>
          </cell>
          <cell r="BL339">
            <v>12</v>
          </cell>
          <cell r="BM339">
            <v>14</v>
          </cell>
          <cell r="BN339">
            <v>5</v>
          </cell>
          <cell r="BO339">
            <v>0</v>
          </cell>
          <cell r="BP339">
            <v>10</v>
          </cell>
          <cell r="BQ339">
            <v>1</v>
          </cell>
          <cell r="BR339">
            <v>6</v>
          </cell>
          <cell r="BS339">
            <v>1</v>
          </cell>
          <cell r="BT339">
            <v>2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2</v>
          </cell>
          <cell r="DN339">
            <v>1</v>
          </cell>
          <cell r="DO339">
            <v>0</v>
          </cell>
          <cell r="DP339">
            <v>0</v>
          </cell>
          <cell r="DQ339">
            <v>1</v>
          </cell>
          <cell r="DR339">
            <v>0</v>
          </cell>
          <cell r="DS339">
            <v>0</v>
          </cell>
          <cell r="DT339">
            <v>7</v>
          </cell>
          <cell r="DU339">
            <v>0</v>
          </cell>
          <cell r="DV339">
            <v>4</v>
          </cell>
          <cell r="DW339">
            <v>2</v>
          </cell>
          <cell r="DX339">
            <v>0</v>
          </cell>
          <cell r="DY339">
            <v>1</v>
          </cell>
          <cell r="DZ339">
            <v>0</v>
          </cell>
          <cell r="EA339">
            <v>70</v>
          </cell>
          <cell r="EB339">
            <v>6</v>
          </cell>
          <cell r="EC339">
            <v>11</v>
          </cell>
          <cell r="ED339">
            <v>13</v>
          </cell>
          <cell r="EE339">
            <v>20</v>
          </cell>
          <cell r="EF339">
            <v>20</v>
          </cell>
          <cell r="EG339">
            <v>0</v>
          </cell>
          <cell r="EH339">
            <v>127</v>
          </cell>
          <cell r="EI339">
            <v>27</v>
          </cell>
          <cell r="EJ339">
            <v>26</v>
          </cell>
          <cell r="EK339">
            <v>26</v>
          </cell>
          <cell r="EL339">
            <v>43</v>
          </cell>
          <cell r="EM339">
            <v>5</v>
          </cell>
          <cell r="EN339">
            <v>0</v>
          </cell>
          <cell r="EO339" t="str">
            <v xml:space="preserve">RELAUNCH JACKET GRP                                         </v>
          </cell>
        </row>
        <row r="340">
          <cell r="A340" t="str">
            <v>CN4VB8038028</v>
          </cell>
          <cell r="B340" t="str">
            <v>CN4</v>
          </cell>
          <cell r="C340" t="str">
            <v>VB8038</v>
          </cell>
          <cell r="D340">
            <v>28</v>
          </cell>
          <cell r="E340" t="str">
            <v xml:space="preserve">   </v>
          </cell>
          <cell r="F340">
            <v>80709</v>
          </cell>
          <cell r="G340">
            <v>81015</v>
          </cell>
          <cell r="H340">
            <v>0</v>
          </cell>
          <cell r="I340">
            <v>306</v>
          </cell>
          <cell r="J340">
            <v>306</v>
          </cell>
          <cell r="K340">
            <v>306</v>
          </cell>
          <cell r="L340">
            <v>129</v>
          </cell>
          <cell r="M340">
            <v>129</v>
          </cell>
          <cell r="N340">
            <v>5441904</v>
          </cell>
          <cell r="O340">
            <v>5486580</v>
          </cell>
          <cell r="P340">
            <v>5486580</v>
          </cell>
          <cell r="Q340">
            <v>2312970</v>
          </cell>
          <cell r="R340">
            <v>11894018</v>
          </cell>
          <cell r="S340" t="str">
            <v xml:space="preserve"> </v>
          </cell>
          <cell r="T340" t="str">
            <v xml:space="preserve"> </v>
          </cell>
          <cell r="U340">
            <v>306</v>
          </cell>
          <cell r="V340">
            <v>5486580</v>
          </cell>
          <cell r="W340">
            <v>129</v>
          </cell>
          <cell r="X340">
            <v>2312970</v>
          </cell>
          <cell r="Y340">
            <v>41.83</v>
          </cell>
          <cell r="Z340">
            <v>41.5</v>
          </cell>
          <cell r="AA340">
            <v>2277110</v>
          </cell>
          <cell r="AB340">
            <v>35860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-1</v>
          </cell>
          <cell r="AL340">
            <v>-35860</v>
          </cell>
          <cell r="AM340">
            <v>178</v>
          </cell>
          <cell r="AN340">
            <v>6472730</v>
          </cell>
          <cell r="AO340">
            <v>17784</v>
          </cell>
          <cell r="AP340">
            <v>17930</v>
          </cell>
          <cell r="AQ340">
            <v>98000</v>
          </cell>
          <cell r="AR340">
            <v>0</v>
          </cell>
          <cell r="AS340">
            <v>5.47</v>
          </cell>
          <cell r="AT340">
            <v>29988000</v>
          </cell>
          <cell r="AU340">
            <v>5.22</v>
          </cell>
          <cell r="AV340">
            <v>11880300</v>
          </cell>
          <cell r="AW340">
            <v>0.38</v>
          </cell>
          <cell r="AX340">
            <v>13718</v>
          </cell>
          <cell r="AY340">
            <v>41.83</v>
          </cell>
          <cell r="AZ340">
            <v>0</v>
          </cell>
          <cell r="BA340">
            <v>127</v>
          </cell>
          <cell r="BB340">
            <v>2</v>
          </cell>
          <cell r="BC340">
            <v>129</v>
          </cell>
          <cell r="BD340">
            <v>0</v>
          </cell>
          <cell r="BE340">
            <v>0</v>
          </cell>
          <cell r="BF340">
            <v>9</v>
          </cell>
          <cell r="BG340">
            <v>1</v>
          </cell>
          <cell r="BH340">
            <v>1</v>
          </cell>
          <cell r="BI340">
            <v>46</v>
          </cell>
          <cell r="BJ340">
            <v>7</v>
          </cell>
          <cell r="BK340">
            <v>15</v>
          </cell>
          <cell r="BL340">
            <v>9</v>
          </cell>
          <cell r="BM340">
            <v>11</v>
          </cell>
          <cell r="BN340">
            <v>4</v>
          </cell>
          <cell r="BO340">
            <v>0</v>
          </cell>
          <cell r="BP340">
            <v>5</v>
          </cell>
          <cell r="BQ340">
            <v>-1</v>
          </cell>
          <cell r="BR340">
            <v>2</v>
          </cell>
          <cell r="BS340">
            <v>1</v>
          </cell>
          <cell r="BT340">
            <v>2</v>
          </cell>
          <cell r="BU340">
            <v>1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21</v>
          </cell>
          <cell r="EB340">
            <v>3</v>
          </cell>
          <cell r="EC340">
            <v>2</v>
          </cell>
          <cell r="ED340">
            <v>2</v>
          </cell>
          <cell r="EE340">
            <v>2</v>
          </cell>
          <cell r="EF340">
            <v>12</v>
          </cell>
          <cell r="EG340">
            <v>0</v>
          </cell>
          <cell r="EH340">
            <v>57</v>
          </cell>
          <cell r="EI340">
            <v>17</v>
          </cell>
          <cell r="EJ340">
            <v>13</v>
          </cell>
          <cell r="EK340">
            <v>10</v>
          </cell>
          <cell r="EL340">
            <v>13</v>
          </cell>
          <cell r="EM340">
            <v>4</v>
          </cell>
          <cell r="EN340">
            <v>0</v>
          </cell>
          <cell r="EO340" t="str">
            <v xml:space="preserve">SCREAMING EAGLE PANT                                        </v>
          </cell>
        </row>
        <row r="341">
          <cell r="A341" t="str">
            <v>CN4VB8038814</v>
          </cell>
          <cell r="B341" t="str">
            <v>CN4</v>
          </cell>
          <cell r="C341" t="str">
            <v>VB8038</v>
          </cell>
          <cell r="D341">
            <v>814</v>
          </cell>
          <cell r="E341" t="str">
            <v xml:space="preserve">   </v>
          </cell>
          <cell r="F341">
            <v>80709</v>
          </cell>
          <cell r="G341">
            <v>81015</v>
          </cell>
          <cell r="H341">
            <v>0</v>
          </cell>
          <cell r="I341">
            <v>306</v>
          </cell>
          <cell r="J341">
            <v>306</v>
          </cell>
          <cell r="K341">
            <v>306</v>
          </cell>
          <cell r="L341">
            <v>118</v>
          </cell>
          <cell r="M341">
            <v>118</v>
          </cell>
          <cell r="N341">
            <v>5441904</v>
          </cell>
          <cell r="O341">
            <v>5486580</v>
          </cell>
          <cell r="P341">
            <v>5486580</v>
          </cell>
          <cell r="Q341">
            <v>2115740</v>
          </cell>
          <cell r="R341">
            <v>10901859</v>
          </cell>
          <cell r="S341" t="str">
            <v xml:space="preserve"> </v>
          </cell>
          <cell r="T341" t="str">
            <v xml:space="preserve"> </v>
          </cell>
          <cell r="U341">
            <v>306</v>
          </cell>
          <cell r="V341">
            <v>5486580</v>
          </cell>
          <cell r="W341">
            <v>118</v>
          </cell>
          <cell r="X341">
            <v>2115740</v>
          </cell>
          <cell r="Y341">
            <v>38.56</v>
          </cell>
          <cell r="Z341">
            <v>38.56</v>
          </cell>
          <cell r="AA341">
            <v>2097810</v>
          </cell>
          <cell r="AB341">
            <v>17930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188</v>
          </cell>
          <cell r="AN341">
            <v>6849260</v>
          </cell>
          <cell r="AO341">
            <v>17784</v>
          </cell>
          <cell r="AP341">
            <v>17930</v>
          </cell>
          <cell r="AQ341">
            <v>98000</v>
          </cell>
          <cell r="AR341">
            <v>0</v>
          </cell>
          <cell r="AS341">
            <v>5.47</v>
          </cell>
          <cell r="AT341">
            <v>29988000</v>
          </cell>
          <cell r="AU341">
            <v>5.19</v>
          </cell>
          <cell r="AV341">
            <v>10895000</v>
          </cell>
          <cell r="AW341">
            <v>0.38</v>
          </cell>
          <cell r="AX341">
            <v>6859</v>
          </cell>
          <cell r="AY341">
            <v>38.56</v>
          </cell>
          <cell r="AZ341">
            <v>0</v>
          </cell>
          <cell r="BA341">
            <v>117</v>
          </cell>
          <cell r="BB341">
            <v>1</v>
          </cell>
          <cell r="BC341">
            <v>118</v>
          </cell>
          <cell r="BD341">
            <v>0</v>
          </cell>
          <cell r="BE341">
            <v>0</v>
          </cell>
          <cell r="BF341">
            <v>6</v>
          </cell>
          <cell r="BG341">
            <v>0</v>
          </cell>
          <cell r="BH341">
            <v>1</v>
          </cell>
          <cell r="BI341">
            <v>25</v>
          </cell>
          <cell r="BJ341">
            <v>6</v>
          </cell>
          <cell r="BK341">
            <v>5</v>
          </cell>
          <cell r="BL341">
            <v>6</v>
          </cell>
          <cell r="BM341">
            <v>7</v>
          </cell>
          <cell r="BN341">
            <v>1</v>
          </cell>
          <cell r="BO341">
            <v>0</v>
          </cell>
          <cell r="BP341">
            <v>6</v>
          </cell>
          <cell r="BQ341">
            <v>1</v>
          </cell>
          <cell r="BR341">
            <v>1</v>
          </cell>
          <cell r="BS341">
            <v>0</v>
          </cell>
          <cell r="BT341">
            <v>3</v>
          </cell>
          <cell r="BU341">
            <v>1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19</v>
          </cell>
          <cell r="EB341">
            <v>0</v>
          </cell>
          <cell r="EC341">
            <v>0</v>
          </cell>
          <cell r="ED341">
            <v>3</v>
          </cell>
          <cell r="EE341">
            <v>7</v>
          </cell>
          <cell r="EF341">
            <v>9</v>
          </cell>
          <cell r="EG341">
            <v>0</v>
          </cell>
          <cell r="EH341">
            <v>68</v>
          </cell>
          <cell r="EI341">
            <v>14</v>
          </cell>
          <cell r="EJ341">
            <v>15</v>
          </cell>
          <cell r="EK341">
            <v>13</v>
          </cell>
          <cell r="EL341">
            <v>22</v>
          </cell>
          <cell r="EM341">
            <v>4</v>
          </cell>
          <cell r="EN341">
            <v>0</v>
          </cell>
          <cell r="EO341" t="str">
            <v xml:space="preserve">SCREAMING EAGLE PANT                                        </v>
          </cell>
        </row>
        <row r="342">
          <cell r="A342" t="str">
            <v>CN4VL3026287</v>
          </cell>
          <cell r="B342" t="str">
            <v>CN4</v>
          </cell>
          <cell r="C342" t="str">
            <v>VL3026</v>
          </cell>
          <cell r="D342">
            <v>287</v>
          </cell>
          <cell r="E342" t="str">
            <v xml:space="preserve">   </v>
          </cell>
          <cell r="F342">
            <v>80813</v>
          </cell>
          <cell r="G342">
            <v>81101</v>
          </cell>
          <cell r="H342">
            <v>0</v>
          </cell>
          <cell r="I342">
            <v>402</v>
          </cell>
          <cell r="J342">
            <v>402</v>
          </cell>
          <cell r="K342">
            <v>397</v>
          </cell>
          <cell r="L342">
            <v>98</v>
          </cell>
          <cell r="M342">
            <v>98</v>
          </cell>
          <cell r="N342">
            <v>12322908</v>
          </cell>
          <cell r="O342">
            <v>13019574</v>
          </cell>
          <cell r="P342">
            <v>12857639</v>
          </cell>
          <cell r="Q342">
            <v>3173926</v>
          </cell>
          <cell r="R342">
            <v>20983255</v>
          </cell>
          <cell r="S342" t="str">
            <v xml:space="preserve"> </v>
          </cell>
          <cell r="T342" t="str">
            <v xml:space="preserve"> </v>
          </cell>
          <cell r="U342">
            <v>402</v>
          </cell>
          <cell r="V342">
            <v>13019574</v>
          </cell>
          <cell r="W342">
            <v>98</v>
          </cell>
          <cell r="X342">
            <v>3173926</v>
          </cell>
          <cell r="Y342">
            <v>24.88</v>
          </cell>
          <cell r="Z342">
            <v>25.37</v>
          </cell>
          <cell r="AA342">
            <v>3173926</v>
          </cell>
          <cell r="AB342">
            <v>0</v>
          </cell>
          <cell r="AC342">
            <v>5</v>
          </cell>
          <cell r="AD342">
            <v>291483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2</v>
          </cell>
          <cell r="AL342">
            <v>129548</v>
          </cell>
          <cell r="AM342">
            <v>297</v>
          </cell>
          <cell r="AN342">
            <v>19756070</v>
          </cell>
          <cell r="AO342">
            <v>30654</v>
          </cell>
          <cell r="AP342">
            <v>32387</v>
          </cell>
          <cell r="AQ342">
            <v>258000</v>
          </cell>
          <cell r="AR342">
            <v>0</v>
          </cell>
          <cell r="AS342">
            <v>7.97</v>
          </cell>
          <cell r="AT342">
            <v>103716000</v>
          </cell>
          <cell r="AU342">
            <v>6.61</v>
          </cell>
          <cell r="AV342">
            <v>20983255</v>
          </cell>
          <cell r="AW342">
            <v>0</v>
          </cell>
          <cell r="AX342">
            <v>0</v>
          </cell>
          <cell r="AY342">
            <v>24.88</v>
          </cell>
          <cell r="AZ342">
            <v>0</v>
          </cell>
          <cell r="BA342">
            <v>98</v>
          </cell>
          <cell r="BB342">
            <v>0</v>
          </cell>
          <cell r="BC342">
            <v>98</v>
          </cell>
          <cell r="BD342">
            <v>0</v>
          </cell>
          <cell r="BE342">
            <v>0</v>
          </cell>
          <cell r="BF342">
            <v>23</v>
          </cell>
          <cell r="BG342">
            <v>1</v>
          </cell>
          <cell r="BH342">
            <v>1</v>
          </cell>
          <cell r="BI342">
            <v>39</v>
          </cell>
          <cell r="BJ342">
            <v>14</v>
          </cell>
          <cell r="BK342">
            <v>8</v>
          </cell>
          <cell r="BL342">
            <v>11</v>
          </cell>
          <cell r="BM342">
            <v>4</v>
          </cell>
          <cell r="BN342">
            <v>2</v>
          </cell>
          <cell r="BO342">
            <v>0</v>
          </cell>
          <cell r="BP342">
            <v>15</v>
          </cell>
          <cell r="BQ342">
            <v>3</v>
          </cell>
          <cell r="BR342">
            <v>4</v>
          </cell>
          <cell r="BS342">
            <v>0</v>
          </cell>
          <cell r="BT342">
            <v>6</v>
          </cell>
          <cell r="BU342">
            <v>2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15</v>
          </cell>
          <cell r="EB342">
            <v>0</v>
          </cell>
          <cell r="EC342">
            <v>5</v>
          </cell>
          <cell r="ED342">
            <v>5</v>
          </cell>
          <cell r="EE342">
            <v>4</v>
          </cell>
          <cell r="EF342">
            <v>1</v>
          </cell>
          <cell r="EG342">
            <v>0</v>
          </cell>
          <cell r="EH342">
            <v>29</v>
          </cell>
          <cell r="EI342">
            <v>5</v>
          </cell>
          <cell r="EJ342">
            <v>2</v>
          </cell>
          <cell r="EK342">
            <v>8</v>
          </cell>
          <cell r="EL342">
            <v>6</v>
          </cell>
          <cell r="EM342">
            <v>8</v>
          </cell>
          <cell r="EN342">
            <v>0</v>
          </cell>
          <cell r="EO342" t="str">
            <v xml:space="preserve">BURNSIDE BOMBSHELL JACKET                                   </v>
          </cell>
        </row>
        <row r="343">
          <cell r="A343" t="str">
            <v>CN4VL3026981</v>
          </cell>
          <cell r="B343" t="str">
            <v>CN4</v>
          </cell>
          <cell r="C343" t="str">
            <v>VL3026</v>
          </cell>
          <cell r="D343">
            <v>981</v>
          </cell>
          <cell r="E343" t="str">
            <v xml:space="preserve">   </v>
          </cell>
          <cell r="F343">
            <v>80813</v>
          </cell>
          <cell r="G343">
            <v>81101</v>
          </cell>
          <cell r="H343">
            <v>0</v>
          </cell>
          <cell r="I343">
            <v>702</v>
          </cell>
          <cell r="J343">
            <v>702</v>
          </cell>
          <cell r="K343">
            <v>700</v>
          </cell>
          <cell r="L343">
            <v>500</v>
          </cell>
          <cell r="M343">
            <v>500</v>
          </cell>
          <cell r="N343">
            <v>21519108</v>
          </cell>
          <cell r="O343">
            <v>22735674</v>
          </cell>
          <cell r="P343">
            <v>22670900</v>
          </cell>
          <cell r="Q343">
            <v>16193500</v>
          </cell>
          <cell r="R343">
            <v>107032700</v>
          </cell>
          <cell r="S343" t="str">
            <v xml:space="preserve"> </v>
          </cell>
          <cell r="T343" t="str">
            <v xml:space="preserve"> </v>
          </cell>
          <cell r="U343">
            <v>702</v>
          </cell>
          <cell r="V343">
            <v>22735674</v>
          </cell>
          <cell r="W343">
            <v>500</v>
          </cell>
          <cell r="X343">
            <v>16193500</v>
          </cell>
          <cell r="Y343">
            <v>71.510000000000005</v>
          </cell>
          <cell r="Z343">
            <v>71.650000000000006</v>
          </cell>
          <cell r="AA343">
            <v>16193500</v>
          </cell>
          <cell r="AB343">
            <v>0</v>
          </cell>
          <cell r="AC343">
            <v>2</v>
          </cell>
          <cell r="AD343">
            <v>64774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2</v>
          </cell>
          <cell r="AL343">
            <v>97161</v>
          </cell>
          <cell r="AM343">
            <v>198</v>
          </cell>
          <cell r="AN343">
            <v>12728091</v>
          </cell>
          <cell r="AO343">
            <v>30654</v>
          </cell>
          <cell r="AP343">
            <v>32387</v>
          </cell>
          <cell r="AQ343">
            <v>258000</v>
          </cell>
          <cell r="AR343">
            <v>0</v>
          </cell>
          <cell r="AS343">
            <v>7.97</v>
          </cell>
          <cell r="AT343">
            <v>181116000</v>
          </cell>
          <cell r="AU343">
            <v>6.61</v>
          </cell>
          <cell r="AV343">
            <v>107032700</v>
          </cell>
          <cell r="AW343">
            <v>0</v>
          </cell>
          <cell r="AX343">
            <v>0</v>
          </cell>
          <cell r="AY343">
            <v>71.510000000000005</v>
          </cell>
          <cell r="AZ343">
            <v>0</v>
          </cell>
          <cell r="BA343">
            <v>500</v>
          </cell>
          <cell r="BB343">
            <v>0</v>
          </cell>
          <cell r="BC343">
            <v>500</v>
          </cell>
          <cell r="BD343">
            <v>0</v>
          </cell>
          <cell r="BE343">
            <v>0</v>
          </cell>
          <cell r="BF343">
            <v>28</v>
          </cell>
          <cell r="BG343">
            <v>0</v>
          </cell>
          <cell r="BH343">
            <v>1</v>
          </cell>
          <cell r="BI343">
            <v>223</v>
          </cell>
          <cell r="BJ343">
            <v>58</v>
          </cell>
          <cell r="BK343">
            <v>61</v>
          </cell>
          <cell r="BL343">
            <v>59</v>
          </cell>
          <cell r="BM343">
            <v>28</v>
          </cell>
          <cell r="BN343">
            <v>17</v>
          </cell>
          <cell r="BO343">
            <v>0</v>
          </cell>
          <cell r="BP343">
            <v>-6</v>
          </cell>
          <cell r="BQ343">
            <v>1</v>
          </cell>
          <cell r="BR343">
            <v>0</v>
          </cell>
          <cell r="BS343">
            <v>0</v>
          </cell>
          <cell r="BT343">
            <v>-4</v>
          </cell>
          <cell r="BU343">
            <v>-3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70</v>
          </cell>
          <cell r="EB343">
            <v>7</v>
          </cell>
          <cell r="EC343">
            <v>14</v>
          </cell>
          <cell r="ED343">
            <v>3</v>
          </cell>
          <cell r="EE343">
            <v>18</v>
          </cell>
          <cell r="EF343">
            <v>28</v>
          </cell>
          <cell r="EG343">
            <v>0</v>
          </cell>
          <cell r="EH343">
            <v>213</v>
          </cell>
          <cell r="EI343">
            <v>23</v>
          </cell>
          <cell r="EJ343">
            <v>27</v>
          </cell>
          <cell r="EK343">
            <v>58</v>
          </cell>
          <cell r="EL343">
            <v>81</v>
          </cell>
          <cell r="EM343">
            <v>24</v>
          </cell>
          <cell r="EN343">
            <v>0</v>
          </cell>
          <cell r="EO343" t="str">
            <v xml:space="preserve">BURNSIDE BOMBSHELL JACKET                                   </v>
          </cell>
        </row>
        <row r="344">
          <cell r="A344" t="str">
            <v>CN4VL7039011</v>
          </cell>
          <cell r="B344" t="str">
            <v>CN4</v>
          </cell>
          <cell r="C344" t="str">
            <v>VL7039</v>
          </cell>
          <cell r="D344">
            <v>11</v>
          </cell>
          <cell r="E344" t="str">
            <v xml:space="preserve">   </v>
          </cell>
          <cell r="F344">
            <v>80804</v>
          </cell>
          <cell r="G344">
            <v>81106</v>
          </cell>
          <cell r="H344">
            <v>0</v>
          </cell>
          <cell r="I344">
            <v>504</v>
          </cell>
          <cell r="J344">
            <v>502</v>
          </cell>
          <cell r="K344">
            <v>202</v>
          </cell>
          <cell r="L344">
            <v>153</v>
          </cell>
          <cell r="M344">
            <v>153</v>
          </cell>
          <cell r="N344">
            <v>22189608</v>
          </cell>
          <cell r="O344">
            <v>21508692</v>
          </cell>
          <cell r="P344">
            <v>8654892</v>
          </cell>
          <cell r="Q344">
            <v>6555438</v>
          </cell>
          <cell r="R344">
            <v>35076500</v>
          </cell>
          <cell r="S344" t="str">
            <v xml:space="preserve"> </v>
          </cell>
          <cell r="T344" t="str">
            <v xml:space="preserve"> </v>
          </cell>
          <cell r="U344">
            <v>502</v>
          </cell>
          <cell r="V344">
            <v>21508692</v>
          </cell>
          <cell r="W344">
            <v>153</v>
          </cell>
          <cell r="X344">
            <v>6555438</v>
          </cell>
          <cell r="Y344">
            <v>30.08</v>
          </cell>
          <cell r="Z344">
            <v>29.68</v>
          </cell>
          <cell r="AA344">
            <v>6555438</v>
          </cell>
          <cell r="AB344">
            <v>0</v>
          </cell>
          <cell r="AC344">
            <v>300</v>
          </cell>
          <cell r="AD344">
            <v>12853800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-2</v>
          </cell>
          <cell r="AL344">
            <v>-171384</v>
          </cell>
          <cell r="AM344">
            <v>51</v>
          </cell>
          <cell r="AN344">
            <v>17266938</v>
          </cell>
          <cell r="AO344">
            <v>44027</v>
          </cell>
          <cell r="AP344">
            <v>42846</v>
          </cell>
          <cell r="AQ344">
            <v>278000</v>
          </cell>
          <cell r="AR344">
            <v>0</v>
          </cell>
          <cell r="AS344">
            <v>6.49</v>
          </cell>
          <cell r="AT344">
            <v>139556000</v>
          </cell>
          <cell r="AU344">
            <v>5.35</v>
          </cell>
          <cell r="AV344">
            <v>35076500</v>
          </cell>
          <cell r="AW344">
            <v>0</v>
          </cell>
          <cell r="AX344">
            <v>0</v>
          </cell>
          <cell r="AY344">
            <v>30.08</v>
          </cell>
          <cell r="AZ344">
            <v>0</v>
          </cell>
          <cell r="BA344">
            <v>153</v>
          </cell>
          <cell r="BB344">
            <v>0</v>
          </cell>
          <cell r="BC344">
            <v>153</v>
          </cell>
          <cell r="BD344">
            <v>0</v>
          </cell>
          <cell r="BE344">
            <v>0</v>
          </cell>
          <cell r="BF344">
            <v>5</v>
          </cell>
          <cell r="BG344">
            <v>1</v>
          </cell>
          <cell r="BH344">
            <v>1</v>
          </cell>
          <cell r="BI344">
            <v>93</v>
          </cell>
          <cell r="BJ344">
            <v>18</v>
          </cell>
          <cell r="BK344">
            <v>30</v>
          </cell>
          <cell r="BL344">
            <v>20</v>
          </cell>
          <cell r="BM344">
            <v>13</v>
          </cell>
          <cell r="BN344">
            <v>12</v>
          </cell>
          <cell r="BO344">
            <v>0</v>
          </cell>
          <cell r="BP344">
            <v>1</v>
          </cell>
          <cell r="BQ344">
            <v>2</v>
          </cell>
          <cell r="BR344">
            <v>-1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24</v>
          </cell>
          <cell r="EB344">
            <v>0</v>
          </cell>
          <cell r="EC344">
            <v>2</v>
          </cell>
          <cell r="ED344">
            <v>4</v>
          </cell>
          <cell r="EE344">
            <v>7</v>
          </cell>
          <cell r="EF344">
            <v>11</v>
          </cell>
          <cell r="EG344">
            <v>0</v>
          </cell>
          <cell r="EH344">
            <v>35</v>
          </cell>
          <cell r="EI344">
            <v>4</v>
          </cell>
          <cell r="EJ344">
            <v>10</v>
          </cell>
          <cell r="EK344">
            <v>8</v>
          </cell>
          <cell r="EL344">
            <v>11</v>
          </cell>
          <cell r="EM344">
            <v>2</v>
          </cell>
          <cell r="EN344">
            <v>0</v>
          </cell>
          <cell r="EO344" t="str">
            <v xml:space="preserve">SANDY SIREN PARKA                                           </v>
          </cell>
        </row>
        <row r="345">
          <cell r="A345" t="str">
            <v>CN4VL7039100</v>
          </cell>
          <cell r="B345" t="str">
            <v>CN4</v>
          </cell>
          <cell r="C345" t="str">
            <v>VL7039</v>
          </cell>
          <cell r="D345">
            <v>100</v>
          </cell>
          <cell r="E345" t="str">
            <v xml:space="preserve">   </v>
          </cell>
          <cell r="F345">
            <v>80804</v>
          </cell>
          <cell r="G345">
            <v>81106</v>
          </cell>
          <cell r="H345">
            <v>0</v>
          </cell>
          <cell r="I345">
            <v>600</v>
          </cell>
          <cell r="J345">
            <v>598</v>
          </cell>
          <cell r="K345">
            <v>285</v>
          </cell>
          <cell r="L345">
            <v>232</v>
          </cell>
          <cell r="M345">
            <v>232</v>
          </cell>
          <cell r="N345">
            <v>26416200</v>
          </cell>
          <cell r="O345">
            <v>25621908</v>
          </cell>
          <cell r="P345">
            <v>12211110</v>
          </cell>
          <cell r="Q345">
            <v>9940272</v>
          </cell>
          <cell r="R345">
            <v>53050700</v>
          </cell>
          <cell r="S345" t="str">
            <v xml:space="preserve"> </v>
          </cell>
          <cell r="T345" t="str">
            <v xml:space="preserve"> </v>
          </cell>
          <cell r="U345">
            <v>598</v>
          </cell>
          <cell r="V345">
            <v>25621908</v>
          </cell>
          <cell r="W345">
            <v>232</v>
          </cell>
          <cell r="X345">
            <v>9940272</v>
          </cell>
          <cell r="Y345">
            <v>39.130000000000003</v>
          </cell>
          <cell r="Z345">
            <v>39.46</v>
          </cell>
          <cell r="AA345">
            <v>9940272</v>
          </cell>
          <cell r="AB345">
            <v>0</v>
          </cell>
          <cell r="AC345">
            <v>313</v>
          </cell>
          <cell r="AD345">
            <v>13410798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2</v>
          </cell>
          <cell r="AL345">
            <v>171384</v>
          </cell>
          <cell r="AM345">
            <v>51</v>
          </cell>
          <cell r="AN345">
            <v>17866782</v>
          </cell>
          <cell r="AO345">
            <v>44027</v>
          </cell>
          <cell r="AP345">
            <v>42846</v>
          </cell>
          <cell r="AQ345">
            <v>278000</v>
          </cell>
          <cell r="AR345">
            <v>0</v>
          </cell>
          <cell r="AS345">
            <v>6.49</v>
          </cell>
          <cell r="AT345">
            <v>166244000</v>
          </cell>
          <cell r="AU345">
            <v>5.34</v>
          </cell>
          <cell r="AV345">
            <v>53050700</v>
          </cell>
          <cell r="AW345">
            <v>0</v>
          </cell>
          <cell r="AX345">
            <v>0</v>
          </cell>
          <cell r="AY345">
            <v>39.130000000000003</v>
          </cell>
          <cell r="AZ345">
            <v>0</v>
          </cell>
          <cell r="BA345">
            <v>232</v>
          </cell>
          <cell r="BB345">
            <v>0</v>
          </cell>
          <cell r="BC345">
            <v>232</v>
          </cell>
          <cell r="BD345">
            <v>0</v>
          </cell>
          <cell r="BE345">
            <v>0</v>
          </cell>
          <cell r="BF345">
            <v>24</v>
          </cell>
          <cell r="BG345">
            <v>0</v>
          </cell>
          <cell r="BH345">
            <v>1</v>
          </cell>
          <cell r="BI345">
            <v>109</v>
          </cell>
          <cell r="BJ345">
            <v>32</v>
          </cell>
          <cell r="BK345">
            <v>18</v>
          </cell>
          <cell r="BL345">
            <v>25</v>
          </cell>
          <cell r="BM345">
            <v>17</v>
          </cell>
          <cell r="BN345">
            <v>17</v>
          </cell>
          <cell r="BO345">
            <v>0</v>
          </cell>
          <cell r="BP345">
            <v>2</v>
          </cell>
          <cell r="BQ345">
            <v>5</v>
          </cell>
          <cell r="BR345">
            <v>5</v>
          </cell>
          <cell r="BS345">
            <v>-5</v>
          </cell>
          <cell r="BT345">
            <v>-1</v>
          </cell>
          <cell r="BU345">
            <v>-2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22</v>
          </cell>
          <cell r="EB345">
            <v>0</v>
          </cell>
          <cell r="EC345">
            <v>1</v>
          </cell>
          <cell r="ED345">
            <v>5</v>
          </cell>
          <cell r="EE345">
            <v>8</v>
          </cell>
          <cell r="EF345">
            <v>8</v>
          </cell>
          <cell r="EG345">
            <v>0</v>
          </cell>
          <cell r="EH345">
            <v>99</v>
          </cell>
          <cell r="EI345">
            <v>5</v>
          </cell>
          <cell r="EJ345">
            <v>12</v>
          </cell>
          <cell r="EK345">
            <v>28</v>
          </cell>
          <cell r="EL345">
            <v>44</v>
          </cell>
          <cell r="EM345">
            <v>10</v>
          </cell>
          <cell r="EN345">
            <v>0</v>
          </cell>
          <cell r="EO345" t="str">
            <v xml:space="preserve">SANDY SIREN PARKA                                           </v>
          </cell>
        </row>
        <row r="346">
          <cell r="A346" t="str">
            <v>CN4VL7041100</v>
          </cell>
          <cell r="B346" t="str">
            <v>CN4</v>
          </cell>
          <cell r="C346" t="str">
            <v>VL7041</v>
          </cell>
          <cell r="D346">
            <v>100</v>
          </cell>
          <cell r="E346" t="str">
            <v xml:space="preserve">   </v>
          </cell>
          <cell r="F346">
            <v>80804</v>
          </cell>
          <cell r="G346">
            <v>81106</v>
          </cell>
          <cell r="H346">
            <v>0</v>
          </cell>
          <cell r="I346">
            <v>402</v>
          </cell>
          <cell r="J346">
            <v>401</v>
          </cell>
          <cell r="K346">
            <v>401</v>
          </cell>
          <cell r="L346">
            <v>206</v>
          </cell>
          <cell r="M346">
            <v>206</v>
          </cell>
          <cell r="N346">
            <v>15888246</v>
          </cell>
          <cell r="O346">
            <v>16038797</v>
          </cell>
          <cell r="P346">
            <v>16038797</v>
          </cell>
          <cell r="Q346">
            <v>8239382</v>
          </cell>
          <cell r="R346">
            <v>49827318</v>
          </cell>
          <cell r="S346" t="str">
            <v xml:space="preserve"> </v>
          </cell>
          <cell r="T346" t="str">
            <v xml:space="preserve"> </v>
          </cell>
          <cell r="U346">
            <v>401</v>
          </cell>
          <cell r="V346">
            <v>16038797</v>
          </cell>
          <cell r="W346">
            <v>206</v>
          </cell>
          <cell r="X346">
            <v>8239382</v>
          </cell>
          <cell r="Y346">
            <v>52.62</v>
          </cell>
          <cell r="Z346">
            <v>53.87</v>
          </cell>
          <cell r="AA346">
            <v>8159388</v>
          </cell>
          <cell r="AB346">
            <v>79994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5</v>
          </cell>
          <cell r="AL346">
            <v>399970</v>
          </cell>
          <cell r="AM346">
            <v>190</v>
          </cell>
          <cell r="AN346">
            <v>15678824</v>
          </cell>
          <cell r="AO346">
            <v>39523</v>
          </cell>
          <cell r="AP346">
            <v>39997</v>
          </cell>
          <cell r="AQ346">
            <v>298000</v>
          </cell>
          <cell r="AR346">
            <v>0</v>
          </cell>
          <cell r="AS346">
            <v>7.45</v>
          </cell>
          <cell r="AT346">
            <v>119498000</v>
          </cell>
          <cell r="AU346">
            <v>6.11</v>
          </cell>
          <cell r="AV346">
            <v>49813600</v>
          </cell>
          <cell r="AW346">
            <v>0.17</v>
          </cell>
          <cell r="AX346">
            <v>13718</v>
          </cell>
          <cell r="AY346">
            <v>52.62</v>
          </cell>
          <cell r="AZ346">
            <v>0</v>
          </cell>
          <cell r="BA346">
            <v>204</v>
          </cell>
          <cell r="BB346">
            <v>2</v>
          </cell>
          <cell r="BC346">
            <v>206</v>
          </cell>
          <cell r="BD346">
            <v>0</v>
          </cell>
          <cell r="BE346">
            <v>0</v>
          </cell>
          <cell r="BF346">
            <v>34</v>
          </cell>
          <cell r="BG346">
            <v>1</v>
          </cell>
          <cell r="BH346">
            <v>1</v>
          </cell>
          <cell r="BI346">
            <v>78</v>
          </cell>
          <cell r="BJ346">
            <v>21</v>
          </cell>
          <cell r="BK346">
            <v>23</v>
          </cell>
          <cell r="BL346">
            <v>12</v>
          </cell>
          <cell r="BM346">
            <v>13</v>
          </cell>
          <cell r="BN346">
            <v>9</v>
          </cell>
          <cell r="BO346">
            <v>0</v>
          </cell>
          <cell r="BP346">
            <v>12</v>
          </cell>
          <cell r="BQ346">
            <v>5</v>
          </cell>
          <cell r="BR346">
            <v>7</v>
          </cell>
          <cell r="BS346">
            <v>-1</v>
          </cell>
          <cell r="BT346">
            <v>-1</v>
          </cell>
          <cell r="BU346">
            <v>2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16</v>
          </cell>
          <cell r="EB346">
            <v>0</v>
          </cell>
          <cell r="EC346">
            <v>2</v>
          </cell>
          <cell r="ED346">
            <v>2</v>
          </cell>
          <cell r="EE346">
            <v>4</v>
          </cell>
          <cell r="EF346">
            <v>8</v>
          </cell>
          <cell r="EG346">
            <v>0</v>
          </cell>
          <cell r="EH346">
            <v>100</v>
          </cell>
          <cell r="EI346">
            <v>8</v>
          </cell>
          <cell r="EJ346">
            <v>13</v>
          </cell>
          <cell r="EK346">
            <v>22</v>
          </cell>
          <cell r="EL346">
            <v>41</v>
          </cell>
          <cell r="EM346">
            <v>16</v>
          </cell>
          <cell r="EN346">
            <v>0</v>
          </cell>
          <cell r="EO346" t="str">
            <v xml:space="preserve">MADISON MAYHEM PARKA                                        </v>
          </cell>
        </row>
        <row r="347">
          <cell r="A347" t="str">
            <v>CN4VL8633010</v>
          </cell>
          <cell r="B347" t="str">
            <v>CN4</v>
          </cell>
          <cell r="C347" t="str">
            <v>VL8633</v>
          </cell>
          <cell r="D347">
            <v>10</v>
          </cell>
          <cell r="E347" t="str">
            <v xml:space="preserve">   </v>
          </cell>
          <cell r="F347">
            <v>80818</v>
          </cell>
          <cell r="G347">
            <v>81101</v>
          </cell>
          <cell r="H347">
            <v>0</v>
          </cell>
          <cell r="I347">
            <v>804</v>
          </cell>
          <cell r="J347">
            <v>804</v>
          </cell>
          <cell r="K347">
            <v>799</v>
          </cell>
          <cell r="L347">
            <v>658</v>
          </cell>
          <cell r="M347">
            <v>658</v>
          </cell>
          <cell r="N347">
            <v>15088668</v>
          </cell>
          <cell r="O347">
            <v>15920808</v>
          </cell>
          <cell r="P347">
            <v>15821798</v>
          </cell>
          <cell r="Q347">
            <v>13029716</v>
          </cell>
          <cell r="R347">
            <v>85530259</v>
          </cell>
          <cell r="S347" t="str">
            <v xml:space="preserve"> </v>
          </cell>
          <cell r="T347" t="str">
            <v xml:space="preserve"> </v>
          </cell>
          <cell r="U347">
            <v>804</v>
          </cell>
          <cell r="V347">
            <v>15920808</v>
          </cell>
          <cell r="W347">
            <v>658</v>
          </cell>
          <cell r="X347">
            <v>13029716</v>
          </cell>
          <cell r="Y347">
            <v>82.09</v>
          </cell>
          <cell r="Z347">
            <v>82.34</v>
          </cell>
          <cell r="AA347">
            <v>13009914</v>
          </cell>
          <cell r="AB347">
            <v>19802</v>
          </cell>
          <cell r="AC347">
            <v>5</v>
          </cell>
          <cell r="AD347">
            <v>99010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2</v>
          </cell>
          <cell r="AL347">
            <v>79208</v>
          </cell>
          <cell r="AM347">
            <v>139</v>
          </cell>
          <cell r="AN347">
            <v>6257432</v>
          </cell>
          <cell r="AO347">
            <v>18767</v>
          </cell>
          <cell r="AP347">
            <v>19802</v>
          </cell>
          <cell r="AQ347">
            <v>158000</v>
          </cell>
          <cell r="AR347">
            <v>0</v>
          </cell>
          <cell r="AS347">
            <v>7.98</v>
          </cell>
          <cell r="AT347">
            <v>127032000</v>
          </cell>
          <cell r="AU347">
            <v>6.57</v>
          </cell>
          <cell r="AV347">
            <v>85523400</v>
          </cell>
          <cell r="AW347">
            <v>0.35</v>
          </cell>
          <cell r="AX347">
            <v>6859</v>
          </cell>
          <cell r="AY347">
            <v>82.09</v>
          </cell>
          <cell r="AZ347">
            <v>0</v>
          </cell>
          <cell r="BA347">
            <v>657</v>
          </cell>
          <cell r="BB347">
            <v>1</v>
          </cell>
          <cell r="BC347">
            <v>658</v>
          </cell>
          <cell r="BD347">
            <v>0</v>
          </cell>
          <cell r="BE347">
            <v>0</v>
          </cell>
          <cell r="BF347">
            <v>77</v>
          </cell>
          <cell r="BG347">
            <v>1</v>
          </cell>
          <cell r="BH347">
            <v>1</v>
          </cell>
          <cell r="BI347">
            <v>310</v>
          </cell>
          <cell r="BJ347">
            <v>51</v>
          </cell>
          <cell r="BK347">
            <v>107</v>
          </cell>
          <cell r="BL347">
            <v>82</v>
          </cell>
          <cell r="BM347">
            <v>38</v>
          </cell>
          <cell r="BN347">
            <v>32</v>
          </cell>
          <cell r="BO347">
            <v>0</v>
          </cell>
          <cell r="BP347">
            <v>33</v>
          </cell>
          <cell r="BQ347">
            <v>15</v>
          </cell>
          <cell r="BR347">
            <v>10</v>
          </cell>
          <cell r="BS347">
            <v>3</v>
          </cell>
          <cell r="BT347">
            <v>4</v>
          </cell>
          <cell r="BU347">
            <v>1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34</v>
          </cell>
          <cell r="EB347">
            <v>2</v>
          </cell>
          <cell r="EC347">
            <v>3</v>
          </cell>
          <cell r="ED347">
            <v>6</v>
          </cell>
          <cell r="EE347">
            <v>13</v>
          </cell>
          <cell r="EF347">
            <v>10</v>
          </cell>
          <cell r="EG347">
            <v>0</v>
          </cell>
          <cell r="EH347">
            <v>281</v>
          </cell>
          <cell r="EI347">
            <v>21</v>
          </cell>
          <cell r="EJ347">
            <v>52</v>
          </cell>
          <cell r="EK347">
            <v>51</v>
          </cell>
          <cell r="EL347">
            <v>123</v>
          </cell>
          <cell r="EM347">
            <v>34</v>
          </cell>
          <cell r="EN347">
            <v>0</v>
          </cell>
          <cell r="EO347" t="str">
            <v xml:space="preserve">WOODSTOCK KITTEN PANT                                       </v>
          </cell>
        </row>
        <row r="348">
          <cell r="A348" t="str">
            <v>CN4VL8633100</v>
          </cell>
          <cell r="B348" t="str">
            <v>CN4</v>
          </cell>
          <cell r="C348" t="str">
            <v>VL8633</v>
          </cell>
          <cell r="D348">
            <v>100</v>
          </cell>
          <cell r="E348" t="str">
            <v xml:space="preserve">   </v>
          </cell>
          <cell r="F348">
            <v>80818</v>
          </cell>
          <cell r="G348">
            <v>81101</v>
          </cell>
          <cell r="H348">
            <v>0</v>
          </cell>
          <cell r="I348">
            <v>600</v>
          </cell>
          <cell r="J348">
            <v>600</v>
          </cell>
          <cell r="K348">
            <v>598</v>
          </cell>
          <cell r="L348">
            <v>398</v>
          </cell>
          <cell r="M348">
            <v>398</v>
          </cell>
          <cell r="N348">
            <v>11260200</v>
          </cell>
          <cell r="O348">
            <v>11881200</v>
          </cell>
          <cell r="P348">
            <v>11841596</v>
          </cell>
          <cell r="Q348">
            <v>7881196</v>
          </cell>
          <cell r="R348">
            <v>51779400</v>
          </cell>
          <cell r="S348" t="str">
            <v xml:space="preserve"> </v>
          </cell>
          <cell r="T348" t="str">
            <v xml:space="preserve"> </v>
          </cell>
          <cell r="U348">
            <v>600</v>
          </cell>
          <cell r="V348">
            <v>11881200</v>
          </cell>
          <cell r="W348">
            <v>398</v>
          </cell>
          <cell r="X348">
            <v>7881196</v>
          </cell>
          <cell r="Y348">
            <v>66.33</v>
          </cell>
          <cell r="Z348">
            <v>66.33</v>
          </cell>
          <cell r="AA348">
            <v>7881196</v>
          </cell>
          <cell r="AB348">
            <v>0</v>
          </cell>
          <cell r="AC348">
            <v>2</v>
          </cell>
          <cell r="AD348">
            <v>39604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200</v>
          </cell>
          <cell r="AN348">
            <v>8257434</v>
          </cell>
          <cell r="AO348">
            <v>18767</v>
          </cell>
          <cell r="AP348">
            <v>19802</v>
          </cell>
          <cell r="AQ348">
            <v>158000</v>
          </cell>
          <cell r="AR348">
            <v>0</v>
          </cell>
          <cell r="AS348">
            <v>7.98</v>
          </cell>
          <cell r="AT348">
            <v>94800000</v>
          </cell>
          <cell r="AU348">
            <v>6.57</v>
          </cell>
          <cell r="AV348">
            <v>51779400</v>
          </cell>
          <cell r="AW348">
            <v>0</v>
          </cell>
          <cell r="AX348">
            <v>0</v>
          </cell>
          <cell r="AY348">
            <v>66.33</v>
          </cell>
          <cell r="AZ348">
            <v>0</v>
          </cell>
          <cell r="BA348">
            <v>398</v>
          </cell>
          <cell r="BB348">
            <v>0</v>
          </cell>
          <cell r="BC348">
            <v>398</v>
          </cell>
          <cell r="BD348">
            <v>0</v>
          </cell>
          <cell r="BE348">
            <v>0</v>
          </cell>
          <cell r="BF348">
            <v>57</v>
          </cell>
          <cell r="BG348">
            <v>0</v>
          </cell>
          <cell r="BH348">
            <v>1</v>
          </cell>
          <cell r="BI348">
            <v>208</v>
          </cell>
          <cell r="BJ348">
            <v>40</v>
          </cell>
          <cell r="BK348">
            <v>64</v>
          </cell>
          <cell r="BL348">
            <v>53</v>
          </cell>
          <cell r="BM348">
            <v>22</v>
          </cell>
          <cell r="BN348">
            <v>29</v>
          </cell>
          <cell r="BO348">
            <v>0</v>
          </cell>
          <cell r="BP348">
            <v>15</v>
          </cell>
          <cell r="BQ348">
            <v>4</v>
          </cell>
          <cell r="BR348">
            <v>8</v>
          </cell>
          <cell r="BS348">
            <v>2</v>
          </cell>
          <cell r="BT348">
            <v>0</v>
          </cell>
          <cell r="BU348">
            <v>1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21</v>
          </cell>
          <cell r="EB348">
            <v>0</v>
          </cell>
          <cell r="EC348">
            <v>3</v>
          </cell>
          <cell r="ED348">
            <v>2</v>
          </cell>
          <cell r="EE348">
            <v>9</v>
          </cell>
          <cell r="EF348">
            <v>7</v>
          </cell>
          <cell r="EG348">
            <v>0</v>
          </cell>
          <cell r="EH348">
            <v>154</v>
          </cell>
          <cell r="EI348">
            <v>13</v>
          </cell>
          <cell r="EJ348">
            <v>23</v>
          </cell>
          <cell r="EK348">
            <v>35</v>
          </cell>
          <cell r="EL348">
            <v>68</v>
          </cell>
          <cell r="EM348">
            <v>15</v>
          </cell>
          <cell r="EN348">
            <v>0</v>
          </cell>
          <cell r="EO348" t="str">
            <v xml:space="preserve">WOODSTOCK KITTEN PANT                                       </v>
          </cell>
        </row>
        <row r="349">
          <cell r="A349" t="str">
            <v>CN4VL8633287</v>
          </cell>
          <cell r="B349" t="str">
            <v>CN4</v>
          </cell>
          <cell r="C349" t="str">
            <v>VL8633</v>
          </cell>
          <cell r="D349">
            <v>287</v>
          </cell>
          <cell r="E349" t="str">
            <v xml:space="preserve">   </v>
          </cell>
          <cell r="F349">
            <v>80818</v>
          </cell>
          <cell r="G349">
            <v>81101</v>
          </cell>
          <cell r="H349">
            <v>0</v>
          </cell>
          <cell r="I349">
            <v>504</v>
          </cell>
          <cell r="J349">
            <v>504</v>
          </cell>
          <cell r="K349">
            <v>503</v>
          </cell>
          <cell r="L349">
            <v>466</v>
          </cell>
          <cell r="M349">
            <v>466</v>
          </cell>
          <cell r="N349">
            <v>9458568</v>
          </cell>
          <cell r="O349">
            <v>9980208</v>
          </cell>
          <cell r="P349">
            <v>9960406</v>
          </cell>
          <cell r="Q349">
            <v>9227732</v>
          </cell>
          <cell r="R349">
            <v>61078300</v>
          </cell>
          <cell r="S349" t="str">
            <v xml:space="preserve"> </v>
          </cell>
          <cell r="T349" t="str">
            <v xml:space="preserve"> </v>
          </cell>
          <cell r="U349">
            <v>504</v>
          </cell>
          <cell r="V349">
            <v>9980208</v>
          </cell>
          <cell r="W349">
            <v>466</v>
          </cell>
          <cell r="X349">
            <v>9227732</v>
          </cell>
          <cell r="Y349">
            <v>92.46</v>
          </cell>
          <cell r="Z349">
            <v>92.46</v>
          </cell>
          <cell r="AA349">
            <v>9227732</v>
          </cell>
          <cell r="AB349">
            <v>0</v>
          </cell>
          <cell r="AC349">
            <v>1</v>
          </cell>
          <cell r="AD349">
            <v>19802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37</v>
          </cell>
          <cell r="AN349">
            <v>1584160</v>
          </cell>
          <cell r="AO349">
            <v>18767</v>
          </cell>
          <cell r="AP349">
            <v>19802</v>
          </cell>
          <cell r="AQ349">
            <v>158000</v>
          </cell>
          <cell r="AR349">
            <v>0</v>
          </cell>
          <cell r="AS349">
            <v>7.98</v>
          </cell>
          <cell r="AT349">
            <v>79632000</v>
          </cell>
          <cell r="AU349">
            <v>6.62</v>
          </cell>
          <cell r="AV349">
            <v>61078300</v>
          </cell>
          <cell r="AW349">
            <v>0</v>
          </cell>
          <cell r="AX349">
            <v>0</v>
          </cell>
          <cell r="AY349">
            <v>92.46</v>
          </cell>
          <cell r="AZ349">
            <v>0</v>
          </cell>
          <cell r="BA349">
            <v>466</v>
          </cell>
          <cell r="BB349">
            <v>0</v>
          </cell>
          <cell r="BC349">
            <v>465</v>
          </cell>
          <cell r="BD349">
            <v>1</v>
          </cell>
          <cell r="BE349">
            <v>0</v>
          </cell>
          <cell r="BF349">
            <v>35</v>
          </cell>
          <cell r="BG349">
            <v>0</v>
          </cell>
          <cell r="BH349">
            <v>1</v>
          </cell>
          <cell r="BI349">
            <v>199</v>
          </cell>
          <cell r="BJ349">
            <v>48</v>
          </cell>
          <cell r="BK349">
            <v>56</v>
          </cell>
          <cell r="BL349">
            <v>51</v>
          </cell>
          <cell r="BM349">
            <v>24</v>
          </cell>
          <cell r="BN349">
            <v>20</v>
          </cell>
          <cell r="BO349">
            <v>0</v>
          </cell>
          <cell r="BP349">
            <v>5</v>
          </cell>
          <cell r="BQ349">
            <v>7</v>
          </cell>
          <cell r="BR349">
            <v>4</v>
          </cell>
          <cell r="BS349">
            <v>0</v>
          </cell>
          <cell r="BT349">
            <v>0</v>
          </cell>
          <cell r="BU349">
            <v>-6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49</v>
          </cell>
          <cell r="EB349">
            <v>2</v>
          </cell>
          <cell r="EC349">
            <v>2</v>
          </cell>
          <cell r="ED349">
            <v>7</v>
          </cell>
          <cell r="EE349">
            <v>14</v>
          </cell>
          <cell r="EF349">
            <v>24</v>
          </cell>
          <cell r="EG349">
            <v>0</v>
          </cell>
          <cell r="EH349">
            <v>213</v>
          </cell>
          <cell r="EI349">
            <v>26</v>
          </cell>
          <cell r="EJ349">
            <v>21</v>
          </cell>
          <cell r="EK349">
            <v>61</v>
          </cell>
          <cell r="EL349">
            <v>85</v>
          </cell>
          <cell r="EM349">
            <v>20</v>
          </cell>
          <cell r="EN349">
            <v>0</v>
          </cell>
          <cell r="EO349" t="str">
            <v xml:space="preserve">WOODSTOCK KITTEN PANT                                       </v>
          </cell>
        </row>
        <row r="350">
          <cell r="A350" t="str">
            <v>CN4VL8633755</v>
          </cell>
          <cell r="B350" t="str">
            <v>CN4</v>
          </cell>
          <cell r="C350" t="str">
            <v>VL8633</v>
          </cell>
          <cell r="D350">
            <v>755</v>
          </cell>
          <cell r="E350" t="str">
            <v xml:space="preserve">   </v>
          </cell>
          <cell r="F350">
            <v>80818</v>
          </cell>
          <cell r="G350">
            <v>81101</v>
          </cell>
          <cell r="H350">
            <v>0</v>
          </cell>
          <cell r="I350">
            <v>504</v>
          </cell>
          <cell r="J350">
            <v>503</v>
          </cell>
          <cell r="K350">
            <v>503</v>
          </cell>
          <cell r="L350">
            <v>459</v>
          </cell>
          <cell r="M350">
            <v>459</v>
          </cell>
          <cell r="N350">
            <v>9458568</v>
          </cell>
          <cell r="O350">
            <v>9960406</v>
          </cell>
          <cell r="P350">
            <v>9960406</v>
          </cell>
          <cell r="Q350">
            <v>9089118</v>
          </cell>
          <cell r="R350">
            <v>60416200</v>
          </cell>
          <cell r="S350" t="str">
            <v xml:space="preserve"> </v>
          </cell>
          <cell r="T350" t="str">
            <v xml:space="preserve"> </v>
          </cell>
          <cell r="U350">
            <v>503</v>
          </cell>
          <cell r="V350">
            <v>9960406</v>
          </cell>
          <cell r="W350">
            <v>459</v>
          </cell>
          <cell r="X350">
            <v>9089118</v>
          </cell>
          <cell r="Y350">
            <v>91.45</v>
          </cell>
          <cell r="Z350">
            <v>91.45</v>
          </cell>
          <cell r="AA350">
            <v>9089118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>
            <v>19802</v>
          </cell>
          <cell r="AM350">
            <v>43</v>
          </cell>
          <cell r="AN350">
            <v>1742576</v>
          </cell>
          <cell r="AO350">
            <v>18767</v>
          </cell>
          <cell r="AP350">
            <v>19802</v>
          </cell>
          <cell r="AQ350">
            <v>158000</v>
          </cell>
          <cell r="AR350">
            <v>0</v>
          </cell>
          <cell r="AS350">
            <v>7.98</v>
          </cell>
          <cell r="AT350">
            <v>79474000</v>
          </cell>
          <cell r="AU350">
            <v>6.65</v>
          </cell>
          <cell r="AV350">
            <v>60416200</v>
          </cell>
          <cell r="AW350">
            <v>0</v>
          </cell>
          <cell r="AX350">
            <v>0</v>
          </cell>
          <cell r="AY350">
            <v>91.45</v>
          </cell>
          <cell r="AZ350">
            <v>0</v>
          </cell>
          <cell r="BA350">
            <v>459</v>
          </cell>
          <cell r="BB350">
            <v>0</v>
          </cell>
          <cell r="BC350">
            <v>459</v>
          </cell>
          <cell r="BD350">
            <v>0</v>
          </cell>
          <cell r="BE350">
            <v>0</v>
          </cell>
          <cell r="BF350">
            <v>33</v>
          </cell>
          <cell r="BG350">
            <v>0</v>
          </cell>
          <cell r="BH350">
            <v>1</v>
          </cell>
          <cell r="BI350">
            <v>175</v>
          </cell>
          <cell r="BJ350">
            <v>52</v>
          </cell>
          <cell r="BK350">
            <v>57</v>
          </cell>
          <cell r="BL350">
            <v>38</v>
          </cell>
          <cell r="BM350">
            <v>16</v>
          </cell>
          <cell r="BN350">
            <v>12</v>
          </cell>
          <cell r="BO350">
            <v>0</v>
          </cell>
          <cell r="BP350">
            <v>1</v>
          </cell>
          <cell r="BQ350">
            <v>2</v>
          </cell>
          <cell r="BR350">
            <v>3</v>
          </cell>
          <cell r="BS350">
            <v>-4</v>
          </cell>
          <cell r="BT350">
            <v>1</v>
          </cell>
          <cell r="BU350">
            <v>-1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47</v>
          </cell>
          <cell r="EB350">
            <v>1</v>
          </cell>
          <cell r="EC350">
            <v>8</v>
          </cell>
          <cell r="ED350">
            <v>4</v>
          </cell>
          <cell r="EE350">
            <v>14</v>
          </cell>
          <cell r="EF350">
            <v>20</v>
          </cell>
          <cell r="EG350">
            <v>0</v>
          </cell>
          <cell r="EH350">
            <v>236</v>
          </cell>
          <cell r="EI350">
            <v>24</v>
          </cell>
          <cell r="EJ350">
            <v>35</v>
          </cell>
          <cell r="EK350">
            <v>56</v>
          </cell>
          <cell r="EL350">
            <v>89</v>
          </cell>
          <cell r="EM350">
            <v>32</v>
          </cell>
          <cell r="EN350">
            <v>0</v>
          </cell>
          <cell r="EO350" t="str">
            <v xml:space="preserve">WOODSTOCK KITTEN PANT                                       </v>
          </cell>
        </row>
        <row r="351">
          <cell r="A351" t="str">
            <v>CN4VL8633981</v>
          </cell>
          <cell r="B351" t="str">
            <v>CN4</v>
          </cell>
          <cell r="C351" t="str">
            <v>VL8633</v>
          </cell>
          <cell r="D351">
            <v>981</v>
          </cell>
          <cell r="E351" t="str">
            <v xml:space="preserve">   </v>
          </cell>
          <cell r="F351">
            <v>80818</v>
          </cell>
          <cell r="G351">
            <v>81101</v>
          </cell>
          <cell r="H351">
            <v>0</v>
          </cell>
          <cell r="I351">
            <v>504</v>
          </cell>
          <cell r="J351">
            <v>502</v>
          </cell>
          <cell r="K351">
            <v>487</v>
          </cell>
          <cell r="L351">
            <v>240</v>
          </cell>
          <cell r="M351">
            <v>240</v>
          </cell>
          <cell r="N351">
            <v>9458568</v>
          </cell>
          <cell r="O351">
            <v>9940604</v>
          </cell>
          <cell r="P351">
            <v>9643574</v>
          </cell>
          <cell r="Q351">
            <v>4752480</v>
          </cell>
          <cell r="R351">
            <v>31576715</v>
          </cell>
          <cell r="S351" t="str">
            <v xml:space="preserve"> </v>
          </cell>
          <cell r="T351" t="str">
            <v xml:space="preserve"> </v>
          </cell>
          <cell r="U351">
            <v>502</v>
          </cell>
          <cell r="V351">
            <v>9940604</v>
          </cell>
          <cell r="W351">
            <v>240</v>
          </cell>
          <cell r="X351">
            <v>4752480</v>
          </cell>
          <cell r="Y351">
            <v>47.81</v>
          </cell>
          <cell r="Z351">
            <v>47.81</v>
          </cell>
          <cell r="AA351">
            <v>4752480</v>
          </cell>
          <cell r="AB351">
            <v>0</v>
          </cell>
          <cell r="AC351">
            <v>15</v>
          </cell>
          <cell r="AD351">
            <v>297030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247</v>
          </cell>
          <cell r="AN351">
            <v>10435654</v>
          </cell>
          <cell r="AO351">
            <v>18767</v>
          </cell>
          <cell r="AP351">
            <v>19802</v>
          </cell>
          <cell r="AQ351">
            <v>158000</v>
          </cell>
          <cell r="AR351">
            <v>0</v>
          </cell>
          <cell r="AS351">
            <v>7.98</v>
          </cell>
          <cell r="AT351">
            <v>79316000</v>
          </cell>
          <cell r="AU351">
            <v>6.64</v>
          </cell>
          <cell r="AV351">
            <v>31576715</v>
          </cell>
          <cell r="AW351">
            <v>0</v>
          </cell>
          <cell r="AX351">
            <v>0</v>
          </cell>
          <cell r="AY351">
            <v>47.81</v>
          </cell>
          <cell r="AZ351">
            <v>0</v>
          </cell>
          <cell r="BA351">
            <v>240</v>
          </cell>
          <cell r="BB351">
            <v>0</v>
          </cell>
          <cell r="BC351">
            <v>240</v>
          </cell>
          <cell r="BD351">
            <v>0</v>
          </cell>
          <cell r="BE351">
            <v>0</v>
          </cell>
          <cell r="BF351">
            <v>34</v>
          </cell>
          <cell r="BG351">
            <v>0</v>
          </cell>
          <cell r="BH351">
            <v>1</v>
          </cell>
          <cell r="BI351">
            <v>132</v>
          </cell>
          <cell r="BJ351">
            <v>32</v>
          </cell>
          <cell r="BK351">
            <v>33</v>
          </cell>
          <cell r="BL351">
            <v>36</v>
          </cell>
          <cell r="BM351">
            <v>19</v>
          </cell>
          <cell r="BN351">
            <v>12</v>
          </cell>
          <cell r="BO351">
            <v>0</v>
          </cell>
          <cell r="BP351">
            <v>18</v>
          </cell>
          <cell r="BQ351">
            <v>2</v>
          </cell>
          <cell r="BR351">
            <v>7</v>
          </cell>
          <cell r="BS351">
            <v>7</v>
          </cell>
          <cell r="BT351">
            <v>3</v>
          </cell>
          <cell r="BU351">
            <v>-1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19</v>
          </cell>
          <cell r="EB351">
            <v>2</v>
          </cell>
          <cell r="EC351">
            <v>6</v>
          </cell>
          <cell r="ED351">
            <v>3</v>
          </cell>
          <cell r="EE351">
            <v>1</v>
          </cell>
          <cell r="EF351">
            <v>7</v>
          </cell>
          <cell r="EG351">
            <v>0</v>
          </cell>
          <cell r="EH351">
            <v>71</v>
          </cell>
          <cell r="EI351">
            <v>6</v>
          </cell>
          <cell r="EJ351">
            <v>19</v>
          </cell>
          <cell r="EK351">
            <v>10</v>
          </cell>
          <cell r="EL351">
            <v>30</v>
          </cell>
          <cell r="EM351">
            <v>6</v>
          </cell>
          <cell r="EN351">
            <v>0</v>
          </cell>
          <cell r="EO351" t="str">
            <v xml:space="preserve">WOODSTOCK KITTEN PANT                                       </v>
          </cell>
        </row>
        <row r="352">
          <cell r="A352" t="str">
            <v>CN4VM2051287</v>
          </cell>
          <cell r="B352" t="str">
            <v>CN4</v>
          </cell>
          <cell r="C352" t="str">
            <v>VM2051</v>
          </cell>
          <cell r="D352">
            <v>287</v>
          </cell>
          <cell r="E352" t="str">
            <v xml:space="preserve">   </v>
          </cell>
          <cell r="F352">
            <v>81014</v>
          </cell>
          <cell r="G352">
            <v>81105</v>
          </cell>
          <cell r="H352">
            <v>0</v>
          </cell>
          <cell r="I352">
            <v>600</v>
          </cell>
          <cell r="J352">
            <v>600</v>
          </cell>
          <cell r="K352">
            <v>581</v>
          </cell>
          <cell r="L352">
            <v>265</v>
          </cell>
          <cell r="M352">
            <v>265</v>
          </cell>
          <cell r="N352">
            <v>21733800</v>
          </cell>
          <cell r="O352">
            <v>26923200</v>
          </cell>
          <cell r="P352">
            <v>26070632</v>
          </cell>
          <cell r="Q352">
            <v>11891080</v>
          </cell>
          <cell r="R352">
            <v>56512959</v>
          </cell>
          <cell r="S352" t="str">
            <v xml:space="preserve"> </v>
          </cell>
          <cell r="T352" t="str">
            <v xml:space="preserve"> </v>
          </cell>
          <cell r="U352">
            <v>600</v>
          </cell>
          <cell r="V352">
            <v>26923200</v>
          </cell>
          <cell r="W352">
            <v>265</v>
          </cell>
          <cell r="X352">
            <v>11891080</v>
          </cell>
          <cell r="Y352">
            <v>44.33</v>
          </cell>
          <cell r="Z352">
            <v>44.5</v>
          </cell>
          <cell r="AA352">
            <v>11846208</v>
          </cell>
          <cell r="AB352">
            <v>44872</v>
          </cell>
          <cell r="AC352">
            <v>19</v>
          </cell>
          <cell r="AD352">
            <v>852568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>
            <v>89744</v>
          </cell>
          <cell r="AM352">
            <v>315</v>
          </cell>
          <cell r="AN352">
            <v>29615520</v>
          </cell>
          <cell r="AO352">
            <v>36223</v>
          </cell>
          <cell r="AP352">
            <v>44872</v>
          </cell>
          <cell r="AQ352">
            <v>258000</v>
          </cell>
          <cell r="AR352">
            <v>0</v>
          </cell>
          <cell r="AS352">
            <v>5.75</v>
          </cell>
          <cell r="AT352">
            <v>154800000</v>
          </cell>
          <cell r="AU352">
            <v>4.7699999999999996</v>
          </cell>
          <cell r="AV352">
            <v>56506100</v>
          </cell>
          <cell r="AW352">
            <v>0.15</v>
          </cell>
          <cell r="AX352">
            <v>6859</v>
          </cell>
          <cell r="AY352">
            <v>44.33</v>
          </cell>
          <cell r="AZ352">
            <v>0</v>
          </cell>
          <cell r="BA352">
            <v>264</v>
          </cell>
          <cell r="BB352">
            <v>1</v>
          </cell>
          <cell r="BC352">
            <v>264</v>
          </cell>
          <cell r="BD352">
            <v>1</v>
          </cell>
          <cell r="BE352">
            <v>0</v>
          </cell>
          <cell r="BF352">
            <v>29</v>
          </cell>
          <cell r="BG352">
            <v>1</v>
          </cell>
          <cell r="BH352">
            <v>1</v>
          </cell>
          <cell r="BI352">
            <v>116</v>
          </cell>
          <cell r="BJ352">
            <v>29</v>
          </cell>
          <cell r="BK352">
            <v>29</v>
          </cell>
          <cell r="BL352">
            <v>27</v>
          </cell>
          <cell r="BM352">
            <v>16</v>
          </cell>
          <cell r="BN352">
            <v>15</v>
          </cell>
          <cell r="BO352">
            <v>0</v>
          </cell>
          <cell r="BP352">
            <v>11</v>
          </cell>
          <cell r="BQ352">
            <v>4</v>
          </cell>
          <cell r="BR352">
            <v>5</v>
          </cell>
          <cell r="BS352">
            <v>2</v>
          </cell>
          <cell r="BT352">
            <v>3</v>
          </cell>
          <cell r="BU352">
            <v>-3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23</v>
          </cell>
          <cell r="EB352">
            <v>0</v>
          </cell>
          <cell r="EC352">
            <v>4</v>
          </cell>
          <cell r="ED352">
            <v>4</v>
          </cell>
          <cell r="EE352">
            <v>7</v>
          </cell>
          <cell r="EF352">
            <v>8</v>
          </cell>
          <cell r="EG352">
            <v>0</v>
          </cell>
          <cell r="EH352">
            <v>115</v>
          </cell>
          <cell r="EI352">
            <v>12</v>
          </cell>
          <cell r="EJ352">
            <v>18</v>
          </cell>
          <cell r="EK352">
            <v>32</v>
          </cell>
          <cell r="EL352">
            <v>39</v>
          </cell>
          <cell r="EM352">
            <v>14</v>
          </cell>
          <cell r="EN352">
            <v>0</v>
          </cell>
          <cell r="EO352" t="str">
            <v xml:space="preserve">ALPHA BRAVO JACKET                                          </v>
          </cell>
        </row>
        <row r="353">
          <cell r="A353" t="str">
            <v>CN4VM2051807</v>
          </cell>
          <cell r="B353" t="str">
            <v>CN4</v>
          </cell>
          <cell r="C353" t="str">
            <v>VM2051</v>
          </cell>
          <cell r="D353">
            <v>807</v>
          </cell>
          <cell r="E353" t="str">
            <v xml:space="preserve">   </v>
          </cell>
          <cell r="F353">
            <v>81014</v>
          </cell>
          <cell r="G353">
            <v>81105</v>
          </cell>
          <cell r="H353">
            <v>0</v>
          </cell>
          <cell r="I353">
            <v>1002</v>
          </cell>
          <cell r="J353">
            <v>1002</v>
          </cell>
          <cell r="K353">
            <v>970</v>
          </cell>
          <cell r="L353">
            <v>382</v>
          </cell>
          <cell r="M353">
            <v>382</v>
          </cell>
          <cell r="N353">
            <v>36295446</v>
          </cell>
          <cell r="O353">
            <v>44961744</v>
          </cell>
          <cell r="P353">
            <v>43525840</v>
          </cell>
          <cell r="Q353">
            <v>17141104</v>
          </cell>
          <cell r="R353">
            <v>80482520</v>
          </cell>
          <cell r="S353" t="str">
            <v xml:space="preserve"> </v>
          </cell>
          <cell r="T353" t="str">
            <v xml:space="preserve"> </v>
          </cell>
          <cell r="U353">
            <v>1002</v>
          </cell>
          <cell r="V353">
            <v>44961744</v>
          </cell>
          <cell r="W353">
            <v>382</v>
          </cell>
          <cell r="X353">
            <v>17141104</v>
          </cell>
          <cell r="Y353">
            <v>38.32</v>
          </cell>
          <cell r="Z353">
            <v>38.42</v>
          </cell>
          <cell r="AA353">
            <v>17096232</v>
          </cell>
          <cell r="AB353">
            <v>44872</v>
          </cell>
          <cell r="AC353">
            <v>32</v>
          </cell>
          <cell r="AD353">
            <v>2512832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44872</v>
          </cell>
          <cell r="AK353">
            <v>2</v>
          </cell>
          <cell r="AL353">
            <v>134616</v>
          </cell>
          <cell r="AM353">
            <v>586</v>
          </cell>
          <cell r="AN353">
            <v>53981016</v>
          </cell>
          <cell r="AO353">
            <v>36223</v>
          </cell>
          <cell r="AP353">
            <v>44872</v>
          </cell>
          <cell r="AQ353">
            <v>258000</v>
          </cell>
          <cell r="AR353">
            <v>0</v>
          </cell>
          <cell r="AS353">
            <v>5.75</v>
          </cell>
          <cell r="AT353">
            <v>258516000</v>
          </cell>
          <cell r="AU353">
            <v>4.71</v>
          </cell>
          <cell r="AV353">
            <v>80475661</v>
          </cell>
          <cell r="AW353">
            <v>0.15</v>
          </cell>
          <cell r="AX353">
            <v>6859</v>
          </cell>
          <cell r="AY353">
            <v>38.32</v>
          </cell>
          <cell r="AZ353">
            <v>0</v>
          </cell>
          <cell r="BA353">
            <v>381</v>
          </cell>
          <cell r="BB353">
            <v>1</v>
          </cell>
          <cell r="BC353">
            <v>382</v>
          </cell>
          <cell r="BD353">
            <v>0</v>
          </cell>
          <cell r="BE353">
            <v>0</v>
          </cell>
          <cell r="BF353">
            <v>51</v>
          </cell>
          <cell r="BG353">
            <v>0</v>
          </cell>
          <cell r="BH353">
            <v>1</v>
          </cell>
          <cell r="BI353">
            <v>172</v>
          </cell>
          <cell r="BJ353">
            <v>34</v>
          </cell>
          <cell r="BK353">
            <v>40</v>
          </cell>
          <cell r="BL353">
            <v>45</v>
          </cell>
          <cell r="BM353">
            <v>30</v>
          </cell>
          <cell r="BN353">
            <v>23</v>
          </cell>
          <cell r="BO353">
            <v>0</v>
          </cell>
          <cell r="BP353">
            <v>23</v>
          </cell>
          <cell r="BQ353">
            <v>12</v>
          </cell>
          <cell r="BR353">
            <v>5</v>
          </cell>
          <cell r="BS353">
            <v>2</v>
          </cell>
          <cell r="BT353">
            <v>3</v>
          </cell>
          <cell r="BU353">
            <v>1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22</v>
          </cell>
          <cell r="EB353">
            <v>0</v>
          </cell>
          <cell r="EC353">
            <v>2</v>
          </cell>
          <cell r="ED353">
            <v>3</v>
          </cell>
          <cell r="EE353">
            <v>9</v>
          </cell>
          <cell r="EF353">
            <v>8</v>
          </cell>
          <cell r="EG353">
            <v>0</v>
          </cell>
          <cell r="EH353">
            <v>165</v>
          </cell>
          <cell r="EI353">
            <v>9</v>
          </cell>
          <cell r="EJ353">
            <v>25</v>
          </cell>
          <cell r="EK353">
            <v>41</v>
          </cell>
          <cell r="EL353">
            <v>65</v>
          </cell>
          <cell r="EM353">
            <v>25</v>
          </cell>
          <cell r="EN353">
            <v>0</v>
          </cell>
          <cell r="EO353" t="str">
            <v xml:space="preserve">ALPHA BRAVO JACKET                                          </v>
          </cell>
        </row>
        <row r="354">
          <cell r="A354" t="str">
            <v>CN4VM4044010</v>
          </cell>
          <cell r="B354" t="str">
            <v>CN4</v>
          </cell>
          <cell r="C354" t="str">
            <v>VM4044</v>
          </cell>
          <cell r="D354">
            <v>10</v>
          </cell>
          <cell r="E354" t="str">
            <v xml:space="preserve">   </v>
          </cell>
          <cell r="F354">
            <v>80725</v>
          </cell>
          <cell r="G354">
            <v>81106</v>
          </cell>
          <cell r="H354">
            <v>0</v>
          </cell>
          <cell r="I354">
            <v>1005</v>
          </cell>
          <cell r="J354">
            <v>1002</v>
          </cell>
          <cell r="K354">
            <v>289</v>
          </cell>
          <cell r="L354">
            <v>145</v>
          </cell>
          <cell r="M354">
            <v>145</v>
          </cell>
          <cell r="N354">
            <v>42860235</v>
          </cell>
          <cell r="O354">
            <v>42876582</v>
          </cell>
          <cell r="P354">
            <v>12366599</v>
          </cell>
          <cell r="Q354">
            <v>6204695</v>
          </cell>
          <cell r="R354">
            <v>34904400</v>
          </cell>
          <cell r="S354" t="str">
            <v xml:space="preserve"> </v>
          </cell>
          <cell r="T354" t="str">
            <v xml:space="preserve"> </v>
          </cell>
          <cell r="U354">
            <v>1002</v>
          </cell>
          <cell r="V354">
            <v>42876582</v>
          </cell>
          <cell r="W354">
            <v>145</v>
          </cell>
          <cell r="X354">
            <v>6204695</v>
          </cell>
          <cell r="Y354">
            <v>19.36</v>
          </cell>
          <cell r="Z354">
            <v>19.16</v>
          </cell>
          <cell r="AA354">
            <v>6204695</v>
          </cell>
          <cell r="AB354">
            <v>0</v>
          </cell>
          <cell r="AC354">
            <v>713</v>
          </cell>
          <cell r="AD354">
            <v>34275591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49</v>
          </cell>
          <cell r="AL354">
            <v>2011177</v>
          </cell>
          <cell r="AM354">
            <v>95</v>
          </cell>
          <cell r="AN354">
            <v>37057006</v>
          </cell>
          <cell r="AO354">
            <v>42647</v>
          </cell>
          <cell r="AP354">
            <v>42791</v>
          </cell>
          <cell r="AQ354">
            <v>298000</v>
          </cell>
          <cell r="AR354">
            <v>0</v>
          </cell>
          <cell r="AS354">
            <v>6.96</v>
          </cell>
          <cell r="AT354">
            <v>298596000</v>
          </cell>
          <cell r="AU354">
            <v>5.63</v>
          </cell>
          <cell r="AV354">
            <v>34904400</v>
          </cell>
          <cell r="AW354">
            <v>0</v>
          </cell>
          <cell r="AX354">
            <v>0</v>
          </cell>
          <cell r="AY354">
            <v>19.36</v>
          </cell>
          <cell r="AZ354">
            <v>0</v>
          </cell>
          <cell r="BA354">
            <v>145</v>
          </cell>
          <cell r="BB354">
            <v>0</v>
          </cell>
          <cell r="BC354">
            <v>145</v>
          </cell>
          <cell r="BD354">
            <v>0</v>
          </cell>
          <cell r="BE354">
            <v>0</v>
          </cell>
          <cell r="BF354">
            <v>16</v>
          </cell>
          <cell r="BG354">
            <v>1</v>
          </cell>
          <cell r="BH354">
            <v>1</v>
          </cell>
          <cell r="BI354">
            <v>76</v>
          </cell>
          <cell r="BJ354">
            <v>13</v>
          </cell>
          <cell r="BK354">
            <v>25</v>
          </cell>
          <cell r="BL354">
            <v>17</v>
          </cell>
          <cell r="BM354">
            <v>10</v>
          </cell>
          <cell r="BN354">
            <v>11</v>
          </cell>
          <cell r="BO354">
            <v>0</v>
          </cell>
          <cell r="BP354">
            <v>0</v>
          </cell>
          <cell r="BQ354">
            <v>3</v>
          </cell>
          <cell r="BR354">
            <v>1</v>
          </cell>
          <cell r="BS354">
            <v>-4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12</v>
          </cell>
          <cell r="EB354">
            <v>0</v>
          </cell>
          <cell r="EC354">
            <v>3</v>
          </cell>
          <cell r="ED354">
            <v>1</v>
          </cell>
          <cell r="EE354">
            <v>4</v>
          </cell>
          <cell r="EF354">
            <v>4</v>
          </cell>
          <cell r="EG354">
            <v>0</v>
          </cell>
          <cell r="EH354">
            <v>57</v>
          </cell>
          <cell r="EI354">
            <v>8</v>
          </cell>
          <cell r="EJ354">
            <v>7</v>
          </cell>
          <cell r="EK354">
            <v>10</v>
          </cell>
          <cell r="EL354">
            <v>22</v>
          </cell>
          <cell r="EM354">
            <v>10</v>
          </cell>
          <cell r="EN354">
            <v>0</v>
          </cell>
          <cell r="EO354" t="str">
            <v xml:space="preserve">VARIABLE GEOMETRY PUFFY                                     </v>
          </cell>
        </row>
        <row r="355">
          <cell r="A355" t="str">
            <v>CN4VM4047010</v>
          </cell>
          <cell r="B355" t="str">
            <v>CN4</v>
          </cell>
          <cell r="C355" t="str">
            <v>VM4047</v>
          </cell>
          <cell r="D355">
            <v>10</v>
          </cell>
          <cell r="E355" t="str">
            <v xml:space="preserve">   </v>
          </cell>
          <cell r="F355">
            <v>80826</v>
          </cell>
          <cell r="G355">
            <v>81101</v>
          </cell>
          <cell r="H355">
            <v>0</v>
          </cell>
          <cell r="I355">
            <v>702</v>
          </cell>
          <cell r="J355">
            <v>700</v>
          </cell>
          <cell r="K355">
            <v>632</v>
          </cell>
          <cell r="L355">
            <v>111</v>
          </cell>
          <cell r="M355">
            <v>111</v>
          </cell>
          <cell r="N355">
            <v>24196536</v>
          </cell>
          <cell r="O355">
            <v>25093600</v>
          </cell>
          <cell r="P355">
            <v>22655936</v>
          </cell>
          <cell r="Q355">
            <v>3979128</v>
          </cell>
          <cell r="R355">
            <v>23279700</v>
          </cell>
          <cell r="S355" t="str">
            <v xml:space="preserve"> </v>
          </cell>
          <cell r="T355" t="str">
            <v xml:space="preserve"> </v>
          </cell>
          <cell r="U355">
            <v>700</v>
          </cell>
          <cell r="V355">
            <v>25093600</v>
          </cell>
          <cell r="W355">
            <v>111</v>
          </cell>
          <cell r="X355">
            <v>3979128</v>
          </cell>
          <cell r="Y355">
            <v>15.86</v>
          </cell>
          <cell r="Z355">
            <v>15.86</v>
          </cell>
          <cell r="AA355">
            <v>3979128</v>
          </cell>
          <cell r="AB355">
            <v>0</v>
          </cell>
          <cell r="AC355">
            <v>68</v>
          </cell>
          <cell r="AD355">
            <v>4516848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521</v>
          </cell>
          <cell r="AN355">
            <v>37783792</v>
          </cell>
          <cell r="AO355">
            <v>34468</v>
          </cell>
          <cell r="AP355">
            <v>35848</v>
          </cell>
          <cell r="AQ355">
            <v>258000</v>
          </cell>
          <cell r="AR355">
            <v>0</v>
          </cell>
          <cell r="AS355">
            <v>7.2</v>
          </cell>
          <cell r="AT355">
            <v>180600000</v>
          </cell>
          <cell r="AU355">
            <v>5.85</v>
          </cell>
          <cell r="AV355">
            <v>23279700</v>
          </cell>
          <cell r="AW355">
            <v>0</v>
          </cell>
          <cell r="AX355">
            <v>0</v>
          </cell>
          <cell r="AY355">
            <v>15.86</v>
          </cell>
          <cell r="AZ355">
            <v>0</v>
          </cell>
          <cell r="BA355">
            <v>111</v>
          </cell>
          <cell r="BB355">
            <v>0</v>
          </cell>
          <cell r="BC355">
            <v>111</v>
          </cell>
          <cell r="BD355">
            <v>0</v>
          </cell>
          <cell r="BE355">
            <v>0</v>
          </cell>
          <cell r="BF355">
            <v>16</v>
          </cell>
          <cell r="BG355">
            <v>1</v>
          </cell>
          <cell r="BH355">
            <v>1</v>
          </cell>
          <cell r="BI355">
            <v>43</v>
          </cell>
          <cell r="BJ355">
            <v>7</v>
          </cell>
          <cell r="BK355">
            <v>13</v>
          </cell>
          <cell r="BL355">
            <v>13</v>
          </cell>
          <cell r="BM355">
            <v>5</v>
          </cell>
          <cell r="BN355">
            <v>5</v>
          </cell>
          <cell r="BO355">
            <v>0</v>
          </cell>
          <cell r="BP355">
            <v>2</v>
          </cell>
          <cell r="BQ355">
            <v>1</v>
          </cell>
          <cell r="BR355">
            <v>0</v>
          </cell>
          <cell r="BS355">
            <v>3</v>
          </cell>
          <cell r="BT355">
            <v>0</v>
          </cell>
          <cell r="BU355">
            <v>-2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16</v>
          </cell>
          <cell r="EB355">
            <v>1</v>
          </cell>
          <cell r="EC355">
            <v>6</v>
          </cell>
          <cell r="ED355">
            <v>0</v>
          </cell>
          <cell r="EE355">
            <v>4</v>
          </cell>
          <cell r="EF355">
            <v>5</v>
          </cell>
          <cell r="EG355">
            <v>0</v>
          </cell>
          <cell r="EH355">
            <v>50</v>
          </cell>
          <cell r="EI355">
            <v>8</v>
          </cell>
          <cell r="EJ355">
            <v>7</v>
          </cell>
          <cell r="EK355">
            <v>13</v>
          </cell>
          <cell r="EL355">
            <v>14</v>
          </cell>
          <cell r="EM355">
            <v>8</v>
          </cell>
          <cell r="EN355">
            <v>0</v>
          </cell>
          <cell r="EO355" t="str">
            <v xml:space="preserve">RELAUNCH JACKET                                             </v>
          </cell>
        </row>
        <row r="356">
          <cell r="A356" t="str">
            <v>CN4VM4047981</v>
          </cell>
          <cell r="B356" t="str">
            <v>CN4</v>
          </cell>
          <cell r="C356" t="str">
            <v>VM4047</v>
          </cell>
          <cell r="D356">
            <v>981</v>
          </cell>
          <cell r="E356" t="str">
            <v xml:space="preserve">   </v>
          </cell>
          <cell r="F356">
            <v>80826</v>
          </cell>
          <cell r="G356">
            <v>81101</v>
          </cell>
          <cell r="H356">
            <v>0</v>
          </cell>
          <cell r="I356">
            <v>600</v>
          </cell>
          <cell r="J356">
            <v>598</v>
          </cell>
          <cell r="K356">
            <v>521</v>
          </cell>
          <cell r="L356">
            <v>19</v>
          </cell>
          <cell r="M356">
            <v>19</v>
          </cell>
          <cell r="N356">
            <v>20680800</v>
          </cell>
          <cell r="O356">
            <v>21437104</v>
          </cell>
          <cell r="P356">
            <v>18676808</v>
          </cell>
          <cell r="Q356">
            <v>681112</v>
          </cell>
          <cell r="R356">
            <v>3987700</v>
          </cell>
          <cell r="S356" t="str">
            <v xml:space="preserve"> </v>
          </cell>
          <cell r="T356" t="str">
            <v xml:space="preserve"> </v>
          </cell>
          <cell r="U356">
            <v>598</v>
          </cell>
          <cell r="V356">
            <v>21437104</v>
          </cell>
          <cell r="W356">
            <v>19</v>
          </cell>
          <cell r="X356">
            <v>681112</v>
          </cell>
          <cell r="Y356">
            <v>3.18</v>
          </cell>
          <cell r="Z356">
            <v>3.18</v>
          </cell>
          <cell r="AA356">
            <v>681112</v>
          </cell>
          <cell r="AB356">
            <v>0</v>
          </cell>
          <cell r="AC356">
            <v>77</v>
          </cell>
          <cell r="AD356">
            <v>4839480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502</v>
          </cell>
          <cell r="AN356">
            <v>36744200</v>
          </cell>
          <cell r="AO356">
            <v>34468</v>
          </cell>
          <cell r="AP356">
            <v>35848</v>
          </cell>
          <cell r="AQ356">
            <v>258000</v>
          </cell>
          <cell r="AR356">
            <v>0</v>
          </cell>
          <cell r="AS356">
            <v>7.2</v>
          </cell>
          <cell r="AT356">
            <v>154284000</v>
          </cell>
          <cell r="AU356">
            <v>5.85</v>
          </cell>
          <cell r="AV356">
            <v>3987700</v>
          </cell>
          <cell r="AW356">
            <v>0</v>
          </cell>
          <cell r="AX356">
            <v>0</v>
          </cell>
          <cell r="AY356">
            <v>3.18</v>
          </cell>
          <cell r="AZ356">
            <v>0</v>
          </cell>
          <cell r="BA356">
            <v>19</v>
          </cell>
          <cell r="BB356">
            <v>0</v>
          </cell>
          <cell r="BC356">
            <v>19</v>
          </cell>
          <cell r="BD356">
            <v>0</v>
          </cell>
          <cell r="BE356">
            <v>0</v>
          </cell>
          <cell r="BF356">
            <v>2</v>
          </cell>
          <cell r="BG356">
            <v>0</v>
          </cell>
          <cell r="BH356">
            <v>1</v>
          </cell>
          <cell r="BI356">
            <v>6</v>
          </cell>
          <cell r="BJ356">
            <v>3</v>
          </cell>
          <cell r="BK356">
            <v>0</v>
          </cell>
          <cell r="BL356">
            <v>1</v>
          </cell>
          <cell r="BM356">
            <v>2</v>
          </cell>
          <cell r="BN356">
            <v>0</v>
          </cell>
          <cell r="BO356">
            <v>0</v>
          </cell>
          <cell r="BP356">
            <v>2</v>
          </cell>
          <cell r="BQ356">
            <v>0</v>
          </cell>
          <cell r="BR356">
            <v>2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3</v>
          </cell>
          <cell r="EB356">
            <v>1</v>
          </cell>
          <cell r="EC356">
            <v>1</v>
          </cell>
          <cell r="ED356">
            <v>0</v>
          </cell>
          <cell r="EE356">
            <v>1</v>
          </cell>
          <cell r="EF356">
            <v>0</v>
          </cell>
          <cell r="EG356">
            <v>0</v>
          </cell>
          <cell r="EH356">
            <v>8</v>
          </cell>
          <cell r="EI356">
            <v>2</v>
          </cell>
          <cell r="EJ356">
            <v>1</v>
          </cell>
          <cell r="EK356">
            <v>0</v>
          </cell>
          <cell r="EL356">
            <v>6</v>
          </cell>
          <cell r="EM356">
            <v>-1</v>
          </cell>
          <cell r="EN356">
            <v>0</v>
          </cell>
          <cell r="EO356" t="str">
            <v xml:space="preserve">RELAUNCH JACKET                                             </v>
          </cell>
        </row>
        <row r="357">
          <cell r="A357" t="str">
            <v>CN4VM8086010</v>
          </cell>
          <cell r="B357" t="str">
            <v>CN4</v>
          </cell>
          <cell r="C357" t="str">
            <v>VM8086</v>
          </cell>
          <cell r="D357">
            <v>10</v>
          </cell>
          <cell r="E357" t="str">
            <v xml:space="preserve">   </v>
          </cell>
          <cell r="F357">
            <v>81002</v>
          </cell>
          <cell r="G357">
            <v>81106</v>
          </cell>
          <cell r="H357">
            <v>0</v>
          </cell>
          <cell r="I357">
            <v>600</v>
          </cell>
          <cell r="J357">
            <v>596</v>
          </cell>
          <cell r="K357">
            <v>596</v>
          </cell>
          <cell r="L357">
            <v>223</v>
          </cell>
          <cell r="M357">
            <v>223</v>
          </cell>
          <cell r="N357">
            <v>13611600</v>
          </cell>
          <cell r="O357">
            <v>17575444</v>
          </cell>
          <cell r="P357">
            <v>17575444</v>
          </cell>
          <cell r="Q357">
            <v>6576047</v>
          </cell>
          <cell r="R357">
            <v>29246959</v>
          </cell>
          <cell r="S357" t="str">
            <v xml:space="preserve"> </v>
          </cell>
          <cell r="T357" t="str">
            <v xml:space="preserve"> </v>
          </cell>
          <cell r="U357">
            <v>596</v>
          </cell>
          <cell r="V357">
            <v>17575444</v>
          </cell>
          <cell r="W357">
            <v>223</v>
          </cell>
          <cell r="X357">
            <v>6576047</v>
          </cell>
          <cell r="Y357">
            <v>37.42</v>
          </cell>
          <cell r="Z357">
            <v>37.75</v>
          </cell>
          <cell r="AA357">
            <v>6546558</v>
          </cell>
          <cell r="AB357">
            <v>29489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58978</v>
          </cell>
          <cell r="AM357">
            <v>373</v>
          </cell>
          <cell r="AN357">
            <v>22470618</v>
          </cell>
          <cell r="AO357">
            <v>22686</v>
          </cell>
          <cell r="AP357">
            <v>29489</v>
          </cell>
          <cell r="AQ357">
            <v>158000</v>
          </cell>
          <cell r="AR357">
            <v>0</v>
          </cell>
          <cell r="AS357">
            <v>5.36</v>
          </cell>
          <cell r="AT357">
            <v>94168000</v>
          </cell>
          <cell r="AU357">
            <v>4.47</v>
          </cell>
          <cell r="AV357">
            <v>29240100</v>
          </cell>
          <cell r="AW357">
            <v>0.23</v>
          </cell>
          <cell r="AX357">
            <v>6859</v>
          </cell>
          <cell r="AY357">
            <v>37.42</v>
          </cell>
          <cell r="AZ357">
            <v>0</v>
          </cell>
          <cell r="BA357">
            <v>222</v>
          </cell>
          <cell r="BB357">
            <v>1</v>
          </cell>
          <cell r="BC357">
            <v>222</v>
          </cell>
          <cell r="BD357">
            <v>1</v>
          </cell>
          <cell r="BE357">
            <v>0</v>
          </cell>
          <cell r="BF357">
            <v>30</v>
          </cell>
          <cell r="BG357">
            <v>1</v>
          </cell>
          <cell r="BH357">
            <v>1</v>
          </cell>
          <cell r="BI357">
            <v>103</v>
          </cell>
          <cell r="BJ357">
            <v>19</v>
          </cell>
          <cell r="BK357">
            <v>28</v>
          </cell>
          <cell r="BL357">
            <v>33</v>
          </cell>
          <cell r="BM357">
            <v>12</v>
          </cell>
          <cell r="BN357">
            <v>11</v>
          </cell>
          <cell r="BO357">
            <v>0</v>
          </cell>
          <cell r="BP357">
            <v>18</v>
          </cell>
          <cell r="BQ357">
            <v>3</v>
          </cell>
          <cell r="BR357">
            <v>9</v>
          </cell>
          <cell r="BS357">
            <v>1</v>
          </cell>
          <cell r="BT357">
            <v>4</v>
          </cell>
          <cell r="BU357">
            <v>1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21</v>
          </cell>
          <cell r="EB357">
            <v>0</v>
          </cell>
          <cell r="EC357">
            <v>3</v>
          </cell>
          <cell r="ED357">
            <v>1</v>
          </cell>
          <cell r="EE357">
            <v>4</v>
          </cell>
          <cell r="EF357">
            <v>13</v>
          </cell>
          <cell r="EG357">
            <v>0</v>
          </cell>
          <cell r="EH357">
            <v>81</v>
          </cell>
          <cell r="EI357">
            <v>11</v>
          </cell>
          <cell r="EJ357">
            <v>8</v>
          </cell>
          <cell r="EK357">
            <v>15</v>
          </cell>
          <cell r="EL357">
            <v>34</v>
          </cell>
          <cell r="EM357">
            <v>13</v>
          </cell>
          <cell r="EN357">
            <v>0</v>
          </cell>
          <cell r="EO357" t="str">
            <v xml:space="preserve">SCREAMING EAGLE PANT                                        </v>
          </cell>
        </row>
        <row r="358">
          <cell r="A358" t="str">
            <v>CN4VM8086028</v>
          </cell>
          <cell r="B358" t="str">
            <v>CN4</v>
          </cell>
          <cell r="C358" t="str">
            <v>VM8086</v>
          </cell>
          <cell r="D358">
            <v>28</v>
          </cell>
          <cell r="E358" t="str">
            <v xml:space="preserve">   </v>
          </cell>
          <cell r="F358">
            <v>81002</v>
          </cell>
          <cell r="G358">
            <v>81106</v>
          </cell>
          <cell r="H358">
            <v>0</v>
          </cell>
          <cell r="I358">
            <v>504</v>
          </cell>
          <cell r="J358">
            <v>503</v>
          </cell>
          <cell r="K358">
            <v>503</v>
          </cell>
          <cell r="L358">
            <v>327</v>
          </cell>
          <cell r="M358">
            <v>327</v>
          </cell>
          <cell r="N358">
            <v>11433744</v>
          </cell>
          <cell r="O358">
            <v>14832967</v>
          </cell>
          <cell r="P358">
            <v>14832967</v>
          </cell>
          <cell r="Q358">
            <v>9642903</v>
          </cell>
          <cell r="R358">
            <v>43000375</v>
          </cell>
          <cell r="S358" t="str">
            <v xml:space="preserve"> </v>
          </cell>
          <cell r="T358" t="str">
            <v xml:space="preserve"> </v>
          </cell>
          <cell r="U358">
            <v>503</v>
          </cell>
          <cell r="V358">
            <v>14832967</v>
          </cell>
          <cell r="W358">
            <v>327</v>
          </cell>
          <cell r="X358">
            <v>9642903</v>
          </cell>
          <cell r="Y358">
            <v>65.209999999999994</v>
          </cell>
          <cell r="Z358">
            <v>65.41</v>
          </cell>
          <cell r="AA358">
            <v>9642903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>
            <v>58978</v>
          </cell>
          <cell r="AM358">
            <v>175</v>
          </cell>
          <cell r="AN358">
            <v>10645529</v>
          </cell>
          <cell r="AO358">
            <v>22686</v>
          </cell>
          <cell r="AP358">
            <v>29489</v>
          </cell>
          <cell r="AQ358">
            <v>158000</v>
          </cell>
          <cell r="AR358">
            <v>0</v>
          </cell>
          <cell r="AS358">
            <v>5.36</v>
          </cell>
          <cell r="AT358">
            <v>79474000</v>
          </cell>
          <cell r="AU358">
            <v>4.46</v>
          </cell>
          <cell r="AV358">
            <v>43000375</v>
          </cell>
          <cell r="AW358">
            <v>0</v>
          </cell>
          <cell r="AX358">
            <v>0</v>
          </cell>
          <cell r="AY358">
            <v>65.209999999999994</v>
          </cell>
          <cell r="AZ358">
            <v>0</v>
          </cell>
          <cell r="BA358">
            <v>327</v>
          </cell>
          <cell r="BB358">
            <v>0</v>
          </cell>
          <cell r="BC358">
            <v>327</v>
          </cell>
          <cell r="BD358">
            <v>0</v>
          </cell>
          <cell r="BE358">
            <v>0</v>
          </cell>
          <cell r="BF358">
            <v>25</v>
          </cell>
          <cell r="BG358">
            <v>0</v>
          </cell>
          <cell r="BH358">
            <v>1</v>
          </cell>
          <cell r="BI358">
            <v>137</v>
          </cell>
          <cell r="BJ358">
            <v>29</v>
          </cell>
          <cell r="BK358">
            <v>39</v>
          </cell>
          <cell r="BL358">
            <v>38</v>
          </cell>
          <cell r="BM358">
            <v>18</v>
          </cell>
          <cell r="BN358">
            <v>13</v>
          </cell>
          <cell r="BO358">
            <v>0</v>
          </cell>
          <cell r="BP358">
            <v>11</v>
          </cell>
          <cell r="BQ358">
            <v>3</v>
          </cell>
          <cell r="BR358">
            <v>1</v>
          </cell>
          <cell r="BS358">
            <v>4</v>
          </cell>
          <cell r="BT358">
            <v>4</v>
          </cell>
          <cell r="BU358">
            <v>-1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21</v>
          </cell>
          <cell r="EB358">
            <v>0</v>
          </cell>
          <cell r="EC358">
            <v>1</v>
          </cell>
          <cell r="ED358">
            <v>2</v>
          </cell>
          <cell r="EE358">
            <v>10</v>
          </cell>
          <cell r="EF358">
            <v>8</v>
          </cell>
          <cell r="EG358">
            <v>0</v>
          </cell>
          <cell r="EH358">
            <v>158</v>
          </cell>
          <cell r="EI358">
            <v>15</v>
          </cell>
          <cell r="EJ358">
            <v>21</v>
          </cell>
          <cell r="EK358">
            <v>39</v>
          </cell>
          <cell r="EL358">
            <v>65</v>
          </cell>
          <cell r="EM358">
            <v>18</v>
          </cell>
          <cell r="EN358">
            <v>0</v>
          </cell>
          <cell r="EO358" t="str">
            <v xml:space="preserve">SCREAMING EAGLE PANT                                        </v>
          </cell>
        </row>
        <row r="359">
          <cell r="A359" t="str">
            <v>CN4VM8087005</v>
          </cell>
          <cell r="B359" t="str">
            <v>CN4</v>
          </cell>
          <cell r="C359" t="str">
            <v>VM8087</v>
          </cell>
          <cell r="D359">
            <v>5</v>
          </cell>
          <cell r="E359" t="str">
            <v xml:space="preserve">   </v>
          </cell>
          <cell r="F359">
            <v>81022</v>
          </cell>
          <cell r="G359">
            <v>81101</v>
          </cell>
          <cell r="H359">
            <v>0</v>
          </cell>
          <cell r="I359">
            <v>504</v>
          </cell>
          <cell r="J359">
            <v>503</v>
          </cell>
          <cell r="K359">
            <v>500</v>
          </cell>
          <cell r="L359">
            <v>103</v>
          </cell>
          <cell r="M359">
            <v>103</v>
          </cell>
          <cell r="N359">
            <v>8550360</v>
          </cell>
          <cell r="O359">
            <v>11591635</v>
          </cell>
          <cell r="P359">
            <v>11522500</v>
          </cell>
          <cell r="Q359">
            <v>2373635</v>
          </cell>
          <cell r="R359">
            <v>15023100</v>
          </cell>
          <cell r="S359" t="str">
            <v xml:space="preserve"> </v>
          </cell>
          <cell r="T359" t="str">
            <v xml:space="preserve"> </v>
          </cell>
          <cell r="U359">
            <v>503</v>
          </cell>
          <cell r="V359">
            <v>11591635</v>
          </cell>
          <cell r="W359">
            <v>103</v>
          </cell>
          <cell r="X359">
            <v>2373635</v>
          </cell>
          <cell r="Y359">
            <v>20.28</v>
          </cell>
          <cell r="Z359">
            <v>20.079999999999998</v>
          </cell>
          <cell r="AA359">
            <v>2373635</v>
          </cell>
          <cell r="AB359">
            <v>0</v>
          </cell>
          <cell r="AC359">
            <v>3</v>
          </cell>
          <cell r="AD359">
            <v>69135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-1</v>
          </cell>
          <cell r="AL359">
            <v>-46090</v>
          </cell>
          <cell r="AM359">
            <v>398</v>
          </cell>
          <cell r="AN359">
            <v>18620360</v>
          </cell>
          <cell r="AO359">
            <v>16965</v>
          </cell>
          <cell r="AP359">
            <v>23045</v>
          </cell>
          <cell r="AQ359">
            <v>178000</v>
          </cell>
          <cell r="AR359">
            <v>0</v>
          </cell>
          <cell r="AS359">
            <v>7.72</v>
          </cell>
          <cell r="AT359">
            <v>89534000</v>
          </cell>
          <cell r="AU359">
            <v>6.33</v>
          </cell>
          <cell r="AV359">
            <v>15023100</v>
          </cell>
          <cell r="AW359">
            <v>0</v>
          </cell>
          <cell r="AX359">
            <v>0</v>
          </cell>
          <cell r="AY359">
            <v>20.28</v>
          </cell>
          <cell r="AZ359">
            <v>0</v>
          </cell>
          <cell r="BA359">
            <v>103</v>
          </cell>
          <cell r="BB359">
            <v>0</v>
          </cell>
          <cell r="BC359">
            <v>103</v>
          </cell>
          <cell r="BD359">
            <v>0</v>
          </cell>
          <cell r="BE359">
            <v>0</v>
          </cell>
          <cell r="BF359">
            <v>9</v>
          </cell>
          <cell r="BG359">
            <v>1</v>
          </cell>
          <cell r="BH359">
            <v>1</v>
          </cell>
          <cell r="BI359">
            <v>55</v>
          </cell>
          <cell r="BJ359">
            <v>10</v>
          </cell>
          <cell r="BK359">
            <v>16</v>
          </cell>
          <cell r="BL359">
            <v>16</v>
          </cell>
          <cell r="BM359">
            <v>7</v>
          </cell>
          <cell r="BN359">
            <v>6</v>
          </cell>
          <cell r="BO359">
            <v>0</v>
          </cell>
          <cell r="BP359">
            <v>9</v>
          </cell>
          <cell r="BQ359">
            <v>3</v>
          </cell>
          <cell r="BR359">
            <v>1</v>
          </cell>
          <cell r="BS359">
            <v>3</v>
          </cell>
          <cell r="BT359">
            <v>2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8</v>
          </cell>
          <cell r="EB359">
            <v>0</v>
          </cell>
          <cell r="EC359">
            <v>1</v>
          </cell>
          <cell r="ED359">
            <v>3</v>
          </cell>
          <cell r="EE359">
            <v>1</v>
          </cell>
          <cell r="EF359">
            <v>3</v>
          </cell>
          <cell r="EG359">
            <v>0</v>
          </cell>
          <cell r="EH359">
            <v>31</v>
          </cell>
          <cell r="EI359">
            <v>1</v>
          </cell>
          <cell r="EJ359">
            <v>3</v>
          </cell>
          <cell r="EK359">
            <v>10</v>
          </cell>
          <cell r="EL359">
            <v>12</v>
          </cell>
          <cell r="EM359">
            <v>5</v>
          </cell>
          <cell r="EN359">
            <v>0</v>
          </cell>
          <cell r="EO359" t="str">
            <v xml:space="preserve">TURBO JET PANT                                              </v>
          </cell>
        </row>
        <row r="360">
          <cell r="A360" t="str">
            <v>CN4VM8087010</v>
          </cell>
          <cell r="B360" t="str">
            <v>CN4</v>
          </cell>
          <cell r="C360" t="str">
            <v>VM8087</v>
          </cell>
          <cell r="D360">
            <v>10</v>
          </cell>
          <cell r="E360" t="str">
            <v xml:space="preserve">   </v>
          </cell>
          <cell r="F360">
            <v>81022</v>
          </cell>
          <cell r="G360">
            <v>81101</v>
          </cell>
          <cell r="H360">
            <v>0</v>
          </cell>
          <cell r="I360">
            <v>600</v>
          </cell>
          <cell r="J360">
            <v>599</v>
          </cell>
          <cell r="K360">
            <v>592</v>
          </cell>
          <cell r="L360">
            <v>131</v>
          </cell>
          <cell r="M360">
            <v>131</v>
          </cell>
          <cell r="N360">
            <v>10179000</v>
          </cell>
          <cell r="O360">
            <v>13803955</v>
          </cell>
          <cell r="P360">
            <v>13642640</v>
          </cell>
          <cell r="Q360">
            <v>3018895</v>
          </cell>
          <cell r="R360">
            <v>19146729</v>
          </cell>
          <cell r="S360" t="str">
            <v xml:space="preserve"> </v>
          </cell>
          <cell r="T360" t="str">
            <v xml:space="preserve"> </v>
          </cell>
          <cell r="U360">
            <v>599</v>
          </cell>
          <cell r="V360">
            <v>13803955</v>
          </cell>
          <cell r="W360">
            <v>131</v>
          </cell>
          <cell r="X360">
            <v>3018895</v>
          </cell>
          <cell r="Y360">
            <v>21.7</v>
          </cell>
          <cell r="Z360">
            <v>21.54</v>
          </cell>
          <cell r="AA360">
            <v>2972805</v>
          </cell>
          <cell r="AB360">
            <v>46090</v>
          </cell>
          <cell r="AC360">
            <v>7</v>
          </cell>
          <cell r="AD360">
            <v>391765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-1</v>
          </cell>
          <cell r="AL360">
            <v>-46090</v>
          </cell>
          <cell r="AM360">
            <v>462</v>
          </cell>
          <cell r="AN360">
            <v>21431850</v>
          </cell>
          <cell r="AO360">
            <v>16965</v>
          </cell>
          <cell r="AP360">
            <v>23045</v>
          </cell>
          <cell r="AQ360">
            <v>178000</v>
          </cell>
          <cell r="AR360">
            <v>0</v>
          </cell>
          <cell r="AS360">
            <v>7.72</v>
          </cell>
          <cell r="AT360">
            <v>106622000</v>
          </cell>
          <cell r="AU360">
            <v>6.44</v>
          </cell>
          <cell r="AV360">
            <v>19133011</v>
          </cell>
          <cell r="AW360">
            <v>0.3</v>
          </cell>
          <cell r="AX360">
            <v>13718</v>
          </cell>
          <cell r="AY360">
            <v>21.7</v>
          </cell>
          <cell r="AZ360">
            <v>0</v>
          </cell>
          <cell r="BA360">
            <v>129</v>
          </cell>
          <cell r="BB360">
            <v>2</v>
          </cell>
          <cell r="BC360">
            <v>131</v>
          </cell>
          <cell r="BD360">
            <v>0</v>
          </cell>
          <cell r="BE360">
            <v>0</v>
          </cell>
          <cell r="BF360">
            <v>19</v>
          </cell>
          <cell r="BG360">
            <v>0</v>
          </cell>
          <cell r="BH360">
            <v>1</v>
          </cell>
          <cell r="BI360">
            <v>73</v>
          </cell>
          <cell r="BJ360">
            <v>12</v>
          </cell>
          <cell r="BK360">
            <v>22</v>
          </cell>
          <cell r="BL360">
            <v>19</v>
          </cell>
          <cell r="BM360">
            <v>12</v>
          </cell>
          <cell r="BN360">
            <v>8</v>
          </cell>
          <cell r="BO360">
            <v>0</v>
          </cell>
          <cell r="BP360">
            <v>9</v>
          </cell>
          <cell r="BQ360">
            <v>1</v>
          </cell>
          <cell r="BR360">
            <v>5</v>
          </cell>
          <cell r="BS360">
            <v>0</v>
          </cell>
          <cell r="BT360">
            <v>1</v>
          </cell>
          <cell r="BU360">
            <v>2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10</v>
          </cell>
          <cell r="EB360">
            <v>1</v>
          </cell>
          <cell r="EC360">
            <v>3</v>
          </cell>
          <cell r="ED360">
            <v>1</v>
          </cell>
          <cell r="EE360">
            <v>2</v>
          </cell>
          <cell r="EF360">
            <v>3</v>
          </cell>
          <cell r="EG360">
            <v>0</v>
          </cell>
          <cell r="EH360">
            <v>39</v>
          </cell>
          <cell r="EI360">
            <v>7</v>
          </cell>
          <cell r="EJ360">
            <v>7</v>
          </cell>
          <cell r="EK360">
            <v>8</v>
          </cell>
          <cell r="EL360">
            <v>15</v>
          </cell>
          <cell r="EM360">
            <v>2</v>
          </cell>
          <cell r="EN360">
            <v>0</v>
          </cell>
          <cell r="EO360" t="str">
            <v xml:space="preserve">TURBO JET PANT                                              </v>
          </cell>
        </row>
        <row r="361">
          <cell r="A361" t="str">
            <v>CN4VM8087814</v>
          </cell>
          <cell r="B361" t="str">
            <v>CN4</v>
          </cell>
          <cell r="C361" t="str">
            <v>VM8087</v>
          </cell>
          <cell r="D361">
            <v>814</v>
          </cell>
          <cell r="E361" t="str">
            <v xml:space="preserve">   </v>
          </cell>
          <cell r="F361">
            <v>81022</v>
          </cell>
          <cell r="G361">
            <v>81101</v>
          </cell>
          <cell r="H361">
            <v>0</v>
          </cell>
          <cell r="I361">
            <v>702</v>
          </cell>
          <cell r="J361">
            <v>701</v>
          </cell>
          <cell r="K361">
            <v>700</v>
          </cell>
          <cell r="L361">
            <v>280</v>
          </cell>
          <cell r="M361">
            <v>280</v>
          </cell>
          <cell r="N361">
            <v>11909430</v>
          </cell>
          <cell r="O361">
            <v>16154545</v>
          </cell>
          <cell r="P361">
            <v>16131500</v>
          </cell>
          <cell r="Q361">
            <v>6452600</v>
          </cell>
          <cell r="R361">
            <v>41309659</v>
          </cell>
          <cell r="S361" t="str">
            <v xml:space="preserve"> </v>
          </cell>
          <cell r="T361" t="str">
            <v xml:space="preserve"> </v>
          </cell>
          <cell r="U361">
            <v>701</v>
          </cell>
          <cell r="V361">
            <v>16154545</v>
          </cell>
          <cell r="W361">
            <v>280</v>
          </cell>
          <cell r="X361">
            <v>6452600</v>
          </cell>
          <cell r="Y361">
            <v>40.090000000000003</v>
          </cell>
          <cell r="Z361">
            <v>40.090000000000003</v>
          </cell>
          <cell r="AA361">
            <v>6429555</v>
          </cell>
          <cell r="AB361">
            <v>23045</v>
          </cell>
          <cell r="AC361">
            <v>1</v>
          </cell>
          <cell r="AD361">
            <v>23045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23045</v>
          </cell>
          <cell r="AK361">
            <v>1</v>
          </cell>
          <cell r="AL361">
            <v>23045</v>
          </cell>
          <cell r="AM361">
            <v>419</v>
          </cell>
          <cell r="AN361">
            <v>19588250</v>
          </cell>
          <cell r="AO361">
            <v>16965</v>
          </cell>
          <cell r="AP361">
            <v>23045</v>
          </cell>
          <cell r="AQ361">
            <v>178000</v>
          </cell>
          <cell r="AR361">
            <v>0</v>
          </cell>
          <cell r="AS361">
            <v>7.72</v>
          </cell>
          <cell r="AT361">
            <v>124778000</v>
          </cell>
          <cell r="AU361">
            <v>6.42</v>
          </cell>
          <cell r="AV361">
            <v>41302800</v>
          </cell>
          <cell r="AW361">
            <v>0.3</v>
          </cell>
          <cell r="AX361">
            <v>6859</v>
          </cell>
          <cell r="AY361">
            <v>40.090000000000003</v>
          </cell>
          <cell r="AZ361">
            <v>0</v>
          </cell>
          <cell r="BA361">
            <v>279</v>
          </cell>
          <cell r="BB361">
            <v>1</v>
          </cell>
          <cell r="BC361">
            <v>280</v>
          </cell>
          <cell r="BD361">
            <v>0</v>
          </cell>
          <cell r="BE361">
            <v>0</v>
          </cell>
          <cell r="BF361">
            <v>17</v>
          </cell>
          <cell r="BG361">
            <v>0</v>
          </cell>
          <cell r="BH361">
            <v>1</v>
          </cell>
          <cell r="BI361">
            <v>121</v>
          </cell>
          <cell r="BJ361">
            <v>26</v>
          </cell>
          <cell r="BK361">
            <v>30</v>
          </cell>
          <cell r="BL361">
            <v>28</v>
          </cell>
          <cell r="BM361">
            <v>22</v>
          </cell>
          <cell r="BN361">
            <v>15</v>
          </cell>
          <cell r="BO361">
            <v>0</v>
          </cell>
          <cell r="BP361">
            <v>11</v>
          </cell>
          <cell r="BQ361">
            <v>5</v>
          </cell>
          <cell r="BR361">
            <v>2</v>
          </cell>
          <cell r="BS361">
            <v>2</v>
          </cell>
          <cell r="BT361">
            <v>1</v>
          </cell>
          <cell r="BU361">
            <v>1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19</v>
          </cell>
          <cell r="EB361">
            <v>0</v>
          </cell>
          <cell r="EC361">
            <v>3</v>
          </cell>
          <cell r="ED361">
            <v>2</v>
          </cell>
          <cell r="EE361">
            <v>8</v>
          </cell>
          <cell r="EF361">
            <v>6</v>
          </cell>
          <cell r="EG361">
            <v>0</v>
          </cell>
          <cell r="EH361">
            <v>129</v>
          </cell>
          <cell r="EI361">
            <v>19</v>
          </cell>
          <cell r="EJ361">
            <v>14</v>
          </cell>
          <cell r="EK361">
            <v>28</v>
          </cell>
          <cell r="EL361">
            <v>55</v>
          </cell>
          <cell r="EM361">
            <v>13</v>
          </cell>
          <cell r="EN361">
            <v>0</v>
          </cell>
          <cell r="EO361" t="str">
            <v xml:space="preserve">TURBO JET PANT                                              </v>
          </cell>
        </row>
        <row r="362">
          <cell r="A362" t="str">
            <v>CN4XL2151120</v>
          </cell>
          <cell r="B362" t="str">
            <v>CN4</v>
          </cell>
          <cell r="C362" t="str">
            <v>XL2151</v>
          </cell>
          <cell r="D362">
            <v>120</v>
          </cell>
          <cell r="E362" t="str">
            <v xml:space="preserve">   </v>
          </cell>
          <cell r="F362">
            <v>80925</v>
          </cell>
          <cell r="G362">
            <v>80926</v>
          </cell>
          <cell r="H362">
            <v>0</v>
          </cell>
          <cell r="I362">
            <v>402</v>
          </cell>
          <cell r="J362">
            <v>419</v>
          </cell>
          <cell r="K362">
            <v>417</v>
          </cell>
          <cell r="L362">
            <v>110</v>
          </cell>
          <cell r="M362">
            <v>110</v>
          </cell>
          <cell r="N362">
            <v>18531396</v>
          </cell>
          <cell r="O362">
            <v>19728615</v>
          </cell>
          <cell r="P362">
            <v>19634445</v>
          </cell>
          <cell r="Q362">
            <v>5179350</v>
          </cell>
          <cell r="R362">
            <v>27678327</v>
          </cell>
          <cell r="S362" t="str">
            <v xml:space="preserve"> </v>
          </cell>
          <cell r="T362" t="str">
            <v xml:space="preserve"> </v>
          </cell>
          <cell r="U362">
            <v>419</v>
          </cell>
          <cell r="V362">
            <v>19728615</v>
          </cell>
          <cell r="W362">
            <v>110</v>
          </cell>
          <cell r="X362">
            <v>5179350</v>
          </cell>
          <cell r="Y362">
            <v>26.25</v>
          </cell>
          <cell r="Z362">
            <v>26.25</v>
          </cell>
          <cell r="AA362">
            <v>5179350</v>
          </cell>
          <cell r="AB362">
            <v>0</v>
          </cell>
          <cell r="AC362">
            <v>2</v>
          </cell>
          <cell r="AD362">
            <v>94170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307</v>
          </cell>
          <cell r="AN362">
            <v>29145615</v>
          </cell>
          <cell r="AO362">
            <v>46098</v>
          </cell>
          <cell r="AP362">
            <v>47085</v>
          </cell>
          <cell r="AQ362">
            <v>298000</v>
          </cell>
          <cell r="AR362">
            <v>0</v>
          </cell>
          <cell r="AS362">
            <v>6.33</v>
          </cell>
          <cell r="AT362">
            <v>124862000</v>
          </cell>
          <cell r="AU362">
            <v>5.34</v>
          </cell>
          <cell r="AV362">
            <v>27678327</v>
          </cell>
          <cell r="AW362">
            <v>0</v>
          </cell>
          <cell r="AX362">
            <v>0</v>
          </cell>
          <cell r="AY362">
            <v>26.25</v>
          </cell>
          <cell r="AZ362">
            <v>0</v>
          </cell>
          <cell r="BA362">
            <v>110</v>
          </cell>
          <cell r="BB362">
            <v>0</v>
          </cell>
          <cell r="BC362">
            <v>110</v>
          </cell>
          <cell r="BD362">
            <v>0</v>
          </cell>
          <cell r="BE362">
            <v>0</v>
          </cell>
          <cell r="BF362">
            <v>11</v>
          </cell>
          <cell r="BG362">
            <v>1</v>
          </cell>
          <cell r="BH362">
            <v>1</v>
          </cell>
          <cell r="BI362">
            <v>38</v>
          </cell>
          <cell r="BJ362">
            <v>5</v>
          </cell>
          <cell r="BK362">
            <v>10</v>
          </cell>
          <cell r="BL362">
            <v>7</v>
          </cell>
          <cell r="BM362">
            <v>11</v>
          </cell>
          <cell r="BN362">
            <v>5</v>
          </cell>
          <cell r="BO362">
            <v>0</v>
          </cell>
          <cell r="BP362">
            <v>3</v>
          </cell>
          <cell r="BQ362">
            <v>1</v>
          </cell>
          <cell r="BR362">
            <v>2</v>
          </cell>
          <cell r="BS362">
            <v>-1</v>
          </cell>
          <cell r="BT362">
            <v>1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7</v>
          </cell>
          <cell r="DN362">
            <v>0</v>
          </cell>
          <cell r="DO362">
            <v>0</v>
          </cell>
          <cell r="DP362">
            <v>0</v>
          </cell>
          <cell r="DQ362">
            <v>7</v>
          </cell>
          <cell r="DR362">
            <v>0</v>
          </cell>
          <cell r="DS362">
            <v>0</v>
          </cell>
          <cell r="DT362">
            <v>21</v>
          </cell>
          <cell r="DU362">
            <v>9</v>
          </cell>
          <cell r="DV362">
            <v>3</v>
          </cell>
          <cell r="DW362">
            <v>0</v>
          </cell>
          <cell r="DX362">
            <v>1</v>
          </cell>
          <cell r="DY362">
            <v>8</v>
          </cell>
          <cell r="DZ362">
            <v>0</v>
          </cell>
          <cell r="EA362">
            <v>17</v>
          </cell>
          <cell r="EB362">
            <v>2</v>
          </cell>
          <cell r="EC362">
            <v>4</v>
          </cell>
          <cell r="ED362">
            <v>3</v>
          </cell>
          <cell r="EE362">
            <v>3</v>
          </cell>
          <cell r="EF362">
            <v>5</v>
          </cell>
          <cell r="EG362">
            <v>0</v>
          </cell>
          <cell r="EH362">
            <v>24</v>
          </cell>
          <cell r="EI362">
            <v>4</v>
          </cell>
          <cell r="EJ362">
            <v>2</v>
          </cell>
          <cell r="EK362">
            <v>6</v>
          </cell>
          <cell r="EL362">
            <v>12</v>
          </cell>
          <cell r="EM362">
            <v>0</v>
          </cell>
          <cell r="EN362">
            <v>0</v>
          </cell>
          <cell r="EO362" t="str">
            <v xml:space="preserve">WS SYNTEX PARKAA                                            </v>
          </cell>
        </row>
        <row r="363">
          <cell r="A363" t="str">
            <v>CN4XL2151684</v>
          </cell>
          <cell r="B363" t="str">
            <v>CN4</v>
          </cell>
          <cell r="C363" t="str">
            <v>XL2151</v>
          </cell>
          <cell r="D363">
            <v>684</v>
          </cell>
          <cell r="E363" t="str">
            <v xml:space="preserve">   </v>
          </cell>
          <cell r="F363">
            <v>80925</v>
          </cell>
          <cell r="G363">
            <v>80926</v>
          </cell>
          <cell r="H363">
            <v>0</v>
          </cell>
          <cell r="I363">
            <v>402</v>
          </cell>
          <cell r="J363">
            <v>384</v>
          </cell>
          <cell r="K363">
            <v>381</v>
          </cell>
          <cell r="L363">
            <v>134</v>
          </cell>
          <cell r="M363">
            <v>134</v>
          </cell>
          <cell r="N363">
            <v>18531396</v>
          </cell>
          <cell r="O363">
            <v>18080640</v>
          </cell>
          <cell r="P363">
            <v>17939385</v>
          </cell>
          <cell r="Q363">
            <v>6309390</v>
          </cell>
          <cell r="R363">
            <v>32603318</v>
          </cell>
          <cell r="S363" t="str">
            <v xml:space="preserve"> </v>
          </cell>
          <cell r="T363" t="str">
            <v xml:space="preserve"> </v>
          </cell>
          <cell r="U363">
            <v>384</v>
          </cell>
          <cell r="V363">
            <v>18080640</v>
          </cell>
          <cell r="W363">
            <v>134</v>
          </cell>
          <cell r="X363">
            <v>6309390</v>
          </cell>
          <cell r="Y363">
            <v>34.9</v>
          </cell>
          <cell r="Z363">
            <v>34.9</v>
          </cell>
          <cell r="AA363">
            <v>6215220</v>
          </cell>
          <cell r="AB363">
            <v>94170</v>
          </cell>
          <cell r="AC363">
            <v>3</v>
          </cell>
          <cell r="AD363">
            <v>141255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247</v>
          </cell>
          <cell r="AN363">
            <v>23636670</v>
          </cell>
          <cell r="AO363">
            <v>46098</v>
          </cell>
          <cell r="AP363">
            <v>47085</v>
          </cell>
          <cell r="AQ363">
            <v>298000</v>
          </cell>
          <cell r="AR363">
            <v>0</v>
          </cell>
          <cell r="AS363">
            <v>6.33</v>
          </cell>
          <cell r="AT363">
            <v>114432000</v>
          </cell>
          <cell r="AU363">
            <v>5.24</v>
          </cell>
          <cell r="AV363">
            <v>32589600</v>
          </cell>
          <cell r="AW363">
            <v>0.15</v>
          </cell>
          <cell r="AX363">
            <v>13718</v>
          </cell>
          <cell r="AY363">
            <v>34.9</v>
          </cell>
          <cell r="AZ363">
            <v>0</v>
          </cell>
          <cell r="BA363">
            <v>132</v>
          </cell>
          <cell r="BB363">
            <v>2</v>
          </cell>
          <cell r="BC363">
            <v>134</v>
          </cell>
          <cell r="BD363">
            <v>0</v>
          </cell>
          <cell r="BE363">
            <v>0</v>
          </cell>
          <cell r="BF363">
            <v>19</v>
          </cell>
          <cell r="BG363">
            <v>0</v>
          </cell>
          <cell r="BH363">
            <v>1</v>
          </cell>
          <cell r="BI363">
            <v>57</v>
          </cell>
          <cell r="BJ363">
            <v>5</v>
          </cell>
          <cell r="BK363">
            <v>16</v>
          </cell>
          <cell r="BL363">
            <v>17</v>
          </cell>
          <cell r="BM363">
            <v>9</v>
          </cell>
          <cell r="BN363">
            <v>10</v>
          </cell>
          <cell r="BO363">
            <v>0</v>
          </cell>
          <cell r="BP363">
            <v>5</v>
          </cell>
          <cell r="BQ363">
            <v>0</v>
          </cell>
          <cell r="BR363">
            <v>4</v>
          </cell>
          <cell r="BS363">
            <v>-1</v>
          </cell>
          <cell r="BT363">
            <v>2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8</v>
          </cell>
          <cell r="DN363">
            <v>0</v>
          </cell>
          <cell r="DO363">
            <v>0</v>
          </cell>
          <cell r="DP363">
            <v>0</v>
          </cell>
          <cell r="DQ363">
            <v>7</v>
          </cell>
          <cell r="DR363">
            <v>1</v>
          </cell>
          <cell r="DS363">
            <v>0</v>
          </cell>
          <cell r="DT363">
            <v>12</v>
          </cell>
          <cell r="DU363">
            <v>3</v>
          </cell>
          <cell r="DV363">
            <v>1</v>
          </cell>
          <cell r="DW363">
            <v>1</v>
          </cell>
          <cell r="DX363">
            <v>4</v>
          </cell>
          <cell r="DY363">
            <v>3</v>
          </cell>
          <cell r="DZ363">
            <v>0</v>
          </cell>
          <cell r="EA363">
            <v>8</v>
          </cell>
          <cell r="EB363">
            <v>1</v>
          </cell>
          <cell r="EC363">
            <v>0</v>
          </cell>
          <cell r="ED363">
            <v>0</v>
          </cell>
          <cell r="EE363">
            <v>6</v>
          </cell>
          <cell r="EF363">
            <v>1</v>
          </cell>
          <cell r="EG363">
            <v>0</v>
          </cell>
          <cell r="EH363">
            <v>44</v>
          </cell>
          <cell r="EI363">
            <v>4</v>
          </cell>
          <cell r="EJ363">
            <v>8</v>
          </cell>
          <cell r="EK363">
            <v>7</v>
          </cell>
          <cell r="EL363">
            <v>19</v>
          </cell>
          <cell r="EM363">
            <v>6</v>
          </cell>
          <cell r="EN363">
            <v>0</v>
          </cell>
          <cell r="EO363" t="str">
            <v xml:space="preserve">WS SYNTEX PARKAA                                            </v>
          </cell>
        </row>
        <row r="364">
          <cell r="A364" t="str">
            <v>CN4XM2122010</v>
          </cell>
          <cell r="B364" t="str">
            <v>CN4</v>
          </cell>
          <cell r="C364" t="str">
            <v>XM2122</v>
          </cell>
          <cell r="D364">
            <v>10</v>
          </cell>
          <cell r="E364" t="str">
            <v xml:space="preserve">   </v>
          </cell>
          <cell r="F364">
            <v>80925</v>
          </cell>
          <cell r="G364">
            <v>80926</v>
          </cell>
          <cell r="H364">
            <v>0</v>
          </cell>
          <cell r="I364">
            <v>234</v>
          </cell>
          <cell r="J364">
            <v>179</v>
          </cell>
          <cell r="K364">
            <v>179</v>
          </cell>
          <cell r="L364">
            <v>75</v>
          </cell>
          <cell r="M364">
            <v>75</v>
          </cell>
          <cell r="N364">
            <v>11953188</v>
          </cell>
          <cell r="O364">
            <v>8689018</v>
          </cell>
          <cell r="P364">
            <v>8689018</v>
          </cell>
          <cell r="Q364">
            <v>3640650</v>
          </cell>
          <cell r="R364">
            <v>18753058</v>
          </cell>
          <cell r="S364" t="str">
            <v xml:space="preserve"> </v>
          </cell>
          <cell r="T364" t="str">
            <v xml:space="preserve"> </v>
          </cell>
          <cell r="U364">
            <v>179</v>
          </cell>
          <cell r="V364">
            <v>8689018</v>
          </cell>
          <cell r="W364">
            <v>75</v>
          </cell>
          <cell r="X364">
            <v>3640650</v>
          </cell>
          <cell r="Y364">
            <v>41.9</v>
          </cell>
          <cell r="Z364">
            <v>41.9</v>
          </cell>
          <cell r="AA364">
            <v>3543566</v>
          </cell>
          <cell r="AB364">
            <v>97084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104</v>
          </cell>
          <cell r="AN364">
            <v>10339446</v>
          </cell>
          <cell r="AO364">
            <v>51082</v>
          </cell>
          <cell r="AP364">
            <v>48542</v>
          </cell>
          <cell r="AQ364">
            <v>298000</v>
          </cell>
          <cell r="AR364">
            <v>0</v>
          </cell>
          <cell r="AS364">
            <v>6.14</v>
          </cell>
          <cell r="AT364">
            <v>53342000</v>
          </cell>
          <cell r="AU364">
            <v>5.29</v>
          </cell>
          <cell r="AV364">
            <v>18739340</v>
          </cell>
          <cell r="AW364">
            <v>0.14000000000000001</v>
          </cell>
          <cell r="AX364">
            <v>13718</v>
          </cell>
          <cell r="AY364">
            <v>41.9</v>
          </cell>
          <cell r="AZ364">
            <v>0</v>
          </cell>
          <cell r="BA364">
            <v>73</v>
          </cell>
          <cell r="BB364">
            <v>2</v>
          </cell>
          <cell r="BC364">
            <v>75</v>
          </cell>
          <cell r="BD364">
            <v>0</v>
          </cell>
          <cell r="BE364">
            <v>0</v>
          </cell>
          <cell r="BF364">
            <v>9</v>
          </cell>
          <cell r="BG364">
            <v>1</v>
          </cell>
          <cell r="BH364">
            <v>1</v>
          </cell>
          <cell r="BI364">
            <v>18</v>
          </cell>
          <cell r="BJ364">
            <v>4</v>
          </cell>
          <cell r="BK364">
            <v>8</v>
          </cell>
          <cell r="BL364">
            <v>4</v>
          </cell>
          <cell r="BM364">
            <v>1</v>
          </cell>
          <cell r="BN364">
            <v>1</v>
          </cell>
          <cell r="BO364">
            <v>0</v>
          </cell>
          <cell r="BP364">
            <v>5</v>
          </cell>
          <cell r="BQ364">
            <v>3</v>
          </cell>
          <cell r="BR364">
            <v>-1</v>
          </cell>
          <cell r="BS364">
            <v>2</v>
          </cell>
          <cell r="BT364">
            <v>0</v>
          </cell>
          <cell r="BU364">
            <v>1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10</v>
          </cell>
          <cell r="DN364">
            <v>0</v>
          </cell>
          <cell r="DO364">
            <v>0</v>
          </cell>
          <cell r="DP364">
            <v>0</v>
          </cell>
          <cell r="DQ364">
            <v>10</v>
          </cell>
          <cell r="DR364">
            <v>0</v>
          </cell>
          <cell r="DS364">
            <v>0</v>
          </cell>
          <cell r="DT364">
            <v>8</v>
          </cell>
          <cell r="DU364">
            <v>5</v>
          </cell>
          <cell r="DV364">
            <v>1</v>
          </cell>
          <cell r="DW364">
            <v>-1</v>
          </cell>
          <cell r="DX364">
            <v>1</v>
          </cell>
          <cell r="DY364">
            <v>2</v>
          </cell>
          <cell r="DZ364">
            <v>0</v>
          </cell>
          <cell r="EA364">
            <v>13</v>
          </cell>
          <cell r="EB364">
            <v>2</v>
          </cell>
          <cell r="EC364">
            <v>1</v>
          </cell>
          <cell r="ED364">
            <v>3</v>
          </cell>
          <cell r="EE364">
            <v>2</v>
          </cell>
          <cell r="EF364">
            <v>5</v>
          </cell>
          <cell r="EG364">
            <v>0</v>
          </cell>
          <cell r="EH364">
            <v>21</v>
          </cell>
          <cell r="EI364">
            <v>4</v>
          </cell>
          <cell r="EJ364">
            <v>2</v>
          </cell>
          <cell r="EK364">
            <v>3</v>
          </cell>
          <cell r="EL364">
            <v>10</v>
          </cell>
          <cell r="EM364">
            <v>2</v>
          </cell>
          <cell r="EN364">
            <v>0</v>
          </cell>
          <cell r="EO364" t="str">
            <v xml:space="preserve">MS SYNTEX PARKAA                                            </v>
          </cell>
        </row>
        <row r="365">
          <cell r="A365" t="str">
            <v>CN4XM2122254</v>
          </cell>
          <cell r="B365" t="str">
            <v>CN4</v>
          </cell>
          <cell r="C365" t="str">
            <v>XM2122</v>
          </cell>
          <cell r="D365">
            <v>254</v>
          </cell>
          <cell r="E365" t="str">
            <v xml:space="preserve">   </v>
          </cell>
          <cell r="F365">
            <v>80925</v>
          </cell>
          <cell r="G365">
            <v>80926</v>
          </cell>
          <cell r="H365">
            <v>0</v>
          </cell>
          <cell r="I365">
            <v>298</v>
          </cell>
          <cell r="J365">
            <v>359</v>
          </cell>
          <cell r="K365">
            <v>358</v>
          </cell>
          <cell r="L365">
            <v>49</v>
          </cell>
          <cell r="M365">
            <v>49</v>
          </cell>
          <cell r="N365">
            <v>15222436</v>
          </cell>
          <cell r="O365">
            <v>17426578</v>
          </cell>
          <cell r="P365">
            <v>17378036</v>
          </cell>
          <cell r="Q365">
            <v>2378558</v>
          </cell>
          <cell r="R365">
            <v>12215046</v>
          </cell>
          <cell r="S365" t="str">
            <v xml:space="preserve"> </v>
          </cell>
          <cell r="T365" t="str">
            <v xml:space="preserve"> </v>
          </cell>
          <cell r="U365">
            <v>359</v>
          </cell>
          <cell r="V365">
            <v>17426578</v>
          </cell>
          <cell r="W365">
            <v>49</v>
          </cell>
          <cell r="X365">
            <v>2378558</v>
          </cell>
          <cell r="Y365">
            <v>13.65</v>
          </cell>
          <cell r="Z365">
            <v>13.65</v>
          </cell>
          <cell r="AA365">
            <v>2330016</v>
          </cell>
          <cell r="AB365">
            <v>48542</v>
          </cell>
          <cell r="AC365">
            <v>1</v>
          </cell>
          <cell r="AD365">
            <v>242710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309</v>
          </cell>
          <cell r="AN365">
            <v>30047498</v>
          </cell>
          <cell r="AO365">
            <v>51082</v>
          </cell>
          <cell r="AP365">
            <v>48542</v>
          </cell>
          <cell r="AQ365">
            <v>298000</v>
          </cell>
          <cell r="AR365">
            <v>0</v>
          </cell>
          <cell r="AS365">
            <v>6.14</v>
          </cell>
          <cell r="AT365">
            <v>106982000</v>
          </cell>
          <cell r="AU365">
            <v>5.24</v>
          </cell>
          <cell r="AV365">
            <v>12208187</v>
          </cell>
          <cell r="AW365">
            <v>0.14000000000000001</v>
          </cell>
          <cell r="AX365">
            <v>6859</v>
          </cell>
          <cell r="AY365">
            <v>13.65</v>
          </cell>
          <cell r="AZ365">
            <v>0</v>
          </cell>
          <cell r="BA365">
            <v>48</v>
          </cell>
          <cell r="BB365">
            <v>1</v>
          </cell>
          <cell r="BC365">
            <v>49</v>
          </cell>
          <cell r="BD365">
            <v>0</v>
          </cell>
          <cell r="BE365">
            <v>0</v>
          </cell>
          <cell r="BF365">
            <v>8</v>
          </cell>
          <cell r="BG365">
            <v>0</v>
          </cell>
          <cell r="BH365">
            <v>1</v>
          </cell>
          <cell r="BI365">
            <v>13</v>
          </cell>
          <cell r="BJ365">
            <v>5</v>
          </cell>
          <cell r="BK365">
            <v>2</v>
          </cell>
          <cell r="BL365">
            <v>4</v>
          </cell>
          <cell r="BM365">
            <v>2</v>
          </cell>
          <cell r="BN365">
            <v>0</v>
          </cell>
          <cell r="BO365">
            <v>0</v>
          </cell>
          <cell r="BP365">
            <v>4</v>
          </cell>
          <cell r="BQ365">
            <v>1</v>
          </cell>
          <cell r="BR365">
            <v>3</v>
          </cell>
          <cell r="BS365">
            <v>0</v>
          </cell>
          <cell r="BT365">
            <v>1</v>
          </cell>
          <cell r="BU365">
            <v>-1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7</v>
          </cell>
          <cell r="DN365">
            <v>0</v>
          </cell>
          <cell r="DO365">
            <v>0</v>
          </cell>
          <cell r="DP365">
            <v>0</v>
          </cell>
          <cell r="DQ365">
            <v>6</v>
          </cell>
          <cell r="DR365">
            <v>1</v>
          </cell>
          <cell r="DS365">
            <v>0</v>
          </cell>
          <cell r="DT365">
            <v>9</v>
          </cell>
          <cell r="DU365">
            <v>2</v>
          </cell>
          <cell r="DV365">
            <v>2</v>
          </cell>
          <cell r="DW365">
            <v>2</v>
          </cell>
          <cell r="DX365">
            <v>1</v>
          </cell>
          <cell r="DY365">
            <v>2</v>
          </cell>
          <cell r="DZ365">
            <v>0</v>
          </cell>
          <cell r="EA365">
            <v>6</v>
          </cell>
          <cell r="EB365">
            <v>0</v>
          </cell>
          <cell r="EC365">
            <v>0</v>
          </cell>
          <cell r="ED365">
            <v>1</v>
          </cell>
          <cell r="EE365">
            <v>3</v>
          </cell>
          <cell r="EF365">
            <v>2</v>
          </cell>
          <cell r="EG365">
            <v>0</v>
          </cell>
          <cell r="EH365">
            <v>10</v>
          </cell>
          <cell r="EI365">
            <v>1</v>
          </cell>
          <cell r="EJ365">
            <v>3</v>
          </cell>
          <cell r="EK365">
            <v>3</v>
          </cell>
          <cell r="EL365">
            <v>2</v>
          </cell>
          <cell r="EM365">
            <v>1</v>
          </cell>
          <cell r="EN365">
            <v>0</v>
          </cell>
          <cell r="EO365" t="str">
            <v xml:space="preserve">MS SYNTEX PARKAA                                            </v>
          </cell>
        </row>
        <row r="366">
          <cell r="A366" t="str">
            <v>CN4XM2227010</v>
          </cell>
          <cell r="B366" t="str">
            <v>CN4</v>
          </cell>
          <cell r="C366" t="str">
            <v>XM2227</v>
          </cell>
          <cell r="D366">
            <v>10</v>
          </cell>
          <cell r="E366" t="str">
            <v xml:space="preserve">   </v>
          </cell>
          <cell r="F366">
            <v>81015</v>
          </cell>
          <cell r="G366">
            <v>81017</v>
          </cell>
          <cell r="H366">
            <v>81212</v>
          </cell>
          <cell r="I366">
            <v>402</v>
          </cell>
          <cell r="J366">
            <v>385</v>
          </cell>
          <cell r="K366">
            <v>361</v>
          </cell>
          <cell r="L366">
            <v>186</v>
          </cell>
          <cell r="M366">
            <v>186</v>
          </cell>
          <cell r="N366">
            <v>32599386</v>
          </cell>
          <cell r="O366">
            <v>35234045</v>
          </cell>
          <cell r="P366">
            <v>33037637</v>
          </cell>
          <cell r="Q366">
            <v>17022162</v>
          </cell>
          <cell r="R366">
            <v>51260650</v>
          </cell>
          <cell r="S366" t="str">
            <v>*</v>
          </cell>
          <cell r="T366" t="str">
            <v xml:space="preserve"> </v>
          </cell>
          <cell r="U366">
            <v>385</v>
          </cell>
          <cell r="V366">
            <v>35234045</v>
          </cell>
          <cell r="W366">
            <v>186</v>
          </cell>
          <cell r="X366">
            <v>17022162</v>
          </cell>
          <cell r="Y366">
            <v>48.31</v>
          </cell>
          <cell r="Z366">
            <v>48.31</v>
          </cell>
          <cell r="AA366">
            <v>183034</v>
          </cell>
          <cell r="AB366">
            <v>16839128</v>
          </cell>
          <cell r="AC366">
            <v>24</v>
          </cell>
          <cell r="AD366">
            <v>4850401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175</v>
          </cell>
          <cell r="AN366">
            <v>35051011</v>
          </cell>
          <cell r="AO366">
            <v>81093</v>
          </cell>
          <cell r="AP366">
            <v>91517</v>
          </cell>
          <cell r="AQ366">
            <v>458000</v>
          </cell>
          <cell r="AR366">
            <v>275000</v>
          </cell>
          <cell r="AS366">
            <v>5</v>
          </cell>
          <cell r="AT366">
            <v>176330000</v>
          </cell>
          <cell r="AU366">
            <v>3.68</v>
          </cell>
          <cell r="AV366">
            <v>674400</v>
          </cell>
          <cell r="AW366">
            <v>3</v>
          </cell>
          <cell r="AX366">
            <v>50586250</v>
          </cell>
          <cell r="AY366">
            <v>48.31</v>
          </cell>
          <cell r="AZ366">
            <v>0</v>
          </cell>
          <cell r="BA366">
            <v>2</v>
          </cell>
          <cell r="BB366">
            <v>184</v>
          </cell>
          <cell r="BC366">
            <v>186</v>
          </cell>
          <cell r="BD366">
            <v>0</v>
          </cell>
          <cell r="BE366">
            <v>0</v>
          </cell>
          <cell r="BF366">
            <v>48</v>
          </cell>
          <cell r="BG366">
            <v>1</v>
          </cell>
          <cell r="BH366">
            <v>1</v>
          </cell>
          <cell r="BI366">
            <v>57</v>
          </cell>
          <cell r="BJ366">
            <v>15</v>
          </cell>
          <cell r="BK366">
            <v>16</v>
          </cell>
          <cell r="BL366">
            <v>17</v>
          </cell>
          <cell r="BM366">
            <v>5</v>
          </cell>
          <cell r="BN366">
            <v>4</v>
          </cell>
          <cell r="BO366">
            <v>0</v>
          </cell>
          <cell r="BP366">
            <v>38</v>
          </cell>
          <cell r="BQ366">
            <v>0</v>
          </cell>
          <cell r="BR366">
            <v>13</v>
          </cell>
          <cell r="BS366">
            <v>9</v>
          </cell>
          <cell r="BT366">
            <v>11</v>
          </cell>
          <cell r="BU366">
            <v>5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1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1</v>
          </cell>
          <cell r="DZ366">
            <v>0</v>
          </cell>
          <cell r="EA366">
            <v>3</v>
          </cell>
          <cell r="EB366">
            <v>1</v>
          </cell>
          <cell r="EC366">
            <v>0</v>
          </cell>
          <cell r="ED366">
            <v>2</v>
          </cell>
          <cell r="EE366">
            <v>0</v>
          </cell>
          <cell r="EF366">
            <v>0</v>
          </cell>
          <cell r="EG366">
            <v>0</v>
          </cell>
          <cell r="EH366">
            <v>87</v>
          </cell>
          <cell r="EI366">
            <v>2</v>
          </cell>
          <cell r="EJ366">
            <v>12</v>
          </cell>
          <cell r="EK366">
            <v>28</v>
          </cell>
          <cell r="EL366">
            <v>38</v>
          </cell>
          <cell r="EM366">
            <v>7</v>
          </cell>
          <cell r="EN366">
            <v>0</v>
          </cell>
          <cell r="EO366" t="str">
            <v xml:space="preserve">MULTI PITCH PARKA                                           </v>
          </cell>
        </row>
        <row r="367">
          <cell r="A367" t="str">
            <v>CN4XM2227969</v>
          </cell>
          <cell r="B367" t="str">
            <v>CN4</v>
          </cell>
          <cell r="C367" t="str">
            <v>XM2227</v>
          </cell>
          <cell r="D367">
            <v>969</v>
          </cell>
          <cell r="E367" t="str">
            <v xml:space="preserve">   </v>
          </cell>
          <cell r="F367">
            <v>81015</v>
          </cell>
          <cell r="G367">
            <v>81017</v>
          </cell>
          <cell r="H367">
            <v>81212</v>
          </cell>
          <cell r="I367">
            <v>403</v>
          </cell>
          <cell r="J367">
            <v>389</v>
          </cell>
          <cell r="K367">
            <v>359</v>
          </cell>
          <cell r="L367">
            <v>91</v>
          </cell>
          <cell r="M367">
            <v>91</v>
          </cell>
          <cell r="N367">
            <v>32680479</v>
          </cell>
          <cell r="O367">
            <v>35600113</v>
          </cell>
          <cell r="P367">
            <v>32854603</v>
          </cell>
          <cell r="Q367">
            <v>8328047</v>
          </cell>
          <cell r="R367">
            <v>26152300</v>
          </cell>
          <cell r="S367" t="str">
            <v>*</v>
          </cell>
          <cell r="T367" t="str">
            <v xml:space="preserve"> </v>
          </cell>
          <cell r="U367">
            <v>389</v>
          </cell>
          <cell r="V367">
            <v>35600113</v>
          </cell>
          <cell r="W367">
            <v>91</v>
          </cell>
          <cell r="X367">
            <v>8328047</v>
          </cell>
          <cell r="Y367">
            <v>23.39</v>
          </cell>
          <cell r="Z367">
            <v>23.39</v>
          </cell>
          <cell r="AA367">
            <v>1006687</v>
          </cell>
          <cell r="AB367">
            <v>7321360</v>
          </cell>
          <cell r="AC367">
            <v>30</v>
          </cell>
          <cell r="AD367">
            <v>5765571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268</v>
          </cell>
          <cell r="AN367">
            <v>50608901</v>
          </cell>
          <cell r="AO367">
            <v>81093</v>
          </cell>
          <cell r="AP367">
            <v>91517</v>
          </cell>
          <cell r="AQ367">
            <v>458000</v>
          </cell>
          <cell r="AR367">
            <v>275000</v>
          </cell>
          <cell r="AS367">
            <v>5</v>
          </cell>
          <cell r="AT367">
            <v>178162000</v>
          </cell>
          <cell r="AU367">
            <v>4.12</v>
          </cell>
          <cell r="AV367">
            <v>4152300</v>
          </cell>
          <cell r="AW367">
            <v>3</v>
          </cell>
          <cell r="AX367">
            <v>22000000</v>
          </cell>
          <cell r="AY367">
            <v>23.39</v>
          </cell>
          <cell r="AZ367">
            <v>0</v>
          </cell>
          <cell r="BA367">
            <v>11</v>
          </cell>
          <cell r="BB367">
            <v>80</v>
          </cell>
          <cell r="BC367">
            <v>91</v>
          </cell>
          <cell r="BD367">
            <v>0</v>
          </cell>
          <cell r="BE367">
            <v>0</v>
          </cell>
          <cell r="BF367">
            <v>38</v>
          </cell>
          <cell r="BG367">
            <v>0</v>
          </cell>
          <cell r="BH367">
            <v>1</v>
          </cell>
          <cell r="BI367">
            <v>26</v>
          </cell>
          <cell r="BJ367">
            <v>5</v>
          </cell>
          <cell r="BK367">
            <v>7</v>
          </cell>
          <cell r="BL367">
            <v>7</v>
          </cell>
          <cell r="BM367">
            <v>6</v>
          </cell>
          <cell r="BN367">
            <v>1</v>
          </cell>
          <cell r="BO367">
            <v>0</v>
          </cell>
          <cell r="BP367">
            <v>20</v>
          </cell>
          <cell r="BQ367">
            <v>0</v>
          </cell>
          <cell r="BR367">
            <v>3</v>
          </cell>
          <cell r="BS367">
            <v>4</v>
          </cell>
          <cell r="BT367">
            <v>4</v>
          </cell>
          <cell r="BU367">
            <v>9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5</v>
          </cell>
          <cell r="DU367">
            <v>0</v>
          </cell>
          <cell r="DV367">
            <v>0</v>
          </cell>
          <cell r="DW367">
            <v>0</v>
          </cell>
          <cell r="DX367">
            <v>2</v>
          </cell>
          <cell r="DY367">
            <v>3</v>
          </cell>
          <cell r="DZ367">
            <v>0</v>
          </cell>
          <cell r="EA367">
            <v>8</v>
          </cell>
          <cell r="EB367">
            <v>1</v>
          </cell>
          <cell r="EC367">
            <v>2</v>
          </cell>
          <cell r="ED367">
            <v>3</v>
          </cell>
          <cell r="EE367">
            <v>2</v>
          </cell>
          <cell r="EF367">
            <v>0</v>
          </cell>
          <cell r="EG367">
            <v>0</v>
          </cell>
          <cell r="EH367">
            <v>32</v>
          </cell>
          <cell r="EI367">
            <v>3</v>
          </cell>
          <cell r="EJ367">
            <v>0</v>
          </cell>
          <cell r="EK367">
            <v>11</v>
          </cell>
          <cell r="EL367">
            <v>9</v>
          </cell>
          <cell r="EM367">
            <v>9</v>
          </cell>
          <cell r="EN367">
            <v>0</v>
          </cell>
          <cell r="EO367" t="str">
            <v xml:space="preserve">MULTI PITCH PARKA                                           </v>
          </cell>
        </row>
        <row r="368">
          <cell r="A368" t="str">
            <v>CN4YL3871589</v>
          </cell>
          <cell r="B368" t="str">
            <v>CN4</v>
          </cell>
          <cell r="C368" t="str">
            <v>YL3871</v>
          </cell>
          <cell r="D368">
            <v>589</v>
          </cell>
          <cell r="E368" t="str">
            <v xml:space="preserve">   </v>
          </cell>
          <cell r="F368">
            <v>81015</v>
          </cell>
          <cell r="G368">
            <v>81015</v>
          </cell>
          <cell r="H368">
            <v>81224</v>
          </cell>
          <cell r="I368">
            <v>800</v>
          </cell>
          <cell r="J368">
            <v>800</v>
          </cell>
          <cell r="K368">
            <v>797</v>
          </cell>
          <cell r="L368">
            <v>600</v>
          </cell>
          <cell r="M368">
            <v>600</v>
          </cell>
          <cell r="N368">
            <v>78148800</v>
          </cell>
          <cell r="O368">
            <v>92562600</v>
          </cell>
          <cell r="P368">
            <v>92118304</v>
          </cell>
          <cell r="Q368">
            <v>68988545</v>
          </cell>
          <cell r="R368">
            <v>184363866</v>
          </cell>
          <cell r="S368" t="str">
            <v>*</v>
          </cell>
          <cell r="T368" t="str">
            <v xml:space="preserve"> </v>
          </cell>
          <cell r="U368">
            <v>800</v>
          </cell>
          <cell r="V368">
            <v>92562600</v>
          </cell>
          <cell r="W368">
            <v>600</v>
          </cell>
          <cell r="X368">
            <v>68988545</v>
          </cell>
          <cell r="Y368">
            <v>75.13</v>
          </cell>
          <cell r="Z368">
            <v>74.78</v>
          </cell>
          <cell r="AA368">
            <v>11517545</v>
          </cell>
          <cell r="AB368">
            <v>57471000</v>
          </cell>
          <cell r="AC368">
            <v>3</v>
          </cell>
          <cell r="AD368">
            <v>574710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>
            <v>229884</v>
          </cell>
          <cell r="AM368">
            <v>196</v>
          </cell>
          <cell r="AN368">
            <v>62413506</v>
          </cell>
          <cell r="AO368">
            <v>97686</v>
          </cell>
          <cell r="AP368">
            <v>114942</v>
          </cell>
          <cell r="AQ368">
            <v>418000</v>
          </cell>
          <cell r="AR368">
            <v>293000</v>
          </cell>
          <cell r="AS368">
            <v>3.61</v>
          </cell>
          <cell r="AT368">
            <v>334400000</v>
          </cell>
          <cell r="AU368">
            <v>3.31</v>
          </cell>
          <cell r="AV368">
            <v>38164657</v>
          </cell>
          <cell r="AW368">
            <v>2.54</v>
          </cell>
          <cell r="AX368">
            <v>146199209</v>
          </cell>
          <cell r="AY368">
            <v>75.13</v>
          </cell>
          <cell r="AZ368">
            <v>0</v>
          </cell>
          <cell r="BA368">
            <v>100</v>
          </cell>
          <cell r="BB368">
            <v>500</v>
          </cell>
          <cell r="BC368">
            <v>600</v>
          </cell>
          <cell r="BD368">
            <v>0</v>
          </cell>
          <cell r="BE368">
            <v>0</v>
          </cell>
          <cell r="BF368">
            <v>212</v>
          </cell>
          <cell r="BG368">
            <v>1</v>
          </cell>
          <cell r="BH368">
            <v>1</v>
          </cell>
          <cell r="BI368">
            <v>276</v>
          </cell>
          <cell r="BJ368">
            <v>58</v>
          </cell>
          <cell r="BK368">
            <v>80</v>
          </cell>
          <cell r="BL368">
            <v>65</v>
          </cell>
          <cell r="BM368">
            <v>42</v>
          </cell>
          <cell r="BN368">
            <v>31</v>
          </cell>
          <cell r="BO368">
            <v>0</v>
          </cell>
          <cell r="BP368">
            <v>150</v>
          </cell>
          <cell r="BQ368">
            <v>8</v>
          </cell>
          <cell r="BR368">
            <v>43</v>
          </cell>
          <cell r="BS368">
            <v>51</v>
          </cell>
          <cell r="BT368">
            <v>39</v>
          </cell>
          <cell r="BU368">
            <v>9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23</v>
          </cell>
          <cell r="DU368">
            <v>0</v>
          </cell>
          <cell r="DV368">
            <v>0</v>
          </cell>
          <cell r="DW368">
            <v>2</v>
          </cell>
          <cell r="DX368">
            <v>9</v>
          </cell>
          <cell r="DY368">
            <v>12</v>
          </cell>
          <cell r="DZ368">
            <v>0</v>
          </cell>
          <cell r="EA368">
            <v>58</v>
          </cell>
          <cell r="EB368">
            <v>10</v>
          </cell>
          <cell r="EC368">
            <v>13</v>
          </cell>
          <cell r="ED368">
            <v>20</v>
          </cell>
          <cell r="EE368">
            <v>11</v>
          </cell>
          <cell r="EF368">
            <v>4</v>
          </cell>
          <cell r="EG368">
            <v>0</v>
          </cell>
          <cell r="EH368">
            <v>93</v>
          </cell>
          <cell r="EI368">
            <v>2</v>
          </cell>
          <cell r="EJ368">
            <v>16</v>
          </cell>
          <cell r="EK368">
            <v>7</v>
          </cell>
          <cell r="EL368">
            <v>44</v>
          </cell>
          <cell r="EM368">
            <v>24</v>
          </cell>
          <cell r="EN368">
            <v>0</v>
          </cell>
          <cell r="EO368" t="str">
            <v xml:space="preserve">Mans Sumter Jacket                                          </v>
          </cell>
        </row>
        <row r="369">
          <cell r="A369" t="str">
            <v>CN4YL3871969</v>
          </cell>
          <cell r="B369" t="str">
            <v>CN4</v>
          </cell>
          <cell r="C369" t="str">
            <v>YL3871</v>
          </cell>
          <cell r="D369">
            <v>969</v>
          </cell>
          <cell r="E369" t="str">
            <v xml:space="preserve">   </v>
          </cell>
          <cell r="F369">
            <v>81015</v>
          </cell>
          <cell r="G369">
            <v>81015</v>
          </cell>
          <cell r="H369">
            <v>81224</v>
          </cell>
          <cell r="I369">
            <v>600</v>
          </cell>
          <cell r="J369">
            <v>600</v>
          </cell>
          <cell r="K369">
            <v>586</v>
          </cell>
          <cell r="L369">
            <v>294</v>
          </cell>
          <cell r="M369">
            <v>294</v>
          </cell>
          <cell r="N369">
            <v>58611600</v>
          </cell>
          <cell r="O369">
            <v>69411800</v>
          </cell>
          <cell r="P369">
            <v>67724457</v>
          </cell>
          <cell r="Q369">
            <v>33807158</v>
          </cell>
          <cell r="R369">
            <v>92223393</v>
          </cell>
          <cell r="S369" t="str">
            <v>*</v>
          </cell>
          <cell r="T369" t="str">
            <v xml:space="preserve"> </v>
          </cell>
          <cell r="U369">
            <v>600</v>
          </cell>
          <cell r="V369">
            <v>69411800</v>
          </cell>
          <cell r="W369">
            <v>294</v>
          </cell>
          <cell r="X369">
            <v>33807158</v>
          </cell>
          <cell r="Y369">
            <v>49</v>
          </cell>
          <cell r="Z369">
            <v>48.71</v>
          </cell>
          <cell r="AA369">
            <v>10014164</v>
          </cell>
          <cell r="AB369">
            <v>23792994</v>
          </cell>
          <cell r="AC369">
            <v>14</v>
          </cell>
          <cell r="AD369">
            <v>2758608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292</v>
          </cell>
          <cell r="AN369">
            <v>75976662</v>
          </cell>
          <cell r="AO369">
            <v>97686</v>
          </cell>
          <cell r="AP369">
            <v>114942</v>
          </cell>
          <cell r="AQ369">
            <v>418000</v>
          </cell>
          <cell r="AR369">
            <v>293000</v>
          </cell>
          <cell r="AS369">
            <v>3.61</v>
          </cell>
          <cell r="AT369">
            <v>250800000</v>
          </cell>
          <cell r="AU369">
            <v>3.15</v>
          </cell>
          <cell r="AV369">
            <v>31587043</v>
          </cell>
          <cell r="AW369">
            <v>2.5499999999999998</v>
          </cell>
          <cell r="AX369">
            <v>60636350</v>
          </cell>
          <cell r="AY369">
            <v>49</v>
          </cell>
          <cell r="AZ369">
            <v>0</v>
          </cell>
          <cell r="BA369">
            <v>87</v>
          </cell>
          <cell r="BB369">
            <v>207</v>
          </cell>
          <cell r="BC369">
            <v>294</v>
          </cell>
          <cell r="BD369">
            <v>0</v>
          </cell>
          <cell r="BE369">
            <v>0</v>
          </cell>
          <cell r="BF369">
            <v>99</v>
          </cell>
          <cell r="BG369">
            <v>0</v>
          </cell>
          <cell r="BH369">
            <v>1</v>
          </cell>
          <cell r="BI369">
            <v>111</v>
          </cell>
          <cell r="BJ369">
            <v>16</v>
          </cell>
          <cell r="BK369">
            <v>32</v>
          </cell>
          <cell r="BL369">
            <v>20</v>
          </cell>
          <cell r="BM369">
            <v>26</v>
          </cell>
          <cell r="BN369">
            <v>17</v>
          </cell>
          <cell r="BO369">
            <v>0</v>
          </cell>
          <cell r="BP369">
            <v>73</v>
          </cell>
          <cell r="BQ369">
            <v>11</v>
          </cell>
          <cell r="BR369">
            <v>24</v>
          </cell>
          <cell r="BS369">
            <v>21</v>
          </cell>
          <cell r="BT369">
            <v>12</v>
          </cell>
          <cell r="BU369">
            <v>5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14</v>
          </cell>
          <cell r="DU369">
            <v>0</v>
          </cell>
          <cell r="DV369">
            <v>0</v>
          </cell>
          <cell r="DW369">
            <v>2</v>
          </cell>
          <cell r="DX369">
            <v>7</v>
          </cell>
          <cell r="DY369">
            <v>5</v>
          </cell>
          <cell r="DZ369">
            <v>0</v>
          </cell>
          <cell r="EA369">
            <v>64</v>
          </cell>
          <cell r="EB369">
            <v>3</v>
          </cell>
          <cell r="EC369">
            <v>31</v>
          </cell>
          <cell r="ED369">
            <v>13</v>
          </cell>
          <cell r="EE369">
            <v>8</v>
          </cell>
          <cell r="EF369">
            <v>9</v>
          </cell>
          <cell r="EG369">
            <v>0</v>
          </cell>
          <cell r="EH369">
            <v>32</v>
          </cell>
          <cell r="EI369">
            <v>3</v>
          </cell>
          <cell r="EJ369">
            <v>3</v>
          </cell>
          <cell r="EK369">
            <v>5</v>
          </cell>
          <cell r="EL369">
            <v>10</v>
          </cell>
          <cell r="EM369">
            <v>11</v>
          </cell>
          <cell r="EN369">
            <v>0</v>
          </cell>
          <cell r="EO369" t="str">
            <v xml:space="preserve">Mans Sumter Jacket                                          </v>
          </cell>
        </row>
        <row r="370">
          <cell r="A370" t="str">
            <v>CN4YL3872010</v>
          </cell>
          <cell r="B370" t="str">
            <v>CN4</v>
          </cell>
          <cell r="C370" t="str">
            <v>YL3872</v>
          </cell>
          <cell r="D370">
            <v>10</v>
          </cell>
          <cell r="E370" t="str">
            <v xml:space="preserve">   </v>
          </cell>
          <cell r="F370">
            <v>81107</v>
          </cell>
          <cell r="G370">
            <v>81107</v>
          </cell>
          <cell r="H370">
            <v>0</v>
          </cell>
          <cell r="I370">
            <v>500</v>
          </cell>
          <cell r="J370">
            <v>465</v>
          </cell>
          <cell r="K370">
            <v>464</v>
          </cell>
          <cell r="L370">
            <v>113</v>
          </cell>
          <cell r="M370">
            <v>113</v>
          </cell>
          <cell r="N370">
            <v>54513000</v>
          </cell>
          <cell r="O370">
            <v>58151045</v>
          </cell>
          <cell r="P370">
            <v>58031632</v>
          </cell>
          <cell r="Q370">
            <v>14192069</v>
          </cell>
          <cell r="R370">
            <v>48895400</v>
          </cell>
          <cell r="S370" t="str">
            <v xml:space="preserve"> </v>
          </cell>
          <cell r="T370" t="str">
            <v xml:space="preserve"> </v>
          </cell>
          <cell r="U370">
            <v>465</v>
          </cell>
          <cell r="V370">
            <v>58151045</v>
          </cell>
          <cell r="W370">
            <v>113</v>
          </cell>
          <cell r="X370">
            <v>14192069</v>
          </cell>
          <cell r="Y370">
            <v>24.52</v>
          </cell>
          <cell r="Z370">
            <v>24.62</v>
          </cell>
          <cell r="AA370">
            <v>14192069</v>
          </cell>
          <cell r="AB370">
            <v>0</v>
          </cell>
          <cell r="AC370">
            <v>1</v>
          </cell>
          <cell r="AD370">
            <v>125813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>
            <v>125813</v>
          </cell>
          <cell r="AM370">
            <v>350</v>
          </cell>
          <cell r="AN370">
            <v>90836986</v>
          </cell>
          <cell r="AO370">
            <v>109026</v>
          </cell>
          <cell r="AP370">
            <v>125813</v>
          </cell>
          <cell r="AQ370">
            <v>478000</v>
          </cell>
          <cell r="AR370">
            <v>0</v>
          </cell>
          <cell r="AS370">
            <v>3.82</v>
          </cell>
          <cell r="AT370">
            <v>222270000</v>
          </cell>
          <cell r="AU370">
            <v>3.45</v>
          </cell>
          <cell r="AV370">
            <v>48895400</v>
          </cell>
          <cell r="AW370">
            <v>0</v>
          </cell>
          <cell r="AX370">
            <v>0</v>
          </cell>
          <cell r="AY370">
            <v>24.52</v>
          </cell>
          <cell r="AZ370">
            <v>0</v>
          </cell>
          <cell r="BA370">
            <v>113</v>
          </cell>
          <cell r="BB370">
            <v>0</v>
          </cell>
          <cell r="BC370">
            <v>113</v>
          </cell>
          <cell r="BD370">
            <v>0</v>
          </cell>
          <cell r="BE370">
            <v>0</v>
          </cell>
          <cell r="BF370">
            <v>32</v>
          </cell>
          <cell r="BG370">
            <v>1</v>
          </cell>
          <cell r="BH370">
            <v>1</v>
          </cell>
          <cell r="BI370">
            <v>34</v>
          </cell>
          <cell r="BJ370">
            <v>6</v>
          </cell>
          <cell r="BK370">
            <v>9</v>
          </cell>
          <cell r="BL370">
            <v>9</v>
          </cell>
          <cell r="BM370">
            <v>4</v>
          </cell>
          <cell r="BN370">
            <v>6</v>
          </cell>
          <cell r="BO370">
            <v>0</v>
          </cell>
          <cell r="BP370">
            <v>20</v>
          </cell>
          <cell r="BQ370">
            <v>1</v>
          </cell>
          <cell r="BR370">
            <v>4</v>
          </cell>
          <cell r="BS370">
            <v>5</v>
          </cell>
          <cell r="BT370">
            <v>4</v>
          </cell>
          <cell r="BU370">
            <v>6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31</v>
          </cell>
          <cell r="EB370">
            <v>0</v>
          </cell>
          <cell r="EC370">
            <v>7</v>
          </cell>
          <cell r="ED370">
            <v>4</v>
          </cell>
          <cell r="EE370">
            <v>14</v>
          </cell>
          <cell r="EF370">
            <v>6</v>
          </cell>
          <cell r="EG370">
            <v>0</v>
          </cell>
          <cell r="EH370">
            <v>28</v>
          </cell>
          <cell r="EI370">
            <v>8</v>
          </cell>
          <cell r="EJ370">
            <v>4</v>
          </cell>
          <cell r="EK370">
            <v>4</v>
          </cell>
          <cell r="EL370">
            <v>12</v>
          </cell>
          <cell r="EM370">
            <v>0</v>
          </cell>
          <cell r="EN370">
            <v>0</v>
          </cell>
          <cell r="EO370" t="str">
            <v xml:space="preserve">Womans Guliford Jacket                                      </v>
          </cell>
        </row>
        <row r="371">
          <cell r="A371" t="str">
            <v>CN4YL3872830</v>
          </cell>
          <cell r="B371" t="str">
            <v>CN4</v>
          </cell>
          <cell r="C371" t="str">
            <v>YL3872</v>
          </cell>
          <cell r="D371">
            <v>830</v>
          </cell>
          <cell r="E371" t="str">
            <v xml:space="preserve">   </v>
          </cell>
          <cell r="F371">
            <v>81107</v>
          </cell>
          <cell r="G371">
            <v>81121</v>
          </cell>
          <cell r="H371">
            <v>0</v>
          </cell>
          <cell r="I371">
            <v>400</v>
          </cell>
          <cell r="J371">
            <v>354</v>
          </cell>
          <cell r="K371">
            <v>354</v>
          </cell>
          <cell r="L371">
            <v>195</v>
          </cell>
          <cell r="M371">
            <v>195</v>
          </cell>
          <cell r="N371">
            <v>43610400</v>
          </cell>
          <cell r="O371">
            <v>44254602</v>
          </cell>
          <cell r="P371">
            <v>44265002</v>
          </cell>
          <cell r="Q371">
            <v>24508735</v>
          </cell>
          <cell r="R371">
            <v>84614900</v>
          </cell>
          <cell r="S371" t="str">
            <v xml:space="preserve"> </v>
          </cell>
          <cell r="T371" t="str">
            <v xml:space="preserve"> </v>
          </cell>
          <cell r="U371">
            <v>354</v>
          </cell>
          <cell r="V371">
            <v>44254602</v>
          </cell>
          <cell r="W371">
            <v>195</v>
          </cell>
          <cell r="X371">
            <v>24508735</v>
          </cell>
          <cell r="Y371">
            <v>55.08</v>
          </cell>
          <cell r="Z371">
            <v>55.38</v>
          </cell>
          <cell r="AA371">
            <v>24508735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159</v>
          </cell>
          <cell r="AN371">
            <v>42273168</v>
          </cell>
          <cell r="AO371">
            <v>109026</v>
          </cell>
          <cell r="AP371">
            <v>125813</v>
          </cell>
          <cell r="AQ371">
            <v>478000</v>
          </cell>
          <cell r="AR371">
            <v>0</v>
          </cell>
          <cell r="AS371">
            <v>3.82</v>
          </cell>
          <cell r="AT371">
            <v>169212000</v>
          </cell>
          <cell r="AU371">
            <v>3.45</v>
          </cell>
          <cell r="AV371">
            <v>84614900</v>
          </cell>
          <cell r="AW371">
            <v>0</v>
          </cell>
          <cell r="AX371">
            <v>0</v>
          </cell>
          <cell r="AY371">
            <v>55.08</v>
          </cell>
          <cell r="AZ371">
            <v>0</v>
          </cell>
          <cell r="BA371">
            <v>195</v>
          </cell>
          <cell r="BB371">
            <v>0</v>
          </cell>
          <cell r="BC371">
            <v>195</v>
          </cell>
          <cell r="BD371">
            <v>0</v>
          </cell>
          <cell r="BE371">
            <v>0</v>
          </cell>
          <cell r="BF371">
            <v>34</v>
          </cell>
          <cell r="BG371">
            <v>0</v>
          </cell>
          <cell r="BH371">
            <v>1</v>
          </cell>
          <cell r="BI371">
            <v>54</v>
          </cell>
          <cell r="BJ371">
            <v>13</v>
          </cell>
          <cell r="BK371">
            <v>14</v>
          </cell>
          <cell r="BL371">
            <v>10</v>
          </cell>
          <cell r="BM371">
            <v>11</v>
          </cell>
          <cell r="BN371">
            <v>6</v>
          </cell>
          <cell r="BO371">
            <v>0</v>
          </cell>
          <cell r="BP371">
            <v>18</v>
          </cell>
          <cell r="BQ371">
            <v>3</v>
          </cell>
          <cell r="BR371">
            <v>6</v>
          </cell>
          <cell r="BS371">
            <v>3</v>
          </cell>
          <cell r="BT371">
            <v>6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31</v>
          </cell>
          <cell r="EB371">
            <v>0</v>
          </cell>
          <cell r="EC371">
            <v>0</v>
          </cell>
          <cell r="ED371">
            <v>0</v>
          </cell>
          <cell r="EE371">
            <v>11</v>
          </cell>
          <cell r="EF371">
            <v>20</v>
          </cell>
          <cell r="EG371">
            <v>0</v>
          </cell>
          <cell r="EH371">
            <v>92</v>
          </cell>
          <cell r="EI371">
            <v>20</v>
          </cell>
          <cell r="EJ371">
            <v>12</v>
          </cell>
          <cell r="EK371">
            <v>22</v>
          </cell>
          <cell r="EL371">
            <v>16</v>
          </cell>
          <cell r="EM371">
            <v>22</v>
          </cell>
          <cell r="EN371">
            <v>0</v>
          </cell>
          <cell r="EO371" t="str">
            <v xml:space="preserve">Womans Guliford Jacket                                      </v>
          </cell>
        </row>
        <row r="372">
          <cell r="A372" t="str">
            <v>CN4YL3873007</v>
          </cell>
          <cell r="B372" t="str">
            <v>CN4</v>
          </cell>
          <cell r="C372" t="str">
            <v>YL3873</v>
          </cell>
          <cell r="D372">
            <v>7</v>
          </cell>
          <cell r="E372" t="str">
            <v xml:space="preserve">   </v>
          </cell>
          <cell r="F372">
            <v>80829</v>
          </cell>
          <cell r="G372">
            <v>80917</v>
          </cell>
          <cell r="H372">
            <v>0</v>
          </cell>
          <cell r="I372">
            <v>500</v>
          </cell>
          <cell r="J372">
            <v>500</v>
          </cell>
          <cell r="K372">
            <v>500</v>
          </cell>
          <cell r="L372">
            <v>197</v>
          </cell>
          <cell r="M372">
            <v>197</v>
          </cell>
          <cell r="N372">
            <v>57225000</v>
          </cell>
          <cell r="O372">
            <v>57218000</v>
          </cell>
          <cell r="P372">
            <v>57218000</v>
          </cell>
          <cell r="Q372">
            <v>22543892</v>
          </cell>
          <cell r="R372">
            <v>82889500</v>
          </cell>
          <cell r="S372" t="str">
            <v xml:space="preserve"> </v>
          </cell>
          <cell r="T372" t="str">
            <v xml:space="preserve"> </v>
          </cell>
          <cell r="U372">
            <v>500</v>
          </cell>
          <cell r="V372">
            <v>57218000</v>
          </cell>
          <cell r="W372">
            <v>197</v>
          </cell>
          <cell r="X372">
            <v>22543892</v>
          </cell>
          <cell r="Y372">
            <v>39.6</v>
          </cell>
          <cell r="Z372">
            <v>39.799999999999997</v>
          </cell>
          <cell r="AA372">
            <v>22543892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>
            <v>228872</v>
          </cell>
          <cell r="AM372">
            <v>302</v>
          </cell>
          <cell r="AN372">
            <v>70263704</v>
          </cell>
          <cell r="AO372">
            <v>114450</v>
          </cell>
          <cell r="AP372">
            <v>114436</v>
          </cell>
          <cell r="AQ372">
            <v>478000</v>
          </cell>
          <cell r="AR372">
            <v>0</v>
          </cell>
          <cell r="AS372">
            <v>4.18</v>
          </cell>
          <cell r="AT372">
            <v>239000000</v>
          </cell>
          <cell r="AU372">
            <v>3.68</v>
          </cell>
          <cell r="AV372">
            <v>82889500</v>
          </cell>
          <cell r="AW372">
            <v>0</v>
          </cell>
          <cell r="AX372">
            <v>0</v>
          </cell>
          <cell r="AY372">
            <v>39.6</v>
          </cell>
          <cell r="AZ372">
            <v>0</v>
          </cell>
          <cell r="BA372">
            <v>197</v>
          </cell>
          <cell r="BB372">
            <v>0</v>
          </cell>
          <cell r="BC372">
            <v>197</v>
          </cell>
          <cell r="BD372">
            <v>0</v>
          </cell>
          <cell r="BE372">
            <v>0</v>
          </cell>
          <cell r="BF372">
            <v>18</v>
          </cell>
          <cell r="BG372">
            <v>1</v>
          </cell>
          <cell r="BH372">
            <v>1</v>
          </cell>
          <cell r="BI372">
            <v>21</v>
          </cell>
          <cell r="BJ372">
            <v>5</v>
          </cell>
          <cell r="BK372">
            <v>1</v>
          </cell>
          <cell r="BL372">
            <v>8</v>
          </cell>
          <cell r="BM372">
            <v>2</v>
          </cell>
          <cell r="BN372">
            <v>5</v>
          </cell>
          <cell r="BO372">
            <v>0</v>
          </cell>
          <cell r="BP372">
            <v>10</v>
          </cell>
          <cell r="BQ372">
            <v>0</v>
          </cell>
          <cell r="BR372">
            <v>6</v>
          </cell>
          <cell r="BS372">
            <v>3</v>
          </cell>
          <cell r="BT372">
            <v>1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34</v>
          </cell>
          <cell r="DN372">
            <v>0</v>
          </cell>
          <cell r="DO372">
            <v>0</v>
          </cell>
          <cell r="DP372">
            <v>2</v>
          </cell>
          <cell r="DQ372">
            <v>29</v>
          </cell>
          <cell r="DR372">
            <v>3</v>
          </cell>
          <cell r="DS372">
            <v>0</v>
          </cell>
          <cell r="DT372">
            <v>67</v>
          </cell>
          <cell r="DU372">
            <v>12</v>
          </cell>
          <cell r="DV372">
            <v>32</v>
          </cell>
          <cell r="DW372">
            <v>9</v>
          </cell>
          <cell r="DX372">
            <v>7</v>
          </cell>
          <cell r="DY372">
            <v>7</v>
          </cell>
          <cell r="DZ372">
            <v>0</v>
          </cell>
          <cell r="EA372">
            <v>43</v>
          </cell>
          <cell r="EB372">
            <v>8</v>
          </cell>
          <cell r="EC372">
            <v>14</v>
          </cell>
          <cell r="ED372">
            <v>15</v>
          </cell>
          <cell r="EE372">
            <v>5</v>
          </cell>
          <cell r="EF372">
            <v>1</v>
          </cell>
          <cell r="EG372">
            <v>0</v>
          </cell>
          <cell r="EH372">
            <v>22</v>
          </cell>
          <cell r="EI372">
            <v>3</v>
          </cell>
          <cell r="EJ372">
            <v>7</v>
          </cell>
          <cell r="EK372">
            <v>2</v>
          </cell>
          <cell r="EL372">
            <v>5</v>
          </cell>
          <cell r="EM372">
            <v>5</v>
          </cell>
          <cell r="EN372">
            <v>0</v>
          </cell>
          <cell r="EO372" t="str">
            <v xml:space="preserve">Womans Quansoo Jacket                                       </v>
          </cell>
        </row>
        <row r="373">
          <cell r="A373" t="str">
            <v>CN4YL3873022</v>
          </cell>
          <cell r="B373" t="str">
            <v>CN4</v>
          </cell>
          <cell r="C373" t="str">
            <v>YL3873</v>
          </cell>
          <cell r="D373">
            <v>22</v>
          </cell>
          <cell r="E373" t="str">
            <v xml:space="preserve">   </v>
          </cell>
          <cell r="F373">
            <v>80829</v>
          </cell>
          <cell r="G373">
            <v>80917</v>
          </cell>
          <cell r="H373">
            <v>0</v>
          </cell>
          <cell r="I373">
            <v>350</v>
          </cell>
          <cell r="J373">
            <v>350</v>
          </cell>
          <cell r="K373">
            <v>348</v>
          </cell>
          <cell r="L373">
            <v>191</v>
          </cell>
          <cell r="M373">
            <v>191</v>
          </cell>
          <cell r="N373">
            <v>40057500</v>
          </cell>
          <cell r="O373">
            <v>40052600</v>
          </cell>
          <cell r="P373">
            <v>39823728</v>
          </cell>
          <cell r="Q373">
            <v>21857276</v>
          </cell>
          <cell r="R373">
            <v>79371360</v>
          </cell>
          <cell r="S373" t="str">
            <v xml:space="preserve"> </v>
          </cell>
          <cell r="T373" t="str">
            <v xml:space="preserve"> </v>
          </cell>
          <cell r="U373">
            <v>350</v>
          </cell>
          <cell r="V373">
            <v>40052600</v>
          </cell>
          <cell r="W373">
            <v>191</v>
          </cell>
          <cell r="X373">
            <v>21857276</v>
          </cell>
          <cell r="Y373">
            <v>54.86</v>
          </cell>
          <cell r="Z373">
            <v>55.14</v>
          </cell>
          <cell r="AA373">
            <v>21742840</v>
          </cell>
          <cell r="AB373">
            <v>114436</v>
          </cell>
          <cell r="AC373">
            <v>2</v>
          </cell>
          <cell r="AD373">
            <v>228872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>
            <v>228872</v>
          </cell>
          <cell r="AM373">
            <v>156</v>
          </cell>
          <cell r="AN373">
            <v>36619520</v>
          </cell>
          <cell r="AO373">
            <v>114450</v>
          </cell>
          <cell r="AP373">
            <v>114436</v>
          </cell>
          <cell r="AQ373">
            <v>478000</v>
          </cell>
          <cell r="AR373">
            <v>0</v>
          </cell>
          <cell r="AS373">
            <v>4.18</v>
          </cell>
          <cell r="AT373">
            <v>167300000</v>
          </cell>
          <cell r="AU373">
            <v>3.65</v>
          </cell>
          <cell r="AV373">
            <v>79364501</v>
          </cell>
          <cell r="AW373">
            <v>0.06</v>
          </cell>
          <cell r="AX373">
            <v>6859</v>
          </cell>
          <cell r="AY373">
            <v>54.86</v>
          </cell>
          <cell r="AZ373">
            <v>0</v>
          </cell>
          <cell r="BA373">
            <v>190</v>
          </cell>
          <cell r="BB373">
            <v>1</v>
          </cell>
          <cell r="BC373">
            <v>191</v>
          </cell>
          <cell r="BD373">
            <v>0</v>
          </cell>
          <cell r="BE373">
            <v>0</v>
          </cell>
          <cell r="BF373">
            <v>10</v>
          </cell>
          <cell r="BG373">
            <v>0</v>
          </cell>
          <cell r="BH373">
            <v>1</v>
          </cell>
          <cell r="BI373">
            <v>17</v>
          </cell>
          <cell r="BJ373">
            <v>3</v>
          </cell>
          <cell r="BK373">
            <v>6</v>
          </cell>
          <cell r="BL373">
            <v>6</v>
          </cell>
          <cell r="BM373">
            <v>1</v>
          </cell>
          <cell r="BN373">
            <v>1</v>
          </cell>
          <cell r="BO373">
            <v>0</v>
          </cell>
          <cell r="BP373">
            <v>6</v>
          </cell>
          <cell r="BQ373">
            <v>1</v>
          </cell>
          <cell r="BR373">
            <v>0</v>
          </cell>
          <cell r="BS373">
            <v>1</v>
          </cell>
          <cell r="BT373">
            <v>2</v>
          </cell>
          <cell r="BU373">
            <v>2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32</v>
          </cell>
          <cell r="DN373">
            <v>0</v>
          </cell>
          <cell r="DO373">
            <v>0</v>
          </cell>
          <cell r="DP373">
            <v>3</v>
          </cell>
          <cell r="DQ373">
            <v>28</v>
          </cell>
          <cell r="DR373">
            <v>1</v>
          </cell>
          <cell r="DS373">
            <v>0</v>
          </cell>
          <cell r="DT373">
            <v>87</v>
          </cell>
          <cell r="DU373">
            <v>16</v>
          </cell>
          <cell r="DV373">
            <v>30</v>
          </cell>
          <cell r="DW373">
            <v>6</v>
          </cell>
          <cell r="DX373">
            <v>24</v>
          </cell>
          <cell r="DY373">
            <v>11</v>
          </cell>
          <cell r="DZ373">
            <v>0</v>
          </cell>
          <cell r="EA373">
            <v>39</v>
          </cell>
          <cell r="EB373">
            <v>5</v>
          </cell>
          <cell r="EC373">
            <v>17</v>
          </cell>
          <cell r="ED373">
            <v>8</v>
          </cell>
          <cell r="EE373">
            <v>2</v>
          </cell>
          <cell r="EF373">
            <v>7</v>
          </cell>
          <cell r="EG373">
            <v>0</v>
          </cell>
          <cell r="EH373">
            <v>10</v>
          </cell>
          <cell r="EI373">
            <v>2</v>
          </cell>
          <cell r="EJ373">
            <v>3</v>
          </cell>
          <cell r="EK373">
            <v>3</v>
          </cell>
          <cell r="EL373">
            <v>1</v>
          </cell>
          <cell r="EM373">
            <v>1</v>
          </cell>
          <cell r="EN373">
            <v>0</v>
          </cell>
          <cell r="EO373" t="str">
            <v xml:space="preserve">Womans Quansoo Jacket                                       </v>
          </cell>
        </row>
        <row r="374">
          <cell r="A374" t="str">
            <v>CN4YL3874552</v>
          </cell>
          <cell r="B374" t="str">
            <v>CN4</v>
          </cell>
          <cell r="C374" t="str">
            <v>YL3874</v>
          </cell>
          <cell r="D374">
            <v>552</v>
          </cell>
          <cell r="E374" t="str">
            <v xml:space="preserve">   </v>
          </cell>
          <cell r="F374">
            <v>81101</v>
          </cell>
          <cell r="G374">
            <v>81101</v>
          </cell>
          <cell r="H374">
            <v>0</v>
          </cell>
          <cell r="I374">
            <v>800</v>
          </cell>
          <cell r="J374">
            <v>800</v>
          </cell>
          <cell r="K374">
            <v>800</v>
          </cell>
          <cell r="L374">
            <v>475</v>
          </cell>
          <cell r="M374">
            <v>475</v>
          </cell>
          <cell r="N374">
            <v>99160000</v>
          </cell>
          <cell r="O374">
            <v>99160800</v>
          </cell>
          <cell r="P374">
            <v>99160800</v>
          </cell>
          <cell r="Q374">
            <v>58876725</v>
          </cell>
          <cell r="R374">
            <v>212735577</v>
          </cell>
          <cell r="S374" t="str">
            <v xml:space="preserve"> </v>
          </cell>
          <cell r="T374" t="str">
            <v xml:space="preserve"> </v>
          </cell>
          <cell r="U374">
            <v>800</v>
          </cell>
          <cell r="V374">
            <v>99160800</v>
          </cell>
          <cell r="W374">
            <v>475</v>
          </cell>
          <cell r="X374">
            <v>58876725</v>
          </cell>
          <cell r="Y374">
            <v>59.5</v>
          </cell>
          <cell r="Z374">
            <v>59.63</v>
          </cell>
          <cell r="AA374">
            <v>58628823</v>
          </cell>
          <cell r="AB374">
            <v>247902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>
            <v>247902</v>
          </cell>
          <cell r="AM374">
            <v>324</v>
          </cell>
          <cell r="AN374">
            <v>84782484</v>
          </cell>
          <cell r="AO374">
            <v>123950</v>
          </cell>
          <cell r="AP374">
            <v>123951</v>
          </cell>
          <cell r="AQ374">
            <v>538000</v>
          </cell>
          <cell r="AR374">
            <v>0</v>
          </cell>
          <cell r="AS374">
            <v>4.34</v>
          </cell>
          <cell r="AT374">
            <v>430400000</v>
          </cell>
          <cell r="AU374">
            <v>3.63</v>
          </cell>
          <cell r="AV374">
            <v>212721859</v>
          </cell>
          <cell r="AW374">
            <v>0.06</v>
          </cell>
          <cell r="AX374">
            <v>13718</v>
          </cell>
          <cell r="AY374">
            <v>59.5</v>
          </cell>
          <cell r="AZ374">
            <v>0</v>
          </cell>
          <cell r="BA374">
            <v>473</v>
          </cell>
          <cell r="BB374">
            <v>2</v>
          </cell>
          <cell r="BC374">
            <v>475</v>
          </cell>
          <cell r="BD374">
            <v>0</v>
          </cell>
          <cell r="BE374">
            <v>0</v>
          </cell>
          <cell r="BF374">
            <v>80</v>
          </cell>
          <cell r="BG374">
            <v>1</v>
          </cell>
          <cell r="BH374">
            <v>1</v>
          </cell>
          <cell r="BI374">
            <v>168</v>
          </cell>
          <cell r="BJ374">
            <v>42</v>
          </cell>
          <cell r="BK374">
            <v>49</v>
          </cell>
          <cell r="BL374">
            <v>31</v>
          </cell>
          <cell r="BM374">
            <v>15</v>
          </cell>
          <cell r="BN374">
            <v>31</v>
          </cell>
          <cell r="BO374">
            <v>0</v>
          </cell>
          <cell r="BP374">
            <v>36</v>
          </cell>
          <cell r="BQ374">
            <v>23</v>
          </cell>
          <cell r="BR374">
            <v>4</v>
          </cell>
          <cell r="BS374">
            <v>2</v>
          </cell>
          <cell r="BT374">
            <v>8</v>
          </cell>
          <cell r="BU374">
            <v>-1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155</v>
          </cell>
          <cell r="EB374">
            <v>8</v>
          </cell>
          <cell r="EC374">
            <v>42</v>
          </cell>
          <cell r="ED374">
            <v>31</v>
          </cell>
          <cell r="EE374">
            <v>40</v>
          </cell>
          <cell r="EF374">
            <v>34</v>
          </cell>
          <cell r="EG374">
            <v>0</v>
          </cell>
          <cell r="EH374">
            <v>116</v>
          </cell>
          <cell r="EI374">
            <v>19</v>
          </cell>
          <cell r="EJ374">
            <v>22</v>
          </cell>
          <cell r="EK374">
            <v>23</v>
          </cell>
          <cell r="EL374">
            <v>37</v>
          </cell>
          <cell r="EM374">
            <v>15</v>
          </cell>
          <cell r="EN374">
            <v>0</v>
          </cell>
          <cell r="EO374" t="str">
            <v xml:space="preserve">Womans Sterling Heights Jacket                              </v>
          </cell>
        </row>
        <row r="375">
          <cell r="A375" t="str">
            <v>CN4YL3874564</v>
          </cell>
          <cell r="B375" t="str">
            <v>CN4</v>
          </cell>
          <cell r="C375" t="str">
            <v>YL3874</v>
          </cell>
          <cell r="D375">
            <v>564</v>
          </cell>
          <cell r="E375" t="str">
            <v xml:space="preserve">   </v>
          </cell>
          <cell r="F375">
            <v>81101</v>
          </cell>
          <cell r="G375">
            <v>81101</v>
          </cell>
          <cell r="H375">
            <v>0</v>
          </cell>
          <cell r="I375">
            <v>700</v>
          </cell>
          <cell r="J375">
            <v>700</v>
          </cell>
          <cell r="K375">
            <v>700</v>
          </cell>
          <cell r="L375">
            <v>549</v>
          </cell>
          <cell r="M375">
            <v>549</v>
          </cell>
          <cell r="N375">
            <v>86765000</v>
          </cell>
          <cell r="O375">
            <v>86765700</v>
          </cell>
          <cell r="P375">
            <v>86765700</v>
          </cell>
          <cell r="Q375">
            <v>68049097</v>
          </cell>
          <cell r="R375">
            <v>246810397</v>
          </cell>
          <cell r="S375" t="str">
            <v xml:space="preserve"> </v>
          </cell>
          <cell r="T375" t="str">
            <v xml:space="preserve"> </v>
          </cell>
          <cell r="U375">
            <v>700</v>
          </cell>
          <cell r="V375">
            <v>86765700</v>
          </cell>
          <cell r="W375">
            <v>549</v>
          </cell>
          <cell r="X375">
            <v>68049097</v>
          </cell>
          <cell r="Y375">
            <v>78.290000000000006</v>
          </cell>
          <cell r="Z375">
            <v>78.14</v>
          </cell>
          <cell r="AA375">
            <v>67801195</v>
          </cell>
          <cell r="AB375">
            <v>247902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-1</v>
          </cell>
          <cell r="AL375">
            <v>-247902</v>
          </cell>
          <cell r="AM375">
            <v>152</v>
          </cell>
          <cell r="AN375">
            <v>41895438</v>
          </cell>
          <cell r="AO375">
            <v>123950</v>
          </cell>
          <cell r="AP375">
            <v>123951</v>
          </cell>
          <cell r="AQ375">
            <v>538000</v>
          </cell>
          <cell r="AR375">
            <v>0</v>
          </cell>
          <cell r="AS375">
            <v>4.34</v>
          </cell>
          <cell r="AT375">
            <v>376600000</v>
          </cell>
          <cell r="AU375">
            <v>3.64</v>
          </cell>
          <cell r="AV375">
            <v>246796679</v>
          </cell>
          <cell r="AW375">
            <v>0.06</v>
          </cell>
          <cell r="AX375">
            <v>13718</v>
          </cell>
          <cell r="AY375">
            <v>78.290000000000006</v>
          </cell>
          <cell r="AZ375">
            <v>0</v>
          </cell>
          <cell r="BA375">
            <v>547</v>
          </cell>
          <cell r="BB375">
            <v>2</v>
          </cell>
          <cell r="BC375">
            <v>549</v>
          </cell>
          <cell r="BD375">
            <v>0</v>
          </cell>
          <cell r="BE375">
            <v>0</v>
          </cell>
          <cell r="BF375">
            <v>70</v>
          </cell>
          <cell r="BG375">
            <v>0</v>
          </cell>
          <cell r="BH375">
            <v>1</v>
          </cell>
          <cell r="BI375">
            <v>206</v>
          </cell>
          <cell r="BJ375">
            <v>83</v>
          </cell>
          <cell r="BK375">
            <v>50</v>
          </cell>
          <cell r="BL375">
            <v>28</v>
          </cell>
          <cell r="BM375">
            <v>21</v>
          </cell>
          <cell r="BN375">
            <v>24</v>
          </cell>
          <cell r="BO375">
            <v>0</v>
          </cell>
          <cell r="BP375">
            <v>34</v>
          </cell>
          <cell r="BQ375">
            <v>6</v>
          </cell>
          <cell r="BR375">
            <v>15</v>
          </cell>
          <cell r="BS375">
            <v>5</v>
          </cell>
          <cell r="BT375">
            <v>4</v>
          </cell>
          <cell r="BU375">
            <v>4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2</v>
          </cell>
          <cell r="DN375">
            <v>0</v>
          </cell>
          <cell r="DO375">
            <v>0</v>
          </cell>
          <cell r="DP375">
            <v>0</v>
          </cell>
          <cell r="DQ375">
            <v>2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163</v>
          </cell>
          <cell r="EB375">
            <v>9</v>
          </cell>
          <cell r="EC375">
            <v>45</v>
          </cell>
          <cell r="ED375">
            <v>32</v>
          </cell>
          <cell r="EE375">
            <v>48</v>
          </cell>
          <cell r="EF375">
            <v>29</v>
          </cell>
          <cell r="EG375">
            <v>0</v>
          </cell>
          <cell r="EH375">
            <v>144</v>
          </cell>
          <cell r="EI375">
            <v>23</v>
          </cell>
          <cell r="EJ375">
            <v>16</v>
          </cell>
          <cell r="EK375">
            <v>18</v>
          </cell>
          <cell r="EL375">
            <v>64</v>
          </cell>
          <cell r="EM375">
            <v>23</v>
          </cell>
          <cell r="EN375">
            <v>0</v>
          </cell>
          <cell r="EO375" t="str">
            <v xml:space="preserve">Womans Sterling Heights Jacket                              </v>
          </cell>
        </row>
        <row r="376">
          <cell r="A376" t="str">
            <v>CN4YL3875010</v>
          </cell>
          <cell r="B376" t="str">
            <v>CN4</v>
          </cell>
          <cell r="C376" t="str">
            <v>YL3875</v>
          </cell>
          <cell r="D376">
            <v>10</v>
          </cell>
          <cell r="E376" t="str">
            <v xml:space="preserve">   </v>
          </cell>
          <cell r="F376">
            <v>81002</v>
          </cell>
          <cell r="G376">
            <v>81002</v>
          </cell>
          <cell r="H376">
            <v>81002</v>
          </cell>
          <cell r="I376">
            <v>237</v>
          </cell>
          <cell r="J376">
            <v>237</v>
          </cell>
          <cell r="K376">
            <v>226</v>
          </cell>
          <cell r="L376">
            <v>81</v>
          </cell>
          <cell r="M376">
            <v>81</v>
          </cell>
          <cell r="N376">
            <v>33245649</v>
          </cell>
          <cell r="O376">
            <v>32854599</v>
          </cell>
          <cell r="P376">
            <v>31329702</v>
          </cell>
          <cell r="Q376">
            <v>11228787</v>
          </cell>
          <cell r="R376">
            <v>32098000</v>
          </cell>
          <cell r="S376" t="str">
            <v>*</v>
          </cell>
          <cell r="T376" t="str">
            <v xml:space="preserve"> </v>
          </cell>
          <cell r="U376">
            <v>237</v>
          </cell>
          <cell r="V376">
            <v>32854599</v>
          </cell>
          <cell r="W376">
            <v>81</v>
          </cell>
          <cell r="X376">
            <v>11228787</v>
          </cell>
          <cell r="Y376">
            <v>34.18</v>
          </cell>
          <cell r="Z376">
            <v>34.18</v>
          </cell>
          <cell r="AA376">
            <v>-138627</v>
          </cell>
          <cell r="AB376">
            <v>11367414</v>
          </cell>
          <cell r="AC376">
            <v>11</v>
          </cell>
          <cell r="AD376">
            <v>1663524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145</v>
          </cell>
          <cell r="AN376">
            <v>42281235</v>
          </cell>
          <cell r="AO376">
            <v>140277</v>
          </cell>
          <cell r="AP376">
            <v>138627</v>
          </cell>
          <cell r="AQ376">
            <v>538000</v>
          </cell>
          <cell r="AR376">
            <v>398000</v>
          </cell>
          <cell r="AS376">
            <v>3.88</v>
          </cell>
          <cell r="AT376">
            <v>127506000</v>
          </cell>
          <cell r="AU376">
            <v>3.88</v>
          </cell>
          <cell r="AV376">
            <v>-538000</v>
          </cell>
          <cell r="AW376">
            <v>2.87</v>
          </cell>
          <cell r="AX376">
            <v>32636000</v>
          </cell>
          <cell r="AY376">
            <v>34.18</v>
          </cell>
          <cell r="AZ376">
            <v>0</v>
          </cell>
          <cell r="BA376">
            <v>-1</v>
          </cell>
          <cell r="BB376">
            <v>82</v>
          </cell>
          <cell r="BC376">
            <v>81</v>
          </cell>
          <cell r="BD376">
            <v>0</v>
          </cell>
          <cell r="BE376">
            <v>0</v>
          </cell>
          <cell r="BF376">
            <v>11</v>
          </cell>
          <cell r="BG376">
            <v>1</v>
          </cell>
          <cell r="BH376">
            <v>1</v>
          </cell>
          <cell r="BI376">
            <v>11</v>
          </cell>
          <cell r="BJ376">
            <v>5</v>
          </cell>
          <cell r="BK376">
            <v>1</v>
          </cell>
          <cell r="BL376">
            <v>3</v>
          </cell>
          <cell r="BM376">
            <v>2</v>
          </cell>
          <cell r="BN376">
            <v>0</v>
          </cell>
          <cell r="BO376">
            <v>0</v>
          </cell>
          <cell r="BP376">
            <v>5</v>
          </cell>
          <cell r="BQ376">
            <v>0</v>
          </cell>
          <cell r="BR376">
            <v>4</v>
          </cell>
          <cell r="BS376">
            <v>-1</v>
          </cell>
          <cell r="BT376">
            <v>1</v>
          </cell>
          <cell r="BU376">
            <v>1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24</v>
          </cell>
          <cell r="DU376">
            <v>2</v>
          </cell>
          <cell r="DV376">
            <v>4</v>
          </cell>
          <cell r="DW376">
            <v>5</v>
          </cell>
          <cell r="DX376">
            <v>8</v>
          </cell>
          <cell r="DY376">
            <v>5</v>
          </cell>
          <cell r="DZ376">
            <v>0</v>
          </cell>
          <cell r="EA376">
            <v>23</v>
          </cell>
          <cell r="EB376">
            <v>1</v>
          </cell>
          <cell r="EC376">
            <v>8</v>
          </cell>
          <cell r="ED376">
            <v>4</v>
          </cell>
          <cell r="EE376">
            <v>6</v>
          </cell>
          <cell r="EF376">
            <v>4</v>
          </cell>
          <cell r="EG376">
            <v>0</v>
          </cell>
          <cell r="EH376">
            <v>18</v>
          </cell>
          <cell r="EI376">
            <v>9</v>
          </cell>
          <cell r="EJ376">
            <v>0</v>
          </cell>
          <cell r="EK376">
            <v>7</v>
          </cell>
          <cell r="EL376">
            <v>2</v>
          </cell>
          <cell r="EM376">
            <v>0</v>
          </cell>
          <cell r="EN376">
            <v>0</v>
          </cell>
          <cell r="EO376" t="str">
            <v xml:space="preserve">WOMENS SUNNYVALE JACKET                                     </v>
          </cell>
        </row>
        <row r="377">
          <cell r="A377" t="str">
            <v>CN4YL3875352</v>
          </cell>
          <cell r="B377" t="str">
            <v>CN4</v>
          </cell>
          <cell r="C377" t="str">
            <v>YL3875</v>
          </cell>
          <cell r="D377">
            <v>352</v>
          </cell>
          <cell r="E377" t="str">
            <v xml:space="preserve">   </v>
          </cell>
          <cell r="F377">
            <v>81002</v>
          </cell>
          <cell r="G377">
            <v>81002</v>
          </cell>
          <cell r="H377">
            <v>81002</v>
          </cell>
          <cell r="I377">
            <v>105</v>
          </cell>
          <cell r="J377">
            <v>105</v>
          </cell>
          <cell r="K377">
            <v>104</v>
          </cell>
          <cell r="L377">
            <v>71</v>
          </cell>
          <cell r="M377">
            <v>71</v>
          </cell>
          <cell r="N377">
            <v>14729085</v>
          </cell>
          <cell r="O377">
            <v>14555835</v>
          </cell>
          <cell r="P377">
            <v>14417208</v>
          </cell>
          <cell r="Q377">
            <v>9842517</v>
          </cell>
          <cell r="R377">
            <v>28724803</v>
          </cell>
          <cell r="S377" t="str">
            <v>*</v>
          </cell>
          <cell r="T377" t="str">
            <v xml:space="preserve"> </v>
          </cell>
          <cell r="U377">
            <v>105</v>
          </cell>
          <cell r="V377">
            <v>14555835</v>
          </cell>
          <cell r="W377">
            <v>71</v>
          </cell>
          <cell r="X377">
            <v>9842517</v>
          </cell>
          <cell r="Y377">
            <v>67.62</v>
          </cell>
          <cell r="Z377">
            <v>67.62</v>
          </cell>
          <cell r="AA377">
            <v>138627</v>
          </cell>
          <cell r="AB377">
            <v>9703890</v>
          </cell>
          <cell r="AC377">
            <v>1</v>
          </cell>
          <cell r="AD377">
            <v>138627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33</v>
          </cell>
          <cell r="AN377">
            <v>9703890</v>
          </cell>
          <cell r="AO377">
            <v>140277</v>
          </cell>
          <cell r="AP377">
            <v>138627</v>
          </cell>
          <cell r="AQ377">
            <v>538000</v>
          </cell>
          <cell r="AR377">
            <v>398000</v>
          </cell>
          <cell r="AS377">
            <v>3.88</v>
          </cell>
          <cell r="AT377">
            <v>56490000</v>
          </cell>
          <cell r="AU377">
            <v>3.69</v>
          </cell>
          <cell r="AV377">
            <v>511100</v>
          </cell>
          <cell r="AW377">
            <v>2.91</v>
          </cell>
          <cell r="AX377">
            <v>28213703</v>
          </cell>
          <cell r="AY377">
            <v>67.62</v>
          </cell>
          <cell r="AZ377">
            <v>0</v>
          </cell>
          <cell r="BA377">
            <v>1</v>
          </cell>
          <cell r="BB377">
            <v>70</v>
          </cell>
          <cell r="BC377">
            <v>71</v>
          </cell>
          <cell r="BD377">
            <v>0</v>
          </cell>
          <cell r="BE377">
            <v>0</v>
          </cell>
          <cell r="BF377">
            <v>5</v>
          </cell>
          <cell r="BG377">
            <v>0</v>
          </cell>
          <cell r="BH377">
            <v>1</v>
          </cell>
          <cell r="BI377">
            <v>8</v>
          </cell>
          <cell r="BJ377">
            <v>1</v>
          </cell>
          <cell r="BK377">
            <v>0</v>
          </cell>
          <cell r="BL377">
            <v>4</v>
          </cell>
          <cell r="BM377">
            <v>3</v>
          </cell>
          <cell r="BN377">
            <v>0</v>
          </cell>
          <cell r="BO377">
            <v>0</v>
          </cell>
          <cell r="BP377">
            <v>3</v>
          </cell>
          <cell r="BQ377">
            <v>0</v>
          </cell>
          <cell r="BR377">
            <v>0</v>
          </cell>
          <cell r="BS377">
            <v>2</v>
          </cell>
          <cell r="BT377">
            <v>1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36</v>
          </cell>
          <cell r="DU377">
            <v>7</v>
          </cell>
          <cell r="DV377">
            <v>12</v>
          </cell>
          <cell r="DW377">
            <v>6</v>
          </cell>
          <cell r="DX377">
            <v>9</v>
          </cell>
          <cell r="DY377">
            <v>2</v>
          </cell>
          <cell r="DZ377">
            <v>0</v>
          </cell>
          <cell r="EA377">
            <v>18</v>
          </cell>
          <cell r="EB377">
            <v>6</v>
          </cell>
          <cell r="EC377">
            <v>6</v>
          </cell>
          <cell r="ED377">
            <v>2</v>
          </cell>
          <cell r="EE377">
            <v>1</v>
          </cell>
          <cell r="EF377">
            <v>3</v>
          </cell>
          <cell r="EG377">
            <v>0</v>
          </cell>
          <cell r="EH377">
            <v>6</v>
          </cell>
          <cell r="EI377">
            <v>1</v>
          </cell>
          <cell r="EJ377">
            <v>1</v>
          </cell>
          <cell r="EK377">
            <v>0</v>
          </cell>
          <cell r="EL377">
            <v>4</v>
          </cell>
          <cell r="EM377">
            <v>0</v>
          </cell>
          <cell r="EN377">
            <v>0</v>
          </cell>
          <cell r="EO377" t="str">
            <v xml:space="preserve">WOMENS SUNNYVALE JACKET                                     </v>
          </cell>
        </row>
        <row r="378">
          <cell r="A378" t="str">
            <v>CN4YL3875589</v>
          </cell>
          <cell r="B378" t="str">
            <v>CN4</v>
          </cell>
          <cell r="C378" t="str">
            <v>YL3875</v>
          </cell>
          <cell r="D378">
            <v>589</v>
          </cell>
          <cell r="E378" t="str">
            <v xml:space="preserve">   </v>
          </cell>
          <cell r="F378">
            <v>81002</v>
          </cell>
          <cell r="G378">
            <v>81002</v>
          </cell>
          <cell r="H378">
            <v>81002</v>
          </cell>
          <cell r="I378">
            <v>158</v>
          </cell>
          <cell r="J378">
            <v>158</v>
          </cell>
          <cell r="K378">
            <v>155</v>
          </cell>
          <cell r="L378">
            <v>149</v>
          </cell>
          <cell r="M378">
            <v>149</v>
          </cell>
          <cell r="N378">
            <v>22163766</v>
          </cell>
          <cell r="O378">
            <v>21903066</v>
          </cell>
          <cell r="P378">
            <v>21487185</v>
          </cell>
          <cell r="Q378">
            <v>20655423</v>
          </cell>
          <cell r="R378">
            <v>59166793</v>
          </cell>
          <cell r="S378" t="str">
            <v>*</v>
          </cell>
          <cell r="T378" t="str">
            <v xml:space="preserve"> </v>
          </cell>
          <cell r="U378">
            <v>158</v>
          </cell>
          <cell r="V378">
            <v>21903066</v>
          </cell>
          <cell r="W378">
            <v>149</v>
          </cell>
          <cell r="X378">
            <v>20655423</v>
          </cell>
          <cell r="Y378">
            <v>94.3</v>
          </cell>
          <cell r="Z378">
            <v>94.3</v>
          </cell>
          <cell r="AA378">
            <v>-277254</v>
          </cell>
          <cell r="AB378">
            <v>20932677</v>
          </cell>
          <cell r="AC378">
            <v>3</v>
          </cell>
          <cell r="AD378">
            <v>415881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6</v>
          </cell>
          <cell r="AN378">
            <v>2633913</v>
          </cell>
          <cell r="AO378">
            <v>140277</v>
          </cell>
          <cell r="AP378">
            <v>138627</v>
          </cell>
          <cell r="AQ378">
            <v>538000</v>
          </cell>
          <cell r="AR378">
            <v>398000</v>
          </cell>
          <cell r="AS378">
            <v>3.88</v>
          </cell>
          <cell r="AT378">
            <v>85004000</v>
          </cell>
          <cell r="AU378">
            <v>3.88</v>
          </cell>
          <cell r="AV378">
            <v>-1076000</v>
          </cell>
          <cell r="AW378">
            <v>2.88</v>
          </cell>
          <cell r="AX378">
            <v>60242793</v>
          </cell>
          <cell r="AY378">
            <v>94.3</v>
          </cell>
          <cell r="AZ378">
            <v>0</v>
          </cell>
          <cell r="BA378">
            <v>-2</v>
          </cell>
          <cell r="BB378">
            <v>151</v>
          </cell>
          <cell r="BC378">
            <v>149</v>
          </cell>
          <cell r="BD378">
            <v>0</v>
          </cell>
          <cell r="BE378">
            <v>0</v>
          </cell>
          <cell r="BF378">
            <v>8</v>
          </cell>
          <cell r="BG378">
            <v>0</v>
          </cell>
          <cell r="BH378">
            <v>1</v>
          </cell>
          <cell r="BI378">
            <v>7</v>
          </cell>
          <cell r="BJ378">
            <v>3</v>
          </cell>
          <cell r="BK378">
            <v>2</v>
          </cell>
          <cell r="BL378">
            <v>1</v>
          </cell>
          <cell r="BM378">
            <v>0</v>
          </cell>
          <cell r="BN378">
            <v>1</v>
          </cell>
          <cell r="BO378">
            <v>0</v>
          </cell>
          <cell r="BP378">
            <v>4</v>
          </cell>
          <cell r="BQ378">
            <v>0</v>
          </cell>
          <cell r="BR378">
            <v>0</v>
          </cell>
          <cell r="BS378">
            <v>4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80</v>
          </cell>
          <cell r="DU378">
            <v>19</v>
          </cell>
          <cell r="DV378">
            <v>28</v>
          </cell>
          <cell r="DW378">
            <v>11</v>
          </cell>
          <cell r="DX378">
            <v>16</v>
          </cell>
          <cell r="DY378">
            <v>6</v>
          </cell>
          <cell r="DZ378">
            <v>0</v>
          </cell>
          <cell r="EA378">
            <v>50</v>
          </cell>
          <cell r="EB378">
            <v>15</v>
          </cell>
          <cell r="EC378">
            <v>19</v>
          </cell>
          <cell r="ED378">
            <v>4</v>
          </cell>
          <cell r="EE378">
            <v>9</v>
          </cell>
          <cell r="EF378">
            <v>3</v>
          </cell>
          <cell r="EG378">
            <v>0</v>
          </cell>
          <cell r="EH378">
            <v>8</v>
          </cell>
          <cell r="EI378">
            <v>4</v>
          </cell>
          <cell r="EJ378">
            <v>0</v>
          </cell>
          <cell r="EK378">
            <v>3</v>
          </cell>
          <cell r="EL378">
            <v>0</v>
          </cell>
          <cell r="EM378">
            <v>1</v>
          </cell>
          <cell r="EN378">
            <v>0</v>
          </cell>
          <cell r="EO378" t="str">
            <v xml:space="preserve">WOMENS SUNNYVALE JACKET                                     </v>
          </cell>
        </row>
        <row r="379">
          <cell r="A379" t="str">
            <v>CN4YL3881010</v>
          </cell>
          <cell r="B379" t="str">
            <v>CN4</v>
          </cell>
          <cell r="C379" t="str">
            <v>YL3881</v>
          </cell>
          <cell r="D379">
            <v>10</v>
          </cell>
          <cell r="E379" t="str">
            <v xml:space="preserve">   </v>
          </cell>
          <cell r="F379">
            <v>80411</v>
          </cell>
          <cell r="G379">
            <v>80610</v>
          </cell>
          <cell r="H379">
            <v>81128</v>
          </cell>
          <cell r="I379">
            <v>800</v>
          </cell>
          <cell r="J379">
            <v>303</v>
          </cell>
          <cell r="K379">
            <v>303</v>
          </cell>
          <cell r="L379">
            <v>293</v>
          </cell>
          <cell r="M379">
            <v>293</v>
          </cell>
          <cell r="N379">
            <v>29854400</v>
          </cell>
          <cell r="O379">
            <v>11887398</v>
          </cell>
          <cell r="P379">
            <v>12230898</v>
          </cell>
          <cell r="Q379">
            <v>11827238</v>
          </cell>
          <cell r="R379">
            <v>18770837</v>
          </cell>
          <cell r="S379" t="str">
            <v>*</v>
          </cell>
          <cell r="T379" t="str">
            <v xml:space="preserve"> </v>
          </cell>
          <cell r="U379">
            <v>303</v>
          </cell>
          <cell r="V379">
            <v>11887398</v>
          </cell>
          <cell r="W379">
            <v>293</v>
          </cell>
          <cell r="X379">
            <v>11827238</v>
          </cell>
          <cell r="Y379">
            <v>96.7</v>
          </cell>
          <cell r="Z379">
            <v>99.49</v>
          </cell>
          <cell r="AA379">
            <v>121098</v>
          </cell>
          <cell r="AB379">
            <v>11706140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10</v>
          </cell>
          <cell r="AN379">
            <v>807320</v>
          </cell>
          <cell r="AO379">
            <v>37318</v>
          </cell>
          <cell r="AP379">
            <v>40366</v>
          </cell>
          <cell r="AQ379">
            <v>198000</v>
          </cell>
          <cell r="AR379">
            <v>119000</v>
          </cell>
          <cell r="AS379">
            <v>5.05</v>
          </cell>
          <cell r="AT379">
            <v>59994000</v>
          </cell>
          <cell r="AU379">
            <v>2.4500000000000002</v>
          </cell>
          <cell r="AV379">
            <v>297000</v>
          </cell>
          <cell r="AW379">
            <v>1.58</v>
          </cell>
          <cell r="AX379">
            <v>18473837</v>
          </cell>
          <cell r="AY379">
            <v>96.7</v>
          </cell>
          <cell r="AZ379">
            <v>0</v>
          </cell>
          <cell r="BA379">
            <v>3</v>
          </cell>
          <cell r="BB379">
            <v>290</v>
          </cell>
          <cell r="BC379">
            <v>145</v>
          </cell>
          <cell r="BD379">
            <v>148</v>
          </cell>
          <cell r="BE379">
            <v>0</v>
          </cell>
          <cell r="BF379">
            <v>113</v>
          </cell>
          <cell r="BG379">
            <v>1</v>
          </cell>
          <cell r="BH379">
            <v>1</v>
          </cell>
          <cell r="BI379">
            <v>0</v>
          </cell>
          <cell r="BJ379">
            <v>0</v>
          </cell>
          <cell r="BK379">
            <v>0</v>
          </cell>
          <cell r="BL379">
            <v>-3</v>
          </cell>
          <cell r="BM379">
            <v>3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2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2</v>
          </cell>
          <cell r="DL379">
            <v>0</v>
          </cell>
          <cell r="DM379">
            <v>5</v>
          </cell>
          <cell r="DN379">
            <v>5</v>
          </cell>
          <cell r="DO379">
            <v>1</v>
          </cell>
          <cell r="DP379">
            <v>-1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1</v>
          </cell>
          <cell r="DV379">
            <v>-1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155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155</v>
          </cell>
          <cell r="EG379">
            <v>0</v>
          </cell>
          <cell r="EH379">
            <v>131</v>
          </cell>
          <cell r="EI379">
            <v>2</v>
          </cell>
          <cell r="EJ379">
            <v>129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 t="str">
            <v xml:space="preserve">GOOSE DOWN LINNER JACKET                                    </v>
          </cell>
        </row>
        <row r="380">
          <cell r="A380" t="str">
            <v>CN4YL3882010</v>
          </cell>
          <cell r="B380" t="str">
            <v>CN4</v>
          </cell>
          <cell r="C380" t="str">
            <v>YL3882</v>
          </cell>
          <cell r="D380">
            <v>10</v>
          </cell>
          <cell r="E380" t="str">
            <v xml:space="preserve">   </v>
          </cell>
          <cell r="F380">
            <v>81024</v>
          </cell>
          <cell r="G380">
            <v>81024</v>
          </cell>
          <cell r="H380">
            <v>0</v>
          </cell>
          <cell r="I380">
            <v>400</v>
          </cell>
          <cell r="J380">
            <v>398</v>
          </cell>
          <cell r="K380">
            <v>217</v>
          </cell>
          <cell r="L380">
            <v>187</v>
          </cell>
          <cell r="M380">
            <v>187</v>
          </cell>
          <cell r="N380">
            <v>59460000</v>
          </cell>
          <cell r="O380">
            <v>59200112</v>
          </cell>
          <cell r="P380">
            <v>32277448</v>
          </cell>
          <cell r="Q380">
            <v>27815128</v>
          </cell>
          <cell r="R380">
            <v>105779100</v>
          </cell>
          <cell r="S380" t="str">
            <v xml:space="preserve"> </v>
          </cell>
          <cell r="T380" t="str">
            <v xml:space="preserve"> </v>
          </cell>
          <cell r="U380">
            <v>398</v>
          </cell>
          <cell r="V380">
            <v>59200112</v>
          </cell>
          <cell r="W380">
            <v>187</v>
          </cell>
          <cell r="X380">
            <v>27815128</v>
          </cell>
          <cell r="Y380">
            <v>46.98</v>
          </cell>
          <cell r="Z380">
            <v>46.98</v>
          </cell>
          <cell r="AA380">
            <v>27815128</v>
          </cell>
          <cell r="AB380">
            <v>0</v>
          </cell>
          <cell r="AC380">
            <v>181</v>
          </cell>
          <cell r="AD380">
            <v>26922664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30</v>
          </cell>
          <cell r="AN380">
            <v>36293536</v>
          </cell>
          <cell r="AO380">
            <v>148650</v>
          </cell>
          <cell r="AP380">
            <v>148744</v>
          </cell>
          <cell r="AQ380">
            <v>638000</v>
          </cell>
          <cell r="AR380">
            <v>0</v>
          </cell>
          <cell r="AS380">
            <v>4.29</v>
          </cell>
          <cell r="AT380">
            <v>253924000</v>
          </cell>
          <cell r="AU380">
            <v>3.8</v>
          </cell>
          <cell r="AV380">
            <v>105779100</v>
          </cell>
          <cell r="AW380">
            <v>0</v>
          </cell>
          <cell r="AX380">
            <v>0</v>
          </cell>
          <cell r="AY380">
            <v>46.98</v>
          </cell>
          <cell r="AZ380">
            <v>0</v>
          </cell>
          <cell r="BA380">
            <v>187</v>
          </cell>
          <cell r="BB380">
            <v>0</v>
          </cell>
          <cell r="BC380">
            <v>187</v>
          </cell>
          <cell r="BD380">
            <v>0</v>
          </cell>
          <cell r="BE380">
            <v>0</v>
          </cell>
          <cell r="BF380">
            <v>21</v>
          </cell>
          <cell r="BG380">
            <v>1</v>
          </cell>
          <cell r="BH380">
            <v>1</v>
          </cell>
          <cell r="BI380">
            <v>48</v>
          </cell>
          <cell r="BJ380">
            <v>3</v>
          </cell>
          <cell r="BK380">
            <v>13</v>
          </cell>
          <cell r="BL380">
            <v>18</v>
          </cell>
          <cell r="BM380">
            <v>5</v>
          </cell>
          <cell r="BN380">
            <v>9</v>
          </cell>
          <cell r="BO380">
            <v>0</v>
          </cell>
          <cell r="BP380">
            <v>3</v>
          </cell>
          <cell r="BQ380">
            <v>2</v>
          </cell>
          <cell r="BR380">
            <v>4</v>
          </cell>
          <cell r="BS380">
            <v>-2</v>
          </cell>
          <cell r="BT380">
            <v>-1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6</v>
          </cell>
          <cell r="DU380">
            <v>0</v>
          </cell>
          <cell r="DV380">
            <v>0</v>
          </cell>
          <cell r="DW380">
            <v>0</v>
          </cell>
          <cell r="DX380">
            <v>5</v>
          </cell>
          <cell r="DY380">
            <v>1</v>
          </cell>
          <cell r="DZ380">
            <v>0</v>
          </cell>
          <cell r="EA380">
            <v>75</v>
          </cell>
          <cell r="EB380">
            <v>8</v>
          </cell>
          <cell r="EC380">
            <v>9</v>
          </cell>
          <cell r="ED380">
            <v>15</v>
          </cell>
          <cell r="EE380">
            <v>21</v>
          </cell>
          <cell r="EF380">
            <v>22</v>
          </cell>
          <cell r="EG380">
            <v>0</v>
          </cell>
          <cell r="EH380">
            <v>55</v>
          </cell>
          <cell r="EI380">
            <v>10</v>
          </cell>
          <cell r="EJ380">
            <v>13</v>
          </cell>
          <cell r="EK380">
            <v>10</v>
          </cell>
          <cell r="EL380">
            <v>20</v>
          </cell>
          <cell r="EM380">
            <v>2</v>
          </cell>
          <cell r="EN380">
            <v>0</v>
          </cell>
          <cell r="EO380" t="str">
            <v xml:space="preserve">Womans Mt. Carmel Down Jacket                               </v>
          </cell>
        </row>
        <row r="381">
          <cell r="A381" t="str">
            <v>CN4YL3883345</v>
          </cell>
          <cell r="B381" t="str">
            <v>CN4</v>
          </cell>
          <cell r="C381" t="str">
            <v>YL3883</v>
          </cell>
          <cell r="D381">
            <v>345</v>
          </cell>
          <cell r="E381" t="str">
            <v xml:space="preserve">   </v>
          </cell>
          <cell r="F381">
            <v>81101</v>
          </cell>
          <cell r="G381">
            <v>81030</v>
          </cell>
          <cell r="H381">
            <v>0</v>
          </cell>
          <cell r="I381">
            <v>400</v>
          </cell>
          <cell r="J381">
            <v>406</v>
          </cell>
          <cell r="K381">
            <v>405</v>
          </cell>
          <cell r="L381">
            <v>105</v>
          </cell>
          <cell r="M381">
            <v>105</v>
          </cell>
          <cell r="N381">
            <v>30260000</v>
          </cell>
          <cell r="O381">
            <v>30746380</v>
          </cell>
          <cell r="P381">
            <v>30671810</v>
          </cell>
          <cell r="Q381">
            <v>7951660</v>
          </cell>
          <cell r="R381">
            <v>38791952</v>
          </cell>
          <cell r="S381" t="str">
            <v xml:space="preserve"> </v>
          </cell>
          <cell r="T381" t="str">
            <v xml:space="preserve"> </v>
          </cell>
          <cell r="U381">
            <v>406</v>
          </cell>
          <cell r="V381">
            <v>30746380</v>
          </cell>
          <cell r="W381">
            <v>105</v>
          </cell>
          <cell r="X381">
            <v>7951660</v>
          </cell>
          <cell r="Y381">
            <v>26.6</v>
          </cell>
          <cell r="Z381">
            <v>27.34</v>
          </cell>
          <cell r="AA381">
            <v>7951660</v>
          </cell>
          <cell r="AB381">
            <v>0</v>
          </cell>
          <cell r="AC381">
            <v>1</v>
          </cell>
          <cell r="AD381">
            <v>75730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</v>
          </cell>
          <cell r="AL381">
            <v>454380</v>
          </cell>
          <cell r="AM381">
            <v>297</v>
          </cell>
          <cell r="AN381">
            <v>46195300</v>
          </cell>
          <cell r="AO381">
            <v>75650</v>
          </cell>
          <cell r="AP381">
            <v>75730</v>
          </cell>
          <cell r="AQ381">
            <v>398000</v>
          </cell>
          <cell r="AR381">
            <v>0</v>
          </cell>
          <cell r="AS381">
            <v>5.26</v>
          </cell>
          <cell r="AT381">
            <v>161588000</v>
          </cell>
          <cell r="AU381">
            <v>4.88</v>
          </cell>
          <cell r="AV381">
            <v>38791952</v>
          </cell>
          <cell r="AW381">
            <v>0</v>
          </cell>
          <cell r="AX381">
            <v>0</v>
          </cell>
          <cell r="AY381">
            <v>26.6</v>
          </cell>
          <cell r="AZ381">
            <v>0</v>
          </cell>
          <cell r="BA381">
            <v>105</v>
          </cell>
          <cell r="BB381">
            <v>0</v>
          </cell>
          <cell r="BC381">
            <v>105</v>
          </cell>
          <cell r="BD381">
            <v>0</v>
          </cell>
          <cell r="BE381">
            <v>0</v>
          </cell>
          <cell r="BF381">
            <v>23</v>
          </cell>
          <cell r="BG381">
            <v>1</v>
          </cell>
          <cell r="BH381">
            <v>1</v>
          </cell>
          <cell r="BI381">
            <v>49</v>
          </cell>
          <cell r="BJ381">
            <v>12</v>
          </cell>
          <cell r="BK381">
            <v>9</v>
          </cell>
          <cell r="BL381">
            <v>16</v>
          </cell>
          <cell r="BM381">
            <v>9</v>
          </cell>
          <cell r="BN381">
            <v>3</v>
          </cell>
          <cell r="BO381">
            <v>0</v>
          </cell>
          <cell r="BP381">
            <v>15</v>
          </cell>
          <cell r="BQ381">
            <v>1</v>
          </cell>
          <cell r="BR381">
            <v>3</v>
          </cell>
          <cell r="BS381">
            <v>1</v>
          </cell>
          <cell r="BT381">
            <v>7</v>
          </cell>
          <cell r="BU381">
            <v>3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1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1</v>
          </cell>
          <cell r="DZ381">
            <v>0</v>
          </cell>
          <cell r="EA381">
            <v>20</v>
          </cell>
          <cell r="EB381">
            <v>1</v>
          </cell>
          <cell r="EC381">
            <v>7</v>
          </cell>
          <cell r="ED381">
            <v>10</v>
          </cell>
          <cell r="EE381">
            <v>9</v>
          </cell>
          <cell r="EF381">
            <v>-7</v>
          </cell>
          <cell r="EG381">
            <v>0</v>
          </cell>
          <cell r="EH381">
            <v>20</v>
          </cell>
          <cell r="EI381">
            <v>-7</v>
          </cell>
          <cell r="EJ381">
            <v>5</v>
          </cell>
          <cell r="EK381">
            <v>3</v>
          </cell>
          <cell r="EL381">
            <v>13</v>
          </cell>
          <cell r="EM381">
            <v>6</v>
          </cell>
          <cell r="EN381">
            <v>0</v>
          </cell>
          <cell r="EO381" t="str">
            <v xml:space="preserve">WOMANS WATERBURY DOWN JACKET                                </v>
          </cell>
        </row>
        <row r="382">
          <cell r="A382" t="str">
            <v>CN4YL3883589</v>
          </cell>
          <cell r="B382" t="str">
            <v>CN4</v>
          </cell>
          <cell r="C382" t="str">
            <v>YL3883</v>
          </cell>
          <cell r="D382">
            <v>589</v>
          </cell>
          <cell r="E382" t="str">
            <v xml:space="preserve">   </v>
          </cell>
          <cell r="F382">
            <v>81023</v>
          </cell>
          <cell r="G382">
            <v>81024</v>
          </cell>
          <cell r="H382">
            <v>0</v>
          </cell>
          <cell r="I382">
            <v>1000</v>
          </cell>
          <cell r="J382">
            <v>998</v>
          </cell>
          <cell r="K382">
            <v>997</v>
          </cell>
          <cell r="L382">
            <v>648</v>
          </cell>
          <cell r="M382">
            <v>648</v>
          </cell>
          <cell r="N382">
            <v>75650000</v>
          </cell>
          <cell r="O382">
            <v>75583640</v>
          </cell>
          <cell r="P382">
            <v>75507520</v>
          </cell>
          <cell r="Q382">
            <v>49073180</v>
          </cell>
          <cell r="R382">
            <v>239891491</v>
          </cell>
          <cell r="S382" t="str">
            <v xml:space="preserve"> </v>
          </cell>
          <cell r="T382" t="str">
            <v xml:space="preserve"> </v>
          </cell>
          <cell r="U382">
            <v>998</v>
          </cell>
          <cell r="V382">
            <v>75583640</v>
          </cell>
          <cell r="W382">
            <v>648</v>
          </cell>
          <cell r="X382">
            <v>49073180</v>
          </cell>
          <cell r="Y382">
            <v>65.03</v>
          </cell>
          <cell r="Z382">
            <v>65.23</v>
          </cell>
          <cell r="AA382">
            <v>48997450</v>
          </cell>
          <cell r="AB382">
            <v>75730</v>
          </cell>
          <cell r="AC382">
            <v>1</v>
          </cell>
          <cell r="AD382">
            <v>75730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>
            <v>227190</v>
          </cell>
          <cell r="AM382">
            <v>348</v>
          </cell>
          <cell r="AN382">
            <v>54146950</v>
          </cell>
          <cell r="AO382">
            <v>75650</v>
          </cell>
          <cell r="AP382">
            <v>75730</v>
          </cell>
          <cell r="AQ382">
            <v>398000</v>
          </cell>
          <cell r="AR382">
            <v>0</v>
          </cell>
          <cell r="AS382">
            <v>5.26</v>
          </cell>
          <cell r="AT382">
            <v>397204000</v>
          </cell>
          <cell r="AU382">
            <v>4.9000000000000004</v>
          </cell>
          <cell r="AV382">
            <v>239884632</v>
          </cell>
          <cell r="AW382">
            <v>0.09</v>
          </cell>
          <cell r="AX382">
            <v>6859</v>
          </cell>
          <cell r="AY382">
            <v>65.03</v>
          </cell>
          <cell r="AZ382">
            <v>0</v>
          </cell>
          <cell r="BA382">
            <v>647</v>
          </cell>
          <cell r="BB382">
            <v>1</v>
          </cell>
          <cell r="BC382">
            <v>648</v>
          </cell>
          <cell r="BD382">
            <v>0</v>
          </cell>
          <cell r="BE382">
            <v>0</v>
          </cell>
          <cell r="BF382">
            <v>73</v>
          </cell>
          <cell r="BG382">
            <v>0</v>
          </cell>
          <cell r="BH382">
            <v>1</v>
          </cell>
          <cell r="BI382">
            <v>181</v>
          </cell>
          <cell r="BJ382">
            <v>37</v>
          </cell>
          <cell r="BK382">
            <v>50</v>
          </cell>
          <cell r="BL382">
            <v>49</v>
          </cell>
          <cell r="BM382">
            <v>27</v>
          </cell>
          <cell r="BN382">
            <v>18</v>
          </cell>
          <cell r="BO382">
            <v>0</v>
          </cell>
          <cell r="BP382">
            <v>19</v>
          </cell>
          <cell r="BQ382">
            <v>-5</v>
          </cell>
          <cell r="BR382">
            <v>6</v>
          </cell>
          <cell r="BS382">
            <v>8</v>
          </cell>
          <cell r="BT382">
            <v>12</v>
          </cell>
          <cell r="BU382">
            <v>-2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14</v>
          </cell>
          <cell r="DU382">
            <v>0</v>
          </cell>
          <cell r="DV382">
            <v>0</v>
          </cell>
          <cell r="DW382">
            <v>0</v>
          </cell>
          <cell r="DX382">
            <v>3</v>
          </cell>
          <cell r="DY382">
            <v>11</v>
          </cell>
          <cell r="DZ382">
            <v>0</v>
          </cell>
          <cell r="EA382">
            <v>184</v>
          </cell>
          <cell r="EB382">
            <v>10</v>
          </cell>
          <cell r="EC382">
            <v>31</v>
          </cell>
          <cell r="ED382">
            <v>21</v>
          </cell>
          <cell r="EE382">
            <v>66</v>
          </cell>
          <cell r="EF382">
            <v>56</v>
          </cell>
          <cell r="EG382">
            <v>0</v>
          </cell>
          <cell r="EH382">
            <v>250</v>
          </cell>
          <cell r="EI382">
            <v>54</v>
          </cell>
          <cell r="EJ382">
            <v>52</v>
          </cell>
          <cell r="EK382">
            <v>54</v>
          </cell>
          <cell r="EL382">
            <v>67</v>
          </cell>
          <cell r="EM382">
            <v>23</v>
          </cell>
          <cell r="EN382">
            <v>0</v>
          </cell>
          <cell r="EO382" t="str">
            <v xml:space="preserve">WOMANS WATERBURY DOWN JACKET                                </v>
          </cell>
        </row>
        <row r="383">
          <cell r="A383" t="str">
            <v>CN4YL3883979</v>
          </cell>
          <cell r="B383" t="str">
            <v>CN4</v>
          </cell>
          <cell r="C383" t="str">
            <v>YL3883</v>
          </cell>
          <cell r="D383">
            <v>979</v>
          </cell>
          <cell r="E383" t="str">
            <v xml:space="preserve">   </v>
          </cell>
          <cell r="F383">
            <v>81028</v>
          </cell>
          <cell r="G383">
            <v>81029</v>
          </cell>
          <cell r="H383">
            <v>0</v>
          </cell>
          <cell r="I383">
            <v>800</v>
          </cell>
          <cell r="J383">
            <v>725</v>
          </cell>
          <cell r="K383">
            <v>725</v>
          </cell>
          <cell r="L383">
            <v>694</v>
          </cell>
          <cell r="M383">
            <v>694</v>
          </cell>
          <cell r="N383">
            <v>60520000</v>
          </cell>
          <cell r="O383">
            <v>54906650</v>
          </cell>
          <cell r="P383">
            <v>54908080</v>
          </cell>
          <cell r="Q383">
            <v>52556620</v>
          </cell>
          <cell r="R383">
            <v>253774580</v>
          </cell>
          <cell r="S383" t="str">
            <v xml:space="preserve"> </v>
          </cell>
          <cell r="T383" t="str">
            <v xml:space="preserve"> </v>
          </cell>
          <cell r="U383">
            <v>725</v>
          </cell>
          <cell r="V383">
            <v>54906650</v>
          </cell>
          <cell r="W383">
            <v>694</v>
          </cell>
          <cell r="X383">
            <v>52556620</v>
          </cell>
          <cell r="Y383">
            <v>96</v>
          </cell>
          <cell r="Z383">
            <v>96.13</v>
          </cell>
          <cell r="AA383">
            <v>52556620</v>
          </cell>
          <cell r="AB383">
            <v>0</v>
          </cell>
          <cell r="AC383">
            <v>0</v>
          </cell>
          <cell r="AD383">
            <v>75730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2</v>
          </cell>
          <cell r="AL383">
            <v>227190</v>
          </cell>
          <cell r="AM383">
            <v>29</v>
          </cell>
          <cell r="AN383">
            <v>3256390</v>
          </cell>
          <cell r="AO383">
            <v>75650</v>
          </cell>
          <cell r="AP383">
            <v>75730</v>
          </cell>
          <cell r="AQ383">
            <v>398000</v>
          </cell>
          <cell r="AR383">
            <v>0</v>
          </cell>
          <cell r="AS383">
            <v>5.26</v>
          </cell>
          <cell r="AT383">
            <v>288550000</v>
          </cell>
          <cell r="AU383">
            <v>4.83</v>
          </cell>
          <cell r="AV383">
            <v>253774580</v>
          </cell>
          <cell r="AW383">
            <v>0</v>
          </cell>
          <cell r="AX383">
            <v>0</v>
          </cell>
          <cell r="AY383">
            <v>96</v>
          </cell>
          <cell r="AZ383">
            <v>0</v>
          </cell>
          <cell r="BA383">
            <v>694</v>
          </cell>
          <cell r="BB383">
            <v>0</v>
          </cell>
          <cell r="BC383">
            <v>694</v>
          </cell>
          <cell r="BD383">
            <v>0</v>
          </cell>
          <cell r="BE383">
            <v>0</v>
          </cell>
          <cell r="BF383">
            <v>33</v>
          </cell>
          <cell r="BG383">
            <v>0</v>
          </cell>
          <cell r="BH383">
            <v>1</v>
          </cell>
          <cell r="BI383">
            <v>53</v>
          </cell>
          <cell r="BJ383">
            <v>5</v>
          </cell>
          <cell r="BK383">
            <v>18</v>
          </cell>
          <cell r="BL383">
            <v>5</v>
          </cell>
          <cell r="BM383">
            <v>11</v>
          </cell>
          <cell r="BN383">
            <v>14</v>
          </cell>
          <cell r="BO383">
            <v>0</v>
          </cell>
          <cell r="BP383">
            <v>-15</v>
          </cell>
          <cell r="BQ383">
            <v>-1</v>
          </cell>
          <cell r="BR383">
            <v>-12</v>
          </cell>
          <cell r="BS383">
            <v>2</v>
          </cell>
          <cell r="BT383">
            <v>-1</v>
          </cell>
          <cell r="BU383">
            <v>-3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1</v>
          </cell>
          <cell r="DN383">
            <v>0</v>
          </cell>
          <cell r="DO383">
            <v>0</v>
          </cell>
          <cell r="DP383">
            <v>0</v>
          </cell>
          <cell r="DQ383">
            <v>1</v>
          </cell>
          <cell r="DR383">
            <v>0</v>
          </cell>
          <cell r="DS383">
            <v>0</v>
          </cell>
          <cell r="DT383">
            <v>8</v>
          </cell>
          <cell r="DU383">
            <v>-1</v>
          </cell>
          <cell r="DV383">
            <v>0</v>
          </cell>
          <cell r="DW383">
            <v>0</v>
          </cell>
          <cell r="DX383">
            <v>0</v>
          </cell>
          <cell r="DY383">
            <v>9</v>
          </cell>
          <cell r="DZ383">
            <v>0</v>
          </cell>
          <cell r="EA383">
            <v>430</v>
          </cell>
          <cell r="EB383">
            <v>26</v>
          </cell>
          <cell r="EC383">
            <v>63</v>
          </cell>
          <cell r="ED383">
            <v>66</v>
          </cell>
          <cell r="EE383">
            <v>130</v>
          </cell>
          <cell r="EF383">
            <v>145</v>
          </cell>
          <cell r="EG383">
            <v>0</v>
          </cell>
          <cell r="EH383">
            <v>217</v>
          </cell>
          <cell r="EI383">
            <v>82</v>
          </cell>
          <cell r="EJ383">
            <v>33</v>
          </cell>
          <cell r="EK383">
            <v>64</v>
          </cell>
          <cell r="EL383">
            <v>39</v>
          </cell>
          <cell r="EM383">
            <v>-1</v>
          </cell>
          <cell r="EN383">
            <v>0</v>
          </cell>
          <cell r="EO383" t="str">
            <v xml:space="preserve">WOMANS WATERBURY DOWN JACKET                                </v>
          </cell>
        </row>
        <row r="384">
          <cell r="A384" t="str">
            <v>CN4YL3884586</v>
          </cell>
          <cell r="B384" t="str">
            <v>CN4</v>
          </cell>
          <cell r="C384" t="str">
            <v>YL3884</v>
          </cell>
          <cell r="D384">
            <v>586</v>
          </cell>
          <cell r="E384" t="str">
            <v xml:space="preserve">   </v>
          </cell>
          <cell r="F384">
            <v>81023</v>
          </cell>
          <cell r="G384">
            <v>81024</v>
          </cell>
          <cell r="H384">
            <v>0</v>
          </cell>
          <cell r="I384">
            <v>700</v>
          </cell>
          <cell r="J384">
            <v>710</v>
          </cell>
          <cell r="K384">
            <v>710</v>
          </cell>
          <cell r="L384">
            <v>597</v>
          </cell>
          <cell r="M384">
            <v>597</v>
          </cell>
          <cell r="N384">
            <v>35805000</v>
          </cell>
          <cell r="O384">
            <v>36356970</v>
          </cell>
          <cell r="P384">
            <v>36356970</v>
          </cell>
          <cell r="Q384">
            <v>30570579</v>
          </cell>
          <cell r="R384">
            <v>142616798</v>
          </cell>
          <cell r="S384" t="str">
            <v xml:space="preserve"> </v>
          </cell>
          <cell r="T384" t="str">
            <v xml:space="preserve"> </v>
          </cell>
          <cell r="U384">
            <v>710</v>
          </cell>
          <cell r="V384">
            <v>36356970</v>
          </cell>
          <cell r="W384">
            <v>597</v>
          </cell>
          <cell r="X384">
            <v>30570579</v>
          </cell>
          <cell r="Y384">
            <v>84.37</v>
          </cell>
          <cell r="Z384">
            <v>84.65</v>
          </cell>
          <cell r="AA384">
            <v>30519372</v>
          </cell>
          <cell r="AB384">
            <v>51207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2</v>
          </cell>
          <cell r="AL384">
            <v>204828</v>
          </cell>
          <cell r="AM384">
            <v>111</v>
          </cell>
          <cell r="AN384">
            <v>13057785</v>
          </cell>
          <cell r="AO384">
            <v>51150</v>
          </cell>
          <cell r="AP384">
            <v>51207</v>
          </cell>
          <cell r="AQ384">
            <v>258000</v>
          </cell>
          <cell r="AR384">
            <v>0</v>
          </cell>
          <cell r="AS384">
            <v>5.04</v>
          </cell>
          <cell r="AT384">
            <v>183180000</v>
          </cell>
          <cell r="AU384">
            <v>4.67</v>
          </cell>
          <cell r="AV384">
            <v>142609939</v>
          </cell>
          <cell r="AW384">
            <v>0.13</v>
          </cell>
          <cell r="AX384">
            <v>6859</v>
          </cell>
          <cell r="AY384">
            <v>84.37</v>
          </cell>
          <cell r="AZ384">
            <v>0</v>
          </cell>
          <cell r="BA384">
            <v>596</v>
          </cell>
          <cell r="BB384">
            <v>1</v>
          </cell>
          <cell r="BC384">
            <v>597</v>
          </cell>
          <cell r="BD384">
            <v>0</v>
          </cell>
          <cell r="BE384">
            <v>0</v>
          </cell>
          <cell r="BF384">
            <v>67</v>
          </cell>
          <cell r="BG384">
            <v>1</v>
          </cell>
          <cell r="BH384">
            <v>1</v>
          </cell>
          <cell r="BI384">
            <v>116</v>
          </cell>
          <cell r="BJ384">
            <v>27</v>
          </cell>
          <cell r="BK384">
            <v>36</v>
          </cell>
          <cell r="BL384">
            <v>22</v>
          </cell>
          <cell r="BM384">
            <v>26</v>
          </cell>
          <cell r="BN384">
            <v>5</v>
          </cell>
          <cell r="BO384">
            <v>0</v>
          </cell>
          <cell r="BP384">
            <v>33</v>
          </cell>
          <cell r="BQ384">
            <v>0</v>
          </cell>
          <cell r="BR384">
            <v>21</v>
          </cell>
          <cell r="BS384">
            <v>7</v>
          </cell>
          <cell r="BT384">
            <v>5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41</v>
          </cell>
          <cell r="DU384">
            <v>0</v>
          </cell>
          <cell r="DV384">
            <v>0</v>
          </cell>
          <cell r="DW384">
            <v>0</v>
          </cell>
          <cell r="DX384">
            <v>19</v>
          </cell>
          <cell r="DY384">
            <v>22</v>
          </cell>
          <cell r="DZ384">
            <v>0</v>
          </cell>
          <cell r="EA384">
            <v>219</v>
          </cell>
          <cell r="EB384">
            <v>13</v>
          </cell>
          <cell r="EC384">
            <v>47</v>
          </cell>
          <cell r="ED384">
            <v>44</v>
          </cell>
          <cell r="EE384">
            <v>63</v>
          </cell>
          <cell r="EF384">
            <v>52</v>
          </cell>
          <cell r="EG384">
            <v>0</v>
          </cell>
          <cell r="EH384">
            <v>188</v>
          </cell>
          <cell r="EI384">
            <v>50</v>
          </cell>
          <cell r="EJ384">
            <v>50</v>
          </cell>
          <cell r="EK384">
            <v>41</v>
          </cell>
          <cell r="EL384">
            <v>36</v>
          </cell>
          <cell r="EM384">
            <v>11</v>
          </cell>
          <cell r="EN384">
            <v>0</v>
          </cell>
          <cell r="EO384" t="str">
            <v xml:space="preserve">WOMANS BASALT DOWN JACKET                                   </v>
          </cell>
        </row>
        <row r="385">
          <cell r="A385" t="str">
            <v>CN4YL3884759</v>
          </cell>
          <cell r="B385" t="str">
            <v>CN4</v>
          </cell>
          <cell r="C385" t="str">
            <v>YL3884</v>
          </cell>
          <cell r="D385">
            <v>759</v>
          </cell>
          <cell r="E385" t="str">
            <v xml:space="preserve">   </v>
          </cell>
          <cell r="F385">
            <v>81021</v>
          </cell>
          <cell r="G385">
            <v>81022</v>
          </cell>
          <cell r="H385">
            <v>0</v>
          </cell>
          <cell r="I385">
            <v>500</v>
          </cell>
          <cell r="J385">
            <v>502</v>
          </cell>
          <cell r="K385">
            <v>502</v>
          </cell>
          <cell r="L385">
            <v>251</v>
          </cell>
          <cell r="M385">
            <v>251</v>
          </cell>
          <cell r="N385">
            <v>25575000</v>
          </cell>
          <cell r="O385">
            <v>25705914</v>
          </cell>
          <cell r="P385">
            <v>25705914</v>
          </cell>
          <cell r="Q385">
            <v>12852957</v>
          </cell>
          <cell r="R385">
            <v>58309195</v>
          </cell>
          <cell r="S385" t="str">
            <v xml:space="preserve"> </v>
          </cell>
          <cell r="T385" t="str">
            <v xml:space="preserve"> </v>
          </cell>
          <cell r="U385">
            <v>502</v>
          </cell>
          <cell r="V385">
            <v>25705914</v>
          </cell>
          <cell r="W385">
            <v>251</v>
          </cell>
          <cell r="X385">
            <v>12852957</v>
          </cell>
          <cell r="Y385">
            <v>50.2</v>
          </cell>
          <cell r="Z385">
            <v>50.4</v>
          </cell>
          <cell r="AA385">
            <v>12852957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>
            <v>102414</v>
          </cell>
          <cell r="AM385">
            <v>250</v>
          </cell>
          <cell r="AN385">
            <v>26013156</v>
          </cell>
          <cell r="AO385">
            <v>51150</v>
          </cell>
          <cell r="AP385">
            <v>51207</v>
          </cell>
          <cell r="AQ385">
            <v>258000</v>
          </cell>
          <cell r="AR385">
            <v>0</v>
          </cell>
          <cell r="AS385">
            <v>5.04</v>
          </cell>
          <cell r="AT385">
            <v>129516000</v>
          </cell>
          <cell r="AU385">
            <v>4.54</v>
          </cell>
          <cell r="AV385">
            <v>58309195</v>
          </cell>
          <cell r="AW385">
            <v>0</v>
          </cell>
          <cell r="AX385">
            <v>0</v>
          </cell>
          <cell r="AY385">
            <v>50.2</v>
          </cell>
          <cell r="AZ385">
            <v>0</v>
          </cell>
          <cell r="BA385">
            <v>251</v>
          </cell>
          <cell r="BB385">
            <v>0</v>
          </cell>
          <cell r="BC385">
            <v>251</v>
          </cell>
          <cell r="BD385">
            <v>0</v>
          </cell>
          <cell r="BE385">
            <v>0</v>
          </cell>
          <cell r="BF385">
            <v>40</v>
          </cell>
          <cell r="BG385">
            <v>0</v>
          </cell>
          <cell r="BH385">
            <v>1</v>
          </cell>
          <cell r="BI385">
            <v>54</v>
          </cell>
          <cell r="BJ385">
            <v>11</v>
          </cell>
          <cell r="BK385">
            <v>11</v>
          </cell>
          <cell r="BL385">
            <v>17</v>
          </cell>
          <cell r="BM385">
            <v>13</v>
          </cell>
          <cell r="BN385">
            <v>2</v>
          </cell>
          <cell r="BO385">
            <v>0</v>
          </cell>
          <cell r="BP385">
            <v>8</v>
          </cell>
          <cell r="BQ385">
            <v>-1</v>
          </cell>
          <cell r="BR385">
            <v>3</v>
          </cell>
          <cell r="BS385">
            <v>8</v>
          </cell>
          <cell r="BT385">
            <v>1</v>
          </cell>
          <cell r="BU385">
            <v>-3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26</v>
          </cell>
          <cell r="DU385">
            <v>0</v>
          </cell>
          <cell r="DV385">
            <v>0</v>
          </cell>
          <cell r="DW385">
            <v>0</v>
          </cell>
          <cell r="DX385">
            <v>21</v>
          </cell>
          <cell r="DY385">
            <v>5</v>
          </cell>
          <cell r="DZ385">
            <v>0</v>
          </cell>
          <cell r="EA385">
            <v>69</v>
          </cell>
          <cell r="EB385">
            <v>1</v>
          </cell>
          <cell r="EC385">
            <v>3</v>
          </cell>
          <cell r="ED385">
            <v>27</v>
          </cell>
          <cell r="EE385">
            <v>14</v>
          </cell>
          <cell r="EF385">
            <v>24</v>
          </cell>
          <cell r="EG385">
            <v>0</v>
          </cell>
          <cell r="EH385">
            <v>94</v>
          </cell>
          <cell r="EI385">
            <v>10</v>
          </cell>
          <cell r="EJ385">
            <v>15</v>
          </cell>
          <cell r="EK385">
            <v>27</v>
          </cell>
          <cell r="EL385">
            <v>19</v>
          </cell>
          <cell r="EM385">
            <v>23</v>
          </cell>
          <cell r="EN385">
            <v>0</v>
          </cell>
          <cell r="EO385" t="str">
            <v xml:space="preserve">WOMANS BASALT DOWN JACKET                                   </v>
          </cell>
        </row>
        <row r="386">
          <cell r="A386" t="str">
            <v>CN4YL5852452</v>
          </cell>
          <cell r="B386" t="str">
            <v>CN4</v>
          </cell>
          <cell r="C386" t="str">
            <v>YL5852</v>
          </cell>
          <cell r="D386">
            <v>452</v>
          </cell>
          <cell r="E386" t="str">
            <v xml:space="preserve">   </v>
          </cell>
          <cell r="F386">
            <v>81106</v>
          </cell>
          <cell r="G386">
            <v>0</v>
          </cell>
          <cell r="H386">
            <v>0</v>
          </cell>
          <cell r="I386">
            <v>400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15260000</v>
          </cell>
          <cell r="O386">
            <v>0</v>
          </cell>
          <cell r="P386">
            <v>0</v>
          </cell>
          <cell r="Q386">
            <v>0</v>
          </cell>
          <cell r="R386">
            <v>-9250</v>
          </cell>
          <cell r="S386" t="str">
            <v xml:space="preserve"> </v>
          </cell>
          <cell r="T386" t="str">
            <v>C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38150</v>
          </cell>
          <cell r="AP386">
            <v>38150</v>
          </cell>
          <cell r="AQ386">
            <v>185000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-9250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1</v>
          </cell>
          <cell r="BH386">
            <v>1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0</v>
          </cell>
          <cell r="ED386">
            <v>-1</v>
          </cell>
          <cell r="EE386">
            <v>0</v>
          </cell>
          <cell r="EF386">
            <v>1</v>
          </cell>
          <cell r="EG386">
            <v>0</v>
          </cell>
          <cell r="EH386">
            <v>-1</v>
          </cell>
          <cell r="EI386">
            <v>-2</v>
          </cell>
          <cell r="EJ386">
            <v>0</v>
          </cell>
          <cell r="EK386">
            <v>1</v>
          </cell>
          <cell r="EL386">
            <v>0</v>
          </cell>
          <cell r="EM386">
            <v>0</v>
          </cell>
          <cell r="EN386">
            <v>0</v>
          </cell>
          <cell r="EO386" t="str">
            <v xml:space="preserve">WOMANS HIGHWOOD JACKET                                      </v>
          </cell>
        </row>
        <row r="387">
          <cell r="A387" t="str">
            <v>CN4YL5852552</v>
          </cell>
          <cell r="B387" t="str">
            <v>CN4</v>
          </cell>
          <cell r="C387" t="str">
            <v>YL5852</v>
          </cell>
          <cell r="D387">
            <v>552</v>
          </cell>
          <cell r="E387" t="str">
            <v xml:space="preserve">   </v>
          </cell>
          <cell r="F387">
            <v>81106</v>
          </cell>
          <cell r="G387">
            <v>0</v>
          </cell>
          <cell r="H387">
            <v>0</v>
          </cell>
          <cell r="I387">
            <v>600</v>
          </cell>
          <cell r="J387">
            <v>0</v>
          </cell>
          <cell r="K387">
            <v>0</v>
          </cell>
          <cell r="L387">
            <v>-1</v>
          </cell>
          <cell r="M387">
            <v>-1</v>
          </cell>
          <cell r="N387">
            <v>22890000</v>
          </cell>
          <cell r="O387">
            <v>0</v>
          </cell>
          <cell r="P387">
            <v>0</v>
          </cell>
          <cell r="Q387">
            <v>-38150</v>
          </cell>
          <cell r="R387">
            <v>-254250</v>
          </cell>
          <cell r="S387" t="str">
            <v xml:space="preserve"> </v>
          </cell>
          <cell r="T387" t="str">
            <v>C</v>
          </cell>
          <cell r="U387">
            <v>0</v>
          </cell>
          <cell r="V387">
            <v>0</v>
          </cell>
          <cell r="W387">
            <v>-1</v>
          </cell>
          <cell r="X387">
            <v>-38150</v>
          </cell>
          <cell r="Y387">
            <v>0</v>
          </cell>
          <cell r="Z387">
            <v>0</v>
          </cell>
          <cell r="AA387">
            <v>-38150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1</v>
          </cell>
          <cell r="AN387">
            <v>76300</v>
          </cell>
          <cell r="AO387">
            <v>38150</v>
          </cell>
          <cell r="AP387">
            <v>38150</v>
          </cell>
          <cell r="AQ387">
            <v>185000</v>
          </cell>
          <cell r="AR387">
            <v>0</v>
          </cell>
          <cell r="AS387">
            <v>0</v>
          </cell>
          <cell r="AT387">
            <v>0</v>
          </cell>
          <cell r="AU387">
            <v>6.66</v>
          </cell>
          <cell r="AV387">
            <v>-254250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-1</v>
          </cell>
          <cell r="BB387">
            <v>0</v>
          </cell>
          <cell r="BC387">
            <v>-1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1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1</v>
          </cell>
          <cell r="ED387">
            <v>-1</v>
          </cell>
          <cell r="EE387">
            <v>0</v>
          </cell>
          <cell r="EF387">
            <v>0</v>
          </cell>
          <cell r="EG387">
            <v>0</v>
          </cell>
          <cell r="EH387">
            <v>-1</v>
          </cell>
          <cell r="EI387">
            <v>0</v>
          </cell>
          <cell r="EJ387">
            <v>-1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 t="str">
            <v xml:space="preserve">WOMANS HIGHWOOD JACKET                                      </v>
          </cell>
        </row>
        <row r="388">
          <cell r="A388" t="str">
            <v>CN4YL5852855</v>
          </cell>
          <cell r="B388" t="str">
            <v>CN4</v>
          </cell>
          <cell r="C388" t="str">
            <v>YL5852</v>
          </cell>
          <cell r="D388">
            <v>855</v>
          </cell>
          <cell r="E388" t="str">
            <v xml:space="preserve">   </v>
          </cell>
          <cell r="F388">
            <v>81106</v>
          </cell>
          <cell r="G388">
            <v>0</v>
          </cell>
          <cell r="H388">
            <v>0</v>
          </cell>
          <cell r="I388">
            <v>300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11445000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 t="str">
            <v xml:space="preserve"> </v>
          </cell>
          <cell r="T388" t="str">
            <v>C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38150</v>
          </cell>
          <cell r="AP388">
            <v>38150</v>
          </cell>
          <cell r="AQ388">
            <v>185000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1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1</v>
          </cell>
          <cell r="EC388">
            <v>0</v>
          </cell>
          <cell r="ED388">
            <v>-1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 t="str">
            <v xml:space="preserve">WOMANS HIGHWOOD JACKET                                      </v>
          </cell>
        </row>
        <row r="389">
          <cell r="A389" t="str">
            <v>CN4YL6868139</v>
          </cell>
          <cell r="B389" t="str">
            <v>CN4</v>
          </cell>
          <cell r="C389" t="str">
            <v>YL6868</v>
          </cell>
          <cell r="D389">
            <v>139</v>
          </cell>
          <cell r="E389" t="str">
            <v xml:space="preserve">   </v>
          </cell>
          <cell r="F389">
            <v>81002</v>
          </cell>
          <cell r="G389">
            <v>81002</v>
          </cell>
          <cell r="H389">
            <v>0</v>
          </cell>
          <cell r="I389">
            <v>800</v>
          </cell>
          <cell r="J389">
            <v>789</v>
          </cell>
          <cell r="K389">
            <v>789</v>
          </cell>
          <cell r="L389">
            <v>534</v>
          </cell>
          <cell r="M389">
            <v>534</v>
          </cell>
          <cell r="N389">
            <v>14120000</v>
          </cell>
          <cell r="O389">
            <v>13930584</v>
          </cell>
          <cell r="P389">
            <v>13930584</v>
          </cell>
          <cell r="Q389">
            <v>9428304</v>
          </cell>
          <cell r="R389">
            <v>43147310</v>
          </cell>
          <cell r="S389" t="str">
            <v xml:space="preserve"> </v>
          </cell>
          <cell r="T389" t="str">
            <v xml:space="preserve"> </v>
          </cell>
          <cell r="U389">
            <v>789</v>
          </cell>
          <cell r="V389">
            <v>13930584</v>
          </cell>
          <cell r="W389">
            <v>534</v>
          </cell>
          <cell r="X389">
            <v>9428304</v>
          </cell>
          <cell r="Y389">
            <v>67.680000000000007</v>
          </cell>
          <cell r="Z389">
            <v>67.55</v>
          </cell>
          <cell r="AA389">
            <v>9322368</v>
          </cell>
          <cell r="AB389">
            <v>105936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-17656</v>
          </cell>
          <cell r="AM389">
            <v>255</v>
          </cell>
          <cell r="AN389">
            <v>9498928</v>
          </cell>
          <cell r="AO389">
            <v>17650</v>
          </cell>
          <cell r="AP389">
            <v>17656</v>
          </cell>
          <cell r="AQ389">
            <v>89000</v>
          </cell>
          <cell r="AR389">
            <v>0</v>
          </cell>
          <cell r="AS389">
            <v>5.04</v>
          </cell>
          <cell r="AT389">
            <v>70221000</v>
          </cell>
          <cell r="AU389">
            <v>4.62</v>
          </cell>
          <cell r="AV389">
            <v>43106156</v>
          </cell>
          <cell r="AW389">
            <v>0.39</v>
          </cell>
          <cell r="AX389">
            <v>41154</v>
          </cell>
          <cell r="AY389">
            <v>67.680000000000007</v>
          </cell>
          <cell r="AZ389">
            <v>0</v>
          </cell>
          <cell r="BA389">
            <v>528</v>
          </cell>
          <cell r="BB389">
            <v>6</v>
          </cell>
          <cell r="BC389">
            <v>534</v>
          </cell>
          <cell r="BD389">
            <v>0</v>
          </cell>
          <cell r="BE389">
            <v>0</v>
          </cell>
          <cell r="BF389">
            <v>43</v>
          </cell>
          <cell r="BG389">
            <v>1</v>
          </cell>
          <cell r="BH389">
            <v>1</v>
          </cell>
          <cell r="BI389">
            <v>32</v>
          </cell>
          <cell r="BJ389">
            <v>6</v>
          </cell>
          <cell r="BK389">
            <v>8</v>
          </cell>
          <cell r="BL389">
            <v>5</v>
          </cell>
          <cell r="BM389">
            <v>9</v>
          </cell>
          <cell r="BN389">
            <v>4</v>
          </cell>
          <cell r="BO389">
            <v>0</v>
          </cell>
          <cell r="BP389">
            <v>27</v>
          </cell>
          <cell r="BQ389">
            <v>0</v>
          </cell>
          <cell r="BR389">
            <v>10</v>
          </cell>
          <cell r="BS389">
            <v>9</v>
          </cell>
          <cell r="BT389">
            <v>8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235</v>
          </cell>
          <cell r="DU389">
            <v>22</v>
          </cell>
          <cell r="DV389">
            <v>58</v>
          </cell>
          <cell r="DW389">
            <v>53</v>
          </cell>
          <cell r="DX389">
            <v>66</v>
          </cell>
          <cell r="DY389">
            <v>36</v>
          </cell>
          <cell r="DZ389">
            <v>0</v>
          </cell>
          <cell r="EA389">
            <v>129</v>
          </cell>
          <cell r="EB389">
            <v>13</v>
          </cell>
          <cell r="EC389">
            <v>49</v>
          </cell>
          <cell r="ED389">
            <v>26</v>
          </cell>
          <cell r="EE389">
            <v>21</v>
          </cell>
          <cell r="EF389">
            <v>20</v>
          </cell>
          <cell r="EG389">
            <v>0</v>
          </cell>
          <cell r="EH389">
            <v>111</v>
          </cell>
          <cell r="EI389">
            <v>69</v>
          </cell>
          <cell r="EJ389">
            <v>13</v>
          </cell>
          <cell r="EK389">
            <v>10</v>
          </cell>
          <cell r="EL389">
            <v>14</v>
          </cell>
          <cell r="EM389">
            <v>5</v>
          </cell>
          <cell r="EN389">
            <v>0</v>
          </cell>
          <cell r="EO389" t="str">
            <v xml:space="preserve">Womens Somers                                               </v>
          </cell>
        </row>
        <row r="390">
          <cell r="A390" t="str">
            <v>CN4YL6868221</v>
          </cell>
          <cell r="B390" t="str">
            <v>CN4</v>
          </cell>
          <cell r="C390" t="str">
            <v>YL6868</v>
          </cell>
          <cell r="D390">
            <v>221</v>
          </cell>
          <cell r="E390" t="str">
            <v xml:space="preserve">   </v>
          </cell>
          <cell r="F390">
            <v>81007</v>
          </cell>
          <cell r="G390">
            <v>81007</v>
          </cell>
          <cell r="H390">
            <v>0</v>
          </cell>
          <cell r="I390">
            <v>600</v>
          </cell>
          <cell r="J390">
            <v>609</v>
          </cell>
          <cell r="K390">
            <v>609</v>
          </cell>
          <cell r="L390">
            <v>249</v>
          </cell>
          <cell r="M390">
            <v>249</v>
          </cell>
          <cell r="N390">
            <v>10590000</v>
          </cell>
          <cell r="O390">
            <v>10752504</v>
          </cell>
          <cell r="P390">
            <v>10752504</v>
          </cell>
          <cell r="Q390">
            <v>4396344</v>
          </cell>
          <cell r="R390">
            <v>20469177</v>
          </cell>
          <cell r="S390" t="str">
            <v xml:space="preserve"> </v>
          </cell>
          <cell r="T390" t="str">
            <v xml:space="preserve"> </v>
          </cell>
          <cell r="U390">
            <v>609</v>
          </cell>
          <cell r="V390">
            <v>10752504</v>
          </cell>
          <cell r="W390">
            <v>249</v>
          </cell>
          <cell r="X390">
            <v>4396344</v>
          </cell>
          <cell r="Y390">
            <v>40.72</v>
          </cell>
          <cell r="Z390">
            <v>40.56</v>
          </cell>
          <cell r="AA390">
            <v>4343376</v>
          </cell>
          <cell r="AB390">
            <v>52968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-1</v>
          </cell>
          <cell r="AL390">
            <v>-35312</v>
          </cell>
          <cell r="AM390">
            <v>361</v>
          </cell>
          <cell r="AN390">
            <v>12906536</v>
          </cell>
          <cell r="AO390">
            <v>17650</v>
          </cell>
          <cell r="AP390">
            <v>17656</v>
          </cell>
          <cell r="AQ390">
            <v>89000</v>
          </cell>
          <cell r="AR390">
            <v>0</v>
          </cell>
          <cell r="AS390">
            <v>5.04</v>
          </cell>
          <cell r="AT390">
            <v>54201000</v>
          </cell>
          <cell r="AU390">
            <v>4.71</v>
          </cell>
          <cell r="AV390">
            <v>20448600</v>
          </cell>
          <cell r="AW390">
            <v>0.39</v>
          </cell>
          <cell r="AX390">
            <v>20577</v>
          </cell>
          <cell r="AY390">
            <v>40.72</v>
          </cell>
          <cell r="AZ390">
            <v>0</v>
          </cell>
          <cell r="BA390">
            <v>246</v>
          </cell>
          <cell r="BB390">
            <v>3</v>
          </cell>
          <cell r="BC390">
            <v>249</v>
          </cell>
          <cell r="BD390">
            <v>0</v>
          </cell>
          <cell r="BE390">
            <v>0</v>
          </cell>
          <cell r="BF390">
            <v>23</v>
          </cell>
          <cell r="BG390">
            <v>0</v>
          </cell>
          <cell r="BH390">
            <v>1</v>
          </cell>
          <cell r="BI390">
            <v>26</v>
          </cell>
          <cell r="BJ390">
            <v>1</v>
          </cell>
          <cell r="BK390">
            <v>6</v>
          </cell>
          <cell r="BL390">
            <v>8</v>
          </cell>
          <cell r="BM390">
            <v>8</v>
          </cell>
          <cell r="BN390">
            <v>3</v>
          </cell>
          <cell r="BO390">
            <v>0</v>
          </cell>
          <cell r="BP390">
            <v>9</v>
          </cell>
          <cell r="BQ390">
            <v>0</v>
          </cell>
          <cell r="BR390">
            <v>7</v>
          </cell>
          <cell r="BS390">
            <v>1</v>
          </cell>
          <cell r="BT390">
            <v>1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98</v>
          </cell>
          <cell r="DU390">
            <v>0</v>
          </cell>
          <cell r="DV390">
            <v>29</v>
          </cell>
          <cell r="DW390">
            <v>25</v>
          </cell>
          <cell r="DX390">
            <v>27</v>
          </cell>
          <cell r="DY390">
            <v>17</v>
          </cell>
          <cell r="DZ390">
            <v>0</v>
          </cell>
          <cell r="EA390">
            <v>89</v>
          </cell>
          <cell r="EB390">
            <v>13</v>
          </cell>
          <cell r="EC390">
            <v>27</v>
          </cell>
          <cell r="ED390">
            <v>25</v>
          </cell>
          <cell r="EE390">
            <v>16</v>
          </cell>
          <cell r="EF390">
            <v>8</v>
          </cell>
          <cell r="EG390">
            <v>0</v>
          </cell>
          <cell r="EH390">
            <v>27</v>
          </cell>
          <cell r="EI390">
            <v>4</v>
          </cell>
          <cell r="EJ390">
            <v>8</v>
          </cell>
          <cell r="EK390">
            <v>4</v>
          </cell>
          <cell r="EL390">
            <v>8</v>
          </cell>
          <cell r="EM390">
            <v>3</v>
          </cell>
          <cell r="EN390">
            <v>0</v>
          </cell>
          <cell r="EO390" t="str">
            <v xml:space="preserve">Womens Somers                                               </v>
          </cell>
        </row>
        <row r="391">
          <cell r="A391" t="str">
            <v>CN4YL6871010</v>
          </cell>
          <cell r="B391" t="str">
            <v>CN4</v>
          </cell>
          <cell r="C391" t="str">
            <v>YL6871</v>
          </cell>
          <cell r="D391">
            <v>10</v>
          </cell>
          <cell r="E391" t="str">
            <v xml:space="preserve">   </v>
          </cell>
          <cell r="F391">
            <v>81009</v>
          </cell>
          <cell r="G391">
            <v>81010</v>
          </cell>
          <cell r="H391">
            <v>0</v>
          </cell>
          <cell r="I391">
            <v>600</v>
          </cell>
          <cell r="J391">
            <v>621</v>
          </cell>
          <cell r="K391">
            <v>618</v>
          </cell>
          <cell r="L391">
            <v>300</v>
          </cell>
          <cell r="M391">
            <v>300</v>
          </cell>
          <cell r="N391">
            <v>12270000</v>
          </cell>
          <cell r="O391">
            <v>12703797</v>
          </cell>
          <cell r="P391">
            <v>12642426</v>
          </cell>
          <cell r="Q391">
            <v>6137100</v>
          </cell>
          <cell r="R391">
            <v>24594050</v>
          </cell>
          <cell r="S391" t="str">
            <v xml:space="preserve"> </v>
          </cell>
          <cell r="T391" t="str">
            <v xml:space="preserve"> </v>
          </cell>
          <cell r="U391">
            <v>621</v>
          </cell>
          <cell r="V391">
            <v>12703797</v>
          </cell>
          <cell r="W391">
            <v>300</v>
          </cell>
          <cell r="X391">
            <v>6137100</v>
          </cell>
          <cell r="Y391">
            <v>48.15</v>
          </cell>
          <cell r="Z391">
            <v>48.15</v>
          </cell>
          <cell r="AA391">
            <v>6137100</v>
          </cell>
          <cell r="AB391">
            <v>0</v>
          </cell>
          <cell r="AC391">
            <v>3</v>
          </cell>
          <cell r="AD391">
            <v>61371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-1</v>
          </cell>
          <cell r="AL391">
            <v>-20457</v>
          </cell>
          <cell r="AM391">
            <v>319</v>
          </cell>
          <cell r="AN391">
            <v>13378878</v>
          </cell>
          <cell r="AO391">
            <v>20450</v>
          </cell>
          <cell r="AP391">
            <v>20457</v>
          </cell>
          <cell r="AQ391">
            <v>93000</v>
          </cell>
          <cell r="AR391">
            <v>0</v>
          </cell>
          <cell r="AS391">
            <v>4.55</v>
          </cell>
          <cell r="AT391">
            <v>57753000</v>
          </cell>
          <cell r="AU391">
            <v>4.01</v>
          </cell>
          <cell r="AV391">
            <v>24594050</v>
          </cell>
          <cell r="AW391">
            <v>0</v>
          </cell>
          <cell r="AX391">
            <v>0</v>
          </cell>
          <cell r="AY391">
            <v>48.15</v>
          </cell>
          <cell r="AZ391">
            <v>0</v>
          </cell>
          <cell r="BA391">
            <v>300</v>
          </cell>
          <cell r="BB391">
            <v>0</v>
          </cell>
          <cell r="BC391">
            <v>300</v>
          </cell>
          <cell r="BD391">
            <v>0</v>
          </cell>
          <cell r="BE391">
            <v>0</v>
          </cell>
          <cell r="BF391">
            <v>28</v>
          </cell>
          <cell r="BG391">
            <v>1</v>
          </cell>
          <cell r="BH391">
            <v>1</v>
          </cell>
          <cell r="BI391">
            <v>88</v>
          </cell>
          <cell r="BJ391">
            <v>22</v>
          </cell>
          <cell r="BK391">
            <v>30</v>
          </cell>
          <cell r="BL391">
            <v>23</v>
          </cell>
          <cell r="BM391">
            <v>7</v>
          </cell>
          <cell r="BN391">
            <v>6</v>
          </cell>
          <cell r="BO391">
            <v>0</v>
          </cell>
          <cell r="BP391">
            <v>14</v>
          </cell>
          <cell r="BQ391">
            <v>0</v>
          </cell>
          <cell r="BR391">
            <v>6</v>
          </cell>
          <cell r="BS391">
            <v>3</v>
          </cell>
          <cell r="BT391">
            <v>4</v>
          </cell>
          <cell r="BU391">
            <v>1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34</v>
          </cell>
          <cell r="DU391">
            <v>0</v>
          </cell>
          <cell r="DV391">
            <v>3</v>
          </cell>
          <cell r="DW391">
            <v>12</v>
          </cell>
          <cell r="DX391">
            <v>13</v>
          </cell>
          <cell r="DY391">
            <v>6</v>
          </cell>
          <cell r="DZ391">
            <v>0</v>
          </cell>
          <cell r="EA391">
            <v>94</v>
          </cell>
          <cell r="EB391">
            <v>10</v>
          </cell>
          <cell r="EC391">
            <v>27</v>
          </cell>
          <cell r="ED391">
            <v>18</v>
          </cell>
          <cell r="EE391">
            <v>23</v>
          </cell>
          <cell r="EF391">
            <v>16</v>
          </cell>
          <cell r="EG391">
            <v>0</v>
          </cell>
          <cell r="EH391">
            <v>70</v>
          </cell>
          <cell r="EI391">
            <v>22</v>
          </cell>
          <cell r="EJ391">
            <v>3</v>
          </cell>
          <cell r="EK391">
            <v>14</v>
          </cell>
          <cell r="EL391">
            <v>21</v>
          </cell>
          <cell r="EM391">
            <v>10</v>
          </cell>
          <cell r="EN391">
            <v>0</v>
          </cell>
          <cell r="EO391" t="str">
            <v xml:space="preserve">Womens Joliet                                               </v>
          </cell>
        </row>
        <row r="392">
          <cell r="A392" t="str">
            <v>CN4YL6871139</v>
          </cell>
          <cell r="B392" t="str">
            <v>CN4</v>
          </cell>
          <cell r="C392" t="str">
            <v>YL6871</v>
          </cell>
          <cell r="D392">
            <v>139</v>
          </cell>
          <cell r="E392" t="str">
            <v xml:space="preserve">   </v>
          </cell>
          <cell r="F392">
            <v>81009</v>
          </cell>
          <cell r="G392">
            <v>81010</v>
          </cell>
          <cell r="H392">
            <v>0</v>
          </cell>
          <cell r="I392">
            <v>600</v>
          </cell>
          <cell r="J392">
            <v>624</v>
          </cell>
          <cell r="K392">
            <v>622</v>
          </cell>
          <cell r="L392">
            <v>358</v>
          </cell>
          <cell r="M392">
            <v>358</v>
          </cell>
          <cell r="N392">
            <v>12270000</v>
          </cell>
          <cell r="O392">
            <v>12765168</v>
          </cell>
          <cell r="P392">
            <v>12724254</v>
          </cell>
          <cell r="Q392">
            <v>7323606</v>
          </cell>
          <cell r="R392">
            <v>28988987</v>
          </cell>
          <cell r="S392" t="str">
            <v xml:space="preserve"> </v>
          </cell>
          <cell r="T392" t="str">
            <v xml:space="preserve"> </v>
          </cell>
          <cell r="U392">
            <v>624</v>
          </cell>
          <cell r="V392">
            <v>12765168</v>
          </cell>
          <cell r="W392">
            <v>358</v>
          </cell>
          <cell r="X392">
            <v>7323606</v>
          </cell>
          <cell r="Y392">
            <v>57.37</v>
          </cell>
          <cell r="Z392">
            <v>57.37</v>
          </cell>
          <cell r="AA392">
            <v>7262235</v>
          </cell>
          <cell r="AB392">
            <v>61371</v>
          </cell>
          <cell r="AC392">
            <v>2</v>
          </cell>
          <cell r="AD392">
            <v>40914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264</v>
          </cell>
          <cell r="AN392">
            <v>11415006</v>
          </cell>
          <cell r="AO392">
            <v>20450</v>
          </cell>
          <cell r="AP392">
            <v>20457</v>
          </cell>
          <cell r="AQ392">
            <v>93000</v>
          </cell>
          <cell r="AR392">
            <v>0</v>
          </cell>
          <cell r="AS392">
            <v>4.55</v>
          </cell>
          <cell r="AT392">
            <v>58032000</v>
          </cell>
          <cell r="AU392">
            <v>3.99</v>
          </cell>
          <cell r="AV392">
            <v>28968410</v>
          </cell>
          <cell r="AW392">
            <v>0.34</v>
          </cell>
          <cell r="AX392">
            <v>20577</v>
          </cell>
          <cell r="AY392">
            <v>57.37</v>
          </cell>
          <cell r="AZ392">
            <v>0</v>
          </cell>
          <cell r="BA392">
            <v>355</v>
          </cell>
          <cell r="BB392">
            <v>3</v>
          </cell>
          <cell r="BC392">
            <v>358</v>
          </cell>
          <cell r="BD392">
            <v>0</v>
          </cell>
          <cell r="BE392">
            <v>0</v>
          </cell>
          <cell r="BF392">
            <v>52</v>
          </cell>
          <cell r="BG392">
            <v>0</v>
          </cell>
          <cell r="BH392">
            <v>1</v>
          </cell>
          <cell r="BI392">
            <v>107</v>
          </cell>
          <cell r="BJ392">
            <v>18</v>
          </cell>
          <cell r="BK392">
            <v>36</v>
          </cell>
          <cell r="BL392">
            <v>24</v>
          </cell>
          <cell r="BM392">
            <v>20</v>
          </cell>
          <cell r="BN392">
            <v>9</v>
          </cell>
          <cell r="BO392">
            <v>0</v>
          </cell>
          <cell r="BP392">
            <v>28</v>
          </cell>
          <cell r="BQ392">
            <v>2</v>
          </cell>
          <cell r="BR392">
            <v>2</v>
          </cell>
          <cell r="BS392">
            <v>18</v>
          </cell>
          <cell r="BT392">
            <v>4</v>
          </cell>
          <cell r="BU392">
            <v>2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39</v>
          </cell>
          <cell r="DU392">
            <v>0</v>
          </cell>
          <cell r="DV392">
            <v>5</v>
          </cell>
          <cell r="DW392">
            <v>7</v>
          </cell>
          <cell r="DX392">
            <v>15</v>
          </cell>
          <cell r="DY392">
            <v>12</v>
          </cell>
          <cell r="DZ392">
            <v>0</v>
          </cell>
          <cell r="EA392">
            <v>100</v>
          </cell>
          <cell r="EB392">
            <v>8</v>
          </cell>
          <cell r="EC392">
            <v>22</v>
          </cell>
          <cell r="ED392">
            <v>22</v>
          </cell>
          <cell r="EE392">
            <v>23</v>
          </cell>
          <cell r="EF392">
            <v>25</v>
          </cell>
          <cell r="EG392">
            <v>0</v>
          </cell>
          <cell r="EH392">
            <v>84</v>
          </cell>
          <cell r="EI392">
            <v>21</v>
          </cell>
          <cell r="EJ392">
            <v>22</v>
          </cell>
          <cell r="EK392">
            <v>11</v>
          </cell>
          <cell r="EL392">
            <v>24</v>
          </cell>
          <cell r="EM392">
            <v>6</v>
          </cell>
          <cell r="EN392">
            <v>0</v>
          </cell>
          <cell r="EO392" t="str">
            <v xml:space="preserve">Womens Joliet                                               </v>
          </cell>
        </row>
        <row r="393">
          <cell r="A393" t="str">
            <v>CN4YL6871552</v>
          </cell>
          <cell r="B393" t="str">
            <v>CN4</v>
          </cell>
          <cell r="C393" t="str">
            <v>YL6871</v>
          </cell>
          <cell r="D393">
            <v>552</v>
          </cell>
          <cell r="E393" t="str">
            <v xml:space="preserve">   </v>
          </cell>
          <cell r="F393">
            <v>81009</v>
          </cell>
          <cell r="G393">
            <v>81010</v>
          </cell>
          <cell r="H393">
            <v>0</v>
          </cell>
          <cell r="I393">
            <v>1000</v>
          </cell>
          <cell r="J393">
            <v>951</v>
          </cell>
          <cell r="K393">
            <v>949</v>
          </cell>
          <cell r="L393">
            <v>582</v>
          </cell>
          <cell r="M393">
            <v>582</v>
          </cell>
          <cell r="N393">
            <v>20450000</v>
          </cell>
          <cell r="O393">
            <v>19454607</v>
          </cell>
          <cell r="P393">
            <v>19413693</v>
          </cell>
          <cell r="Q393">
            <v>11905974</v>
          </cell>
          <cell r="R393">
            <v>47170329</v>
          </cell>
          <cell r="S393" t="str">
            <v xml:space="preserve"> </v>
          </cell>
          <cell r="T393" t="str">
            <v xml:space="preserve"> </v>
          </cell>
          <cell r="U393">
            <v>951</v>
          </cell>
          <cell r="V393">
            <v>19454607</v>
          </cell>
          <cell r="W393">
            <v>582</v>
          </cell>
          <cell r="X393">
            <v>11905974</v>
          </cell>
          <cell r="Y393">
            <v>61.2</v>
          </cell>
          <cell r="Z393">
            <v>61.2</v>
          </cell>
          <cell r="AA393">
            <v>11885517</v>
          </cell>
          <cell r="AB393">
            <v>20457</v>
          </cell>
          <cell r="AC393">
            <v>2</v>
          </cell>
          <cell r="AD393">
            <v>40914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367</v>
          </cell>
          <cell r="AN393">
            <v>15588234</v>
          </cell>
          <cell r="AO393">
            <v>20450</v>
          </cell>
          <cell r="AP393">
            <v>20457</v>
          </cell>
          <cell r="AQ393">
            <v>93000</v>
          </cell>
          <cell r="AR393">
            <v>0</v>
          </cell>
          <cell r="AS393">
            <v>4.55</v>
          </cell>
          <cell r="AT393">
            <v>88443000</v>
          </cell>
          <cell r="AU393">
            <v>3.97</v>
          </cell>
          <cell r="AV393">
            <v>47163470</v>
          </cell>
          <cell r="AW393">
            <v>0.34</v>
          </cell>
          <cell r="AX393">
            <v>6859</v>
          </cell>
          <cell r="AY393">
            <v>61.2</v>
          </cell>
          <cell r="AZ393">
            <v>0</v>
          </cell>
          <cell r="BA393">
            <v>581</v>
          </cell>
          <cell r="BB393">
            <v>1</v>
          </cell>
          <cell r="BC393">
            <v>582</v>
          </cell>
          <cell r="BD393">
            <v>0</v>
          </cell>
          <cell r="BE393">
            <v>0</v>
          </cell>
          <cell r="BF393">
            <v>46</v>
          </cell>
          <cell r="BG393">
            <v>0</v>
          </cell>
          <cell r="BH393">
            <v>1</v>
          </cell>
          <cell r="BI393">
            <v>172</v>
          </cell>
          <cell r="BJ393">
            <v>25</v>
          </cell>
          <cell r="BK393">
            <v>50</v>
          </cell>
          <cell r="BL393">
            <v>44</v>
          </cell>
          <cell r="BM393">
            <v>36</v>
          </cell>
          <cell r="BN393">
            <v>17</v>
          </cell>
          <cell r="BO393">
            <v>0</v>
          </cell>
          <cell r="BP393">
            <v>26</v>
          </cell>
          <cell r="BQ393">
            <v>6</v>
          </cell>
          <cell r="BR393">
            <v>7</v>
          </cell>
          <cell r="BS393">
            <v>7</v>
          </cell>
          <cell r="BT393">
            <v>6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67</v>
          </cell>
          <cell r="DU393">
            <v>0</v>
          </cell>
          <cell r="DV393">
            <v>7</v>
          </cell>
          <cell r="DW393">
            <v>14</v>
          </cell>
          <cell r="DX393">
            <v>24</v>
          </cell>
          <cell r="DY393">
            <v>22</v>
          </cell>
          <cell r="DZ393">
            <v>0</v>
          </cell>
          <cell r="EA393">
            <v>166</v>
          </cell>
          <cell r="EB393">
            <v>10</v>
          </cell>
          <cell r="EC393">
            <v>50</v>
          </cell>
          <cell r="ED393">
            <v>45</v>
          </cell>
          <cell r="EE393">
            <v>32</v>
          </cell>
          <cell r="EF393">
            <v>29</v>
          </cell>
          <cell r="EG393">
            <v>0</v>
          </cell>
          <cell r="EH393">
            <v>151</v>
          </cell>
          <cell r="EI393">
            <v>23</v>
          </cell>
          <cell r="EJ393">
            <v>21</v>
          </cell>
          <cell r="EK393">
            <v>26</v>
          </cell>
          <cell r="EL393">
            <v>68</v>
          </cell>
          <cell r="EM393">
            <v>13</v>
          </cell>
          <cell r="EN393">
            <v>0</v>
          </cell>
          <cell r="EO393" t="str">
            <v xml:space="preserve">Womens Joliet                                               </v>
          </cell>
        </row>
        <row r="394">
          <cell r="A394" t="str">
            <v>CN4YL6871745</v>
          </cell>
          <cell r="B394" t="str">
            <v>CN4</v>
          </cell>
          <cell r="C394" t="str">
            <v>YL6871</v>
          </cell>
          <cell r="D394">
            <v>745</v>
          </cell>
          <cell r="E394" t="str">
            <v xml:space="preserve">   </v>
          </cell>
          <cell r="F394">
            <v>81009</v>
          </cell>
          <cell r="G394">
            <v>81010</v>
          </cell>
          <cell r="H394">
            <v>0</v>
          </cell>
          <cell r="I394">
            <v>500</v>
          </cell>
          <cell r="J394">
            <v>515</v>
          </cell>
          <cell r="K394">
            <v>515</v>
          </cell>
          <cell r="L394">
            <v>300</v>
          </cell>
          <cell r="M394">
            <v>300</v>
          </cell>
          <cell r="N394">
            <v>10225000</v>
          </cell>
          <cell r="O394">
            <v>10535355</v>
          </cell>
          <cell r="P394">
            <v>10535355</v>
          </cell>
          <cell r="Q394">
            <v>6137100</v>
          </cell>
          <cell r="R394">
            <v>24581059</v>
          </cell>
          <cell r="S394" t="str">
            <v xml:space="preserve"> </v>
          </cell>
          <cell r="T394" t="str">
            <v xml:space="preserve"> </v>
          </cell>
          <cell r="U394">
            <v>515</v>
          </cell>
          <cell r="V394">
            <v>10535355</v>
          </cell>
          <cell r="W394">
            <v>300</v>
          </cell>
          <cell r="X394">
            <v>6137100</v>
          </cell>
          <cell r="Y394">
            <v>58.45</v>
          </cell>
          <cell r="Z394">
            <v>58.45</v>
          </cell>
          <cell r="AA394">
            <v>6116643</v>
          </cell>
          <cell r="AB394">
            <v>20457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>
            <v>20457</v>
          </cell>
          <cell r="AM394">
            <v>214</v>
          </cell>
          <cell r="AN394">
            <v>9123822</v>
          </cell>
          <cell r="AO394">
            <v>20450</v>
          </cell>
          <cell r="AP394">
            <v>20457</v>
          </cell>
          <cell r="AQ394">
            <v>93000</v>
          </cell>
          <cell r="AR394">
            <v>0</v>
          </cell>
          <cell r="AS394">
            <v>4.55</v>
          </cell>
          <cell r="AT394">
            <v>47895000</v>
          </cell>
          <cell r="AU394">
            <v>4.0199999999999996</v>
          </cell>
          <cell r="AV394">
            <v>24574200</v>
          </cell>
          <cell r="AW394">
            <v>0.34</v>
          </cell>
          <cell r="AX394">
            <v>6859</v>
          </cell>
          <cell r="AY394">
            <v>58.45</v>
          </cell>
          <cell r="AZ394">
            <v>0</v>
          </cell>
          <cell r="BA394">
            <v>299</v>
          </cell>
          <cell r="BB394">
            <v>1</v>
          </cell>
          <cell r="BC394">
            <v>300</v>
          </cell>
          <cell r="BD394">
            <v>0</v>
          </cell>
          <cell r="BE394">
            <v>0</v>
          </cell>
          <cell r="BF394">
            <v>39</v>
          </cell>
          <cell r="BG394">
            <v>0</v>
          </cell>
          <cell r="BH394">
            <v>1</v>
          </cell>
          <cell r="BI394">
            <v>88</v>
          </cell>
          <cell r="BJ394">
            <v>12</v>
          </cell>
          <cell r="BK394">
            <v>27</v>
          </cell>
          <cell r="BL394">
            <v>25</v>
          </cell>
          <cell r="BM394">
            <v>13</v>
          </cell>
          <cell r="BN394">
            <v>11</v>
          </cell>
          <cell r="BO394">
            <v>0</v>
          </cell>
          <cell r="BP394">
            <v>17</v>
          </cell>
          <cell r="BQ394">
            <v>3</v>
          </cell>
          <cell r="BR394">
            <v>8</v>
          </cell>
          <cell r="BS394">
            <v>2</v>
          </cell>
          <cell r="BT394">
            <v>5</v>
          </cell>
          <cell r="BU394">
            <v>-1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29</v>
          </cell>
          <cell r="DU394">
            <v>0</v>
          </cell>
          <cell r="DV394">
            <v>2</v>
          </cell>
          <cell r="DW394">
            <v>10</v>
          </cell>
          <cell r="DX394">
            <v>7</v>
          </cell>
          <cell r="DY394">
            <v>10</v>
          </cell>
          <cell r="DZ394">
            <v>0</v>
          </cell>
          <cell r="EA394">
            <v>94</v>
          </cell>
          <cell r="EB394">
            <v>7</v>
          </cell>
          <cell r="EC394">
            <v>31</v>
          </cell>
          <cell r="ED394">
            <v>15</v>
          </cell>
          <cell r="EE394">
            <v>25</v>
          </cell>
          <cell r="EF394">
            <v>16</v>
          </cell>
          <cell r="EG394">
            <v>0</v>
          </cell>
          <cell r="EH394">
            <v>72</v>
          </cell>
          <cell r="EI394">
            <v>16</v>
          </cell>
          <cell r="EJ394">
            <v>15</v>
          </cell>
          <cell r="EK394">
            <v>10</v>
          </cell>
          <cell r="EL394">
            <v>18</v>
          </cell>
          <cell r="EM394">
            <v>13</v>
          </cell>
          <cell r="EN394">
            <v>0</v>
          </cell>
          <cell r="EO394" t="str">
            <v xml:space="preserve">Womens Joliet                                               </v>
          </cell>
        </row>
        <row r="395">
          <cell r="A395" t="str">
            <v>CN4YL6874679</v>
          </cell>
          <cell r="B395" t="str">
            <v>CN4</v>
          </cell>
          <cell r="C395" t="str">
            <v>YL6874</v>
          </cell>
          <cell r="D395">
            <v>679</v>
          </cell>
          <cell r="E395" t="str">
            <v xml:space="preserve">   </v>
          </cell>
          <cell r="F395">
            <v>80905</v>
          </cell>
          <cell r="G395">
            <v>80926</v>
          </cell>
          <cell r="H395">
            <v>0</v>
          </cell>
          <cell r="I395">
            <v>800</v>
          </cell>
          <cell r="J395">
            <v>893</v>
          </cell>
          <cell r="K395">
            <v>484</v>
          </cell>
          <cell r="L395">
            <v>407</v>
          </cell>
          <cell r="M395">
            <v>407</v>
          </cell>
          <cell r="N395">
            <v>23720000</v>
          </cell>
          <cell r="O395">
            <v>26461376</v>
          </cell>
          <cell r="P395">
            <v>14341888</v>
          </cell>
          <cell r="Q395">
            <v>12060224</v>
          </cell>
          <cell r="R395">
            <v>51878700</v>
          </cell>
          <cell r="S395" t="str">
            <v xml:space="preserve"> </v>
          </cell>
          <cell r="T395" t="str">
            <v xml:space="preserve"> </v>
          </cell>
          <cell r="U395">
            <v>893</v>
          </cell>
          <cell r="V395">
            <v>26461376</v>
          </cell>
          <cell r="W395">
            <v>407</v>
          </cell>
          <cell r="X395">
            <v>12060224</v>
          </cell>
          <cell r="Y395">
            <v>45.35</v>
          </cell>
          <cell r="Z395">
            <v>45.13</v>
          </cell>
          <cell r="AA395">
            <v>12060224</v>
          </cell>
          <cell r="AB395">
            <v>0</v>
          </cell>
          <cell r="AC395">
            <v>409</v>
          </cell>
          <cell r="AD395">
            <v>12119488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-2</v>
          </cell>
          <cell r="AL395">
            <v>-118528</v>
          </cell>
          <cell r="AM395">
            <v>79</v>
          </cell>
          <cell r="AN395">
            <v>16949504</v>
          </cell>
          <cell r="AO395">
            <v>29650</v>
          </cell>
          <cell r="AP395">
            <v>29632</v>
          </cell>
          <cell r="AQ395">
            <v>138000</v>
          </cell>
          <cell r="AR395">
            <v>0</v>
          </cell>
          <cell r="AS395">
            <v>4.66</v>
          </cell>
          <cell r="AT395">
            <v>123234000</v>
          </cell>
          <cell r="AU395">
            <v>4.3</v>
          </cell>
          <cell r="AV395">
            <v>51878700</v>
          </cell>
          <cell r="AW395">
            <v>0</v>
          </cell>
          <cell r="AX395">
            <v>0</v>
          </cell>
          <cell r="AY395">
            <v>45.35</v>
          </cell>
          <cell r="AZ395">
            <v>0</v>
          </cell>
          <cell r="BA395">
            <v>407</v>
          </cell>
          <cell r="BB395">
            <v>0</v>
          </cell>
          <cell r="BC395">
            <v>407</v>
          </cell>
          <cell r="BD395">
            <v>0</v>
          </cell>
          <cell r="BE395">
            <v>0</v>
          </cell>
          <cell r="BF395">
            <v>27</v>
          </cell>
          <cell r="BG395">
            <v>1</v>
          </cell>
          <cell r="BH395">
            <v>1</v>
          </cell>
          <cell r="BI395">
            <v>80</v>
          </cell>
          <cell r="BJ395">
            <v>10</v>
          </cell>
          <cell r="BK395">
            <v>21</v>
          </cell>
          <cell r="BL395">
            <v>26</v>
          </cell>
          <cell r="BM395">
            <v>12</v>
          </cell>
          <cell r="BN395">
            <v>11</v>
          </cell>
          <cell r="BO395">
            <v>0</v>
          </cell>
          <cell r="BP395">
            <v>5</v>
          </cell>
          <cell r="BQ395">
            <v>3</v>
          </cell>
          <cell r="BR395">
            <v>5</v>
          </cell>
          <cell r="BS395">
            <v>-2</v>
          </cell>
          <cell r="BT395">
            <v>-1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54</v>
          </cell>
          <cell r="DN395">
            <v>0</v>
          </cell>
          <cell r="DO395">
            <v>0</v>
          </cell>
          <cell r="DP395">
            <v>0</v>
          </cell>
          <cell r="DQ395">
            <v>48</v>
          </cell>
          <cell r="DR395">
            <v>6</v>
          </cell>
          <cell r="DS395">
            <v>0</v>
          </cell>
          <cell r="DT395">
            <v>72</v>
          </cell>
          <cell r="DU395">
            <v>11</v>
          </cell>
          <cell r="DV395">
            <v>18</v>
          </cell>
          <cell r="DW395">
            <v>7</v>
          </cell>
          <cell r="DX395">
            <v>19</v>
          </cell>
          <cell r="DY395">
            <v>17</v>
          </cell>
          <cell r="DZ395">
            <v>0</v>
          </cell>
          <cell r="EA395">
            <v>108</v>
          </cell>
          <cell r="EB395">
            <v>10</v>
          </cell>
          <cell r="EC395">
            <v>25</v>
          </cell>
          <cell r="ED395">
            <v>21</v>
          </cell>
          <cell r="EE395">
            <v>32</v>
          </cell>
          <cell r="EF395">
            <v>20</v>
          </cell>
          <cell r="EG395">
            <v>0</v>
          </cell>
          <cell r="EH395">
            <v>88</v>
          </cell>
          <cell r="EI395">
            <v>24</v>
          </cell>
          <cell r="EJ395">
            <v>20</v>
          </cell>
          <cell r="EK395">
            <v>17</v>
          </cell>
          <cell r="EL395">
            <v>18</v>
          </cell>
          <cell r="EM395">
            <v>9</v>
          </cell>
          <cell r="EN395">
            <v>0</v>
          </cell>
          <cell r="EO395" t="str">
            <v xml:space="preserve">Womens Hokes Bluff                                          </v>
          </cell>
        </row>
        <row r="396">
          <cell r="A396" t="str">
            <v>CN4YL6875021</v>
          </cell>
          <cell r="B396" t="str">
            <v>CN4</v>
          </cell>
          <cell r="C396" t="str">
            <v>YL6875</v>
          </cell>
          <cell r="D396">
            <v>21</v>
          </cell>
          <cell r="E396" t="str">
            <v xml:space="preserve">   </v>
          </cell>
          <cell r="F396">
            <v>81007</v>
          </cell>
          <cell r="G396">
            <v>81007</v>
          </cell>
          <cell r="H396">
            <v>0</v>
          </cell>
          <cell r="I396">
            <v>800</v>
          </cell>
          <cell r="J396">
            <v>809</v>
          </cell>
          <cell r="K396">
            <v>808</v>
          </cell>
          <cell r="L396">
            <v>361</v>
          </cell>
          <cell r="M396">
            <v>361</v>
          </cell>
          <cell r="N396">
            <v>19000000</v>
          </cell>
          <cell r="O396">
            <v>19251773</v>
          </cell>
          <cell r="P396">
            <v>19227976</v>
          </cell>
          <cell r="Q396">
            <v>8590717</v>
          </cell>
          <cell r="R396">
            <v>33889436</v>
          </cell>
          <cell r="S396" t="str">
            <v xml:space="preserve"> </v>
          </cell>
          <cell r="T396" t="str">
            <v xml:space="preserve"> </v>
          </cell>
          <cell r="U396">
            <v>809</v>
          </cell>
          <cell r="V396">
            <v>19251773</v>
          </cell>
          <cell r="W396">
            <v>361</v>
          </cell>
          <cell r="X396">
            <v>8590717</v>
          </cell>
          <cell r="Y396">
            <v>44.75</v>
          </cell>
          <cell r="Z396">
            <v>44.87</v>
          </cell>
          <cell r="AA396">
            <v>8495529</v>
          </cell>
          <cell r="AB396">
            <v>95188</v>
          </cell>
          <cell r="AC396">
            <v>1</v>
          </cell>
          <cell r="AD396">
            <v>23797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>
            <v>47594</v>
          </cell>
          <cell r="AM396">
            <v>446</v>
          </cell>
          <cell r="AN396">
            <v>21631473</v>
          </cell>
          <cell r="AO396">
            <v>23750</v>
          </cell>
          <cell r="AP396">
            <v>23797</v>
          </cell>
          <cell r="AQ396">
            <v>108000</v>
          </cell>
          <cell r="AR396">
            <v>0</v>
          </cell>
          <cell r="AS396">
            <v>4.54</v>
          </cell>
          <cell r="AT396">
            <v>87372000</v>
          </cell>
          <cell r="AU396">
            <v>3.99</v>
          </cell>
          <cell r="AV396">
            <v>33862000</v>
          </cell>
          <cell r="AW396">
            <v>0.28999999999999998</v>
          </cell>
          <cell r="AX396">
            <v>27436</v>
          </cell>
          <cell r="AY396">
            <v>44.75</v>
          </cell>
          <cell r="AZ396">
            <v>0</v>
          </cell>
          <cell r="BA396">
            <v>357</v>
          </cell>
          <cell r="BB396">
            <v>4</v>
          </cell>
          <cell r="BC396">
            <v>361</v>
          </cell>
          <cell r="BD396">
            <v>0</v>
          </cell>
          <cell r="BE396">
            <v>0</v>
          </cell>
          <cell r="BF396">
            <v>24</v>
          </cell>
          <cell r="BG396">
            <v>1</v>
          </cell>
          <cell r="BH396">
            <v>1</v>
          </cell>
          <cell r="BI396">
            <v>105</v>
          </cell>
          <cell r="BJ396">
            <v>17</v>
          </cell>
          <cell r="BK396">
            <v>24</v>
          </cell>
          <cell r="BL396">
            <v>30</v>
          </cell>
          <cell r="BM396">
            <v>19</v>
          </cell>
          <cell r="BN396">
            <v>15</v>
          </cell>
          <cell r="BO396">
            <v>0</v>
          </cell>
          <cell r="BP396">
            <v>16</v>
          </cell>
          <cell r="BQ396">
            <v>1</v>
          </cell>
          <cell r="BR396">
            <v>1</v>
          </cell>
          <cell r="BS396">
            <v>5</v>
          </cell>
          <cell r="BT396">
            <v>4</v>
          </cell>
          <cell r="BU396">
            <v>5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82</v>
          </cell>
          <cell r="DU396">
            <v>0</v>
          </cell>
          <cell r="DV396">
            <v>11</v>
          </cell>
          <cell r="DW396">
            <v>17</v>
          </cell>
          <cell r="DX396">
            <v>31</v>
          </cell>
          <cell r="DY396">
            <v>23</v>
          </cell>
          <cell r="DZ396">
            <v>0</v>
          </cell>
          <cell r="EA396">
            <v>107</v>
          </cell>
          <cell r="EB396">
            <v>24</v>
          </cell>
          <cell r="EC396">
            <v>35</v>
          </cell>
          <cell r="ED396">
            <v>20</v>
          </cell>
          <cell r="EE396">
            <v>13</v>
          </cell>
          <cell r="EF396">
            <v>15</v>
          </cell>
          <cell r="EG396">
            <v>0</v>
          </cell>
          <cell r="EH396">
            <v>51</v>
          </cell>
          <cell r="EI396">
            <v>6</v>
          </cell>
          <cell r="EJ396">
            <v>13</v>
          </cell>
          <cell r="EK396">
            <v>10</v>
          </cell>
          <cell r="EL396">
            <v>14</v>
          </cell>
          <cell r="EM396">
            <v>8</v>
          </cell>
          <cell r="EN396">
            <v>0</v>
          </cell>
          <cell r="EO396" t="str">
            <v xml:space="preserve">Womens Yoder                                                </v>
          </cell>
        </row>
        <row r="397">
          <cell r="A397" t="str">
            <v>CN4YL6875589</v>
          </cell>
          <cell r="B397" t="str">
            <v>CN4</v>
          </cell>
          <cell r="C397" t="str">
            <v>YL6875</v>
          </cell>
          <cell r="D397">
            <v>589</v>
          </cell>
          <cell r="E397" t="str">
            <v xml:space="preserve">   </v>
          </cell>
          <cell r="F397">
            <v>81002</v>
          </cell>
          <cell r="G397">
            <v>81002</v>
          </cell>
          <cell r="H397">
            <v>0</v>
          </cell>
          <cell r="I397">
            <v>1000</v>
          </cell>
          <cell r="J397">
            <v>945</v>
          </cell>
          <cell r="K397">
            <v>943</v>
          </cell>
          <cell r="L397">
            <v>433</v>
          </cell>
          <cell r="M397">
            <v>433</v>
          </cell>
          <cell r="N397">
            <v>23750000</v>
          </cell>
          <cell r="O397">
            <v>22488165</v>
          </cell>
          <cell r="P397">
            <v>22440571</v>
          </cell>
          <cell r="Q397">
            <v>10304101</v>
          </cell>
          <cell r="R397">
            <v>40861036</v>
          </cell>
          <cell r="S397" t="str">
            <v xml:space="preserve"> </v>
          </cell>
          <cell r="T397" t="str">
            <v xml:space="preserve"> </v>
          </cell>
          <cell r="U397">
            <v>945</v>
          </cell>
          <cell r="V397">
            <v>22488165</v>
          </cell>
          <cell r="W397">
            <v>433</v>
          </cell>
          <cell r="X397">
            <v>10304101</v>
          </cell>
          <cell r="Y397">
            <v>45.61</v>
          </cell>
          <cell r="Z397">
            <v>45.4</v>
          </cell>
          <cell r="AA397">
            <v>10208913</v>
          </cell>
          <cell r="AB397">
            <v>95188</v>
          </cell>
          <cell r="AC397">
            <v>2</v>
          </cell>
          <cell r="AD397">
            <v>47594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-2</v>
          </cell>
          <cell r="AL397">
            <v>-95188</v>
          </cell>
          <cell r="AM397">
            <v>512</v>
          </cell>
          <cell r="AN397">
            <v>25010647</v>
          </cell>
          <cell r="AO397">
            <v>23750</v>
          </cell>
          <cell r="AP397">
            <v>23797</v>
          </cell>
          <cell r="AQ397">
            <v>108000</v>
          </cell>
          <cell r="AR397">
            <v>0</v>
          </cell>
          <cell r="AS397">
            <v>4.54</v>
          </cell>
          <cell r="AT397">
            <v>102060000</v>
          </cell>
          <cell r="AU397">
            <v>4</v>
          </cell>
          <cell r="AV397">
            <v>40833600</v>
          </cell>
          <cell r="AW397">
            <v>0.28999999999999998</v>
          </cell>
          <cell r="AX397">
            <v>27436</v>
          </cell>
          <cell r="AY397">
            <v>45.61</v>
          </cell>
          <cell r="AZ397">
            <v>0</v>
          </cell>
          <cell r="BA397">
            <v>429</v>
          </cell>
          <cell r="BB397">
            <v>4</v>
          </cell>
          <cell r="BC397">
            <v>433</v>
          </cell>
          <cell r="BD397">
            <v>0</v>
          </cell>
          <cell r="BE397">
            <v>0</v>
          </cell>
          <cell r="BF397">
            <v>39</v>
          </cell>
          <cell r="BG397">
            <v>0</v>
          </cell>
          <cell r="BH397">
            <v>1</v>
          </cell>
          <cell r="BI397">
            <v>113</v>
          </cell>
          <cell r="BJ397">
            <v>16</v>
          </cell>
          <cell r="BK397">
            <v>31</v>
          </cell>
          <cell r="BL397">
            <v>28</v>
          </cell>
          <cell r="BM397">
            <v>23</v>
          </cell>
          <cell r="BN397">
            <v>15</v>
          </cell>
          <cell r="BO397">
            <v>0</v>
          </cell>
          <cell r="BP397">
            <v>25</v>
          </cell>
          <cell r="BQ397">
            <v>4</v>
          </cell>
          <cell r="BR397">
            <v>11</v>
          </cell>
          <cell r="BS397">
            <v>2</v>
          </cell>
          <cell r="BT397">
            <v>8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103</v>
          </cell>
          <cell r="DU397">
            <v>13</v>
          </cell>
          <cell r="DV397">
            <v>17</v>
          </cell>
          <cell r="DW397">
            <v>17</v>
          </cell>
          <cell r="DX397">
            <v>29</v>
          </cell>
          <cell r="DY397">
            <v>27</v>
          </cell>
          <cell r="DZ397">
            <v>0</v>
          </cell>
          <cell r="EA397">
            <v>113</v>
          </cell>
          <cell r="EB397">
            <v>17</v>
          </cell>
          <cell r="EC397">
            <v>35</v>
          </cell>
          <cell r="ED397">
            <v>23</v>
          </cell>
          <cell r="EE397">
            <v>16</v>
          </cell>
          <cell r="EF397">
            <v>22</v>
          </cell>
          <cell r="EG397">
            <v>0</v>
          </cell>
          <cell r="EH397">
            <v>79</v>
          </cell>
          <cell r="EI397">
            <v>19</v>
          </cell>
          <cell r="EJ397">
            <v>14</v>
          </cell>
          <cell r="EK397">
            <v>11</v>
          </cell>
          <cell r="EL397">
            <v>27</v>
          </cell>
          <cell r="EM397">
            <v>8</v>
          </cell>
          <cell r="EN397">
            <v>0</v>
          </cell>
          <cell r="EO397" t="str">
            <v xml:space="preserve">Womens Yoder                                                </v>
          </cell>
        </row>
        <row r="398">
          <cell r="A398" t="str">
            <v>CN4YL6875759</v>
          </cell>
          <cell r="B398" t="str">
            <v>CN4</v>
          </cell>
          <cell r="C398" t="str">
            <v>YL6875</v>
          </cell>
          <cell r="D398">
            <v>759</v>
          </cell>
          <cell r="E398" t="str">
            <v xml:space="preserve">   </v>
          </cell>
          <cell r="F398">
            <v>81002</v>
          </cell>
          <cell r="G398">
            <v>81002</v>
          </cell>
          <cell r="H398">
            <v>0</v>
          </cell>
          <cell r="I398">
            <v>600</v>
          </cell>
          <cell r="J398">
            <v>603</v>
          </cell>
          <cell r="K398">
            <v>603</v>
          </cell>
          <cell r="L398">
            <v>388</v>
          </cell>
          <cell r="M398">
            <v>388</v>
          </cell>
          <cell r="N398">
            <v>14250000</v>
          </cell>
          <cell r="O398">
            <v>14349591</v>
          </cell>
          <cell r="P398">
            <v>14349591</v>
          </cell>
          <cell r="Q398">
            <v>9233236</v>
          </cell>
          <cell r="R398">
            <v>37107118</v>
          </cell>
          <cell r="S398" t="str">
            <v xml:space="preserve"> </v>
          </cell>
          <cell r="T398" t="str">
            <v xml:space="preserve"> </v>
          </cell>
          <cell r="U398">
            <v>603</v>
          </cell>
          <cell r="V398">
            <v>14349591</v>
          </cell>
          <cell r="W398">
            <v>388</v>
          </cell>
          <cell r="X398">
            <v>9233236</v>
          </cell>
          <cell r="Y398">
            <v>64.34</v>
          </cell>
          <cell r="Z398">
            <v>64.34</v>
          </cell>
          <cell r="AA398">
            <v>9185642</v>
          </cell>
          <cell r="AB398">
            <v>47594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215</v>
          </cell>
          <cell r="AN398">
            <v>10661056</v>
          </cell>
          <cell r="AO398">
            <v>23750</v>
          </cell>
          <cell r="AP398">
            <v>23797</v>
          </cell>
          <cell r="AQ398">
            <v>108000</v>
          </cell>
          <cell r="AR398">
            <v>0</v>
          </cell>
          <cell r="AS398">
            <v>4.54</v>
          </cell>
          <cell r="AT398">
            <v>65124000</v>
          </cell>
          <cell r="AU398">
            <v>4.04</v>
          </cell>
          <cell r="AV398">
            <v>37093400</v>
          </cell>
          <cell r="AW398">
            <v>0.28999999999999998</v>
          </cell>
          <cell r="AX398">
            <v>13718</v>
          </cell>
          <cell r="AY398">
            <v>64.34</v>
          </cell>
          <cell r="AZ398">
            <v>0</v>
          </cell>
          <cell r="BA398">
            <v>386</v>
          </cell>
          <cell r="BB398">
            <v>2</v>
          </cell>
          <cell r="BC398">
            <v>388</v>
          </cell>
          <cell r="BD398">
            <v>0</v>
          </cell>
          <cell r="BE398">
            <v>0</v>
          </cell>
          <cell r="BF398">
            <v>30</v>
          </cell>
          <cell r="BG398">
            <v>0</v>
          </cell>
          <cell r="BH398">
            <v>1</v>
          </cell>
          <cell r="BI398">
            <v>102</v>
          </cell>
          <cell r="BJ398">
            <v>43</v>
          </cell>
          <cell r="BK398">
            <v>22</v>
          </cell>
          <cell r="BL398">
            <v>18</v>
          </cell>
          <cell r="BM398">
            <v>12</v>
          </cell>
          <cell r="BN398">
            <v>7</v>
          </cell>
          <cell r="BO398">
            <v>0</v>
          </cell>
          <cell r="BP398">
            <v>18</v>
          </cell>
          <cell r="BQ398">
            <v>2</v>
          </cell>
          <cell r="BR398">
            <v>5</v>
          </cell>
          <cell r="BS398">
            <v>3</v>
          </cell>
          <cell r="BT398">
            <v>6</v>
          </cell>
          <cell r="BU398">
            <v>2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115</v>
          </cell>
          <cell r="DU398">
            <v>13</v>
          </cell>
          <cell r="DV398">
            <v>31</v>
          </cell>
          <cell r="DW398">
            <v>22</v>
          </cell>
          <cell r="DX398">
            <v>25</v>
          </cell>
          <cell r="DY398">
            <v>24</v>
          </cell>
          <cell r="DZ398">
            <v>0</v>
          </cell>
          <cell r="EA398">
            <v>117</v>
          </cell>
          <cell r="EB398">
            <v>16</v>
          </cell>
          <cell r="EC398">
            <v>35</v>
          </cell>
          <cell r="ED398">
            <v>27</v>
          </cell>
          <cell r="EE398">
            <v>19</v>
          </cell>
          <cell r="EF398">
            <v>20</v>
          </cell>
          <cell r="EG398">
            <v>0</v>
          </cell>
          <cell r="EH398">
            <v>36</v>
          </cell>
          <cell r="EI398">
            <v>3</v>
          </cell>
          <cell r="EJ398">
            <v>10</v>
          </cell>
          <cell r="EK398">
            <v>9</v>
          </cell>
          <cell r="EL398">
            <v>11</v>
          </cell>
          <cell r="EM398">
            <v>3</v>
          </cell>
          <cell r="EN398">
            <v>0</v>
          </cell>
          <cell r="EO398" t="str">
            <v xml:space="preserve">Womens Yoder                                                </v>
          </cell>
        </row>
        <row r="399">
          <cell r="A399" t="str">
            <v>CN4YL6878391</v>
          </cell>
          <cell r="B399" t="str">
            <v>CN4</v>
          </cell>
          <cell r="C399" t="str">
            <v>YL6878</v>
          </cell>
          <cell r="D399">
            <v>391</v>
          </cell>
          <cell r="E399" t="str">
            <v xml:space="preserve">   </v>
          </cell>
          <cell r="F399">
            <v>81001</v>
          </cell>
          <cell r="G399">
            <v>81008</v>
          </cell>
          <cell r="H399">
            <v>0</v>
          </cell>
          <cell r="I399">
            <v>500</v>
          </cell>
          <cell r="J399">
            <v>507</v>
          </cell>
          <cell r="K399">
            <v>504</v>
          </cell>
          <cell r="L399">
            <v>37</v>
          </cell>
          <cell r="M399">
            <v>37</v>
          </cell>
          <cell r="N399">
            <v>9575000</v>
          </cell>
          <cell r="O399">
            <v>9732195</v>
          </cell>
          <cell r="P399">
            <v>9674690</v>
          </cell>
          <cell r="Q399">
            <v>710370</v>
          </cell>
          <cell r="R399">
            <v>3708600</v>
          </cell>
          <cell r="S399" t="str">
            <v xml:space="preserve"> </v>
          </cell>
          <cell r="T399" t="str">
            <v xml:space="preserve"> </v>
          </cell>
          <cell r="U399">
            <v>507</v>
          </cell>
          <cell r="V399">
            <v>9732195</v>
          </cell>
          <cell r="W399">
            <v>37</v>
          </cell>
          <cell r="X399">
            <v>710370</v>
          </cell>
          <cell r="Y399">
            <v>7.3</v>
          </cell>
          <cell r="Z399">
            <v>7.3</v>
          </cell>
          <cell r="AA399">
            <v>710370</v>
          </cell>
          <cell r="AB399">
            <v>0</v>
          </cell>
          <cell r="AC399">
            <v>3</v>
          </cell>
          <cell r="AD399">
            <v>57600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467</v>
          </cell>
          <cell r="AN399">
            <v>18048000</v>
          </cell>
          <cell r="AO399">
            <v>19150</v>
          </cell>
          <cell r="AP399">
            <v>19200</v>
          </cell>
          <cell r="AQ399">
            <v>108000</v>
          </cell>
          <cell r="AR399">
            <v>0</v>
          </cell>
          <cell r="AS399">
            <v>5.63</v>
          </cell>
          <cell r="AT399">
            <v>54756000</v>
          </cell>
          <cell r="AU399">
            <v>5.22</v>
          </cell>
          <cell r="AV399">
            <v>3708600</v>
          </cell>
          <cell r="AW399">
            <v>0</v>
          </cell>
          <cell r="AX399">
            <v>0</v>
          </cell>
          <cell r="AY399">
            <v>7.3</v>
          </cell>
          <cell r="AZ399">
            <v>0</v>
          </cell>
          <cell r="BA399">
            <v>37</v>
          </cell>
          <cell r="BB399">
            <v>0</v>
          </cell>
          <cell r="BC399">
            <v>37</v>
          </cell>
          <cell r="BD399">
            <v>0</v>
          </cell>
          <cell r="BE399">
            <v>0</v>
          </cell>
          <cell r="BF399">
            <v>9</v>
          </cell>
          <cell r="BG399">
            <v>1</v>
          </cell>
          <cell r="BH399">
            <v>1</v>
          </cell>
          <cell r="BI399">
            <v>14</v>
          </cell>
          <cell r="BJ399">
            <v>3</v>
          </cell>
          <cell r="BK399">
            <v>3</v>
          </cell>
          <cell r="BL399">
            <v>7</v>
          </cell>
          <cell r="BM399">
            <v>2</v>
          </cell>
          <cell r="BN399">
            <v>-1</v>
          </cell>
          <cell r="BO399">
            <v>0</v>
          </cell>
          <cell r="BP399">
            <v>3</v>
          </cell>
          <cell r="BQ399">
            <v>0</v>
          </cell>
          <cell r="BR399">
            <v>1</v>
          </cell>
          <cell r="BS399">
            <v>2</v>
          </cell>
          <cell r="BT399">
            <v>1</v>
          </cell>
          <cell r="BU399">
            <v>-1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6</v>
          </cell>
          <cell r="DU399">
            <v>0</v>
          </cell>
          <cell r="DV399">
            <v>3</v>
          </cell>
          <cell r="DW399">
            <v>1</v>
          </cell>
          <cell r="DX399">
            <v>1</v>
          </cell>
          <cell r="DY399">
            <v>1</v>
          </cell>
          <cell r="DZ399">
            <v>0</v>
          </cell>
          <cell r="EA399">
            <v>14</v>
          </cell>
          <cell r="EB399">
            <v>4</v>
          </cell>
          <cell r="EC399">
            <v>4</v>
          </cell>
          <cell r="ED399">
            <v>2</v>
          </cell>
          <cell r="EE399">
            <v>2</v>
          </cell>
          <cell r="EF399">
            <v>2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 t="str">
            <v xml:space="preserve">Womens Union Grove                                          </v>
          </cell>
        </row>
        <row r="400">
          <cell r="A400" t="str">
            <v>CN4YL6878493</v>
          </cell>
          <cell r="B400" t="str">
            <v>CN4</v>
          </cell>
          <cell r="C400" t="str">
            <v>YL6878</v>
          </cell>
          <cell r="D400">
            <v>493</v>
          </cell>
          <cell r="E400" t="str">
            <v xml:space="preserve">   </v>
          </cell>
          <cell r="F400">
            <v>81001</v>
          </cell>
          <cell r="G400">
            <v>81008</v>
          </cell>
          <cell r="H400">
            <v>0</v>
          </cell>
          <cell r="I400">
            <v>700</v>
          </cell>
          <cell r="J400">
            <v>731</v>
          </cell>
          <cell r="K400">
            <v>729</v>
          </cell>
          <cell r="L400">
            <v>397</v>
          </cell>
          <cell r="M400">
            <v>397</v>
          </cell>
          <cell r="N400">
            <v>13405000</v>
          </cell>
          <cell r="O400">
            <v>14031575</v>
          </cell>
          <cell r="P400">
            <v>13993595</v>
          </cell>
          <cell r="Q400">
            <v>7621865</v>
          </cell>
          <cell r="R400">
            <v>39302763</v>
          </cell>
          <cell r="S400" t="str">
            <v xml:space="preserve"> </v>
          </cell>
          <cell r="T400" t="str">
            <v xml:space="preserve"> </v>
          </cell>
          <cell r="U400">
            <v>731</v>
          </cell>
          <cell r="V400">
            <v>14031575</v>
          </cell>
          <cell r="W400">
            <v>397</v>
          </cell>
          <cell r="X400">
            <v>7621865</v>
          </cell>
          <cell r="Y400">
            <v>54.31</v>
          </cell>
          <cell r="Z400">
            <v>54.32</v>
          </cell>
          <cell r="AA400">
            <v>7583465</v>
          </cell>
          <cell r="AB400">
            <v>38400</v>
          </cell>
          <cell r="AC400">
            <v>2</v>
          </cell>
          <cell r="AD400">
            <v>38400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332</v>
          </cell>
          <cell r="AN400">
            <v>13036800</v>
          </cell>
          <cell r="AO400">
            <v>19150</v>
          </cell>
          <cell r="AP400">
            <v>19200</v>
          </cell>
          <cell r="AQ400">
            <v>108000</v>
          </cell>
          <cell r="AR400">
            <v>0</v>
          </cell>
          <cell r="AS400">
            <v>5.63</v>
          </cell>
          <cell r="AT400">
            <v>78948000</v>
          </cell>
          <cell r="AU400">
            <v>5.18</v>
          </cell>
          <cell r="AV400">
            <v>39289045</v>
          </cell>
          <cell r="AW400">
            <v>0.36</v>
          </cell>
          <cell r="AX400">
            <v>13718</v>
          </cell>
          <cell r="AY400">
            <v>54.31</v>
          </cell>
          <cell r="AZ400">
            <v>0</v>
          </cell>
          <cell r="BA400">
            <v>395</v>
          </cell>
          <cell r="BB400">
            <v>2</v>
          </cell>
          <cell r="BC400">
            <v>397</v>
          </cell>
          <cell r="BD400">
            <v>0</v>
          </cell>
          <cell r="BE400">
            <v>0</v>
          </cell>
          <cell r="BF400">
            <v>27</v>
          </cell>
          <cell r="BG400">
            <v>0</v>
          </cell>
          <cell r="BH400">
            <v>1</v>
          </cell>
          <cell r="BI400">
            <v>65</v>
          </cell>
          <cell r="BJ400">
            <v>6</v>
          </cell>
          <cell r="BK400">
            <v>20</v>
          </cell>
          <cell r="BL400">
            <v>18</v>
          </cell>
          <cell r="BM400">
            <v>8</v>
          </cell>
          <cell r="BN400">
            <v>13</v>
          </cell>
          <cell r="BO400">
            <v>0</v>
          </cell>
          <cell r="BP400">
            <v>13</v>
          </cell>
          <cell r="BQ400">
            <v>2</v>
          </cell>
          <cell r="BR400">
            <v>6</v>
          </cell>
          <cell r="BS400">
            <v>2</v>
          </cell>
          <cell r="BT400">
            <v>1</v>
          </cell>
          <cell r="BU400">
            <v>2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107</v>
          </cell>
          <cell r="DU400">
            <v>0</v>
          </cell>
          <cell r="DV400">
            <v>26</v>
          </cell>
          <cell r="DW400">
            <v>33</v>
          </cell>
          <cell r="DX400">
            <v>22</v>
          </cell>
          <cell r="DY400">
            <v>26</v>
          </cell>
          <cell r="DZ400">
            <v>0</v>
          </cell>
          <cell r="EA400">
            <v>135</v>
          </cell>
          <cell r="EB400">
            <v>20</v>
          </cell>
          <cell r="EC400">
            <v>40</v>
          </cell>
          <cell r="ED400">
            <v>28</v>
          </cell>
          <cell r="EE400">
            <v>29</v>
          </cell>
          <cell r="EF400">
            <v>18</v>
          </cell>
          <cell r="EG400">
            <v>0</v>
          </cell>
          <cell r="EH400">
            <v>77</v>
          </cell>
          <cell r="EI400">
            <v>30</v>
          </cell>
          <cell r="EJ400">
            <v>18</v>
          </cell>
          <cell r="EK400">
            <v>13</v>
          </cell>
          <cell r="EL400">
            <v>9</v>
          </cell>
          <cell r="EM400">
            <v>7</v>
          </cell>
          <cell r="EN400">
            <v>0</v>
          </cell>
          <cell r="EO400" t="str">
            <v xml:space="preserve">Womens Union Grove                                          </v>
          </cell>
        </row>
        <row r="401">
          <cell r="A401" t="str">
            <v>CN4YL6878586</v>
          </cell>
          <cell r="B401" t="str">
            <v>CN4</v>
          </cell>
          <cell r="C401" t="str">
            <v>YL6878</v>
          </cell>
          <cell r="D401">
            <v>586</v>
          </cell>
          <cell r="E401" t="str">
            <v xml:space="preserve">   </v>
          </cell>
          <cell r="F401">
            <v>81001</v>
          </cell>
          <cell r="G401">
            <v>81008</v>
          </cell>
          <cell r="H401">
            <v>0</v>
          </cell>
          <cell r="I401">
            <v>800</v>
          </cell>
          <cell r="J401">
            <v>813</v>
          </cell>
          <cell r="K401">
            <v>810</v>
          </cell>
          <cell r="L401">
            <v>496</v>
          </cell>
          <cell r="M401">
            <v>496</v>
          </cell>
          <cell r="N401">
            <v>15320000</v>
          </cell>
          <cell r="O401">
            <v>15606580</v>
          </cell>
          <cell r="P401">
            <v>15549045</v>
          </cell>
          <cell r="Q401">
            <v>9522585</v>
          </cell>
          <cell r="R401">
            <v>49062270</v>
          </cell>
          <cell r="S401" t="str">
            <v xml:space="preserve"> </v>
          </cell>
          <cell r="T401" t="str">
            <v xml:space="preserve"> </v>
          </cell>
          <cell r="U401">
            <v>813</v>
          </cell>
          <cell r="V401">
            <v>15606580</v>
          </cell>
          <cell r="W401">
            <v>496</v>
          </cell>
          <cell r="X401">
            <v>9522585</v>
          </cell>
          <cell r="Y401">
            <v>61.01</v>
          </cell>
          <cell r="Z401">
            <v>61.02</v>
          </cell>
          <cell r="AA401">
            <v>9522585</v>
          </cell>
          <cell r="AB401">
            <v>0</v>
          </cell>
          <cell r="AC401">
            <v>3</v>
          </cell>
          <cell r="AD401">
            <v>57600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314</v>
          </cell>
          <cell r="AN401">
            <v>12556800</v>
          </cell>
          <cell r="AO401">
            <v>19150</v>
          </cell>
          <cell r="AP401">
            <v>19200</v>
          </cell>
          <cell r="AQ401">
            <v>108000</v>
          </cell>
          <cell r="AR401">
            <v>0</v>
          </cell>
          <cell r="AS401">
            <v>5.63</v>
          </cell>
          <cell r="AT401">
            <v>87804000</v>
          </cell>
          <cell r="AU401">
            <v>5.15</v>
          </cell>
          <cell r="AV401">
            <v>49062270</v>
          </cell>
          <cell r="AW401">
            <v>0</v>
          </cell>
          <cell r="AX401">
            <v>0</v>
          </cell>
          <cell r="AY401">
            <v>61.01</v>
          </cell>
          <cell r="AZ401">
            <v>0</v>
          </cell>
          <cell r="BA401">
            <v>496</v>
          </cell>
          <cell r="BB401">
            <v>0</v>
          </cell>
          <cell r="BC401">
            <v>496</v>
          </cell>
          <cell r="BD401">
            <v>0</v>
          </cell>
          <cell r="BE401">
            <v>0</v>
          </cell>
          <cell r="BF401">
            <v>49</v>
          </cell>
          <cell r="BG401">
            <v>0</v>
          </cell>
          <cell r="BH401">
            <v>1</v>
          </cell>
          <cell r="BI401">
            <v>54</v>
          </cell>
          <cell r="BJ401">
            <v>5</v>
          </cell>
          <cell r="BK401">
            <v>17</v>
          </cell>
          <cell r="BL401">
            <v>12</v>
          </cell>
          <cell r="BM401">
            <v>20</v>
          </cell>
          <cell r="BN401">
            <v>0</v>
          </cell>
          <cell r="BO401">
            <v>0</v>
          </cell>
          <cell r="BP401">
            <v>23</v>
          </cell>
          <cell r="BQ401">
            <v>2</v>
          </cell>
          <cell r="BR401">
            <v>11</v>
          </cell>
          <cell r="BS401">
            <v>7</v>
          </cell>
          <cell r="BT401">
            <v>4</v>
          </cell>
          <cell r="BU401">
            <v>-1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123</v>
          </cell>
          <cell r="DU401">
            <v>0</v>
          </cell>
          <cell r="DV401">
            <v>24</v>
          </cell>
          <cell r="DW401">
            <v>32</v>
          </cell>
          <cell r="DX401">
            <v>36</v>
          </cell>
          <cell r="DY401">
            <v>31</v>
          </cell>
          <cell r="DZ401">
            <v>0</v>
          </cell>
          <cell r="EA401">
            <v>187</v>
          </cell>
          <cell r="EB401">
            <v>21</v>
          </cell>
          <cell r="EC401">
            <v>55</v>
          </cell>
          <cell r="ED401">
            <v>36</v>
          </cell>
          <cell r="EE401">
            <v>42</v>
          </cell>
          <cell r="EF401">
            <v>33</v>
          </cell>
          <cell r="EG401">
            <v>0</v>
          </cell>
          <cell r="EH401">
            <v>109</v>
          </cell>
          <cell r="EI401">
            <v>18</v>
          </cell>
          <cell r="EJ401">
            <v>38</v>
          </cell>
          <cell r="EK401">
            <v>15</v>
          </cell>
          <cell r="EL401">
            <v>31</v>
          </cell>
          <cell r="EM401">
            <v>7</v>
          </cell>
          <cell r="EN401">
            <v>0</v>
          </cell>
          <cell r="EO401" t="str">
            <v xml:space="preserve">Womens Union Grove                                          </v>
          </cell>
        </row>
        <row r="402">
          <cell r="A402" t="str">
            <v>CN4YL6879010</v>
          </cell>
          <cell r="B402" t="str">
            <v>CN4</v>
          </cell>
          <cell r="C402" t="str">
            <v>YL6879</v>
          </cell>
          <cell r="D402">
            <v>10</v>
          </cell>
          <cell r="E402" t="str">
            <v xml:space="preserve">   </v>
          </cell>
          <cell r="F402">
            <v>81010</v>
          </cell>
          <cell r="G402">
            <v>81010</v>
          </cell>
          <cell r="H402">
            <v>81212</v>
          </cell>
          <cell r="I402">
            <v>700</v>
          </cell>
          <cell r="J402">
            <v>714</v>
          </cell>
          <cell r="K402">
            <v>699</v>
          </cell>
          <cell r="L402">
            <v>423</v>
          </cell>
          <cell r="M402">
            <v>423</v>
          </cell>
          <cell r="N402">
            <v>21805000</v>
          </cell>
          <cell r="O402">
            <v>22274658</v>
          </cell>
          <cell r="P402">
            <v>21806703</v>
          </cell>
          <cell r="Q402">
            <v>13196331</v>
          </cell>
          <cell r="R402">
            <v>45019600</v>
          </cell>
          <cell r="S402" t="str">
            <v>*</v>
          </cell>
          <cell r="T402" t="str">
            <v xml:space="preserve"> </v>
          </cell>
          <cell r="U402">
            <v>714</v>
          </cell>
          <cell r="V402">
            <v>22274658</v>
          </cell>
          <cell r="W402">
            <v>423</v>
          </cell>
          <cell r="X402">
            <v>13196331</v>
          </cell>
          <cell r="Y402">
            <v>59.8</v>
          </cell>
          <cell r="Z402">
            <v>60.36</v>
          </cell>
          <cell r="AA402">
            <v>2901321</v>
          </cell>
          <cell r="AB402">
            <v>10295010</v>
          </cell>
          <cell r="AC402">
            <v>15</v>
          </cell>
          <cell r="AD402">
            <v>1310274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4</v>
          </cell>
          <cell r="AL402">
            <v>249576</v>
          </cell>
          <cell r="AM402">
            <v>272</v>
          </cell>
          <cell r="AN402">
            <v>17719896</v>
          </cell>
          <cell r="AO402">
            <v>31150</v>
          </cell>
          <cell r="AP402">
            <v>31197</v>
          </cell>
          <cell r="AQ402">
            <v>158000</v>
          </cell>
          <cell r="AR402">
            <v>95000</v>
          </cell>
          <cell r="AS402">
            <v>5.0599999999999996</v>
          </cell>
          <cell r="AT402">
            <v>112812000</v>
          </cell>
          <cell r="AU402">
            <v>4.71</v>
          </cell>
          <cell r="AV402">
            <v>13669600</v>
          </cell>
          <cell r="AW402">
            <v>3.05</v>
          </cell>
          <cell r="AX402">
            <v>31350000</v>
          </cell>
          <cell r="AY402">
            <v>59.8</v>
          </cell>
          <cell r="AZ402">
            <v>0</v>
          </cell>
          <cell r="BA402">
            <v>93</v>
          </cell>
          <cell r="BB402">
            <v>330</v>
          </cell>
          <cell r="BC402">
            <v>423</v>
          </cell>
          <cell r="BD402">
            <v>0</v>
          </cell>
          <cell r="BE402">
            <v>0</v>
          </cell>
          <cell r="BF402">
            <v>50</v>
          </cell>
          <cell r="BG402">
            <v>1</v>
          </cell>
          <cell r="BH402">
            <v>1</v>
          </cell>
          <cell r="BI402">
            <v>162</v>
          </cell>
          <cell r="BJ402">
            <v>23</v>
          </cell>
          <cell r="BK402">
            <v>60</v>
          </cell>
          <cell r="BL402">
            <v>60</v>
          </cell>
          <cell r="BM402">
            <v>17</v>
          </cell>
          <cell r="BN402">
            <v>2</v>
          </cell>
          <cell r="BO402">
            <v>0</v>
          </cell>
          <cell r="BP402">
            <v>36</v>
          </cell>
          <cell r="BQ402">
            <v>4</v>
          </cell>
          <cell r="BR402">
            <v>13</v>
          </cell>
          <cell r="BS402">
            <v>5</v>
          </cell>
          <cell r="BT402">
            <v>12</v>
          </cell>
          <cell r="BU402">
            <v>2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17</v>
          </cell>
          <cell r="DU402">
            <v>0</v>
          </cell>
          <cell r="DV402">
            <v>3</v>
          </cell>
          <cell r="DW402">
            <v>7</v>
          </cell>
          <cell r="DX402">
            <v>4</v>
          </cell>
          <cell r="DY402">
            <v>3</v>
          </cell>
          <cell r="DZ402">
            <v>0</v>
          </cell>
          <cell r="EA402">
            <v>63</v>
          </cell>
          <cell r="EB402">
            <v>2</v>
          </cell>
          <cell r="EC402">
            <v>18</v>
          </cell>
          <cell r="ED402">
            <v>10</v>
          </cell>
          <cell r="EE402">
            <v>24</v>
          </cell>
          <cell r="EF402">
            <v>9</v>
          </cell>
          <cell r="EG402">
            <v>0</v>
          </cell>
          <cell r="EH402">
            <v>145</v>
          </cell>
          <cell r="EI402">
            <v>13</v>
          </cell>
          <cell r="EJ402">
            <v>33</v>
          </cell>
          <cell r="EK402">
            <v>42</v>
          </cell>
          <cell r="EL402">
            <v>45</v>
          </cell>
          <cell r="EM402">
            <v>12</v>
          </cell>
          <cell r="EN402">
            <v>0</v>
          </cell>
          <cell r="EO402" t="str">
            <v xml:space="preserve">Womens Andover                                              </v>
          </cell>
        </row>
        <row r="403">
          <cell r="A403" t="str">
            <v>CN4YL6879452</v>
          </cell>
          <cell r="B403" t="str">
            <v>CN4</v>
          </cell>
          <cell r="C403" t="str">
            <v>YL6879</v>
          </cell>
          <cell r="D403">
            <v>452</v>
          </cell>
          <cell r="E403" t="str">
            <v xml:space="preserve">   </v>
          </cell>
          <cell r="F403">
            <v>81010</v>
          </cell>
          <cell r="G403">
            <v>81010</v>
          </cell>
          <cell r="H403">
            <v>81212</v>
          </cell>
          <cell r="I403">
            <v>500</v>
          </cell>
          <cell r="J403">
            <v>480</v>
          </cell>
          <cell r="K403">
            <v>424</v>
          </cell>
          <cell r="L403">
            <v>132</v>
          </cell>
          <cell r="M403">
            <v>132</v>
          </cell>
          <cell r="N403">
            <v>15575000</v>
          </cell>
          <cell r="O403">
            <v>14974560</v>
          </cell>
          <cell r="P403">
            <v>13227528</v>
          </cell>
          <cell r="Q403">
            <v>4118004</v>
          </cell>
          <cell r="R403">
            <v>13641000</v>
          </cell>
          <cell r="S403" t="str">
            <v>*</v>
          </cell>
          <cell r="T403" t="str">
            <v xml:space="preserve"> </v>
          </cell>
          <cell r="U403">
            <v>480</v>
          </cell>
          <cell r="V403">
            <v>14974560</v>
          </cell>
          <cell r="W403">
            <v>132</v>
          </cell>
          <cell r="X403">
            <v>4118004</v>
          </cell>
          <cell r="Y403">
            <v>27.08</v>
          </cell>
          <cell r="Z403">
            <v>26.67</v>
          </cell>
          <cell r="AA403">
            <v>623940</v>
          </cell>
          <cell r="AB403">
            <v>3494064</v>
          </cell>
          <cell r="AC403">
            <v>56</v>
          </cell>
          <cell r="AD403">
            <v>2339775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-2</v>
          </cell>
          <cell r="AL403">
            <v>-124788</v>
          </cell>
          <cell r="AM403">
            <v>294</v>
          </cell>
          <cell r="AN403">
            <v>20278050</v>
          </cell>
          <cell r="AO403">
            <v>31150</v>
          </cell>
          <cell r="AP403">
            <v>31197</v>
          </cell>
          <cell r="AQ403">
            <v>158000</v>
          </cell>
          <cell r="AR403">
            <v>95000</v>
          </cell>
          <cell r="AS403">
            <v>5.0599999999999996</v>
          </cell>
          <cell r="AT403">
            <v>75840000</v>
          </cell>
          <cell r="AU403">
            <v>4.8099999999999996</v>
          </cell>
          <cell r="AV403">
            <v>3001000</v>
          </cell>
          <cell r="AW403">
            <v>3.05</v>
          </cell>
          <cell r="AX403">
            <v>10640000</v>
          </cell>
          <cell r="AY403">
            <v>27.08</v>
          </cell>
          <cell r="AZ403">
            <v>0</v>
          </cell>
          <cell r="BA403">
            <v>20</v>
          </cell>
          <cell r="BB403">
            <v>112</v>
          </cell>
          <cell r="BC403">
            <v>132</v>
          </cell>
          <cell r="BD403">
            <v>0</v>
          </cell>
          <cell r="BE403">
            <v>0</v>
          </cell>
          <cell r="BF403">
            <v>37</v>
          </cell>
          <cell r="BG403">
            <v>0</v>
          </cell>
          <cell r="BH403">
            <v>1</v>
          </cell>
          <cell r="BI403">
            <v>48</v>
          </cell>
          <cell r="BJ403">
            <v>9</v>
          </cell>
          <cell r="BK403">
            <v>15</v>
          </cell>
          <cell r="BL403">
            <v>16</v>
          </cell>
          <cell r="BM403">
            <v>5</v>
          </cell>
          <cell r="BN403">
            <v>3</v>
          </cell>
          <cell r="BO403">
            <v>0</v>
          </cell>
          <cell r="BP403">
            <v>25</v>
          </cell>
          <cell r="BQ403">
            <v>0</v>
          </cell>
          <cell r="BR403">
            <v>10</v>
          </cell>
          <cell r="BS403">
            <v>7</v>
          </cell>
          <cell r="BT403">
            <v>2</v>
          </cell>
          <cell r="BU403">
            <v>6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6</v>
          </cell>
          <cell r="DU403">
            <v>0</v>
          </cell>
          <cell r="DV403">
            <v>1</v>
          </cell>
          <cell r="DW403">
            <v>2</v>
          </cell>
          <cell r="DX403">
            <v>1</v>
          </cell>
          <cell r="DY403">
            <v>2</v>
          </cell>
          <cell r="DZ403">
            <v>0</v>
          </cell>
          <cell r="EA403">
            <v>10</v>
          </cell>
          <cell r="EB403">
            <v>0</v>
          </cell>
          <cell r="EC403">
            <v>3</v>
          </cell>
          <cell r="ED403">
            <v>2</v>
          </cell>
          <cell r="EE403">
            <v>3</v>
          </cell>
          <cell r="EF403">
            <v>2</v>
          </cell>
          <cell r="EG403">
            <v>0</v>
          </cell>
          <cell r="EH403">
            <v>43</v>
          </cell>
          <cell r="EI403">
            <v>3</v>
          </cell>
          <cell r="EJ403">
            <v>10</v>
          </cell>
          <cell r="EK403">
            <v>14</v>
          </cell>
          <cell r="EL403">
            <v>9</v>
          </cell>
          <cell r="EM403">
            <v>7</v>
          </cell>
          <cell r="EN403">
            <v>0</v>
          </cell>
          <cell r="EO403" t="str">
            <v xml:space="preserve">Womens Andover                                              </v>
          </cell>
        </row>
        <row r="404">
          <cell r="A404" t="str">
            <v>CN4YL6879650</v>
          </cell>
          <cell r="B404" t="str">
            <v>CN4</v>
          </cell>
          <cell r="C404" t="str">
            <v>YL6879</v>
          </cell>
          <cell r="D404">
            <v>650</v>
          </cell>
          <cell r="E404" t="str">
            <v xml:space="preserve">   </v>
          </cell>
          <cell r="F404">
            <v>81010</v>
          </cell>
          <cell r="G404">
            <v>81010</v>
          </cell>
          <cell r="H404">
            <v>81212</v>
          </cell>
          <cell r="I404">
            <v>800</v>
          </cell>
          <cell r="J404">
            <v>779</v>
          </cell>
          <cell r="K404">
            <v>726</v>
          </cell>
          <cell r="L404">
            <v>366</v>
          </cell>
          <cell r="M404">
            <v>366</v>
          </cell>
          <cell r="N404">
            <v>24920000</v>
          </cell>
          <cell r="O404">
            <v>24302463</v>
          </cell>
          <cell r="P404">
            <v>22649022</v>
          </cell>
          <cell r="Q404">
            <v>11418102</v>
          </cell>
          <cell r="R404">
            <v>38789659</v>
          </cell>
          <cell r="S404" t="str">
            <v>*</v>
          </cell>
          <cell r="T404" t="str">
            <v xml:space="preserve"> </v>
          </cell>
          <cell r="U404">
            <v>779</v>
          </cell>
          <cell r="V404">
            <v>24302463</v>
          </cell>
          <cell r="W404">
            <v>366</v>
          </cell>
          <cell r="X404">
            <v>11418102</v>
          </cell>
          <cell r="Y404">
            <v>45.83</v>
          </cell>
          <cell r="Z404">
            <v>44.67</v>
          </cell>
          <cell r="AA404">
            <v>2464563</v>
          </cell>
          <cell r="AB404">
            <v>8953539</v>
          </cell>
          <cell r="AC404">
            <v>53</v>
          </cell>
          <cell r="AD404">
            <v>2495760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-9</v>
          </cell>
          <cell r="AL404">
            <v>-561546</v>
          </cell>
          <cell r="AM404">
            <v>369</v>
          </cell>
          <cell r="AN404">
            <v>25082388</v>
          </cell>
          <cell r="AO404">
            <v>31150</v>
          </cell>
          <cell r="AP404">
            <v>31197</v>
          </cell>
          <cell r="AQ404">
            <v>158000</v>
          </cell>
          <cell r="AR404">
            <v>95000</v>
          </cell>
          <cell r="AS404">
            <v>5.0599999999999996</v>
          </cell>
          <cell r="AT404">
            <v>123082000</v>
          </cell>
          <cell r="AU404">
            <v>4.71</v>
          </cell>
          <cell r="AV404">
            <v>11612800</v>
          </cell>
          <cell r="AW404">
            <v>3.04</v>
          </cell>
          <cell r="AX404">
            <v>27176859</v>
          </cell>
          <cell r="AY404">
            <v>45.83</v>
          </cell>
          <cell r="AZ404">
            <v>0</v>
          </cell>
          <cell r="BA404">
            <v>79</v>
          </cell>
          <cell r="BB404">
            <v>287</v>
          </cell>
          <cell r="BC404">
            <v>366</v>
          </cell>
          <cell r="BD404">
            <v>0</v>
          </cell>
          <cell r="BE404">
            <v>0</v>
          </cell>
          <cell r="BF404">
            <v>74</v>
          </cell>
          <cell r="BG404">
            <v>0</v>
          </cell>
          <cell r="BH404">
            <v>1</v>
          </cell>
          <cell r="BI404">
            <v>150</v>
          </cell>
          <cell r="BJ404">
            <v>25</v>
          </cell>
          <cell r="BK404">
            <v>41</v>
          </cell>
          <cell r="BL404">
            <v>50</v>
          </cell>
          <cell r="BM404">
            <v>23</v>
          </cell>
          <cell r="BN404">
            <v>11</v>
          </cell>
          <cell r="BO404">
            <v>0</v>
          </cell>
          <cell r="BP404">
            <v>40</v>
          </cell>
          <cell r="BQ404">
            <v>2</v>
          </cell>
          <cell r="BR404">
            <v>15</v>
          </cell>
          <cell r="BS404">
            <v>13</v>
          </cell>
          <cell r="BT404">
            <v>9</v>
          </cell>
          <cell r="BU404">
            <v>1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17</v>
          </cell>
          <cell r="DU404">
            <v>0</v>
          </cell>
          <cell r="DV404">
            <v>2</v>
          </cell>
          <cell r="DW404">
            <v>6</v>
          </cell>
          <cell r="DX404">
            <v>4</v>
          </cell>
          <cell r="DY404">
            <v>5</v>
          </cell>
          <cell r="DZ404">
            <v>0</v>
          </cell>
          <cell r="EA404">
            <v>55</v>
          </cell>
          <cell r="EB404">
            <v>4</v>
          </cell>
          <cell r="EC404">
            <v>6</v>
          </cell>
          <cell r="ED404">
            <v>14</v>
          </cell>
          <cell r="EE404">
            <v>14</v>
          </cell>
          <cell r="EF404">
            <v>17</v>
          </cell>
          <cell r="EG404">
            <v>0</v>
          </cell>
          <cell r="EH404">
            <v>104</v>
          </cell>
          <cell r="EI404">
            <v>6</v>
          </cell>
          <cell r="EJ404">
            <v>24</v>
          </cell>
          <cell r="EK404">
            <v>34</v>
          </cell>
          <cell r="EL404">
            <v>27</v>
          </cell>
          <cell r="EM404">
            <v>13</v>
          </cell>
          <cell r="EN404">
            <v>0</v>
          </cell>
          <cell r="EO404" t="str">
            <v xml:space="preserve">Womens Andover                                              </v>
          </cell>
        </row>
        <row r="405">
          <cell r="A405" t="str">
            <v>CN4YL6880249</v>
          </cell>
          <cell r="B405" t="str">
            <v>CN4</v>
          </cell>
          <cell r="C405" t="str">
            <v>YL6880</v>
          </cell>
          <cell r="D405">
            <v>249</v>
          </cell>
          <cell r="E405" t="str">
            <v xml:space="preserve">   </v>
          </cell>
          <cell r="F405">
            <v>81023</v>
          </cell>
          <cell r="G405">
            <v>81023</v>
          </cell>
          <cell r="H405">
            <v>0</v>
          </cell>
          <cell r="I405">
            <v>500</v>
          </cell>
          <cell r="J405">
            <v>516</v>
          </cell>
          <cell r="K405">
            <v>516</v>
          </cell>
          <cell r="L405">
            <v>350</v>
          </cell>
          <cell r="M405">
            <v>350</v>
          </cell>
          <cell r="N405">
            <v>14375000</v>
          </cell>
          <cell r="O405">
            <v>14857704</v>
          </cell>
          <cell r="P405">
            <v>14857704</v>
          </cell>
          <cell r="Q405">
            <v>10077900</v>
          </cell>
          <cell r="R405">
            <v>51906975</v>
          </cell>
          <cell r="S405" t="str">
            <v xml:space="preserve"> </v>
          </cell>
          <cell r="T405" t="str">
            <v xml:space="preserve"> </v>
          </cell>
          <cell r="U405">
            <v>516</v>
          </cell>
          <cell r="V405">
            <v>14857704</v>
          </cell>
          <cell r="W405">
            <v>350</v>
          </cell>
          <cell r="X405">
            <v>10077900</v>
          </cell>
          <cell r="Y405">
            <v>67.83</v>
          </cell>
          <cell r="Z405">
            <v>67.83</v>
          </cell>
          <cell r="AA405">
            <v>10077900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166</v>
          </cell>
          <cell r="AN405">
            <v>9905136</v>
          </cell>
          <cell r="AO405">
            <v>28750</v>
          </cell>
          <cell r="AP405">
            <v>28794</v>
          </cell>
          <cell r="AQ405">
            <v>158000</v>
          </cell>
          <cell r="AR405">
            <v>0</v>
          </cell>
          <cell r="AS405">
            <v>5.49</v>
          </cell>
          <cell r="AT405">
            <v>81528000</v>
          </cell>
          <cell r="AU405">
            <v>5.15</v>
          </cell>
          <cell r="AV405">
            <v>51906975</v>
          </cell>
          <cell r="AW405">
            <v>0</v>
          </cell>
          <cell r="AX405">
            <v>0</v>
          </cell>
          <cell r="AY405">
            <v>67.83</v>
          </cell>
          <cell r="AZ405">
            <v>0</v>
          </cell>
          <cell r="BA405">
            <v>350</v>
          </cell>
          <cell r="BB405">
            <v>0</v>
          </cell>
          <cell r="BC405">
            <v>350</v>
          </cell>
          <cell r="BD405">
            <v>0</v>
          </cell>
          <cell r="BE405">
            <v>0</v>
          </cell>
          <cell r="BF405">
            <v>32</v>
          </cell>
          <cell r="BG405">
            <v>1</v>
          </cell>
          <cell r="BH405">
            <v>1</v>
          </cell>
          <cell r="BI405">
            <v>50</v>
          </cell>
          <cell r="BJ405">
            <v>12</v>
          </cell>
          <cell r="BK405">
            <v>10</v>
          </cell>
          <cell r="BL405">
            <v>13</v>
          </cell>
          <cell r="BM405">
            <v>9</v>
          </cell>
          <cell r="BN405">
            <v>6</v>
          </cell>
          <cell r="BO405">
            <v>0</v>
          </cell>
          <cell r="BP405">
            <v>12</v>
          </cell>
          <cell r="BQ405">
            <v>2</v>
          </cell>
          <cell r="BR405">
            <v>4</v>
          </cell>
          <cell r="BS405">
            <v>5</v>
          </cell>
          <cell r="BT405">
            <v>0</v>
          </cell>
          <cell r="BU405">
            <v>1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37</v>
          </cell>
          <cell r="DU405">
            <v>0</v>
          </cell>
          <cell r="DV405">
            <v>0</v>
          </cell>
          <cell r="DW405">
            <v>0</v>
          </cell>
          <cell r="DX405">
            <v>15</v>
          </cell>
          <cell r="DY405">
            <v>22</v>
          </cell>
          <cell r="DZ405">
            <v>0</v>
          </cell>
          <cell r="EA405">
            <v>149</v>
          </cell>
          <cell r="EB405">
            <v>24</v>
          </cell>
          <cell r="EC405">
            <v>40</v>
          </cell>
          <cell r="ED405">
            <v>31</v>
          </cell>
          <cell r="EE405">
            <v>29</v>
          </cell>
          <cell r="EF405">
            <v>25</v>
          </cell>
          <cell r="EG405">
            <v>0</v>
          </cell>
          <cell r="EH405">
            <v>102</v>
          </cell>
          <cell r="EI405">
            <v>30</v>
          </cell>
          <cell r="EJ405">
            <v>16</v>
          </cell>
          <cell r="EK405">
            <v>23</v>
          </cell>
          <cell r="EL405">
            <v>23</v>
          </cell>
          <cell r="EM405">
            <v>10</v>
          </cell>
          <cell r="EN405">
            <v>0</v>
          </cell>
          <cell r="EO405" t="str">
            <v xml:space="preserve">Womens Anchor Point                                         </v>
          </cell>
        </row>
        <row r="406">
          <cell r="A406" t="str">
            <v>CN4YL6880564</v>
          </cell>
          <cell r="B406" t="str">
            <v>CN4</v>
          </cell>
          <cell r="C406" t="str">
            <v>YL6880</v>
          </cell>
          <cell r="D406">
            <v>564</v>
          </cell>
          <cell r="E406" t="str">
            <v xml:space="preserve">   </v>
          </cell>
          <cell r="F406">
            <v>81023</v>
          </cell>
          <cell r="G406">
            <v>81023</v>
          </cell>
          <cell r="H406">
            <v>0</v>
          </cell>
          <cell r="I406">
            <v>600</v>
          </cell>
          <cell r="J406">
            <v>618</v>
          </cell>
          <cell r="K406">
            <v>617</v>
          </cell>
          <cell r="L406">
            <v>394</v>
          </cell>
          <cell r="M406">
            <v>394</v>
          </cell>
          <cell r="N406">
            <v>17250000</v>
          </cell>
          <cell r="O406">
            <v>17794692</v>
          </cell>
          <cell r="P406">
            <v>17765898</v>
          </cell>
          <cell r="Q406">
            <v>11344836</v>
          </cell>
          <cell r="R406">
            <v>57556005</v>
          </cell>
          <cell r="S406" t="str">
            <v xml:space="preserve"> </v>
          </cell>
          <cell r="T406" t="str">
            <v xml:space="preserve"> </v>
          </cell>
          <cell r="U406">
            <v>618</v>
          </cell>
          <cell r="V406">
            <v>17794692</v>
          </cell>
          <cell r="W406">
            <v>394</v>
          </cell>
          <cell r="X406">
            <v>11344836</v>
          </cell>
          <cell r="Y406">
            <v>63.75</v>
          </cell>
          <cell r="Z406">
            <v>63.75</v>
          </cell>
          <cell r="AA406">
            <v>11344836</v>
          </cell>
          <cell r="AB406">
            <v>0</v>
          </cell>
          <cell r="AC406">
            <v>1</v>
          </cell>
          <cell r="AD406">
            <v>28794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223</v>
          </cell>
          <cell r="AN406">
            <v>13648356</v>
          </cell>
          <cell r="AO406">
            <v>28750</v>
          </cell>
          <cell r="AP406">
            <v>28794</v>
          </cell>
          <cell r="AQ406">
            <v>158000</v>
          </cell>
          <cell r="AR406">
            <v>0</v>
          </cell>
          <cell r="AS406">
            <v>5.49</v>
          </cell>
          <cell r="AT406">
            <v>97644000</v>
          </cell>
          <cell r="AU406">
            <v>5.07</v>
          </cell>
          <cell r="AV406">
            <v>57556005</v>
          </cell>
          <cell r="AW406">
            <v>0</v>
          </cell>
          <cell r="AX406">
            <v>0</v>
          </cell>
          <cell r="AY406">
            <v>63.75</v>
          </cell>
          <cell r="AZ406">
            <v>0</v>
          </cell>
          <cell r="BA406">
            <v>394</v>
          </cell>
          <cell r="BB406">
            <v>0</v>
          </cell>
          <cell r="BC406">
            <v>394</v>
          </cell>
          <cell r="BD406">
            <v>0</v>
          </cell>
          <cell r="BE406">
            <v>0</v>
          </cell>
          <cell r="BF406">
            <v>35</v>
          </cell>
          <cell r="BG406">
            <v>0</v>
          </cell>
          <cell r="BH406">
            <v>1</v>
          </cell>
          <cell r="BI406">
            <v>73</v>
          </cell>
          <cell r="BJ406">
            <v>20</v>
          </cell>
          <cell r="BK406">
            <v>20</v>
          </cell>
          <cell r="BL406">
            <v>16</v>
          </cell>
          <cell r="BM406">
            <v>11</v>
          </cell>
          <cell r="BN406">
            <v>6</v>
          </cell>
          <cell r="BO406">
            <v>0</v>
          </cell>
          <cell r="BP406">
            <v>27</v>
          </cell>
          <cell r="BQ406">
            <v>3</v>
          </cell>
          <cell r="BR406">
            <v>8</v>
          </cell>
          <cell r="BS406">
            <v>5</v>
          </cell>
          <cell r="BT406">
            <v>8</v>
          </cell>
          <cell r="BU406">
            <v>3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38</v>
          </cell>
          <cell r="DU406">
            <v>0</v>
          </cell>
          <cell r="DV406">
            <v>0</v>
          </cell>
          <cell r="DW406">
            <v>0</v>
          </cell>
          <cell r="DX406">
            <v>17</v>
          </cell>
          <cell r="DY406">
            <v>21</v>
          </cell>
          <cell r="DZ406">
            <v>0</v>
          </cell>
          <cell r="EA406">
            <v>148</v>
          </cell>
          <cell r="EB406">
            <v>13</v>
          </cell>
          <cell r="EC406">
            <v>37</v>
          </cell>
          <cell r="ED406">
            <v>31</v>
          </cell>
          <cell r="EE406">
            <v>33</v>
          </cell>
          <cell r="EF406">
            <v>34</v>
          </cell>
          <cell r="EG406">
            <v>0</v>
          </cell>
          <cell r="EH406">
            <v>108</v>
          </cell>
          <cell r="EI406">
            <v>29</v>
          </cell>
          <cell r="EJ406">
            <v>18</v>
          </cell>
          <cell r="EK406">
            <v>23</v>
          </cell>
          <cell r="EL406">
            <v>30</v>
          </cell>
          <cell r="EM406">
            <v>8</v>
          </cell>
          <cell r="EN406">
            <v>0</v>
          </cell>
          <cell r="EO406" t="str">
            <v xml:space="preserve">Womens Anchor Point                                         </v>
          </cell>
        </row>
        <row r="407">
          <cell r="A407" t="str">
            <v>CN4YL6881009</v>
          </cell>
          <cell r="B407" t="str">
            <v>CN4</v>
          </cell>
          <cell r="C407" t="str">
            <v>YL6881</v>
          </cell>
          <cell r="D407">
            <v>9</v>
          </cell>
          <cell r="E407" t="str">
            <v xml:space="preserve">   </v>
          </cell>
          <cell r="F407">
            <v>81010</v>
          </cell>
          <cell r="G407">
            <v>81010</v>
          </cell>
          <cell r="H407">
            <v>0</v>
          </cell>
          <cell r="I407">
            <v>600</v>
          </cell>
          <cell r="J407">
            <v>615</v>
          </cell>
          <cell r="K407">
            <v>392</v>
          </cell>
          <cell r="L407">
            <v>344</v>
          </cell>
          <cell r="M407">
            <v>344</v>
          </cell>
          <cell r="N407">
            <v>14010000</v>
          </cell>
          <cell r="O407">
            <v>14363940</v>
          </cell>
          <cell r="P407">
            <v>9155552</v>
          </cell>
          <cell r="Q407">
            <v>8034464</v>
          </cell>
          <cell r="R407">
            <v>31140500</v>
          </cell>
          <cell r="S407" t="str">
            <v xml:space="preserve"> </v>
          </cell>
          <cell r="T407" t="str">
            <v xml:space="preserve"> </v>
          </cell>
          <cell r="U407">
            <v>615</v>
          </cell>
          <cell r="V407">
            <v>14363940</v>
          </cell>
          <cell r="W407">
            <v>344</v>
          </cell>
          <cell r="X407">
            <v>8034464</v>
          </cell>
          <cell r="Y407">
            <v>56.1</v>
          </cell>
          <cell r="Z407">
            <v>56.26</v>
          </cell>
          <cell r="AA407">
            <v>8034464</v>
          </cell>
          <cell r="AB407">
            <v>0</v>
          </cell>
          <cell r="AC407">
            <v>223</v>
          </cell>
          <cell r="AD407">
            <v>5208388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>
            <v>46712</v>
          </cell>
          <cell r="AM407">
            <v>47</v>
          </cell>
          <cell r="AN407">
            <v>7357140</v>
          </cell>
          <cell r="AO407">
            <v>23350</v>
          </cell>
          <cell r="AP407">
            <v>23356</v>
          </cell>
          <cell r="AQ407">
            <v>98000</v>
          </cell>
          <cell r="AR407">
            <v>0</v>
          </cell>
          <cell r="AS407">
            <v>4.2</v>
          </cell>
          <cell r="AT407">
            <v>60270000</v>
          </cell>
          <cell r="AU407">
            <v>3.88</v>
          </cell>
          <cell r="AV407">
            <v>31140500</v>
          </cell>
          <cell r="AW407">
            <v>0</v>
          </cell>
          <cell r="AX407">
            <v>0</v>
          </cell>
          <cell r="AY407">
            <v>56.1</v>
          </cell>
          <cell r="AZ407">
            <v>0</v>
          </cell>
          <cell r="BA407">
            <v>344</v>
          </cell>
          <cell r="BB407">
            <v>0</v>
          </cell>
          <cell r="BC407">
            <v>344</v>
          </cell>
          <cell r="BD407">
            <v>0</v>
          </cell>
          <cell r="BE407">
            <v>0</v>
          </cell>
          <cell r="BF407">
            <v>26</v>
          </cell>
          <cell r="BG407">
            <v>1</v>
          </cell>
          <cell r="BH407">
            <v>1</v>
          </cell>
          <cell r="BI407">
            <v>46</v>
          </cell>
          <cell r="BJ407">
            <v>4</v>
          </cell>
          <cell r="BK407">
            <v>16</v>
          </cell>
          <cell r="BL407">
            <v>9</v>
          </cell>
          <cell r="BM407">
            <v>12</v>
          </cell>
          <cell r="BN407">
            <v>5</v>
          </cell>
          <cell r="BO407">
            <v>0</v>
          </cell>
          <cell r="BP407">
            <v>-2</v>
          </cell>
          <cell r="BQ407">
            <v>2</v>
          </cell>
          <cell r="BR407">
            <v>6</v>
          </cell>
          <cell r="BS407">
            <v>-8</v>
          </cell>
          <cell r="BT407">
            <v>-1</v>
          </cell>
          <cell r="BU407">
            <v>-1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142</v>
          </cell>
          <cell r="DU407">
            <v>0</v>
          </cell>
          <cell r="DV407">
            <v>22</v>
          </cell>
          <cell r="DW407">
            <v>31</v>
          </cell>
          <cell r="DX407">
            <v>64</v>
          </cell>
          <cell r="DY407">
            <v>25</v>
          </cell>
          <cell r="DZ407">
            <v>0</v>
          </cell>
          <cell r="EA407">
            <v>91</v>
          </cell>
          <cell r="EB407">
            <v>15</v>
          </cell>
          <cell r="EC407">
            <v>29</v>
          </cell>
          <cell r="ED407">
            <v>20</v>
          </cell>
          <cell r="EE407">
            <v>9</v>
          </cell>
          <cell r="EF407">
            <v>18</v>
          </cell>
          <cell r="EG407">
            <v>0</v>
          </cell>
          <cell r="EH407">
            <v>67</v>
          </cell>
          <cell r="EI407">
            <v>28</v>
          </cell>
          <cell r="EJ407">
            <v>13</v>
          </cell>
          <cell r="EK407">
            <v>13</v>
          </cell>
          <cell r="EL407">
            <v>14</v>
          </cell>
          <cell r="EM407">
            <v>-1</v>
          </cell>
          <cell r="EN407">
            <v>0</v>
          </cell>
          <cell r="EO407" t="str">
            <v xml:space="preserve">Womens Emmonack                                             </v>
          </cell>
        </row>
        <row r="408">
          <cell r="A408" t="str">
            <v>CN4YL6881527</v>
          </cell>
          <cell r="B408" t="str">
            <v>CN4</v>
          </cell>
          <cell r="C408" t="str">
            <v>YL6881</v>
          </cell>
          <cell r="D408">
            <v>527</v>
          </cell>
          <cell r="E408" t="str">
            <v xml:space="preserve">   </v>
          </cell>
          <cell r="F408">
            <v>81011</v>
          </cell>
          <cell r="G408">
            <v>81011</v>
          </cell>
          <cell r="H408">
            <v>0</v>
          </cell>
          <cell r="I408">
            <v>500</v>
          </cell>
          <cell r="J408">
            <v>509</v>
          </cell>
          <cell r="K408">
            <v>326</v>
          </cell>
          <cell r="L408">
            <v>286</v>
          </cell>
          <cell r="M408">
            <v>286</v>
          </cell>
          <cell r="N408">
            <v>11675000</v>
          </cell>
          <cell r="O408">
            <v>11888204</v>
          </cell>
          <cell r="P408">
            <v>7614056</v>
          </cell>
          <cell r="Q408">
            <v>6679816</v>
          </cell>
          <cell r="R408">
            <v>25440100</v>
          </cell>
          <cell r="S408" t="str">
            <v xml:space="preserve"> </v>
          </cell>
          <cell r="T408" t="str">
            <v xml:space="preserve"> </v>
          </cell>
          <cell r="U408">
            <v>509</v>
          </cell>
          <cell r="V408">
            <v>11888204</v>
          </cell>
          <cell r="W408">
            <v>286</v>
          </cell>
          <cell r="X408">
            <v>6679816</v>
          </cell>
          <cell r="Y408">
            <v>56.19</v>
          </cell>
          <cell r="Z408">
            <v>56.19</v>
          </cell>
          <cell r="AA408">
            <v>6679816</v>
          </cell>
          <cell r="AB408">
            <v>0</v>
          </cell>
          <cell r="AC408">
            <v>183</v>
          </cell>
          <cell r="AD408">
            <v>4344216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40</v>
          </cell>
          <cell r="AN408">
            <v>6376188</v>
          </cell>
          <cell r="AO408">
            <v>23350</v>
          </cell>
          <cell r="AP408">
            <v>23356</v>
          </cell>
          <cell r="AQ408">
            <v>98000</v>
          </cell>
          <cell r="AR408">
            <v>0</v>
          </cell>
          <cell r="AS408">
            <v>4.2</v>
          </cell>
          <cell r="AT408">
            <v>49882000</v>
          </cell>
          <cell r="AU408">
            <v>3.81</v>
          </cell>
          <cell r="AV408">
            <v>25440100</v>
          </cell>
          <cell r="AW408">
            <v>0</v>
          </cell>
          <cell r="AX408">
            <v>0</v>
          </cell>
          <cell r="AY408">
            <v>56.19</v>
          </cell>
          <cell r="AZ408">
            <v>0</v>
          </cell>
          <cell r="BA408">
            <v>286</v>
          </cell>
          <cell r="BB408">
            <v>0</v>
          </cell>
          <cell r="BC408">
            <v>286</v>
          </cell>
          <cell r="BD408">
            <v>0</v>
          </cell>
          <cell r="BE408">
            <v>0</v>
          </cell>
          <cell r="BF408">
            <v>31</v>
          </cell>
          <cell r="BG408">
            <v>0</v>
          </cell>
          <cell r="BH408">
            <v>1</v>
          </cell>
          <cell r="BI408">
            <v>35</v>
          </cell>
          <cell r="BJ408">
            <v>-1</v>
          </cell>
          <cell r="BK408">
            <v>12</v>
          </cell>
          <cell r="BL408">
            <v>9</v>
          </cell>
          <cell r="BM408">
            <v>7</v>
          </cell>
          <cell r="BN408">
            <v>8</v>
          </cell>
          <cell r="BO408">
            <v>0</v>
          </cell>
          <cell r="BP408">
            <v>13</v>
          </cell>
          <cell r="BQ408">
            <v>0</v>
          </cell>
          <cell r="BR408">
            <v>9</v>
          </cell>
          <cell r="BS408">
            <v>6</v>
          </cell>
          <cell r="BT408">
            <v>-1</v>
          </cell>
          <cell r="BU408">
            <v>-1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91</v>
          </cell>
          <cell r="DU408">
            <v>0</v>
          </cell>
          <cell r="DV408">
            <v>8</v>
          </cell>
          <cell r="DW408">
            <v>31</v>
          </cell>
          <cell r="DX408">
            <v>39</v>
          </cell>
          <cell r="DY408">
            <v>13</v>
          </cell>
          <cell r="DZ408">
            <v>0</v>
          </cell>
          <cell r="EA408">
            <v>100</v>
          </cell>
          <cell r="EB408">
            <v>14</v>
          </cell>
          <cell r="EC408">
            <v>48</v>
          </cell>
          <cell r="ED408">
            <v>13</v>
          </cell>
          <cell r="EE408">
            <v>12</v>
          </cell>
          <cell r="EF408">
            <v>13</v>
          </cell>
          <cell r="EG408">
            <v>0</v>
          </cell>
          <cell r="EH408">
            <v>47</v>
          </cell>
          <cell r="EI408">
            <v>10</v>
          </cell>
          <cell r="EJ408">
            <v>6</v>
          </cell>
          <cell r="EK408">
            <v>16</v>
          </cell>
          <cell r="EL408">
            <v>10</v>
          </cell>
          <cell r="EM408">
            <v>5</v>
          </cell>
          <cell r="EN408">
            <v>0</v>
          </cell>
          <cell r="EO408" t="str">
            <v xml:space="preserve">Womens Emmonack                                             </v>
          </cell>
        </row>
        <row r="409">
          <cell r="A409" t="str">
            <v>CN4YL6883009</v>
          </cell>
          <cell r="B409" t="str">
            <v>CN4</v>
          </cell>
          <cell r="C409" t="str">
            <v>YL6883</v>
          </cell>
          <cell r="D409">
            <v>9</v>
          </cell>
          <cell r="E409" t="str">
            <v xml:space="preserve">   </v>
          </cell>
          <cell r="F409">
            <v>80826</v>
          </cell>
          <cell r="G409">
            <v>80829</v>
          </cell>
          <cell r="H409">
            <v>0</v>
          </cell>
          <cell r="I409">
            <v>500</v>
          </cell>
          <cell r="J409">
            <v>514</v>
          </cell>
          <cell r="K409">
            <v>514</v>
          </cell>
          <cell r="L409">
            <v>459</v>
          </cell>
          <cell r="M409">
            <v>459</v>
          </cell>
          <cell r="N409">
            <v>8575000</v>
          </cell>
          <cell r="O409">
            <v>8807390</v>
          </cell>
          <cell r="P409">
            <v>8807390</v>
          </cell>
          <cell r="Q409">
            <v>7864965</v>
          </cell>
          <cell r="R409">
            <v>32274673</v>
          </cell>
          <cell r="S409" t="str">
            <v xml:space="preserve"> </v>
          </cell>
          <cell r="T409" t="str">
            <v xml:space="preserve"> </v>
          </cell>
          <cell r="U409">
            <v>514</v>
          </cell>
          <cell r="V409">
            <v>8807390</v>
          </cell>
          <cell r="W409">
            <v>459</v>
          </cell>
          <cell r="X409">
            <v>7864965</v>
          </cell>
          <cell r="Y409">
            <v>89.3</v>
          </cell>
          <cell r="Z409">
            <v>89.3</v>
          </cell>
          <cell r="AA409">
            <v>7847830</v>
          </cell>
          <cell r="AB409">
            <v>17135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55</v>
          </cell>
          <cell r="AN409">
            <v>2107605</v>
          </cell>
          <cell r="AO409">
            <v>17150</v>
          </cell>
          <cell r="AP409">
            <v>17135</v>
          </cell>
          <cell r="AQ409">
            <v>78000</v>
          </cell>
          <cell r="AR409">
            <v>0</v>
          </cell>
          <cell r="AS409">
            <v>4.55</v>
          </cell>
          <cell r="AT409">
            <v>40092000</v>
          </cell>
          <cell r="AU409">
            <v>4.1100000000000003</v>
          </cell>
          <cell r="AV409">
            <v>32267814</v>
          </cell>
          <cell r="AW409">
            <v>0.4</v>
          </cell>
          <cell r="AX409">
            <v>6859</v>
          </cell>
          <cell r="AY409">
            <v>89.3</v>
          </cell>
          <cell r="AZ409">
            <v>0</v>
          </cell>
          <cell r="BA409">
            <v>458</v>
          </cell>
          <cell r="BB409">
            <v>1</v>
          </cell>
          <cell r="BC409">
            <v>459</v>
          </cell>
          <cell r="BD409">
            <v>0</v>
          </cell>
          <cell r="BE409">
            <v>0</v>
          </cell>
          <cell r="BF409">
            <v>25</v>
          </cell>
          <cell r="BG409">
            <v>1</v>
          </cell>
          <cell r="BH409">
            <v>1</v>
          </cell>
          <cell r="BI409">
            <v>23</v>
          </cell>
          <cell r="BJ409">
            <v>4</v>
          </cell>
          <cell r="BK409">
            <v>10</v>
          </cell>
          <cell r="BL409">
            <v>2</v>
          </cell>
          <cell r="BM409">
            <v>6</v>
          </cell>
          <cell r="BN409">
            <v>1</v>
          </cell>
          <cell r="BO409">
            <v>0</v>
          </cell>
          <cell r="BP409">
            <v>13</v>
          </cell>
          <cell r="BQ409">
            <v>-1</v>
          </cell>
          <cell r="BR409">
            <v>3</v>
          </cell>
          <cell r="BS409">
            <v>3</v>
          </cell>
          <cell r="BT409">
            <v>4</v>
          </cell>
          <cell r="BU409">
            <v>4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4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4</v>
          </cell>
          <cell r="DL409">
            <v>0</v>
          </cell>
          <cell r="DM409">
            <v>145</v>
          </cell>
          <cell r="DN409">
            <v>18</v>
          </cell>
          <cell r="DO409">
            <v>13</v>
          </cell>
          <cell r="DP409">
            <v>17</v>
          </cell>
          <cell r="DQ409">
            <v>88</v>
          </cell>
          <cell r="DR409">
            <v>9</v>
          </cell>
          <cell r="DS409">
            <v>0</v>
          </cell>
          <cell r="DT409">
            <v>114</v>
          </cell>
          <cell r="DU409">
            <v>26</v>
          </cell>
          <cell r="DV409">
            <v>27</v>
          </cell>
          <cell r="DW409">
            <v>22</v>
          </cell>
          <cell r="DX409">
            <v>26</v>
          </cell>
          <cell r="DY409">
            <v>13</v>
          </cell>
          <cell r="DZ409">
            <v>0</v>
          </cell>
          <cell r="EA409">
            <v>95</v>
          </cell>
          <cell r="EB409">
            <v>19</v>
          </cell>
          <cell r="EC409">
            <v>30</v>
          </cell>
          <cell r="ED409">
            <v>11</v>
          </cell>
          <cell r="EE409">
            <v>19</v>
          </cell>
          <cell r="EF409">
            <v>16</v>
          </cell>
          <cell r="EG409">
            <v>0</v>
          </cell>
          <cell r="EH409">
            <v>65</v>
          </cell>
          <cell r="EI409">
            <v>31</v>
          </cell>
          <cell r="EJ409">
            <v>9</v>
          </cell>
          <cell r="EK409">
            <v>7</v>
          </cell>
          <cell r="EL409">
            <v>14</v>
          </cell>
          <cell r="EM409">
            <v>4</v>
          </cell>
          <cell r="EN409">
            <v>0</v>
          </cell>
          <cell r="EO409" t="str">
            <v xml:space="preserve">Womens Blue Rapids                                          </v>
          </cell>
        </row>
        <row r="410">
          <cell r="A410" t="str">
            <v>CN4YL6883100</v>
          </cell>
          <cell r="B410" t="str">
            <v>CN4</v>
          </cell>
          <cell r="C410" t="str">
            <v>YL6883</v>
          </cell>
          <cell r="D410">
            <v>100</v>
          </cell>
          <cell r="E410" t="str">
            <v xml:space="preserve">   </v>
          </cell>
          <cell r="F410">
            <v>80826</v>
          </cell>
          <cell r="G410">
            <v>80829</v>
          </cell>
          <cell r="H410">
            <v>0</v>
          </cell>
          <cell r="I410">
            <v>400</v>
          </cell>
          <cell r="J410">
            <v>412</v>
          </cell>
          <cell r="K410">
            <v>412</v>
          </cell>
          <cell r="L410">
            <v>328</v>
          </cell>
          <cell r="M410">
            <v>328</v>
          </cell>
          <cell r="N410">
            <v>6860000</v>
          </cell>
          <cell r="O410">
            <v>7059620</v>
          </cell>
          <cell r="P410">
            <v>7059620</v>
          </cell>
          <cell r="Q410">
            <v>5620280</v>
          </cell>
          <cell r="R410">
            <v>23510608</v>
          </cell>
          <cell r="S410" t="str">
            <v xml:space="preserve"> </v>
          </cell>
          <cell r="T410" t="str">
            <v xml:space="preserve"> </v>
          </cell>
          <cell r="U410">
            <v>412</v>
          </cell>
          <cell r="V410">
            <v>7059620</v>
          </cell>
          <cell r="W410">
            <v>328</v>
          </cell>
          <cell r="X410">
            <v>5620280</v>
          </cell>
          <cell r="Y410">
            <v>79.61</v>
          </cell>
          <cell r="Z410">
            <v>79.61</v>
          </cell>
          <cell r="AA410">
            <v>5603145</v>
          </cell>
          <cell r="AB410">
            <v>17135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84</v>
          </cell>
          <cell r="AN410">
            <v>3221380</v>
          </cell>
          <cell r="AO410">
            <v>17150</v>
          </cell>
          <cell r="AP410">
            <v>17135</v>
          </cell>
          <cell r="AQ410">
            <v>78000</v>
          </cell>
          <cell r="AR410">
            <v>0</v>
          </cell>
          <cell r="AS410">
            <v>4.55</v>
          </cell>
          <cell r="AT410">
            <v>32136000</v>
          </cell>
          <cell r="AU410">
            <v>4.1900000000000004</v>
          </cell>
          <cell r="AV410">
            <v>23503749</v>
          </cell>
          <cell r="AW410">
            <v>0.4</v>
          </cell>
          <cell r="AX410">
            <v>6859</v>
          </cell>
          <cell r="AY410">
            <v>79.61</v>
          </cell>
          <cell r="AZ410">
            <v>0</v>
          </cell>
          <cell r="BA410">
            <v>327</v>
          </cell>
          <cell r="BB410">
            <v>1</v>
          </cell>
          <cell r="BC410">
            <v>328</v>
          </cell>
          <cell r="BD410">
            <v>0</v>
          </cell>
          <cell r="BE410">
            <v>0</v>
          </cell>
          <cell r="BF410">
            <v>22</v>
          </cell>
          <cell r="BG410">
            <v>0</v>
          </cell>
          <cell r="BH410">
            <v>1</v>
          </cell>
          <cell r="BI410">
            <v>48</v>
          </cell>
          <cell r="BJ410">
            <v>6</v>
          </cell>
          <cell r="BK410">
            <v>8</v>
          </cell>
          <cell r="BL410">
            <v>13</v>
          </cell>
          <cell r="BM410">
            <v>13</v>
          </cell>
          <cell r="BN410">
            <v>8</v>
          </cell>
          <cell r="BO410">
            <v>0</v>
          </cell>
          <cell r="BP410">
            <v>20</v>
          </cell>
          <cell r="BQ410">
            <v>3</v>
          </cell>
          <cell r="BR410">
            <v>6</v>
          </cell>
          <cell r="BS410">
            <v>2</v>
          </cell>
          <cell r="BT410">
            <v>2</v>
          </cell>
          <cell r="BU410">
            <v>7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10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10</v>
          </cell>
          <cell r="DL410">
            <v>0</v>
          </cell>
          <cell r="DM410">
            <v>72</v>
          </cell>
          <cell r="DN410">
            <v>13</v>
          </cell>
          <cell r="DO410">
            <v>11</v>
          </cell>
          <cell r="DP410">
            <v>6</v>
          </cell>
          <cell r="DQ410">
            <v>39</v>
          </cell>
          <cell r="DR410">
            <v>3</v>
          </cell>
          <cell r="DS410">
            <v>0</v>
          </cell>
          <cell r="DT410">
            <v>57</v>
          </cell>
          <cell r="DU410">
            <v>12</v>
          </cell>
          <cell r="DV410">
            <v>15</v>
          </cell>
          <cell r="DW410">
            <v>12</v>
          </cell>
          <cell r="DX410">
            <v>8</v>
          </cell>
          <cell r="DY410">
            <v>10</v>
          </cell>
          <cell r="DZ410">
            <v>0</v>
          </cell>
          <cell r="EA410">
            <v>56</v>
          </cell>
          <cell r="EB410">
            <v>4</v>
          </cell>
          <cell r="EC410">
            <v>19</v>
          </cell>
          <cell r="ED410">
            <v>8</v>
          </cell>
          <cell r="EE410">
            <v>16</v>
          </cell>
          <cell r="EF410">
            <v>9</v>
          </cell>
          <cell r="EG410">
            <v>0</v>
          </cell>
          <cell r="EH410">
            <v>65</v>
          </cell>
          <cell r="EI410">
            <v>14</v>
          </cell>
          <cell r="EJ410">
            <v>13</v>
          </cell>
          <cell r="EK410">
            <v>11</v>
          </cell>
          <cell r="EL410">
            <v>20</v>
          </cell>
          <cell r="EM410">
            <v>7</v>
          </cell>
          <cell r="EN410">
            <v>0</v>
          </cell>
          <cell r="EO410" t="str">
            <v xml:space="preserve">Womens Blue Rapids                                          </v>
          </cell>
        </row>
        <row r="411">
          <cell r="A411" t="str">
            <v>CN4YL6883755</v>
          </cell>
          <cell r="B411" t="str">
            <v>CN4</v>
          </cell>
          <cell r="C411" t="str">
            <v>YL6883</v>
          </cell>
          <cell r="D411">
            <v>755</v>
          </cell>
          <cell r="E411" t="str">
            <v xml:space="preserve">   </v>
          </cell>
          <cell r="F411">
            <v>80826</v>
          </cell>
          <cell r="G411">
            <v>80829</v>
          </cell>
          <cell r="H411">
            <v>0</v>
          </cell>
          <cell r="I411">
            <v>400</v>
          </cell>
          <cell r="J411">
            <v>411</v>
          </cell>
          <cell r="K411">
            <v>409</v>
          </cell>
          <cell r="L411">
            <v>233</v>
          </cell>
          <cell r="M411">
            <v>233</v>
          </cell>
          <cell r="N411">
            <v>6860000</v>
          </cell>
          <cell r="O411">
            <v>7042485</v>
          </cell>
          <cell r="P411">
            <v>7008215</v>
          </cell>
          <cell r="Q411">
            <v>3992455</v>
          </cell>
          <cell r="R411">
            <v>16649469</v>
          </cell>
          <cell r="S411" t="str">
            <v xml:space="preserve"> </v>
          </cell>
          <cell r="T411" t="str">
            <v xml:space="preserve"> </v>
          </cell>
          <cell r="U411">
            <v>411</v>
          </cell>
          <cell r="V411">
            <v>7042485</v>
          </cell>
          <cell r="W411">
            <v>233</v>
          </cell>
          <cell r="X411">
            <v>3992455</v>
          </cell>
          <cell r="Y411">
            <v>56.93</v>
          </cell>
          <cell r="Z411">
            <v>57.18</v>
          </cell>
          <cell r="AA411">
            <v>3992455</v>
          </cell>
          <cell r="AB411">
            <v>0</v>
          </cell>
          <cell r="AC411">
            <v>2</v>
          </cell>
          <cell r="AD411">
            <v>34270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>
            <v>34270</v>
          </cell>
          <cell r="AM411">
            <v>175</v>
          </cell>
          <cell r="AN411">
            <v>6357085</v>
          </cell>
          <cell r="AO411">
            <v>17150</v>
          </cell>
          <cell r="AP411">
            <v>17135</v>
          </cell>
          <cell r="AQ411">
            <v>78000</v>
          </cell>
          <cell r="AR411">
            <v>0</v>
          </cell>
          <cell r="AS411">
            <v>4.55</v>
          </cell>
          <cell r="AT411">
            <v>32058000</v>
          </cell>
          <cell r="AU411">
            <v>4.17</v>
          </cell>
          <cell r="AV411">
            <v>16649469</v>
          </cell>
          <cell r="AW411">
            <v>0</v>
          </cell>
          <cell r="AX411">
            <v>0</v>
          </cell>
          <cell r="AY411">
            <v>56.93</v>
          </cell>
          <cell r="AZ411">
            <v>0</v>
          </cell>
          <cell r="BA411">
            <v>233</v>
          </cell>
          <cell r="BB411">
            <v>0</v>
          </cell>
          <cell r="BC411">
            <v>233</v>
          </cell>
          <cell r="BD411">
            <v>0</v>
          </cell>
          <cell r="BE411">
            <v>0</v>
          </cell>
          <cell r="BF411">
            <v>25</v>
          </cell>
          <cell r="BG411">
            <v>0</v>
          </cell>
          <cell r="BH411">
            <v>1</v>
          </cell>
          <cell r="BI411">
            <v>36</v>
          </cell>
          <cell r="BJ411">
            <v>7</v>
          </cell>
          <cell r="BK411">
            <v>13</v>
          </cell>
          <cell r="BL411">
            <v>9</v>
          </cell>
          <cell r="BM411">
            <v>5</v>
          </cell>
          <cell r="BN411">
            <v>2</v>
          </cell>
          <cell r="BO411">
            <v>0</v>
          </cell>
          <cell r="BP411">
            <v>19</v>
          </cell>
          <cell r="BQ411">
            <v>2</v>
          </cell>
          <cell r="BR411">
            <v>7</v>
          </cell>
          <cell r="BS411">
            <v>6</v>
          </cell>
          <cell r="BT411">
            <v>1</v>
          </cell>
          <cell r="BU411">
            <v>3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1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1</v>
          </cell>
          <cell r="DL411">
            <v>0</v>
          </cell>
          <cell r="DM411">
            <v>50</v>
          </cell>
          <cell r="DN411">
            <v>7</v>
          </cell>
          <cell r="DO411">
            <v>8</v>
          </cell>
          <cell r="DP411">
            <v>6</v>
          </cell>
          <cell r="DQ411">
            <v>24</v>
          </cell>
          <cell r="DR411">
            <v>5</v>
          </cell>
          <cell r="DS411">
            <v>0</v>
          </cell>
          <cell r="DT411">
            <v>42</v>
          </cell>
          <cell r="DU411">
            <v>6</v>
          </cell>
          <cell r="DV411">
            <v>4</v>
          </cell>
          <cell r="DW411">
            <v>12</v>
          </cell>
          <cell r="DX411">
            <v>11</v>
          </cell>
          <cell r="DY411">
            <v>9</v>
          </cell>
          <cell r="DZ411">
            <v>0</v>
          </cell>
          <cell r="EA411">
            <v>47</v>
          </cell>
          <cell r="EB411">
            <v>9</v>
          </cell>
          <cell r="EC411">
            <v>11</v>
          </cell>
          <cell r="ED411">
            <v>10</v>
          </cell>
          <cell r="EE411">
            <v>6</v>
          </cell>
          <cell r="EF411">
            <v>11</v>
          </cell>
          <cell r="EG411">
            <v>0</v>
          </cell>
          <cell r="EH411">
            <v>38</v>
          </cell>
          <cell r="EI411">
            <v>7</v>
          </cell>
          <cell r="EJ411">
            <v>4</v>
          </cell>
          <cell r="EK411">
            <v>14</v>
          </cell>
          <cell r="EL411">
            <v>7</v>
          </cell>
          <cell r="EM411">
            <v>6</v>
          </cell>
          <cell r="EN411">
            <v>0</v>
          </cell>
          <cell r="EO411" t="str">
            <v xml:space="preserve">Womens Blue Rapids                                          </v>
          </cell>
        </row>
        <row r="412">
          <cell r="A412" t="str">
            <v>CN4YL8860010</v>
          </cell>
          <cell r="B412" t="str">
            <v>CN4</v>
          </cell>
          <cell r="C412" t="str">
            <v>YL8860</v>
          </cell>
          <cell r="D412">
            <v>10</v>
          </cell>
          <cell r="E412" t="str">
            <v xml:space="preserve">   </v>
          </cell>
          <cell r="F412">
            <v>81011</v>
          </cell>
          <cell r="G412">
            <v>81011</v>
          </cell>
          <cell r="H412">
            <v>81128</v>
          </cell>
          <cell r="I412">
            <v>1000</v>
          </cell>
          <cell r="J412">
            <v>934</v>
          </cell>
          <cell r="K412">
            <v>922</v>
          </cell>
          <cell r="L412">
            <v>770</v>
          </cell>
          <cell r="M412">
            <v>770</v>
          </cell>
          <cell r="N412">
            <v>26392000</v>
          </cell>
          <cell r="O412">
            <v>24073850</v>
          </cell>
          <cell r="P412">
            <v>23764550</v>
          </cell>
          <cell r="Q412">
            <v>19846750</v>
          </cell>
          <cell r="R412">
            <v>73354502</v>
          </cell>
          <cell r="S412" t="str">
            <v>*</v>
          </cell>
          <cell r="T412" t="str">
            <v xml:space="preserve"> </v>
          </cell>
          <cell r="U412">
            <v>934</v>
          </cell>
          <cell r="V412">
            <v>24073850</v>
          </cell>
          <cell r="W412">
            <v>770</v>
          </cell>
          <cell r="X412">
            <v>19846750</v>
          </cell>
          <cell r="Y412">
            <v>82.33</v>
          </cell>
          <cell r="Z412">
            <v>82.23</v>
          </cell>
          <cell r="AA412">
            <v>5335425</v>
          </cell>
          <cell r="AB412">
            <v>14511325</v>
          </cell>
          <cell r="AC412">
            <v>12</v>
          </cell>
          <cell r="AD412">
            <v>927900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-1</v>
          </cell>
          <cell r="AL412">
            <v>-51550</v>
          </cell>
          <cell r="AM412">
            <v>153</v>
          </cell>
          <cell r="AN412">
            <v>8943925</v>
          </cell>
          <cell r="AO412">
            <v>26392</v>
          </cell>
          <cell r="AP412">
            <v>25775</v>
          </cell>
          <cell r="AQ412">
            <v>138000</v>
          </cell>
          <cell r="AR412">
            <v>83000</v>
          </cell>
          <cell r="AS412">
            <v>5.35</v>
          </cell>
          <cell r="AT412">
            <v>128892000</v>
          </cell>
          <cell r="AU412">
            <v>5</v>
          </cell>
          <cell r="AV412">
            <v>26665500</v>
          </cell>
          <cell r="AW412">
            <v>3.22</v>
          </cell>
          <cell r="AX412">
            <v>46689002</v>
          </cell>
          <cell r="AY412">
            <v>82.33</v>
          </cell>
          <cell r="AZ412">
            <v>0</v>
          </cell>
          <cell r="BA412">
            <v>207</v>
          </cell>
          <cell r="BB412">
            <v>563</v>
          </cell>
          <cell r="BC412">
            <v>770</v>
          </cell>
          <cell r="BD412">
            <v>0</v>
          </cell>
          <cell r="BE412">
            <v>0</v>
          </cell>
          <cell r="BF412">
            <v>83</v>
          </cell>
          <cell r="BG412">
            <v>1</v>
          </cell>
          <cell r="BH412">
            <v>1</v>
          </cell>
          <cell r="BI412">
            <v>128</v>
          </cell>
          <cell r="BJ412">
            <v>23</v>
          </cell>
          <cell r="BK412">
            <v>52</v>
          </cell>
          <cell r="BL412">
            <v>23</v>
          </cell>
          <cell r="BM412">
            <v>10</v>
          </cell>
          <cell r="BN412">
            <v>20</v>
          </cell>
          <cell r="BO412">
            <v>0</v>
          </cell>
          <cell r="BP412">
            <v>53</v>
          </cell>
          <cell r="BQ412">
            <v>6</v>
          </cell>
          <cell r="BR412">
            <v>19</v>
          </cell>
          <cell r="BS412">
            <v>14</v>
          </cell>
          <cell r="BT412">
            <v>5</v>
          </cell>
          <cell r="BU412">
            <v>9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85</v>
          </cell>
          <cell r="DU412">
            <v>0</v>
          </cell>
          <cell r="DV412">
            <v>6</v>
          </cell>
          <cell r="DW412">
            <v>26</v>
          </cell>
          <cell r="DX412">
            <v>28</v>
          </cell>
          <cell r="DY412">
            <v>25</v>
          </cell>
          <cell r="DZ412">
            <v>0</v>
          </cell>
          <cell r="EA412">
            <v>183</v>
          </cell>
          <cell r="EB412">
            <v>18</v>
          </cell>
          <cell r="EC412">
            <v>38</v>
          </cell>
          <cell r="ED412">
            <v>30</v>
          </cell>
          <cell r="EE412">
            <v>31</v>
          </cell>
          <cell r="EF412">
            <v>66</v>
          </cell>
          <cell r="EG412">
            <v>0</v>
          </cell>
          <cell r="EH412">
            <v>321</v>
          </cell>
          <cell r="EI412">
            <v>121</v>
          </cell>
          <cell r="EJ412">
            <v>87</v>
          </cell>
          <cell r="EK412">
            <v>60</v>
          </cell>
          <cell r="EL412">
            <v>41</v>
          </cell>
          <cell r="EM412">
            <v>12</v>
          </cell>
          <cell r="EN412">
            <v>0</v>
          </cell>
          <cell r="EO412" t="str">
            <v xml:space="preserve"> Womens River Vale                                          </v>
          </cell>
        </row>
        <row r="413">
          <cell r="A413" t="str">
            <v>CN4YL8860060</v>
          </cell>
          <cell r="B413" t="str">
            <v>CN4</v>
          </cell>
          <cell r="C413" t="str">
            <v>YL8860</v>
          </cell>
          <cell r="D413">
            <v>60</v>
          </cell>
          <cell r="E413" t="str">
            <v xml:space="preserve">   </v>
          </cell>
          <cell r="F413">
            <v>81016</v>
          </cell>
          <cell r="G413">
            <v>81017</v>
          </cell>
          <cell r="H413">
            <v>81128</v>
          </cell>
          <cell r="I413">
            <v>300</v>
          </cell>
          <cell r="J413">
            <v>293</v>
          </cell>
          <cell r="K413">
            <v>283</v>
          </cell>
          <cell r="L413">
            <v>100</v>
          </cell>
          <cell r="M413">
            <v>100</v>
          </cell>
          <cell r="N413">
            <v>7917600</v>
          </cell>
          <cell r="O413">
            <v>7552075</v>
          </cell>
          <cell r="P413">
            <v>7294325</v>
          </cell>
          <cell r="Q413">
            <v>2577500</v>
          </cell>
          <cell r="R413">
            <v>9627700</v>
          </cell>
          <cell r="S413" t="str">
            <v>*</v>
          </cell>
          <cell r="T413" t="str">
            <v xml:space="preserve"> </v>
          </cell>
          <cell r="U413">
            <v>293</v>
          </cell>
          <cell r="V413">
            <v>7552075</v>
          </cell>
          <cell r="W413">
            <v>100</v>
          </cell>
          <cell r="X413">
            <v>2577500</v>
          </cell>
          <cell r="Y413">
            <v>34.130000000000003</v>
          </cell>
          <cell r="Z413">
            <v>34.130000000000003</v>
          </cell>
          <cell r="AA413">
            <v>695925</v>
          </cell>
          <cell r="AB413">
            <v>1881575</v>
          </cell>
          <cell r="AC413">
            <v>10</v>
          </cell>
          <cell r="AD413">
            <v>824800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183</v>
          </cell>
          <cell r="AN413">
            <v>9485200</v>
          </cell>
          <cell r="AO413">
            <v>26392</v>
          </cell>
          <cell r="AP413">
            <v>25775</v>
          </cell>
          <cell r="AQ413">
            <v>138000</v>
          </cell>
          <cell r="AR413">
            <v>83000</v>
          </cell>
          <cell r="AS413">
            <v>5.35</v>
          </cell>
          <cell r="AT413">
            <v>40434000</v>
          </cell>
          <cell r="AU413">
            <v>5.13</v>
          </cell>
          <cell r="AV413">
            <v>3568700</v>
          </cell>
          <cell r="AW413">
            <v>3.22</v>
          </cell>
          <cell r="AX413">
            <v>6059000</v>
          </cell>
          <cell r="AY413">
            <v>34.130000000000003</v>
          </cell>
          <cell r="AZ413">
            <v>0</v>
          </cell>
          <cell r="BA413">
            <v>27</v>
          </cell>
          <cell r="BB413">
            <v>73</v>
          </cell>
          <cell r="BC413">
            <v>100</v>
          </cell>
          <cell r="BD413">
            <v>0</v>
          </cell>
          <cell r="BE413">
            <v>0</v>
          </cell>
          <cell r="BF413">
            <v>20</v>
          </cell>
          <cell r="BG413">
            <v>0</v>
          </cell>
          <cell r="BH413">
            <v>1</v>
          </cell>
          <cell r="BI413">
            <v>22</v>
          </cell>
          <cell r="BJ413">
            <v>4</v>
          </cell>
          <cell r="BK413">
            <v>6</v>
          </cell>
          <cell r="BL413">
            <v>2</v>
          </cell>
          <cell r="BM413">
            <v>5</v>
          </cell>
          <cell r="BN413">
            <v>5</v>
          </cell>
          <cell r="BO413">
            <v>0</v>
          </cell>
          <cell r="BP413">
            <v>14</v>
          </cell>
          <cell r="BQ413">
            <v>1</v>
          </cell>
          <cell r="BR413">
            <v>10</v>
          </cell>
          <cell r="BS413">
            <v>2</v>
          </cell>
          <cell r="BT413">
            <v>1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8</v>
          </cell>
          <cell r="DU413">
            <v>0</v>
          </cell>
          <cell r="DV413">
            <v>0</v>
          </cell>
          <cell r="DW413">
            <v>0</v>
          </cell>
          <cell r="DX413">
            <v>6</v>
          </cell>
          <cell r="DY413">
            <v>2</v>
          </cell>
          <cell r="DZ413">
            <v>0</v>
          </cell>
          <cell r="EA413">
            <v>23</v>
          </cell>
          <cell r="EB413">
            <v>4</v>
          </cell>
          <cell r="EC413">
            <v>4</v>
          </cell>
          <cell r="ED413">
            <v>6</v>
          </cell>
          <cell r="EE413">
            <v>5</v>
          </cell>
          <cell r="EF413">
            <v>4</v>
          </cell>
          <cell r="EG413">
            <v>0</v>
          </cell>
          <cell r="EH413">
            <v>33</v>
          </cell>
          <cell r="EI413">
            <v>14</v>
          </cell>
          <cell r="EJ413">
            <v>3</v>
          </cell>
          <cell r="EK413">
            <v>8</v>
          </cell>
          <cell r="EL413">
            <v>6</v>
          </cell>
          <cell r="EM413">
            <v>2</v>
          </cell>
          <cell r="EN413">
            <v>0</v>
          </cell>
          <cell r="EO413" t="str">
            <v xml:space="preserve"> Womens River Vale                                          </v>
          </cell>
        </row>
        <row r="414">
          <cell r="A414" t="str">
            <v>CN4YL8860501</v>
          </cell>
          <cell r="B414" t="str">
            <v>CN4</v>
          </cell>
          <cell r="C414" t="str">
            <v>YL8860</v>
          </cell>
          <cell r="D414">
            <v>501</v>
          </cell>
          <cell r="E414" t="str">
            <v xml:space="preserve">   </v>
          </cell>
          <cell r="F414">
            <v>81016</v>
          </cell>
          <cell r="G414">
            <v>81017</v>
          </cell>
          <cell r="H414">
            <v>81128</v>
          </cell>
          <cell r="I414">
            <v>500</v>
          </cell>
          <cell r="J414">
            <v>441</v>
          </cell>
          <cell r="K414">
            <v>435</v>
          </cell>
          <cell r="L414">
            <v>306</v>
          </cell>
          <cell r="M414">
            <v>306</v>
          </cell>
          <cell r="N414">
            <v>13196000</v>
          </cell>
          <cell r="O414">
            <v>11366775</v>
          </cell>
          <cell r="P414">
            <v>11212125</v>
          </cell>
          <cell r="Q414">
            <v>7887150</v>
          </cell>
          <cell r="R414">
            <v>28760907</v>
          </cell>
          <cell r="S414" t="str">
            <v>*</v>
          </cell>
          <cell r="T414" t="str">
            <v xml:space="preserve"> </v>
          </cell>
          <cell r="U414">
            <v>441</v>
          </cell>
          <cell r="V414">
            <v>11366775</v>
          </cell>
          <cell r="W414">
            <v>306</v>
          </cell>
          <cell r="X414">
            <v>7887150</v>
          </cell>
          <cell r="Y414">
            <v>69.61</v>
          </cell>
          <cell r="Z414">
            <v>69.84</v>
          </cell>
          <cell r="AA414">
            <v>2139325</v>
          </cell>
          <cell r="AB414">
            <v>5747825</v>
          </cell>
          <cell r="AC414">
            <v>6</v>
          </cell>
          <cell r="AD414">
            <v>541275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>
            <v>51550</v>
          </cell>
          <cell r="AM414">
            <v>128</v>
          </cell>
          <cell r="AN414">
            <v>7423200</v>
          </cell>
          <cell r="AO414">
            <v>26392</v>
          </cell>
          <cell r="AP414">
            <v>25775</v>
          </cell>
          <cell r="AQ414">
            <v>138000</v>
          </cell>
          <cell r="AR414">
            <v>83000</v>
          </cell>
          <cell r="AS414">
            <v>5.35</v>
          </cell>
          <cell r="AT414">
            <v>60858000</v>
          </cell>
          <cell r="AU414">
            <v>5.0199999999999996</v>
          </cell>
          <cell r="AV414">
            <v>10732400</v>
          </cell>
          <cell r="AW414">
            <v>3.14</v>
          </cell>
          <cell r="AX414">
            <v>18028507</v>
          </cell>
          <cell r="AY414">
            <v>69.61</v>
          </cell>
          <cell r="AZ414">
            <v>0</v>
          </cell>
          <cell r="BA414">
            <v>83</v>
          </cell>
          <cell r="BB414">
            <v>223</v>
          </cell>
          <cell r="BC414">
            <v>306</v>
          </cell>
          <cell r="BD414">
            <v>0</v>
          </cell>
          <cell r="BE414">
            <v>0</v>
          </cell>
          <cell r="BF414">
            <v>53</v>
          </cell>
          <cell r="BG414">
            <v>0</v>
          </cell>
          <cell r="BH414">
            <v>1</v>
          </cell>
          <cell r="BI414">
            <v>57</v>
          </cell>
          <cell r="BJ414">
            <v>14</v>
          </cell>
          <cell r="BK414">
            <v>16</v>
          </cell>
          <cell r="BL414">
            <v>10</v>
          </cell>
          <cell r="BM414">
            <v>9</v>
          </cell>
          <cell r="BN414">
            <v>8</v>
          </cell>
          <cell r="BO414">
            <v>0</v>
          </cell>
          <cell r="BP414">
            <v>41</v>
          </cell>
          <cell r="BQ414">
            <v>4</v>
          </cell>
          <cell r="BR414">
            <v>18</v>
          </cell>
          <cell r="BS414">
            <v>7</v>
          </cell>
          <cell r="BT414">
            <v>8</v>
          </cell>
          <cell r="BU414">
            <v>4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39</v>
          </cell>
          <cell r="DU414">
            <v>0</v>
          </cell>
          <cell r="DV414">
            <v>0</v>
          </cell>
          <cell r="DW414">
            <v>8</v>
          </cell>
          <cell r="DX414">
            <v>19</v>
          </cell>
          <cell r="DY414">
            <v>12</v>
          </cell>
          <cell r="DZ414">
            <v>0</v>
          </cell>
          <cell r="EA414">
            <v>73</v>
          </cell>
          <cell r="EB414">
            <v>7</v>
          </cell>
          <cell r="EC414">
            <v>20</v>
          </cell>
          <cell r="ED414">
            <v>12</v>
          </cell>
          <cell r="EE414">
            <v>4</v>
          </cell>
          <cell r="EF414">
            <v>30</v>
          </cell>
          <cell r="EG414">
            <v>0</v>
          </cell>
          <cell r="EH414">
            <v>96</v>
          </cell>
          <cell r="EI414">
            <v>36</v>
          </cell>
          <cell r="EJ414">
            <v>24</v>
          </cell>
          <cell r="EK414">
            <v>10</v>
          </cell>
          <cell r="EL414">
            <v>12</v>
          </cell>
          <cell r="EM414">
            <v>14</v>
          </cell>
          <cell r="EN414">
            <v>0</v>
          </cell>
          <cell r="EO414" t="str">
            <v xml:space="preserve"> Womens River Vale                                          </v>
          </cell>
        </row>
        <row r="415">
          <cell r="A415" t="str">
            <v>CN4YL8862010</v>
          </cell>
          <cell r="B415" t="str">
            <v>CN4</v>
          </cell>
          <cell r="C415" t="str">
            <v>YL8862</v>
          </cell>
          <cell r="D415">
            <v>10</v>
          </cell>
          <cell r="E415" t="str">
            <v xml:space="preserve">   </v>
          </cell>
          <cell r="F415">
            <v>80923</v>
          </cell>
          <cell r="G415">
            <v>80924</v>
          </cell>
          <cell r="H415">
            <v>0</v>
          </cell>
          <cell r="I415">
            <v>1300</v>
          </cell>
          <cell r="J415">
            <v>1188</v>
          </cell>
          <cell r="K415">
            <v>1086</v>
          </cell>
          <cell r="L415">
            <v>984</v>
          </cell>
          <cell r="M415">
            <v>984</v>
          </cell>
          <cell r="N415">
            <v>45890000</v>
          </cell>
          <cell r="O415">
            <v>41949468</v>
          </cell>
          <cell r="P415">
            <v>38347746</v>
          </cell>
          <cell r="Q415">
            <v>34746024</v>
          </cell>
          <cell r="R415">
            <v>148404662</v>
          </cell>
          <cell r="S415" t="str">
            <v xml:space="preserve"> </v>
          </cell>
          <cell r="T415" t="str">
            <v xml:space="preserve"> </v>
          </cell>
          <cell r="U415">
            <v>1188</v>
          </cell>
          <cell r="V415">
            <v>41949468</v>
          </cell>
          <cell r="W415">
            <v>984</v>
          </cell>
          <cell r="X415">
            <v>34746024</v>
          </cell>
          <cell r="Y415">
            <v>82.74</v>
          </cell>
          <cell r="Z415">
            <v>82.66</v>
          </cell>
          <cell r="AA415">
            <v>34110426</v>
          </cell>
          <cell r="AB415">
            <v>635598</v>
          </cell>
          <cell r="AC415">
            <v>102</v>
          </cell>
          <cell r="AD415">
            <v>3601722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-1</v>
          </cell>
          <cell r="AL415">
            <v>-70622</v>
          </cell>
          <cell r="AM415">
            <v>103</v>
          </cell>
          <cell r="AN415">
            <v>10699233</v>
          </cell>
          <cell r="AO415">
            <v>35300</v>
          </cell>
          <cell r="AP415">
            <v>35311</v>
          </cell>
          <cell r="AQ415">
            <v>168000</v>
          </cell>
          <cell r="AR415">
            <v>0</v>
          </cell>
          <cell r="AS415">
            <v>4.76</v>
          </cell>
          <cell r="AT415">
            <v>199584000</v>
          </cell>
          <cell r="AU415">
            <v>4.3499999999999996</v>
          </cell>
          <cell r="AV415">
            <v>148281200</v>
          </cell>
          <cell r="AW415">
            <v>0.19</v>
          </cell>
          <cell r="AX415">
            <v>123462</v>
          </cell>
          <cell r="AY415">
            <v>82.74</v>
          </cell>
          <cell r="AZ415">
            <v>0</v>
          </cell>
          <cell r="BA415">
            <v>966</v>
          </cell>
          <cell r="BB415">
            <v>18</v>
          </cell>
          <cell r="BC415">
            <v>984</v>
          </cell>
          <cell r="BD415">
            <v>0</v>
          </cell>
          <cell r="BE415">
            <v>0</v>
          </cell>
          <cell r="BF415">
            <v>69</v>
          </cell>
          <cell r="BG415">
            <v>1</v>
          </cell>
          <cell r="BH415">
            <v>1</v>
          </cell>
          <cell r="BI415">
            <v>69</v>
          </cell>
          <cell r="BJ415">
            <v>6</v>
          </cell>
          <cell r="BK415">
            <v>26</v>
          </cell>
          <cell r="BL415">
            <v>19</v>
          </cell>
          <cell r="BM415">
            <v>9</v>
          </cell>
          <cell r="BN415">
            <v>9</v>
          </cell>
          <cell r="BO415">
            <v>0</v>
          </cell>
          <cell r="BP415">
            <v>-5</v>
          </cell>
          <cell r="BQ415">
            <v>5</v>
          </cell>
          <cell r="BR415">
            <v>6</v>
          </cell>
          <cell r="BS415">
            <v>-7</v>
          </cell>
          <cell r="BT415">
            <v>-5</v>
          </cell>
          <cell r="BU415">
            <v>-4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168</v>
          </cell>
          <cell r="DN415">
            <v>0</v>
          </cell>
          <cell r="DO415">
            <v>0</v>
          </cell>
          <cell r="DP415">
            <v>0</v>
          </cell>
          <cell r="DQ415">
            <v>158</v>
          </cell>
          <cell r="DR415">
            <v>10</v>
          </cell>
          <cell r="DS415">
            <v>0</v>
          </cell>
          <cell r="DT415">
            <v>272</v>
          </cell>
          <cell r="DU415">
            <v>25</v>
          </cell>
          <cell r="DV415">
            <v>48</v>
          </cell>
          <cell r="DW415">
            <v>58</v>
          </cell>
          <cell r="DX415">
            <v>70</v>
          </cell>
          <cell r="DY415">
            <v>71</v>
          </cell>
          <cell r="DZ415">
            <v>0</v>
          </cell>
          <cell r="EA415">
            <v>355</v>
          </cell>
          <cell r="EB415">
            <v>69</v>
          </cell>
          <cell r="EC415">
            <v>113</v>
          </cell>
          <cell r="ED415">
            <v>76</v>
          </cell>
          <cell r="EE415">
            <v>44</v>
          </cell>
          <cell r="EF415">
            <v>53</v>
          </cell>
          <cell r="EG415">
            <v>0</v>
          </cell>
          <cell r="EH415">
            <v>125</v>
          </cell>
          <cell r="EI415">
            <v>32</v>
          </cell>
          <cell r="EJ415">
            <v>45</v>
          </cell>
          <cell r="EK415">
            <v>15</v>
          </cell>
          <cell r="EL415">
            <v>25</v>
          </cell>
          <cell r="EM415">
            <v>8</v>
          </cell>
          <cell r="EN415">
            <v>0</v>
          </cell>
          <cell r="EO415" t="str">
            <v xml:space="preserve">Womens Lisman                                               </v>
          </cell>
        </row>
        <row r="416">
          <cell r="A416" t="str">
            <v>CN4YL8862564</v>
          </cell>
          <cell r="B416" t="str">
            <v>CN4</v>
          </cell>
          <cell r="C416" t="str">
            <v>YL8862</v>
          </cell>
          <cell r="D416">
            <v>564</v>
          </cell>
          <cell r="E416" t="str">
            <v xml:space="preserve">   </v>
          </cell>
          <cell r="F416">
            <v>80923</v>
          </cell>
          <cell r="G416">
            <v>80924</v>
          </cell>
          <cell r="H416">
            <v>0</v>
          </cell>
          <cell r="I416">
            <v>700</v>
          </cell>
          <cell r="J416">
            <v>645</v>
          </cell>
          <cell r="K416">
            <v>406</v>
          </cell>
          <cell r="L416">
            <v>290</v>
          </cell>
          <cell r="M416">
            <v>290</v>
          </cell>
          <cell r="N416">
            <v>24710000</v>
          </cell>
          <cell r="O416">
            <v>22775595</v>
          </cell>
          <cell r="P416">
            <v>14336266</v>
          </cell>
          <cell r="Q416">
            <v>10240190</v>
          </cell>
          <cell r="R416">
            <v>44017200</v>
          </cell>
          <cell r="S416" t="str">
            <v xml:space="preserve"> </v>
          </cell>
          <cell r="T416" t="str">
            <v xml:space="preserve"> </v>
          </cell>
          <cell r="U416">
            <v>645</v>
          </cell>
          <cell r="V416">
            <v>22775595</v>
          </cell>
          <cell r="W416">
            <v>290</v>
          </cell>
          <cell r="X416">
            <v>10240190</v>
          </cell>
          <cell r="Y416">
            <v>44.96</v>
          </cell>
          <cell r="Z416">
            <v>44.96</v>
          </cell>
          <cell r="AA416">
            <v>10240190</v>
          </cell>
          <cell r="AB416">
            <v>0</v>
          </cell>
          <cell r="AC416">
            <v>239</v>
          </cell>
          <cell r="AD416">
            <v>8439329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116</v>
          </cell>
          <cell r="AN416">
            <v>16702103</v>
          </cell>
          <cell r="AO416">
            <v>35300</v>
          </cell>
          <cell r="AP416">
            <v>35311</v>
          </cell>
          <cell r="AQ416">
            <v>168000</v>
          </cell>
          <cell r="AR416">
            <v>0</v>
          </cell>
          <cell r="AS416">
            <v>4.76</v>
          </cell>
          <cell r="AT416">
            <v>108360000</v>
          </cell>
          <cell r="AU416">
            <v>4.3</v>
          </cell>
          <cell r="AV416">
            <v>44017200</v>
          </cell>
          <cell r="AW416">
            <v>0</v>
          </cell>
          <cell r="AX416">
            <v>0</v>
          </cell>
          <cell r="AY416">
            <v>44.96</v>
          </cell>
          <cell r="AZ416">
            <v>0</v>
          </cell>
          <cell r="BA416">
            <v>290</v>
          </cell>
          <cell r="BB416">
            <v>0</v>
          </cell>
          <cell r="BC416">
            <v>290</v>
          </cell>
          <cell r="BD416">
            <v>0</v>
          </cell>
          <cell r="BE416">
            <v>0</v>
          </cell>
          <cell r="BF416">
            <v>20</v>
          </cell>
          <cell r="BG416">
            <v>0</v>
          </cell>
          <cell r="BH416">
            <v>1</v>
          </cell>
          <cell r="BI416">
            <v>24</v>
          </cell>
          <cell r="BJ416">
            <v>4</v>
          </cell>
          <cell r="BK416">
            <v>6</v>
          </cell>
          <cell r="BL416">
            <v>3</v>
          </cell>
          <cell r="BM416">
            <v>3</v>
          </cell>
          <cell r="BN416">
            <v>8</v>
          </cell>
          <cell r="BO416">
            <v>0</v>
          </cell>
          <cell r="BP416">
            <v>2</v>
          </cell>
          <cell r="BQ416">
            <v>1</v>
          </cell>
          <cell r="BR416">
            <v>3</v>
          </cell>
          <cell r="BS416">
            <v>2</v>
          </cell>
          <cell r="BT416">
            <v>-3</v>
          </cell>
          <cell r="BU416">
            <v>-1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67</v>
          </cell>
          <cell r="DN416">
            <v>0</v>
          </cell>
          <cell r="DO416">
            <v>0</v>
          </cell>
          <cell r="DP416">
            <v>0</v>
          </cell>
          <cell r="DQ416">
            <v>61</v>
          </cell>
          <cell r="DR416">
            <v>6</v>
          </cell>
          <cell r="DS416">
            <v>0</v>
          </cell>
          <cell r="DT416">
            <v>93</v>
          </cell>
          <cell r="DU416">
            <v>15</v>
          </cell>
          <cell r="DV416">
            <v>24</v>
          </cell>
          <cell r="DW416">
            <v>26</v>
          </cell>
          <cell r="DX416">
            <v>13</v>
          </cell>
          <cell r="DY416">
            <v>15</v>
          </cell>
          <cell r="DZ416">
            <v>0</v>
          </cell>
          <cell r="EA416">
            <v>69</v>
          </cell>
          <cell r="EB416">
            <v>10</v>
          </cell>
          <cell r="EC416">
            <v>28</v>
          </cell>
          <cell r="ED416">
            <v>15</v>
          </cell>
          <cell r="EE416">
            <v>12</v>
          </cell>
          <cell r="EF416">
            <v>4</v>
          </cell>
          <cell r="EG416">
            <v>0</v>
          </cell>
          <cell r="EH416">
            <v>35</v>
          </cell>
          <cell r="EI416">
            <v>6</v>
          </cell>
          <cell r="EJ416">
            <v>10</v>
          </cell>
          <cell r="EK416">
            <v>9</v>
          </cell>
          <cell r="EL416">
            <v>7</v>
          </cell>
          <cell r="EM416">
            <v>3</v>
          </cell>
          <cell r="EN416">
            <v>0</v>
          </cell>
          <cell r="EO416" t="str">
            <v xml:space="preserve">Womens Lisman                                               </v>
          </cell>
        </row>
        <row r="417">
          <cell r="A417" t="str">
            <v>CN4YL8864010</v>
          </cell>
          <cell r="B417" t="str">
            <v>CN4</v>
          </cell>
          <cell r="C417" t="str">
            <v>YL8864</v>
          </cell>
          <cell r="D417">
            <v>10</v>
          </cell>
          <cell r="E417" t="str">
            <v xml:space="preserve">   </v>
          </cell>
          <cell r="F417">
            <v>81001</v>
          </cell>
          <cell r="G417">
            <v>81002</v>
          </cell>
          <cell r="H417">
            <v>0</v>
          </cell>
          <cell r="I417">
            <v>1500</v>
          </cell>
          <cell r="J417">
            <v>1486</v>
          </cell>
          <cell r="K417">
            <v>1483</v>
          </cell>
          <cell r="L417">
            <v>1335</v>
          </cell>
          <cell r="M417">
            <v>1335</v>
          </cell>
          <cell r="N417">
            <v>33975000</v>
          </cell>
          <cell r="O417">
            <v>33703966</v>
          </cell>
          <cell r="P417">
            <v>33635923</v>
          </cell>
          <cell r="Q417">
            <v>30279135</v>
          </cell>
          <cell r="R417">
            <v>180870678</v>
          </cell>
          <cell r="S417" t="str">
            <v xml:space="preserve"> </v>
          </cell>
          <cell r="T417" t="str">
            <v xml:space="preserve"> </v>
          </cell>
          <cell r="U417">
            <v>1486</v>
          </cell>
          <cell r="V417">
            <v>33703966</v>
          </cell>
          <cell r="W417">
            <v>1335</v>
          </cell>
          <cell r="X417">
            <v>30279135</v>
          </cell>
          <cell r="Y417">
            <v>89.97</v>
          </cell>
          <cell r="Z417">
            <v>90.11</v>
          </cell>
          <cell r="AA417">
            <v>30233773</v>
          </cell>
          <cell r="AB417">
            <v>45362</v>
          </cell>
          <cell r="AC417">
            <v>3</v>
          </cell>
          <cell r="AD417">
            <v>68043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2</v>
          </cell>
          <cell r="AL417">
            <v>90724</v>
          </cell>
          <cell r="AM417">
            <v>146</v>
          </cell>
          <cell r="AN417">
            <v>7121834</v>
          </cell>
          <cell r="AO417">
            <v>22650</v>
          </cell>
          <cell r="AP417">
            <v>22681</v>
          </cell>
          <cell r="AQ417">
            <v>158000</v>
          </cell>
          <cell r="AR417">
            <v>0</v>
          </cell>
          <cell r="AS417">
            <v>6.97</v>
          </cell>
          <cell r="AT417">
            <v>234788000</v>
          </cell>
          <cell r="AU417">
            <v>5.98</v>
          </cell>
          <cell r="AV417">
            <v>180856960</v>
          </cell>
          <cell r="AW417">
            <v>0.3</v>
          </cell>
          <cell r="AX417">
            <v>13718</v>
          </cell>
          <cell r="AY417">
            <v>89.97</v>
          </cell>
          <cell r="AZ417">
            <v>0</v>
          </cell>
          <cell r="BA417">
            <v>1333</v>
          </cell>
          <cell r="BB417">
            <v>2</v>
          </cell>
          <cell r="BC417">
            <v>1335</v>
          </cell>
          <cell r="BD417">
            <v>0</v>
          </cell>
          <cell r="BE417">
            <v>0</v>
          </cell>
          <cell r="BF417">
            <v>61</v>
          </cell>
          <cell r="BG417">
            <v>1</v>
          </cell>
          <cell r="BH417">
            <v>1</v>
          </cell>
          <cell r="BI417">
            <v>530</v>
          </cell>
          <cell r="BJ417">
            <v>155</v>
          </cell>
          <cell r="BK417">
            <v>164</v>
          </cell>
          <cell r="BL417">
            <v>125</v>
          </cell>
          <cell r="BM417">
            <v>50</v>
          </cell>
          <cell r="BN417">
            <v>36</v>
          </cell>
          <cell r="BO417">
            <v>0</v>
          </cell>
          <cell r="BP417">
            <v>19</v>
          </cell>
          <cell r="BQ417">
            <v>14</v>
          </cell>
          <cell r="BR417">
            <v>-2</v>
          </cell>
          <cell r="BS417">
            <v>1</v>
          </cell>
          <cell r="BT417">
            <v>5</v>
          </cell>
          <cell r="BU417">
            <v>1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54</v>
          </cell>
          <cell r="DU417">
            <v>7</v>
          </cell>
          <cell r="DV417">
            <v>11</v>
          </cell>
          <cell r="DW417">
            <v>3</v>
          </cell>
          <cell r="DX417">
            <v>11</v>
          </cell>
          <cell r="DY417">
            <v>22</v>
          </cell>
          <cell r="DZ417">
            <v>0</v>
          </cell>
          <cell r="EA417">
            <v>338</v>
          </cell>
          <cell r="EB417">
            <v>17</v>
          </cell>
          <cell r="EC417">
            <v>59</v>
          </cell>
          <cell r="ED417">
            <v>53</v>
          </cell>
          <cell r="EE417">
            <v>115</v>
          </cell>
          <cell r="EF417">
            <v>94</v>
          </cell>
          <cell r="EG417">
            <v>0</v>
          </cell>
          <cell r="EH417">
            <v>394</v>
          </cell>
          <cell r="EI417">
            <v>77</v>
          </cell>
          <cell r="EJ417">
            <v>55</v>
          </cell>
          <cell r="EK417">
            <v>59</v>
          </cell>
          <cell r="EL417">
            <v>137</v>
          </cell>
          <cell r="EM417">
            <v>66</v>
          </cell>
          <cell r="EN417">
            <v>0</v>
          </cell>
          <cell r="EO417" t="str">
            <v xml:space="preserve">Womens Vista                                                </v>
          </cell>
        </row>
        <row r="418">
          <cell r="A418" t="str">
            <v>CN4YL8864564</v>
          </cell>
          <cell r="B418" t="str">
            <v>CN4</v>
          </cell>
          <cell r="C418" t="str">
            <v>YL8864</v>
          </cell>
          <cell r="D418">
            <v>564</v>
          </cell>
          <cell r="E418" t="str">
            <v xml:space="preserve">   </v>
          </cell>
          <cell r="F418">
            <v>81024</v>
          </cell>
          <cell r="G418">
            <v>81024</v>
          </cell>
          <cell r="H418">
            <v>0</v>
          </cell>
          <cell r="I418">
            <v>600</v>
          </cell>
          <cell r="J418">
            <v>601</v>
          </cell>
          <cell r="K418">
            <v>601</v>
          </cell>
          <cell r="L418">
            <v>314</v>
          </cell>
          <cell r="M418">
            <v>314</v>
          </cell>
          <cell r="N418">
            <v>13590000</v>
          </cell>
          <cell r="O418">
            <v>13631281</v>
          </cell>
          <cell r="P418">
            <v>13631281</v>
          </cell>
          <cell r="Q418">
            <v>7121834</v>
          </cell>
          <cell r="R418">
            <v>42415559</v>
          </cell>
          <cell r="S418" t="str">
            <v xml:space="preserve"> </v>
          </cell>
          <cell r="T418" t="str">
            <v xml:space="preserve"> </v>
          </cell>
          <cell r="U418">
            <v>601</v>
          </cell>
          <cell r="V418">
            <v>13631281</v>
          </cell>
          <cell r="W418">
            <v>314</v>
          </cell>
          <cell r="X418">
            <v>7121834</v>
          </cell>
          <cell r="Y418">
            <v>52.58</v>
          </cell>
          <cell r="Z418">
            <v>52.91</v>
          </cell>
          <cell r="AA418">
            <v>7099153</v>
          </cell>
          <cell r="AB418">
            <v>22681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2</v>
          </cell>
          <cell r="AL418">
            <v>90724</v>
          </cell>
          <cell r="AM418">
            <v>285</v>
          </cell>
          <cell r="AN418">
            <v>13223023</v>
          </cell>
          <cell r="AO418">
            <v>22650</v>
          </cell>
          <cell r="AP418">
            <v>22681</v>
          </cell>
          <cell r="AQ418">
            <v>158000</v>
          </cell>
          <cell r="AR418">
            <v>0</v>
          </cell>
          <cell r="AS418">
            <v>6.97</v>
          </cell>
          <cell r="AT418">
            <v>94958000</v>
          </cell>
          <cell r="AU418">
            <v>5.97</v>
          </cell>
          <cell r="AV418">
            <v>42408700</v>
          </cell>
          <cell r="AW418">
            <v>0.3</v>
          </cell>
          <cell r="AX418">
            <v>6859</v>
          </cell>
          <cell r="AY418">
            <v>52.58</v>
          </cell>
          <cell r="AZ418">
            <v>0</v>
          </cell>
          <cell r="BA418">
            <v>313</v>
          </cell>
          <cell r="BB418">
            <v>1</v>
          </cell>
          <cell r="BC418">
            <v>314</v>
          </cell>
          <cell r="BD418">
            <v>0</v>
          </cell>
          <cell r="BE418">
            <v>0</v>
          </cell>
          <cell r="BF418">
            <v>35</v>
          </cell>
          <cell r="BG418">
            <v>0</v>
          </cell>
          <cell r="BH418">
            <v>1</v>
          </cell>
          <cell r="BI418">
            <v>150</v>
          </cell>
          <cell r="BJ418">
            <v>16</v>
          </cell>
          <cell r="BK418">
            <v>53</v>
          </cell>
          <cell r="BL418">
            <v>38</v>
          </cell>
          <cell r="BM418">
            <v>18</v>
          </cell>
          <cell r="BN418">
            <v>25</v>
          </cell>
          <cell r="BO418">
            <v>0</v>
          </cell>
          <cell r="BP418">
            <v>13</v>
          </cell>
          <cell r="BQ418">
            <v>1</v>
          </cell>
          <cell r="BR418">
            <v>4</v>
          </cell>
          <cell r="BS418">
            <v>-1</v>
          </cell>
          <cell r="BT418">
            <v>9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6</v>
          </cell>
          <cell r="DU418">
            <v>0</v>
          </cell>
          <cell r="DV418">
            <v>0</v>
          </cell>
          <cell r="DW418">
            <v>0</v>
          </cell>
          <cell r="DX418">
            <v>3</v>
          </cell>
          <cell r="DY418">
            <v>3</v>
          </cell>
          <cell r="DZ418">
            <v>0</v>
          </cell>
          <cell r="EA418">
            <v>76</v>
          </cell>
          <cell r="EB418">
            <v>4</v>
          </cell>
          <cell r="EC418">
            <v>14</v>
          </cell>
          <cell r="ED418">
            <v>20</v>
          </cell>
          <cell r="EE418">
            <v>28</v>
          </cell>
          <cell r="EF418">
            <v>10</v>
          </cell>
          <cell r="EG418">
            <v>0</v>
          </cell>
          <cell r="EH418">
            <v>69</v>
          </cell>
          <cell r="EI418">
            <v>16</v>
          </cell>
          <cell r="EJ418">
            <v>14</v>
          </cell>
          <cell r="EK418">
            <v>12</v>
          </cell>
          <cell r="EL418">
            <v>20</v>
          </cell>
          <cell r="EM418">
            <v>7</v>
          </cell>
          <cell r="EN418">
            <v>0</v>
          </cell>
          <cell r="EO418" t="str">
            <v xml:space="preserve">Womens Vista                                                </v>
          </cell>
        </row>
        <row r="419">
          <cell r="A419" t="str">
            <v>CN4YL8865007</v>
          </cell>
          <cell r="B419" t="str">
            <v>CN4</v>
          </cell>
          <cell r="C419" t="str">
            <v>YL8865</v>
          </cell>
          <cell r="D419">
            <v>7</v>
          </cell>
          <cell r="E419" t="str">
            <v xml:space="preserve">   </v>
          </cell>
          <cell r="F419">
            <v>81021</v>
          </cell>
          <cell r="G419">
            <v>81022</v>
          </cell>
          <cell r="H419">
            <v>0</v>
          </cell>
          <cell r="I419">
            <v>600</v>
          </cell>
          <cell r="J419">
            <v>976</v>
          </cell>
          <cell r="K419">
            <v>973</v>
          </cell>
          <cell r="L419">
            <v>250</v>
          </cell>
          <cell r="M419">
            <v>250</v>
          </cell>
          <cell r="N419">
            <v>30180000</v>
          </cell>
          <cell r="O419">
            <v>49106464</v>
          </cell>
          <cell r="P419">
            <v>48955522</v>
          </cell>
          <cell r="Q419">
            <v>12578486</v>
          </cell>
          <cell r="R419">
            <v>50875359</v>
          </cell>
          <cell r="S419" t="str">
            <v xml:space="preserve"> </v>
          </cell>
          <cell r="T419" t="str">
            <v xml:space="preserve"> </v>
          </cell>
          <cell r="U419">
            <v>976</v>
          </cell>
          <cell r="V419">
            <v>49106464</v>
          </cell>
          <cell r="W419">
            <v>250</v>
          </cell>
          <cell r="X419">
            <v>12578486</v>
          </cell>
          <cell r="Y419">
            <v>44.06</v>
          </cell>
          <cell r="Z419">
            <v>62.5</v>
          </cell>
          <cell r="AA419">
            <v>12528172</v>
          </cell>
          <cell r="AB419">
            <v>50314</v>
          </cell>
          <cell r="AC419">
            <v>3</v>
          </cell>
          <cell r="AD419">
            <v>150942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180</v>
          </cell>
          <cell r="AL419">
            <v>18113040</v>
          </cell>
          <cell r="AM419">
            <v>543</v>
          </cell>
          <cell r="AN419">
            <v>55295086</v>
          </cell>
          <cell r="AO419">
            <v>50300</v>
          </cell>
          <cell r="AP419">
            <v>50314</v>
          </cell>
          <cell r="AQ419">
            <v>218000</v>
          </cell>
          <cell r="AR419">
            <v>0</v>
          </cell>
          <cell r="AS419">
            <v>4.33</v>
          </cell>
          <cell r="AT419">
            <v>212768000</v>
          </cell>
          <cell r="AU419">
            <v>4.0599999999999996</v>
          </cell>
          <cell r="AV419">
            <v>50868500</v>
          </cell>
          <cell r="AW419">
            <v>0.14000000000000001</v>
          </cell>
          <cell r="AX419">
            <v>6859</v>
          </cell>
          <cell r="AY419">
            <v>44.06</v>
          </cell>
          <cell r="AZ419">
            <v>0</v>
          </cell>
          <cell r="BA419">
            <v>249</v>
          </cell>
          <cell r="BB419">
            <v>1</v>
          </cell>
          <cell r="BC419">
            <v>250</v>
          </cell>
          <cell r="BD419">
            <v>0</v>
          </cell>
          <cell r="BE419">
            <v>0</v>
          </cell>
          <cell r="BF419">
            <v>16</v>
          </cell>
          <cell r="BG419">
            <v>1</v>
          </cell>
          <cell r="BH419">
            <v>1</v>
          </cell>
          <cell r="BI419">
            <v>71</v>
          </cell>
          <cell r="BJ419">
            <v>14</v>
          </cell>
          <cell r="BK419">
            <v>22</v>
          </cell>
          <cell r="BL419">
            <v>17</v>
          </cell>
          <cell r="BM419">
            <v>12</v>
          </cell>
          <cell r="BN419">
            <v>6</v>
          </cell>
          <cell r="BO419">
            <v>0</v>
          </cell>
          <cell r="BP419">
            <v>10</v>
          </cell>
          <cell r="BQ419">
            <v>0</v>
          </cell>
          <cell r="BR419">
            <v>4</v>
          </cell>
          <cell r="BS419">
            <v>1</v>
          </cell>
          <cell r="BT419">
            <v>3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1</v>
          </cell>
          <cell r="DN419">
            <v>0</v>
          </cell>
          <cell r="DO419">
            <v>0</v>
          </cell>
          <cell r="DP419">
            <v>0</v>
          </cell>
          <cell r="DQ419">
            <v>1</v>
          </cell>
          <cell r="DR419">
            <v>0</v>
          </cell>
          <cell r="DS419">
            <v>0</v>
          </cell>
          <cell r="DT419">
            <v>22</v>
          </cell>
          <cell r="DU419">
            <v>0</v>
          </cell>
          <cell r="DV419">
            <v>0</v>
          </cell>
          <cell r="DW419">
            <v>0</v>
          </cell>
          <cell r="DX419">
            <v>5</v>
          </cell>
          <cell r="DY419">
            <v>17</v>
          </cell>
          <cell r="DZ419">
            <v>0</v>
          </cell>
          <cell r="EA419">
            <v>65</v>
          </cell>
          <cell r="EB419">
            <v>6</v>
          </cell>
          <cell r="EC419">
            <v>14</v>
          </cell>
          <cell r="ED419">
            <v>12</v>
          </cell>
          <cell r="EE419">
            <v>22</v>
          </cell>
          <cell r="EF419">
            <v>11</v>
          </cell>
          <cell r="EG419">
            <v>0</v>
          </cell>
          <cell r="EH419">
            <v>81</v>
          </cell>
          <cell r="EI419">
            <v>24</v>
          </cell>
          <cell r="EJ419">
            <v>18</v>
          </cell>
          <cell r="EK419">
            <v>16</v>
          </cell>
          <cell r="EL419">
            <v>15</v>
          </cell>
          <cell r="EM419">
            <v>8</v>
          </cell>
          <cell r="EN419">
            <v>0</v>
          </cell>
          <cell r="EO419" t="str">
            <v xml:space="preserve">Womens Miramichi                                            </v>
          </cell>
        </row>
        <row r="420">
          <cell r="A420" t="str">
            <v>CN4YL8865010</v>
          </cell>
          <cell r="B420" t="str">
            <v>CN4</v>
          </cell>
          <cell r="C420" t="str">
            <v>YL8865</v>
          </cell>
          <cell r="D420">
            <v>10</v>
          </cell>
          <cell r="E420" t="str">
            <v xml:space="preserve">   </v>
          </cell>
          <cell r="F420">
            <v>81021</v>
          </cell>
          <cell r="G420">
            <v>81022</v>
          </cell>
          <cell r="H420">
            <v>0</v>
          </cell>
          <cell r="I420">
            <v>1800</v>
          </cell>
          <cell r="J420">
            <v>1585</v>
          </cell>
          <cell r="K420">
            <v>1585</v>
          </cell>
          <cell r="L420">
            <v>1222</v>
          </cell>
          <cell r="M420">
            <v>1222</v>
          </cell>
          <cell r="N420">
            <v>90540000</v>
          </cell>
          <cell r="O420">
            <v>79747690</v>
          </cell>
          <cell r="P420">
            <v>79747690</v>
          </cell>
          <cell r="Q420">
            <v>61483680</v>
          </cell>
          <cell r="R420">
            <v>250451714</v>
          </cell>
          <cell r="S420" t="str">
            <v xml:space="preserve"> </v>
          </cell>
          <cell r="T420" t="str">
            <v xml:space="preserve"> </v>
          </cell>
          <cell r="U420">
            <v>1585</v>
          </cell>
          <cell r="V420">
            <v>79747690</v>
          </cell>
          <cell r="W420">
            <v>1222</v>
          </cell>
          <cell r="X420">
            <v>61483680</v>
          </cell>
          <cell r="Y420">
            <v>65.930000000000007</v>
          </cell>
          <cell r="Z420">
            <v>54.76</v>
          </cell>
          <cell r="AA420">
            <v>61332738</v>
          </cell>
          <cell r="AB420">
            <v>150942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-177</v>
          </cell>
          <cell r="AL420">
            <v>-17811156</v>
          </cell>
          <cell r="AM420">
            <v>540</v>
          </cell>
          <cell r="AN420">
            <v>57609530</v>
          </cell>
          <cell r="AO420">
            <v>50300</v>
          </cell>
          <cell r="AP420">
            <v>50314</v>
          </cell>
          <cell r="AQ420">
            <v>218000</v>
          </cell>
          <cell r="AR420">
            <v>0</v>
          </cell>
          <cell r="AS420">
            <v>4.33</v>
          </cell>
          <cell r="AT420">
            <v>345530000</v>
          </cell>
          <cell r="AU420">
            <v>4.08</v>
          </cell>
          <cell r="AV420">
            <v>250431137</v>
          </cell>
          <cell r="AW420">
            <v>0.14000000000000001</v>
          </cell>
          <cell r="AX420">
            <v>20577</v>
          </cell>
          <cell r="AY420">
            <v>65.930000000000007</v>
          </cell>
          <cell r="AZ420">
            <v>0</v>
          </cell>
          <cell r="BA420">
            <v>1219</v>
          </cell>
          <cell r="BB420">
            <v>3</v>
          </cell>
          <cell r="BC420">
            <v>1222</v>
          </cell>
          <cell r="BD420">
            <v>0</v>
          </cell>
          <cell r="BE420">
            <v>0</v>
          </cell>
          <cell r="BF420">
            <v>95</v>
          </cell>
          <cell r="BG420">
            <v>0</v>
          </cell>
          <cell r="BH420">
            <v>1</v>
          </cell>
          <cell r="BI420">
            <v>356</v>
          </cell>
          <cell r="BJ420">
            <v>78</v>
          </cell>
          <cell r="BK420">
            <v>106</v>
          </cell>
          <cell r="BL420">
            <v>87</v>
          </cell>
          <cell r="BM420">
            <v>41</v>
          </cell>
          <cell r="BN420">
            <v>44</v>
          </cell>
          <cell r="BO420">
            <v>0</v>
          </cell>
          <cell r="BP420">
            <v>65</v>
          </cell>
          <cell r="BQ420">
            <v>2</v>
          </cell>
          <cell r="BR420">
            <v>29</v>
          </cell>
          <cell r="BS420">
            <v>18</v>
          </cell>
          <cell r="BT420">
            <v>12</v>
          </cell>
          <cell r="BU420">
            <v>4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2</v>
          </cell>
          <cell r="DN420">
            <v>0</v>
          </cell>
          <cell r="DO420">
            <v>0</v>
          </cell>
          <cell r="DP420">
            <v>0</v>
          </cell>
          <cell r="DQ420">
            <v>2</v>
          </cell>
          <cell r="DR420">
            <v>0</v>
          </cell>
          <cell r="DS420">
            <v>0</v>
          </cell>
          <cell r="DT420">
            <v>59</v>
          </cell>
          <cell r="DU420">
            <v>0</v>
          </cell>
          <cell r="DV420">
            <v>0</v>
          </cell>
          <cell r="DW420">
            <v>0</v>
          </cell>
          <cell r="DX420">
            <v>22</v>
          </cell>
          <cell r="DY420">
            <v>37</v>
          </cell>
          <cell r="DZ420">
            <v>0</v>
          </cell>
          <cell r="EA420">
            <v>351</v>
          </cell>
          <cell r="EB420">
            <v>17</v>
          </cell>
          <cell r="EC420">
            <v>68</v>
          </cell>
          <cell r="ED420">
            <v>71</v>
          </cell>
          <cell r="EE420">
            <v>107</v>
          </cell>
          <cell r="EF420">
            <v>88</v>
          </cell>
          <cell r="EG420">
            <v>0</v>
          </cell>
          <cell r="EH420">
            <v>389</v>
          </cell>
          <cell r="EI420">
            <v>89</v>
          </cell>
          <cell r="EJ420">
            <v>91</v>
          </cell>
          <cell r="EK420">
            <v>83</v>
          </cell>
          <cell r="EL420">
            <v>83</v>
          </cell>
          <cell r="EM420">
            <v>43</v>
          </cell>
          <cell r="EN420">
            <v>0</v>
          </cell>
          <cell r="EO420" t="str">
            <v xml:space="preserve">Womens Miramichi                                            </v>
          </cell>
        </row>
        <row r="421">
          <cell r="A421" t="str">
            <v>CN4YL8867010</v>
          </cell>
          <cell r="B421" t="str">
            <v>CN4</v>
          </cell>
          <cell r="C421" t="str">
            <v>YL8867</v>
          </cell>
          <cell r="D421">
            <v>10</v>
          </cell>
          <cell r="E421" t="str">
            <v xml:space="preserve">   </v>
          </cell>
          <cell r="F421">
            <v>81101</v>
          </cell>
          <cell r="G421">
            <v>81101</v>
          </cell>
          <cell r="H421">
            <v>0</v>
          </cell>
          <cell r="I421">
            <v>900</v>
          </cell>
          <cell r="J421">
            <v>911</v>
          </cell>
          <cell r="K421">
            <v>908</v>
          </cell>
          <cell r="L421">
            <v>597</v>
          </cell>
          <cell r="M421">
            <v>597</v>
          </cell>
          <cell r="N421">
            <v>65925000</v>
          </cell>
          <cell r="O421">
            <v>66758080</v>
          </cell>
          <cell r="P421">
            <v>66538240</v>
          </cell>
          <cell r="Q421">
            <v>43748130</v>
          </cell>
          <cell r="R421">
            <v>166361318</v>
          </cell>
          <cell r="S421" t="str">
            <v xml:space="preserve"> </v>
          </cell>
          <cell r="T421" t="str">
            <v xml:space="preserve"> </v>
          </cell>
          <cell r="U421">
            <v>911</v>
          </cell>
          <cell r="V421">
            <v>66758080</v>
          </cell>
          <cell r="W421">
            <v>597</v>
          </cell>
          <cell r="X421">
            <v>43748130</v>
          </cell>
          <cell r="Y421">
            <v>65.53</v>
          </cell>
          <cell r="Z421">
            <v>65.53</v>
          </cell>
          <cell r="AA421">
            <v>43601570</v>
          </cell>
          <cell r="AB421">
            <v>146560</v>
          </cell>
          <cell r="AC421">
            <v>3</v>
          </cell>
          <cell r="AD421">
            <v>293120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311</v>
          </cell>
          <cell r="AN421">
            <v>48071680</v>
          </cell>
          <cell r="AO421">
            <v>73250</v>
          </cell>
          <cell r="AP421">
            <v>73280</v>
          </cell>
          <cell r="AQ421">
            <v>298000</v>
          </cell>
          <cell r="AR421">
            <v>0</v>
          </cell>
          <cell r="AS421">
            <v>4.07</v>
          </cell>
          <cell r="AT421">
            <v>271478000</v>
          </cell>
          <cell r="AU421">
            <v>3.82</v>
          </cell>
          <cell r="AV421">
            <v>166347600</v>
          </cell>
          <cell r="AW421">
            <v>0.09</v>
          </cell>
          <cell r="AX421">
            <v>13718</v>
          </cell>
          <cell r="AY421">
            <v>65.53</v>
          </cell>
          <cell r="AZ421">
            <v>0</v>
          </cell>
          <cell r="BA421">
            <v>595</v>
          </cell>
          <cell r="BB421">
            <v>2</v>
          </cell>
          <cell r="BC421">
            <v>597</v>
          </cell>
          <cell r="BD421">
            <v>0</v>
          </cell>
          <cell r="BE421">
            <v>0</v>
          </cell>
          <cell r="BF421">
            <v>52</v>
          </cell>
          <cell r="BG421">
            <v>1</v>
          </cell>
          <cell r="BH421">
            <v>1</v>
          </cell>
          <cell r="BI421">
            <v>139</v>
          </cell>
          <cell r="BJ421">
            <v>16</v>
          </cell>
          <cell r="BK421">
            <v>37</v>
          </cell>
          <cell r="BL421">
            <v>44</v>
          </cell>
          <cell r="BM421">
            <v>27</v>
          </cell>
          <cell r="BN421">
            <v>15</v>
          </cell>
          <cell r="BO421">
            <v>0</v>
          </cell>
          <cell r="BP421">
            <v>32</v>
          </cell>
          <cell r="BQ421">
            <v>9</v>
          </cell>
          <cell r="BR421">
            <v>12</v>
          </cell>
          <cell r="BS421">
            <v>6</v>
          </cell>
          <cell r="BT421">
            <v>4</v>
          </cell>
          <cell r="BU421">
            <v>1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1</v>
          </cell>
          <cell r="DN421">
            <v>0</v>
          </cell>
          <cell r="DO421">
            <v>0</v>
          </cell>
          <cell r="DP421">
            <v>0</v>
          </cell>
          <cell r="DQ421">
            <v>1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230</v>
          </cell>
          <cell r="EB421">
            <v>17</v>
          </cell>
          <cell r="EC421">
            <v>39</v>
          </cell>
          <cell r="ED421">
            <v>51</v>
          </cell>
          <cell r="EE421">
            <v>67</v>
          </cell>
          <cell r="EF421">
            <v>56</v>
          </cell>
          <cell r="EG421">
            <v>0</v>
          </cell>
          <cell r="EH421">
            <v>195</v>
          </cell>
          <cell r="EI421">
            <v>52</v>
          </cell>
          <cell r="EJ421">
            <v>33</v>
          </cell>
          <cell r="EK421">
            <v>50</v>
          </cell>
          <cell r="EL421">
            <v>40</v>
          </cell>
          <cell r="EM421">
            <v>20</v>
          </cell>
          <cell r="EN421">
            <v>0</v>
          </cell>
          <cell r="EO421" t="str">
            <v xml:space="preserve">Womens Birmingport                                          </v>
          </cell>
        </row>
        <row r="422">
          <cell r="A422" t="str">
            <v>CN4YL8867094</v>
          </cell>
          <cell r="B422" t="str">
            <v>CN4</v>
          </cell>
          <cell r="C422" t="str">
            <v>YL8867</v>
          </cell>
          <cell r="D422">
            <v>94</v>
          </cell>
          <cell r="E422" t="str">
            <v xml:space="preserve">   </v>
          </cell>
          <cell r="F422">
            <v>81107</v>
          </cell>
          <cell r="G422">
            <v>81107</v>
          </cell>
          <cell r="H422">
            <v>0</v>
          </cell>
          <cell r="I422">
            <v>500</v>
          </cell>
          <cell r="J422">
            <v>487</v>
          </cell>
          <cell r="K422">
            <v>487</v>
          </cell>
          <cell r="L422">
            <v>62</v>
          </cell>
          <cell r="M422">
            <v>62</v>
          </cell>
          <cell r="N422">
            <v>36625000</v>
          </cell>
          <cell r="O422">
            <v>35687360</v>
          </cell>
          <cell r="P422">
            <v>35687360</v>
          </cell>
          <cell r="Q422">
            <v>4543360</v>
          </cell>
          <cell r="R422">
            <v>17336100</v>
          </cell>
          <cell r="S422" t="str">
            <v xml:space="preserve"> </v>
          </cell>
          <cell r="T422" t="str">
            <v xml:space="preserve"> </v>
          </cell>
          <cell r="U422">
            <v>487</v>
          </cell>
          <cell r="V422">
            <v>35687360</v>
          </cell>
          <cell r="W422">
            <v>62</v>
          </cell>
          <cell r="X422">
            <v>4543360</v>
          </cell>
          <cell r="Y422">
            <v>12.73</v>
          </cell>
          <cell r="Z422">
            <v>12.73</v>
          </cell>
          <cell r="AA422">
            <v>4543360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425</v>
          </cell>
          <cell r="AN422">
            <v>62800960</v>
          </cell>
          <cell r="AO422">
            <v>73250</v>
          </cell>
          <cell r="AP422">
            <v>73280</v>
          </cell>
          <cell r="AQ422">
            <v>298000</v>
          </cell>
          <cell r="AR422">
            <v>0</v>
          </cell>
          <cell r="AS422">
            <v>4.07</v>
          </cell>
          <cell r="AT422">
            <v>145126000</v>
          </cell>
          <cell r="AU422">
            <v>3.82</v>
          </cell>
          <cell r="AV422">
            <v>17336100</v>
          </cell>
          <cell r="AW422">
            <v>0</v>
          </cell>
          <cell r="AX422">
            <v>0</v>
          </cell>
          <cell r="AY422">
            <v>12.73</v>
          </cell>
          <cell r="AZ422">
            <v>0</v>
          </cell>
          <cell r="BA422">
            <v>62</v>
          </cell>
          <cell r="BB422">
            <v>0</v>
          </cell>
          <cell r="BC422">
            <v>62</v>
          </cell>
          <cell r="BD422">
            <v>0</v>
          </cell>
          <cell r="BE422">
            <v>0</v>
          </cell>
          <cell r="BF422">
            <v>11</v>
          </cell>
          <cell r="BG422">
            <v>0</v>
          </cell>
          <cell r="BH422">
            <v>1</v>
          </cell>
          <cell r="BI422">
            <v>16</v>
          </cell>
          <cell r="BJ422">
            <v>3</v>
          </cell>
          <cell r="BK422">
            <v>7</v>
          </cell>
          <cell r="BL422">
            <v>4</v>
          </cell>
          <cell r="BM422">
            <v>-1</v>
          </cell>
          <cell r="BN422">
            <v>3</v>
          </cell>
          <cell r="BO422">
            <v>0</v>
          </cell>
          <cell r="BP422">
            <v>7</v>
          </cell>
          <cell r="BQ422">
            <v>-1</v>
          </cell>
          <cell r="BR422">
            <v>5</v>
          </cell>
          <cell r="BS422">
            <v>2</v>
          </cell>
          <cell r="BT422">
            <v>1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22</v>
          </cell>
          <cell r="EB422">
            <v>0</v>
          </cell>
          <cell r="EC422">
            <v>6</v>
          </cell>
          <cell r="ED422">
            <v>5</v>
          </cell>
          <cell r="EE422">
            <v>6</v>
          </cell>
          <cell r="EF422">
            <v>5</v>
          </cell>
          <cell r="EG422">
            <v>0</v>
          </cell>
          <cell r="EH422">
            <v>17</v>
          </cell>
          <cell r="EI422">
            <v>6</v>
          </cell>
          <cell r="EJ422">
            <v>2</v>
          </cell>
          <cell r="EK422">
            <v>2</v>
          </cell>
          <cell r="EL422">
            <v>4</v>
          </cell>
          <cell r="EM422">
            <v>3</v>
          </cell>
          <cell r="EN422">
            <v>0</v>
          </cell>
          <cell r="EO422" t="str">
            <v xml:space="preserve">Womens Birmingport                                          </v>
          </cell>
        </row>
        <row r="423">
          <cell r="A423" t="str">
            <v>CN4YM3871010</v>
          </cell>
          <cell r="B423" t="str">
            <v>CN4</v>
          </cell>
          <cell r="C423" t="str">
            <v>YM3871</v>
          </cell>
          <cell r="D423">
            <v>10</v>
          </cell>
          <cell r="E423" t="str">
            <v xml:space="preserve">   </v>
          </cell>
          <cell r="F423">
            <v>80627</v>
          </cell>
          <cell r="G423">
            <v>80903</v>
          </cell>
          <cell r="H423">
            <v>0</v>
          </cell>
          <cell r="I423">
            <v>1000</v>
          </cell>
          <cell r="J423">
            <v>1100</v>
          </cell>
          <cell r="K423">
            <v>1100</v>
          </cell>
          <cell r="L423">
            <v>971</v>
          </cell>
          <cell r="M423">
            <v>971</v>
          </cell>
          <cell r="N423">
            <v>100683000</v>
          </cell>
          <cell r="O423">
            <v>120588600</v>
          </cell>
          <cell r="P423">
            <v>120588600</v>
          </cell>
          <cell r="Q423">
            <v>106446846</v>
          </cell>
          <cell r="R423">
            <v>362877218</v>
          </cell>
          <cell r="S423" t="str">
            <v xml:space="preserve"> </v>
          </cell>
          <cell r="T423" t="str">
            <v xml:space="preserve"> </v>
          </cell>
          <cell r="U423">
            <v>1100</v>
          </cell>
          <cell r="V423">
            <v>120588600</v>
          </cell>
          <cell r="W423">
            <v>971</v>
          </cell>
          <cell r="X423">
            <v>106446846</v>
          </cell>
          <cell r="Y423">
            <v>88.27</v>
          </cell>
          <cell r="Z423">
            <v>88.27</v>
          </cell>
          <cell r="AA423">
            <v>106227594</v>
          </cell>
          <cell r="AB423">
            <v>219252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129</v>
          </cell>
          <cell r="AN423">
            <v>31133784</v>
          </cell>
          <cell r="AO423">
            <v>100683</v>
          </cell>
          <cell r="AP423">
            <v>109626</v>
          </cell>
          <cell r="AQ423">
            <v>418000</v>
          </cell>
          <cell r="AR423">
            <v>0</v>
          </cell>
          <cell r="AS423">
            <v>3.81</v>
          </cell>
          <cell r="AT423">
            <v>459800000</v>
          </cell>
          <cell r="AU423">
            <v>3.42</v>
          </cell>
          <cell r="AV423">
            <v>362863500</v>
          </cell>
          <cell r="AW423">
            <v>0.06</v>
          </cell>
          <cell r="AX423">
            <v>13718</v>
          </cell>
          <cell r="AY423">
            <v>88.27</v>
          </cell>
          <cell r="AZ423">
            <v>0</v>
          </cell>
          <cell r="BA423">
            <v>969</v>
          </cell>
          <cell r="BB423">
            <v>2</v>
          </cell>
          <cell r="BC423">
            <v>971</v>
          </cell>
          <cell r="BD423">
            <v>0</v>
          </cell>
          <cell r="BE423">
            <v>0</v>
          </cell>
          <cell r="BF423">
            <v>60</v>
          </cell>
          <cell r="BG423">
            <v>1</v>
          </cell>
          <cell r="BH423">
            <v>1</v>
          </cell>
          <cell r="BI423">
            <v>185</v>
          </cell>
          <cell r="BJ423">
            <v>24</v>
          </cell>
          <cell r="BK423">
            <v>76</v>
          </cell>
          <cell r="BL423">
            <v>40</v>
          </cell>
          <cell r="BM423">
            <v>29</v>
          </cell>
          <cell r="BN423">
            <v>16</v>
          </cell>
          <cell r="BO423">
            <v>0</v>
          </cell>
          <cell r="BP423">
            <v>26</v>
          </cell>
          <cell r="BQ423">
            <v>2</v>
          </cell>
          <cell r="BR423">
            <v>10</v>
          </cell>
          <cell r="BS423">
            <v>5</v>
          </cell>
          <cell r="BT423">
            <v>9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107</v>
          </cell>
          <cell r="DN423">
            <v>4</v>
          </cell>
          <cell r="DO423">
            <v>12</v>
          </cell>
          <cell r="DP423">
            <v>5</v>
          </cell>
          <cell r="DQ423">
            <v>84</v>
          </cell>
          <cell r="DR423">
            <v>2</v>
          </cell>
          <cell r="DS423">
            <v>0</v>
          </cell>
          <cell r="DT423">
            <v>103</v>
          </cell>
          <cell r="DU423">
            <v>11</v>
          </cell>
          <cell r="DV423">
            <v>25</v>
          </cell>
          <cell r="DW423">
            <v>21</v>
          </cell>
          <cell r="DX423">
            <v>26</v>
          </cell>
          <cell r="DY423">
            <v>20</v>
          </cell>
          <cell r="DZ423">
            <v>0</v>
          </cell>
          <cell r="EA423">
            <v>325</v>
          </cell>
          <cell r="EB423">
            <v>29</v>
          </cell>
          <cell r="EC423">
            <v>79</v>
          </cell>
          <cell r="ED423">
            <v>94</v>
          </cell>
          <cell r="EE423">
            <v>63</v>
          </cell>
          <cell r="EF423">
            <v>60</v>
          </cell>
          <cell r="EG423">
            <v>0</v>
          </cell>
          <cell r="EH423">
            <v>225</v>
          </cell>
          <cell r="EI423">
            <v>49</v>
          </cell>
          <cell r="EJ423">
            <v>58</v>
          </cell>
          <cell r="EK423">
            <v>32</v>
          </cell>
          <cell r="EL423">
            <v>51</v>
          </cell>
          <cell r="EM423">
            <v>35</v>
          </cell>
          <cell r="EN423">
            <v>0</v>
          </cell>
          <cell r="EO423" t="str">
            <v xml:space="preserve">GORE TEX 2L+FLEECE LINNER JACKET                            </v>
          </cell>
        </row>
        <row r="424">
          <cell r="A424" t="str">
            <v>CN4YM3871062</v>
          </cell>
          <cell r="B424" t="str">
            <v>CN4</v>
          </cell>
          <cell r="C424" t="str">
            <v>YM3871</v>
          </cell>
          <cell r="D424">
            <v>62</v>
          </cell>
          <cell r="E424" t="str">
            <v xml:space="preserve">   </v>
          </cell>
          <cell r="F424">
            <v>80627</v>
          </cell>
          <cell r="G424">
            <v>80903</v>
          </cell>
          <cell r="H424">
            <v>0</v>
          </cell>
          <cell r="I424">
            <v>950</v>
          </cell>
          <cell r="J424">
            <v>889</v>
          </cell>
          <cell r="K424">
            <v>889</v>
          </cell>
          <cell r="L424">
            <v>525</v>
          </cell>
          <cell r="M424">
            <v>525</v>
          </cell>
          <cell r="N424">
            <v>95648850</v>
          </cell>
          <cell r="O424">
            <v>97457514</v>
          </cell>
          <cell r="P424">
            <v>97457514</v>
          </cell>
          <cell r="Q424">
            <v>57553650</v>
          </cell>
          <cell r="R424">
            <v>196693429</v>
          </cell>
          <cell r="S424" t="str">
            <v xml:space="preserve"> </v>
          </cell>
          <cell r="T424" t="str">
            <v xml:space="preserve"> </v>
          </cell>
          <cell r="U424">
            <v>889</v>
          </cell>
          <cell r="V424">
            <v>97457514</v>
          </cell>
          <cell r="W424">
            <v>525</v>
          </cell>
          <cell r="X424">
            <v>57553650</v>
          </cell>
          <cell r="Y424">
            <v>59.06</v>
          </cell>
          <cell r="Z424">
            <v>59.06</v>
          </cell>
          <cell r="AA424">
            <v>57553650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364</v>
          </cell>
          <cell r="AN424">
            <v>82767630</v>
          </cell>
          <cell r="AO424">
            <v>100683</v>
          </cell>
          <cell r="AP424">
            <v>109626</v>
          </cell>
          <cell r="AQ424">
            <v>418000</v>
          </cell>
          <cell r="AR424">
            <v>0</v>
          </cell>
          <cell r="AS424">
            <v>3.81</v>
          </cell>
          <cell r="AT424">
            <v>371602000</v>
          </cell>
          <cell r="AU424">
            <v>3.42</v>
          </cell>
          <cell r="AV424">
            <v>196693429</v>
          </cell>
          <cell r="AW424">
            <v>0</v>
          </cell>
          <cell r="AX424">
            <v>0</v>
          </cell>
          <cell r="AY424">
            <v>59.06</v>
          </cell>
          <cell r="AZ424">
            <v>0</v>
          </cell>
          <cell r="BA424">
            <v>525</v>
          </cell>
          <cell r="BB424">
            <v>0</v>
          </cell>
          <cell r="BC424">
            <v>525</v>
          </cell>
          <cell r="BD424">
            <v>0</v>
          </cell>
          <cell r="BE424">
            <v>0</v>
          </cell>
          <cell r="BF424">
            <v>33</v>
          </cell>
          <cell r="BG424">
            <v>0</v>
          </cell>
          <cell r="BH424">
            <v>1</v>
          </cell>
          <cell r="BI424">
            <v>107</v>
          </cell>
          <cell r="BJ424">
            <v>11</v>
          </cell>
          <cell r="BK424">
            <v>56</v>
          </cell>
          <cell r="BL424">
            <v>14</v>
          </cell>
          <cell r="BM424">
            <v>17</v>
          </cell>
          <cell r="BN424">
            <v>9</v>
          </cell>
          <cell r="BO424">
            <v>0</v>
          </cell>
          <cell r="BP424">
            <v>27</v>
          </cell>
          <cell r="BQ424">
            <v>5</v>
          </cell>
          <cell r="BR424">
            <v>6</v>
          </cell>
          <cell r="BS424">
            <v>9</v>
          </cell>
          <cell r="BT424">
            <v>1</v>
          </cell>
          <cell r="BU424">
            <v>6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90</v>
          </cell>
          <cell r="DN424">
            <v>7</v>
          </cell>
          <cell r="DO424">
            <v>6</v>
          </cell>
          <cell r="DP424">
            <v>10</v>
          </cell>
          <cell r="DQ424">
            <v>65</v>
          </cell>
          <cell r="DR424">
            <v>2</v>
          </cell>
          <cell r="DS424">
            <v>0</v>
          </cell>
          <cell r="DT424">
            <v>94</v>
          </cell>
          <cell r="DU424">
            <v>22</v>
          </cell>
          <cell r="DV424">
            <v>24</v>
          </cell>
          <cell r="DW424">
            <v>11</v>
          </cell>
          <cell r="DX424">
            <v>24</v>
          </cell>
          <cell r="DY424">
            <v>13</v>
          </cell>
          <cell r="DZ424">
            <v>0</v>
          </cell>
          <cell r="EA424">
            <v>116</v>
          </cell>
          <cell r="EB424">
            <v>19</v>
          </cell>
          <cell r="EC424">
            <v>22</v>
          </cell>
          <cell r="ED424">
            <v>26</v>
          </cell>
          <cell r="EE424">
            <v>18</v>
          </cell>
          <cell r="EF424">
            <v>31</v>
          </cell>
          <cell r="EG424">
            <v>0</v>
          </cell>
          <cell r="EH424">
            <v>91</v>
          </cell>
          <cell r="EI424">
            <v>22</v>
          </cell>
          <cell r="EJ424">
            <v>12</v>
          </cell>
          <cell r="EK424">
            <v>17</v>
          </cell>
          <cell r="EL424">
            <v>23</v>
          </cell>
          <cell r="EM424">
            <v>17</v>
          </cell>
          <cell r="EN424">
            <v>0</v>
          </cell>
          <cell r="EO424" t="str">
            <v xml:space="preserve">GORE TEX 2L+FLEECE LINNER JACKET                            </v>
          </cell>
        </row>
        <row r="425">
          <cell r="A425" t="str">
            <v>CN4YM3871094</v>
          </cell>
          <cell r="B425" t="str">
            <v>CN4</v>
          </cell>
          <cell r="C425" t="str">
            <v>YM3871</v>
          </cell>
          <cell r="D425">
            <v>94</v>
          </cell>
          <cell r="E425" t="str">
            <v xml:space="preserve">   </v>
          </cell>
          <cell r="F425">
            <v>80627</v>
          </cell>
          <cell r="G425">
            <v>80903</v>
          </cell>
          <cell r="H425">
            <v>0</v>
          </cell>
          <cell r="I425">
            <v>300</v>
          </cell>
          <cell r="J425">
            <v>268</v>
          </cell>
          <cell r="K425">
            <v>268</v>
          </cell>
          <cell r="L425">
            <v>256</v>
          </cell>
          <cell r="M425">
            <v>256</v>
          </cell>
          <cell r="N425">
            <v>30204900</v>
          </cell>
          <cell r="O425">
            <v>29379768</v>
          </cell>
          <cell r="P425">
            <v>29379768</v>
          </cell>
          <cell r="Q425">
            <v>28064256</v>
          </cell>
          <cell r="R425">
            <v>93028214</v>
          </cell>
          <cell r="S425" t="str">
            <v xml:space="preserve"> </v>
          </cell>
          <cell r="T425" t="str">
            <v xml:space="preserve"> </v>
          </cell>
          <cell r="U425">
            <v>268</v>
          </cell>
          <cell r="V425">
            <v>29379768</v>
          </cell>
          <cell r="W425">
            <v>256</v>
          </cell>
          <cell r="X425">
            <v>28064256</v>
          </cell>
          <cell r="Y425">
            <v>95.52</v>
          </cell>
          <cell r="Z425">
            <v>95.52</v>
          </cell>
          <cell r="AA425">
            <v>28064256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12</v>
          </cell>
          <cell r="AN425">
            <v>2959902</v>
          </cell>
          <cell r="AO425">
            <v>100683</v>
          </cell>
          <cell r="AP425">
            <v>109626</v>
          </cell>
          <cell r="AQ425">
            <v>418000</v>
          </cell>
          <cell r="AR425">
            <v>0</v>
          </cell>
          <cell r="AS425">
            <v>3.81</v>
          </cell>
          <cell r="AT425">
            <v>112024000</v>
          </cell>
          <cell r="AU425">
            <v>3.31</v>
          </cell>
          <cell r="AV425">
            <v>93028214</v>
          </cell>
          <cell r="AW425">
            <v>0</v>
          </cell>
          <cell r="AX425">
            <v>0</v>
          </cell>
          <cell r="AY425">
            <v>95.52</v>
          </cell>
          <cell r="AZ425">
            <v>0</v>
          </cell>
          <cell r="BA425">
            <v>256</v>
          </cell>
          <cell r="BB425">
            <v>0</v>
          </cell>
          <cell r="BC425">
            <v>256</v>
          </cell>
          <cell r="BD425">
            <v>0</v>
          </cell>
          <cell r="BE425">
            <v>0</v>
          </cell>
          <cell r="BF425">
            <v>7</v>
          </cell>
          <cell r="BG425">
            <v>0</v>
          </cell>
          <cell r="BH425">
            <v>1</v>
          </cell>
          <cell r="BI425">
            <v>10</v>
          </cell>
          <cell r="BJ425">
            <v>2</v>
          </cell>
          <cell r="BK425">
            <v>9</v>
          </cell>
          <cell r="BL425">
            <v>-1</v>
          </cell>
          <cell r="BM425">
            <v>-1</v>
          </cell>
          <cell r="BN425">
            <v>1</v>
          </cell>
          <cell r="BO425">
            <v>0</v>
          </cell>
          <cell r="BP425">
            <v>3</v>
          </cell>
          <cell r="BQ425">
            <v>0</v>
          </cell>
          <cell r="BR425">
            <v>0</v>
          </cell>
          <cell r="BS425">
            <v>1</v>
          </cell>
          <cell r="BT425">
            <v>2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69</v>
          </cell>
          <cell r="DN425">
            <v>4</v>
          </cell>
          <cell r="DO425">
            <v>5</v>
          </cell>
          <cell r="DP425">
            <v>6</v>
          </cell>
          <cell r="DQ425">
            <v>56</v>
          </cell>
          <cell r="DR425">
            <v>-2</v>
          </cell>
          <cell r="DS425">
            <v>0</v>
          </cell>
          <cell r="DT425">
            <v>60</v>
          </cell>
          <cell r="DU425">
            <v>14</v>
          </cell>
          <cell r="DV425">
            <v>13</v>
          </cell>
          <cell r="DW425">
            <v>11</v>
          </cell>
          <cell r="DX425">
            <v>15</v>
          </cell>
          <cell r="DY425">
            <v>7</v>
          </cell>
          <cell r="DZ425">
            <v>0</v>
          </cell>
          <cell r="EA425">
            <v>83</v>
          </cell>
          <cell r="EB425">
            <v>9</v>
          </cell>
          <cell r="EC425">
            <v>32</v>
          </cell>
          <cell r="ED425">
            <v>17</v>
          </cell>
          <cell r="EE425">
            <v>10</v>
          </cell>
          <cell r="EF425">
            <v>15</v>
          </cell>
          <cell r="EG425">
            <v>0</v>
          </cell>
          <cell r="EH425">
            <v>31</v>
          </cell>
          <cell r="EI425">
            <v>7</v>
          </cell>
          <cell r="EJ425">
            <v>14</v>
          </cell>
          <cell r="EK425">
            <v>0</v>
          </cell>
          <cell r="EL425">
            <v>10</v>
          </cell>
          <cell r="EM425">
            <v>0</v>
          </cell>
          <cell r="EN425">
            <v>0</v>
          </cell>
          <cell r="EO425" t="str">
            <v xml:space="preserve">GORE TEX 2L+FLEECE LINNER JACKET                            </v>
          </cell>
        </row>
        <row r="426">
          <cell r="A426" t="str">
            <v>CN4YM3872010</v>
          </cell>
          <cell r="B426" t="str">
            <v>CN4</v>
          </cell>
          <cell r="C426" t="str">
            <v>YM3872</v>
          </cell>
          <cell r="D426">
            <v>10</v>
          </cell>
          <cell r="E426" t="str">
            <v xml:space="preserve">   </v>
          </cell>
          <cell r="F426">
            <v>81107</v>
          </cell>
          <cell r="G426">
            <v>81212</v>
          </cell>
          <cell r="H426">
            <v>0</v>
          </cell>
          <cell r="I426">
            <v>600</v>
          </cell>
          <cell r="J426">
            <v>595</v>
          </cell>
          <cell r="K426">
            <v>594</v>
          </cell>
          <cell r="L426">
            <v>214</v>
          </cell>
          <cell r="M426">
            <v>214</v>
          </cell>
          <cell r="N426">
            <v>72219600</v>
          </cell>
          <cell r="O426">
            <v>82371340</v>
          </cell>
          <cell r="P426">
            <v>84079512</v>
          </cell>
          <cell r="Q426">
            <v>30291272</v>
          </cell>
          <cell r="R426">
            <v>92582700</v>
          </cell>
          <cell r="S426" t="str">
            <v xml:space="preserve"> </v>
          </cell>
          <cell r="T426" t="str">
            <v xml:space="preserve"> </v>
          </cell>
          <cell r="U426">
            <v>595</v>
          </cell>
          <cell r="V426">
            <v>82371340</v>
          </cell>
          <cell r="W426">
            <v>214</v>
          </cell>
          <cell r="X426">
            <v>30291272</v>
          </cell>
          <cell r="Y426">
            <v>36.130000000000003</v>
          </cell>
          <cell r="Z426">
            <v>37.119999999999997</v>
          </cell>
          <cell r="AA426">
            <v>30291272</v>
          </cell>
          <cell r="AB426">
            <v>0</v>
          </cell>
          <cell r="AC426">
            <v>1</v>
          </cell>
          <cell r="AD426">
            <v>141548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>
            <v>283096</v>
          </cell>
          <cell r="AM426">
            <v>379</v>
          </cell>
          <cell r="AN426">
            <v>108567316</v>
          </cell>
          <cell r="AO426">
            <v>120366</v>
          </cell>
          <cell r="AP426">
            <v>141548</v>
          </cell>
          <cell r="AQ426">
            <v>498000</v>
          </cell>
          <cell r="AR426">
            <v>0</v>
          </cell>
          <cell r="AS426">
            <v>3.6</v>
          </cell>
          <cell r="AT426">
            <v>296310000</v>
          </cell>
          <cell r="AU426">
            <v>3.06</v>
          </cell>
          <cell r="AV426">
            <v>92582700</v>
          </cell>
          <cell r="AW426">
            <v>0</v>
          </cell>
          <cell r="AX426">
            <v>0</v>
          </cell>
          <cell r="AY426">
            <v>36.130000000000003</v>
          </cell>
          <cell r="AZ426">
            <v>0</v>
          </cell>
          <cell r="BA426">
            <v>214</v>
          </cell>
          <cell r="BB426">
            <v>0</v>
          </cell>
          <cell r="BC426">
            <v>214</v>
          </cell>
          <cell r="BD426">
            <v>0</v>
          </cell>
          <cell r="BE426">
            <v>0</v>
          </cell>
          <cell r="BF426">
            <v>24</v>
          </cell>
          <cell r="BG426">
            <v>1</v>
          </cell>
          <cell r="BH426">
            <v>1</v>
          </cell>
          <cell r="BI426">
            <v>100</v>
          </cell>
          <cell r="BJ426">
            <v>19</v>
          </cell>
          <cell r="BK426">
            <v>25</v>
          </cell>
          <cell r="BL426">
            <v>33</v>
          </cell>
          <cell r="BM426">
            <v>16</v>
          </cell>
          <cell r="BN426">
            <v>7</v>
          </cell>
          <cell r="BO426">
            <v>0</v>
          </cell>
          <cell r="BP426">
            <v>8</v>
          </cell>
          <cell r="BQ426">
            <v>-1</v>
          </cell>
          <cell r="BR426">
            <v>5</v>
          </cell>
          <cell r="BS426">
            <v>3</v>
          </cell>
          <cell r="BT426">
            <v>3</v>
          </cell>
          <cell r="BU426">
            <v>-2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106</v>
          </cell>
          <cell r="EI426">
            <v>0</v>
          </cell>
          <cell r="EJ426">
            <v>5</v>
          </cell>
          <cell r="EK426">
            <v>27</v>
          </cell>
          <cell r="EL426">
            <v>34</v>
          </cell>
          <cell r="EM426">
            <v>40</v>
          </cell>
          <cell r="EN426">
            <v>0</v>
          </cell>
          <cell r="EO426" t="str">
            <v xml:space="preserve">Mans Guliford Jacket                                        </v>
          </cell>
        </row>
        <row r="427">
          <cell r="A427" t="str">
            <v>CN4YM3873010</v>
          </cell>
          <cell r="B427" t="str">
            <v>CN4</v>
          </cell>
          <cell r="C427" t="str">
            <v>YM3873</v>
          </cell>
          <cell r="D427">
            <v>10</v>
          </cell>
          <cell r="E427" t="str">
            <v xml:space="preserve">   </v>
          </cell>
          <cell r="F427">
            <v>80916</v>
          </cell>
          <cell r="G427">
            <v>80917</v>
          </cell>
          <cell r="H427">
            <v>0</v>
          </cell>
          <cell r="I427">
            <v>600</v>
          </cell>
          <cell r="J427">
            <v>600</v>
          </cell>
          <cell r="K427">
            <v>600</v>
          </cell>
          <cell r="L427">
            <v>539</v>
          </cell>
          <cell r="M427">
            <v>539</v>
          </cell>
          <cell r="N427">
            <v>76470000</v>
          </cell>
          <cell r="O427">
            <v>76454400</v>
          </cell>
          <cell r="P427">
            <v>76454400</v>
          </cell>
          <cell r="Q427">
            <v>69432674</v>
          </cell>
          <cell r="R427">
            <v>223658518</v>
          </cell>
          <cell r="S427" t="str">
            <v xml:space="preserve"> </v>
          </cell>
          <cell r="T427" t="str">
            <v xml:space="preserve"> </v>
          </cell>
          <cell r="U427">
            <v>600</v>
          </cell>
          <cell r="V427">
            <v>76454400</v>
          </cell>
          <cell r="W427">
            <v>539</v>
          </cell>
          <cell r="X427">
            <v>69432674</v>
          </cell>
          <cell r="Y427">
            <v>90.17</v>
          </cell>
          <cell r="Z427">
            <v>91.52</v>
          </cell>
          <cell r="AA427">
            <v>69171126</v>
          </cell>
          <cell r="AB427">
            <v>261548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2</v>
          </cell>
          <cell r="AL427">
            <v>536788</v>
          </cell>
          <cell r="AM427">
            <v>59</v>
          </cell>
          <cell r="AN427">
            <v>17043019</v>
          </cell>
          <cell r="AO427">
            <v>127450</v>
          </cell>
          <cell r="AP427">
            <v>134197</v>
          </cell>
          <cell r="AQ427">
            <v>478000</v>
          </cell>
          <cell r="AR427">
            <v>0</v>
          </cell>
          <cell r="AS427">
            <v>3.75</v>
          </cell>
          <cell r="AT427">
            <v>286800000</v>
          </cell>
          <cell r="AU427">
            <v>3.23</v>
          </cell>
          <cell r="AV427">
            <v>223644800</v>
          </cell>
          <cell r="AW427">
            <v>0.05</v>
          </cell>
          <cell r="AX427">
            <v>13718</v>
          </cell>
          <cell r="AY427">
            <v>90.17</v>
          </cell>
          <cell r="AZ427">
            <v>0</v>
          </cell>
          <cell r="BA427">
            <v>537</v>
          </cell>
          <cell r="BB427">
            <v>2</v>
          </cell>
          <cell r="BC427">
            <v>539</v>
          </cell>
          <cell r="BD427">
            <v>0</v>
          </cell>
          <cell r="BE427">
            <v>0</v>
          </cell>
          <cell r="BF427">
            <v>27</v>
          </cell>
          <cell r="BG427">
            <v>1</v>
          </cell>
          <cell r="BH427">
            <v>1</v>
          </cell>
          <cell r="BI427">
            <v>47</v>
          </cell>
          <cell r="BJ427">
            <v>9</v>
          </cell>
          <cell r="BK427">
            <v>23</v>
          </cell>
          <cell r="BL427">
            <v>9</v>
          </cell>
          <cell r="BM427">
            <v>5</v>
          </cell>
          <cell r="BN427">
            <v>1</v>
          </cell>
          <cell r="BO427">
            <v>0</v>
          </cell>
          <cell r="BP427">
            <v>9</v>
          </cell>
          <cell r="BQ427">
            <v>2</v>
          </cell>
          <cell r="BR427">
            <v>0</v>
          </cell>
          <cell r="BS427">
            <v>1</v>
          </cell>
          <cell r="BT427">
            <v>4</v>
          </cell>
          <cell r="BU427">
            <v>2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71</v>
          </cell>
          <cell r="DN427">
            <v>0</v>
          </cell>
          <cell r="DO427">
            <v>0</v>
          </cell>
          <cell r="DP427">
            <v>3</v>
          </cell>
          <cell r="DQ427">
            <v>67</v>
          </cell>
          <cell r="DR427">
            <v>1</v>
          </cell>
          <cell r="DS427">
            <v>0</v>
          </cell>
          <cell r="DT427">
            <v>111</v>
          </cell>
          <cell r="DU427">
            <v>14</v>
          </cell>
          <cell r="DV427">
            <v>38</v>
          </cell>
          <cell r="DW427">
            <v>22</v>
          </cell>
          <cell r="DX427">
            <v>16</v>
          </cell>
          <cell r="DY427">
            <v>21</v>
          </cell>
          <cell r="DZ427">
            <v>0</v>
          </cell>
          <cell r="EA427">
            <v>190</v>
          </cell>
          <cell r="EB427">
            <v>21</v>
          </cell>
          <cell r="EC427">
            <v>44</v>
          </cell>
          <cell r="ED427">
            <v>42</v>
          </cell>
          <cell r="EE427">
            <v>50</v>
          </cell>
          <cell r="EF427">
            <v>33</v>
          </cell>
          <cell r="EG427">
            <v>0</v>
          </cell>
          <cell r="EH427">
            <v>111</v>
          </cell>
          <cell r="EI427">
            <v>21</v>
          </cell>
          <cell r="EJ427">
            <v>17</v>
          </cell>
          <cell r="EK427">
            <v>14</v>
          </cell>
          <cell r="EL427">
            <v>56</v>
          </cell>
          <cell r="EM427">
            <v>3</v>
          </cell>
          <cell r="EN427">
            <v>0</v>
          </cell>
          <cell r="EO427" t="str">
            <v xml:space="preserve">Mans Quansoo Jacket                                         </v>
          </cell>
        </row>
        <row r="428">
          <cell r="A428" t="str">
            <v>CN4YM3873229</v>
          </cell>
          <cell r="B428" t="str">
            <v>CN4</v>
          </cell>
          <cell r="C428" t="str">
            <v>YM3873</v>
          </cell>
          <cell r="D428">
            <v>229</v>
          </cell>
          <cell r="E428" t="str">
            <v xml:space="preserve">   </v>
          </cell>
          <cell r="F428">
            <v>80916</v>
          </cell>
          <cell r="G428">
            <v>80917</v>
          </cell>
          <cell r="H428">
            <v>0</v>
          </cell>
          <cell r="I428">
            <v>900</v>
          </cell>
          <cell r="J428">
            <v>900</v>
          </cell>
          <cell r="K428">
            <v>900</v>
          </cell>
          <cell r="L428">
            <v>648</v>
          </cell>
          <cell r="M428">
            <v>648</v>
          </cell>
          <cell r="N428">
            <v>114705000</v>
          </cell>
          <cell r="O428">
            <v>117397192</v>
          </cell>
          <cell r="P428">
            <v>117451960</v>
          </cell>
          <cell r="Q428">
            <v>84430991</v>
          </cell>
          <cell r="R428">
            <v>280591159</v>
          </cell>
          <cell r="S428" t="str">
            <v xml:space="preserve"> </v>
          </cell>
          <cell r="T428" t="str">
            <v xml:space="preserve"> </v>
          </cell>
          <cell r="U428">
            <v>900</v>
          </cell>
          <cell r="V428">
            <v>117397192</v>
          </cell>
          <cell r="W428">
            <v>648</v>
          </cell>
          <cell r="X428">
            <v>84430991</v>
          </cell>
          <cell r="Y428">
            <v>71.78</v>
          </cell>
          <cell r="Z428">
            <v>71.459999999999994</v>
          </cell>
          <cell r="AA428">
            <v>84300217</v>
          </cell>
          <cell r="AB428">
            <v>130774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-2</v>
          </cell>
          <cell r="AL428">
            <v>-536788</v>
          </cell>
          <cell r="AM428">
            <v>254</v>
          </cell>
          <cell r="AN428">
            <v>76894881</v>
          </cell>
          <cell r="AO428">
            <v>127450</v>
          </cell>
          <cell r="AP428">
            <v>134197</v>
          </cell>
          <cell r="AQ428">
            <v>478000</v>
          </cell>
          <cell r="AR428">
            <v>0</v>
          </cell>
          <cell r="AS428">
            <v>3.66</v>
          </cell>
          <cell r="AT428">
            <v>430200000</v>
          </cell>
          <cell r="AU428">
            <v>3.33</v>
          </cell>
          <cell r="AV428">
            <v>280584300</v>
          </cell>
          <cell r="AW428">
            <v>0.05</v>
          </cell>
          <cell r="AX428">
            <v>6859</v>
          </cell>
          <cell r="AY428">
            <v>71.78</v>
          </cell>
          <cell r="AZ428">
            <v>0</v>
          </cell>
          <cell r="BA428">
            <v>647</v>
          </cell>
          <cell r="BB428">
            <v>1</v>
          </cell>
          <cell r="BC428">
            <v>648</v>
          </cell>
          <cell r="BD428">
            <v>0</v>
          </cell>
          <cell r="BE428">
            <v>0</v>
          </cell>
          <cell r="BF428">
            <v>99</v>
          </cell>
          <cell r="BG428">
            <v>0</v>
          </cell>
          <cell r="BH428">
            <v>1</v>
          </cell>
          <cell r="BI428">
            <v>178</v>
          </cell>
          <cell r="BJ428">
            <v>17</v>
          </cell>
          <cell r="BK428">
            <v>53</v>
          </cell>
          <cell r="BL428">
            <v>55</v>
          </cell>
          <cell r="BM428">
            <v>35</v>
          </cell>
          <cell r="BN428">
            <v>18</v>
          </cell>
          <cell r="BO428">
            <v>0</v>
          </cell>
          <cell r="BP428">
            <v>65</v>
          </cell>
          <cell r="BQ428">
            <v>10</v>
          </cell>
          <cell r="BR428">
            <v>18</v>
          </cell>
          <cell r="BS428">
            <v>16</v>
          </cell>
          <cell r="BT428">
            <v>16</v>
          </cell>
          <cell r="BU428">
            <v>5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102</v>
          </cell>
          <cell r="DN428">
            <v>0</v>
          </cell>
          <cell r="DO428">
            <v>0</v>
          </cell>
          <cell r="DP428">
            <v>7</v>
          </cell>
          <cell r="DQ428">
            <v>90</v>
          </cell>
          <cell r="DR428">
            <v>5</v>
          </cell>
          <cell r="DS428">
            <v>0</v>
          </cell>
          <cell r="DT428">
            <v>145</v>
          </cell>
          <cell r="DU428">
            <v>22</v>
          </cell>
          <cell r="DV428">
            <v>46</v>
          </cell>
          <cell r="DW428">
            <v>27</v>
          </cell>
          <cell r="DX428">
            <v>32</v>
          </cell>
          <cell r="DY428">
            <v>18</v>
          </cell>
          <cell r="DZ428">
            <v>0</v>
          </cell>
          <cell r="EA428">
            <v>94</v>
          </cell>
          <cell r="EB428">
            <v>20</v>
          </cell>
          <cell r="EC428">
            <v>32</v>
          </cell>
          <cell r="ED428">
            <v>19</v>
          </cell>
          <cell r="EE428">
            <v>17</v>
          </cell>
          <cell r="EF428">
            <v>6</v>
          </cell>
          <cell r="EG428">
            <v>0</v>
          </cell>
          <cell r="EH428">
            <v>64</v>
          </cell>
          <cell r="EI428">
            <v>7</v>
          </cell>
          <cell r="EJ428">
            <v>13</v>
          </cell>
          <cell r="EK428">
            <v>9</v>
          </cell>
          <cell r="EL428">
            <v>20</v>
          </cell>
          <cell r="EM428">
            <v>15</v>
          </cell>
          <cell r="EN428">
            <v>0</v>
          </cell>
          <cell r="EO428" t="str">
            <v xml:space="preserve">Mans Quansoo Jacket                                         </v>
          </cell>
        </row>
        <row r="429">
          <cell r="A429" t="str">
            <v>CN4YM3874425</v>
          </cell>
          <cell r="B429" t="str">
            <v>CN4</v>
          </cell>
          <cell r="C429" t="str">
            <v>YM3874</v>
          </cell>
          <cell r="D429">
            <v>425</v>
          </cell>
          <cell r="E429" t="str">
            <v xml:space="preserve">   </v>
          </cell>
          <cell r="F429">
            <v>81101</v>
          </cell>
          <cell r="G429">
            <v>81101</v>
          </cell>
          <cell r="H429">
            <v>0</v>
          </cell>
          <cell r="I429">
            <v>1000</v>
          </cell>
          <cell r="J429">
            <v>1003</v>
          </cell>
          <cell r="K429">
            <v>1003</v>
          </cell>
          <cell r="L429">
            <v>976</v>
          </cell>
          <cell r="M429">
            <v>976</v>
          </cell>
          <cell r="N429">
            <v>145150000</v>
          </cell>
          <cell r="O429">
            <v>145617546</v>
          </cell>
          <cell r="P429">
            <v>145617546</v>
          </cell>
          <cell r="Q429">
            <v>141697536</v>
          </cell>
          <cell r="R429">
            <v>473439836</v>
          </cell>
          <cell r="S429" t="str">
            <v xml:space="preserve"> </v>
          </cell>
          <cell r="T429" t="str">
            <v xml:space="preserve"> </v>
          </cell>
          <cell r="U429">
            <v>1003</v>
          </cell>
          <cell r="V429">
            <v>145617546</v>
          </cell>
          <cell r="W429">
            <v>976</v>
          </cell>
          <cell r="X429">
            <v>141697536</v>
          </cell>
          <cell r="Y429">
            <v>97.41</v>
          </cell>
          <cell r="Z429">
            <v>97.51</v>
          </cell>
          <cell r="AA429">
            <v>141116808</v>
          </cell>
          <cell r="AB429">
            <v>580728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>
            <v>290364</v>
          </cell>
          <cell r="AM429">
            <v>26</v>
          </cell>
          <cell r="AN429">
            <v>6388008</v>
          </cell>
          <cell r="AO429">
            <v>145150</v>
          </cell>
          <cell r="AP429">
            <v>145182</v>
          </cell>
          <cell r="AQ429">
            <v>538000</v>
          </cell>
          <cell r="AR429">
            <v>0</v>
          </cell>
          <cell r="AS429">
            <v>3.71</v>
          </cell>
          <cell r="AT429">
            <v>539614000</v>
          </cell>
          <cell r="AU429">
            <v>3.35</v>
          </cell>
          <cell r="AV429">
            <v>473412400</v>
          </cell>
          <cell r="AW429">
            <v>0.05</v>
          </cell>
          <cell r="AX429">
            <v>27436</v>
          </cell>
          <cell r="AY429">
            <v>97.41</v>
          </cell>
          <cell r="AZ429">
            <v>0</v>
          </cell>
          <cell r="BA429">
            <v>972</v>
          </cell>
          <cell r="BB429">
            <v>4</v>
          </cell>
          <cell r="BC429">
            <v>976</v>
          </cell>
          <cell r="BD429">
            <v>0</v>
          </cell>
          <cell r="BE429">
            <v>0</v>
          </cell>
          <cell r="BF429">
            <v>26</v>
          </cell>
          <cell r="BG429">
            <v>1</v>
          </cell>
          <cell r="BH429">
            <v>1</v>
          </cell>
          <cell r="BI429">
            <v>116</v>
          </cell>
          <cell r="BJ429">
            <v>39</v>
          </cell>
          <cell r="BK429">
            <v>37</v>
          </cell>
          <cell r="BL429">
            <v>31</v>
          </cell>
          <cell r="BM429">
            <v>9</v>
          </cell>
          <cell r="BN429">
            <v>0</v>
          </cell>
          <cell r="BO429">
            <v>0</v>
          </cell>
          <cell r="BP429">
            <v>-8</v>
          </cell>
          <cell r="BQ429">
            <v>0</v>
          </cell>
          <cell r="BR429">
            <v>0</v>
          </cell>
          <cell r="BS429">
            <v>-2</v>
          </cell>
          <cell r="BT429">
            <v>-1</v>
          </cell>
          <cell r="BU429">
            <v>-5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2</v>
          </cell>
          <cell r="DN429">
            <v>0</v>
          </cell>
          <cell r="DO429">
            <v>0</v>
          </cell>
          <cell r="DP429">
            <v>0</v>
          </cell>
          <cell r="DQ429">
            <v>2</v>
          </cell>
          <cell r="DR429">
            <v>0</v>
          </cell>
          <cell r="DS429">
            <v>0</v>
          </cell>
          <cell r="DT429">
            <v>1</v>
          </cell>
          <cell r="DU429">
            <v>1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533</v>
          </cell>
          <cell r="EB429">
            <v>32</v>
          </cell>
          <cell r="EC429">
            <v>103</v>
          </cell>
          <cell r="ED429">
            <v>105</v>
          </cell>
          <cell r="EE429">
            <v>157</v>
          </cell>
          <cell r="EF429">
            <v>136</v>
          </cell>
          <cell r="EG429">
            <v>0</v>
          </cell>
          <cell r="EH429">
            <v>332</v>
          </cell>
          <cell r="EI429">
            <v>120</v>
          </cell>
          <cell r="EJ429">
            <v>71</v>
          </cell>
          <cell r="EK429">
            <v>65</v>
          </cell>
          <cell r="EL429">
            <v>62</v>
          </cell>
          <cell r="EM429">
            <v>14</v>
          </cell>
          <cell r="EN429">
            <v>0</v>
          </cell>
          <cell r="EO429" t="str">
            <v xml:space="preserve">Mans Sterling Heights Jacket                                </v>
          </cell>
        </row>
        <row r="430">
          <cell r="A430" t="str">
            <v>CN4YM3874969</v>
          </cell>
          <cell r="B430" t="str">
            <v>CN4</v>
          </cell>
          <cell r="C430" t="str">
            <v>YM3874</v>
          </cell>
          <cell r="D430">
            <v>969</v>
          </cell>
          <cell r="E430" t="str">
            <v xml:space="preserve">   </v>
          </cell>
          <cell r="F430">
            <v>81101</v>
          </cell>
          <cell r="G430">
            <v>81101</v>
          </cell>
          <cell r="H430">
            <v>0</v>
          </cell>
          <cell r="I430">
            <v>700</v>
          </cell>
          <cell r="J430">
            <v>680</v>
          </cell>
          <cell r="K430">
            <v>678</v>
          </cell>
          <cell r="L430">
            <v>330</v>
          </cell>
          <cell r="M430">
            <v>330</v>
          </cell>
          <cell r="N430">
            <v>101605000</v>
          </cell>
          <cell r="O430">
            <v>98723760</v>
          </cell>
          <cell r="P430">
            <v>98433396</v>
          </cell>
          <cell r="Q430">
            <v>47910060</v>
          </cell>
          <cell r="R430">
            <v>160768501</v>
          </cell>
          <cell r="S430" t="str">
            <v xml:space="preserve"> </v>
          </cell>
          <cell r="T430" t="str">
            <v xml:space="preserve"> </v>
          </cell>
          <cell r="U430">
            <v>680</v>
          </cell>
          <cell r="V430">
            <v>98723760</v>
          </cell>
          <cell r="W430">
            <v>330</v>
          </cell>
          <cell r="X430">
            <v>47910060</v>
          </cell>
          <cell r="Y430">
            <v>48.53</v>
          </cell>
          <cell r="Z430">
            <v>48.53</v>
          </cell>
          <cell r="AA430">
            <v>47764878</v>
          </cell>
          <cell r="AB430">
            <v>145182</v>
          </cell>
          <cell r="AC430">
            <v>2</v>
          </cell>
          <cell r="AD430">
            <v>290364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348</v>
          </cell>
          <cell r="AN430">
            <v>106708770</v>
          </cell>
          <cell r="AO430">
            <v>145150</v>
          </cell>
          <cell r="AP430">
            <v>145182</v>
          </cell>
          <cell r="AQ430">
            <v>538000</v>
          </cell>
          <cell r="AR430">
            <v>0</v>
          </cell>
          <cell r="AS430">
            <v>3.71</v>
          </cell>
          <cell r="AT430">
            <v>365840000</v>
          </cell>
          <cell r="AU430">
            <v>3.37</v>
          </cell>
          <cell r="AV430">
            <v>160761642</v>
          </cell>
          <cell r="AW430">
            <v>0.05</v>
          </cell>
          <cell r="AX430">
            <v>6859</v>
          </cell>
          <cell r="AY430">
            <v>48.53</v>
          </cell>
          <cell r="AZ430">
            <v>0</v>
          </cell>
          <cell r="BA430">
            <v>329</v>
          </cell>
          <cell r="BB430">
            <v>1</v>
          </cell>
          <cell r="BC430">
            <v>330</v>
          </cell>
          <cell r="BD430">
            <v>0</v>
          </cell>
          <cell r="BE430">
            <v>0</v>
          </cell>
          <cell r="BF430">
            <v>63</v>
          </cell>
          <cell r="BG430">
            <v>0</v>
          </cell>
          <cell r="BH430">
            <v>1</v>
          </cell>
          <cell r="BI430">
            <v>101</v>
          </cell>
          <cell r="BJ430">
            <v>25</v>
          </cell>
          <cell r="BK430">
            <v>28</v>
          </cell>
          <cell r="BL430">
            <v>19</v>
          </cell>
          <cell r="BM430">
            <v>23</v>
          </cell>
          <cell r="BN430">
            <v>6</v>
          </cell>
          <cell r="BO430">
            <v>0</v>
          </cell>
          <cell r="BP430">
            <v>37</v>
          </cell>
          <cell r="BQ430">
            <v>5</v>
          </cell>
          <cell r="BR430">
            <v>16</v>
          </cell>
          <cell r="BS430">
            <v>7</v>
          </cell>
          <cell r="BT430">
            <v>1</v>
          </cell>
          <cell r="BU430">
            <v>8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96</v>
          </cell>
          <cell r="EB430">
            <v>7</v>
          </cell>
          <cell r="EC430">
            <v>17</v>
          </cell>
          <cell r="ED430">
            <v>25</v>
          </cell>
          <cell r="EE430">
            <v>21</v>
          </cell>
          <cell r="EF430">
            <v>26</v>
          </cell>
          <cell r="EG430">
            <v>0</v>
          </cell>
          <cell r="EH430">
            <v>96</v>
          </cell>
          <cell r="EI430">
            <v>25</v>
          </cell>
          <cell r="EJ430">
            <v>24</v>
          </cell>
          <cell r="EK430">
            <v>12</v>
          </cell>
          <cell r="EL430">
            <v>27</v>
          </cell>
          <cell r="EM430">
            <v>8</v>
          </cell>
          <cell r="EN430">
            <v>0</v>
          </cell>
          <cell r="EO430" t="str">
            <v xml:space="preserve">Mans Sterling Heights Jacket                                </v>
          </cell>
        </row>
        <row r="431">
          <cell r="A431" t="str">
            <v>CN4YM3875053</v>
          </cell>
          <cell r="B431" t="str">
            <v>CN4</v>
          </cell>
          <cell r="C431" t="str">
            <v>YM3875</v>
          </cell>
          <cell r="D431">
            <v>53</v>
          </cell>
          <cell r="E431" t="str">
            <v xml:space="preserve">   </v>
          </cell>
          <cell r="F431">
            <v>81002</v>
          </cell>
          <cell r="G431">
            <v>81002</v>
          </cell>
          <cell r="H431">
            <v>81002</v>
          </cell>
          <cell r="I431">
            <v>200</v>
          </cell>
          <cell r="J431">
            <v>199</v>
          </cell>
          <cell r="K431">
            <v>198</v>
          </cell>
          <cell r="L431">
            <v>195</v>
          </cell>
          <cell r="M431">
            <v>195</v>
          </cell>
          <cell r="N431">
            <v>31923800</v>
          </cell>
          <cell r="O431">
            <v>31435632</v>
          </cell>
          <cell r="P431">
            <v>31277664</v>
          </cell>
          <cell r="Q431">
            <v>30803760</v>
          </cell>
          <cell r="R431">
            <v>76455694</v>
          </cell>
          <cell r="S431" t="str">
            <v>*</v>
          </cell>
          <cell r="T431" t="str">
            <v xml:space="preserve"> </v>
          </cell>
          <cell r="U431">
            <v>199</v>
          </cell>
          <cell r="V431">
            <v>31435632</v>
          </cell>
          <cell r="W431">
            <v>195</v>
          </cell>
          <cell r="X431">
            <v>30803760</v>
          </cell>
          <cell r="Y431">
            <v>97.99</v>
          </cell>
          <cell r="Z431">
            <v>97.99</v>
          </cell>
          <cell r="AA431">
            <v>-473904</v>
          </cell>
          <cell r="AB431">
            <v>31277664</v>
          </cell>
          <cell r="AC431">
            <v>1</v>
          </cell>
          <cell r="AD431">
            <v>157968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3</v>
          </cell>
          <cell r="AN431">
            <v>1263744</v>
          </cell>
          <cell r="AO431">
            <v>159619</v>
          </cell>
          <cell r="AP431">
            <v>157968</v>
          </cell>
          <cell r="AQ431">
            <v>538000</v>
          </cell>
          <cell r="AR431">
            <v>398000</v>
          </cell>
          <cell r="AS431">
            <v>3.41</v>
          </cell>
          <cell r="AT431">
            <v>107062000</v>
          </cell>
          <cell r="AU431">
            <v>3.46</v>
          </cell>
          <cell r="AV431">
            <v>-1640900</v>
          </cell>
          <cell r="AW431">
            <v>2.5</v>
          </cell>
          <cell r="AX431">
            <v>78096594</v>
          </cell>
          <cell r="AY431">
            <v>97.99</v>
          </cell>
          <cell r="AZ431">
            <v>0</v>
          </cell>
          <cell r="BA431">
            <v>-3</v>
          </cell>
          <cell r="BB431">
            <v>198</v>
          </cell>
          <cell r="BC431">
            <v>195</v>
          </cell>
          <cell r="BD431">
            <v>0</v>
          </cell>
          <cell r="BE431">
            <v>0</v>
          </cell>
          <cell r="BF431">
            <v>1</v>
          </cell>
          <cell r="BG431">
            <v>1</v>
          </cell>
          <cell r="BH431">
            <v>1</v>
          </cell>
          <cell r="BI431">
            <v>6</v>
          </cell>
          <cell r="BJ431">
            <v>1</v>
          </cell>
          <cell r="BK431">
            <v>1</v>
          </cell>
          <cell r="BL431">
            <v>1</v>
          </cell>
          <cell r="BM431">
            <v>1</v>
          </cell>
          <cell r="BN431">
            <v>2</v>
          </cell>
          <cell r="BO431">
            <v>0</v>
          </cell>
          <cell r="BP431">
            <v>1</v>
          </cell>
          <cell r="BQ431">
            <v>0</v>
          </cell>
          <cell r="BR431">
            <v>1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89</v>
          </cell>
          <cell r="DU431">
            <v>16</v>
          </cell>
          <cell r="DV431">
            <v>30</v>
          </cell>
          <cell r="DW431">
            <v>13</v>
          </cell>
          <cell r="DX431">
            <v>20</v>
          </cell>
          <cell r="DY431">
            <v>10</v>
          </cell>
          <cell r="DZ431">
            <v>0</v>
          </cell>
          <cell r="EA431">
            <v>75</v>
          </cell>
          <cell r="EB431">
            <v>21</v>
          </cell>
          <cell r="EC431">
            <v>22</v>
          </cell>
          <cell r="ED431">
            <v>14</v>
          </cell>
          <cell r="EE431">
            <v>10</v>
          </cell>
          <cell r="EF431">
            <v>8</v>
          </cell>
          <cell r="EG431">
            <v>0</v>
          </cell>
          <cell r="EH431">
            <v>24</v>
          </cell>
          <cell r="EI431">
            <v>7</v>
          </cell>
          <cell r="EJ431">
            <v>9</v>
          </cell>
          <cell r="EK431">
            <v>4</v>
          </cell>
          <cell r="EL431">
            <v>2</v>
          </cell>
          <cell r="EM431">
            <v>2</v>
          </cell>
          <cell r="EN431">
            <v>0</v>
          </cell>
          <cell r="EO431" t="str">
            <v xml:space="preserve">MENS SUNNYVALE JACKET                                       </v>
          </cell>
        </row>
        <row r="432">
          <cell r="A432" t="str">
            <v>CN4YM3875427</v>
          </cell>
          <cell r="B432" t="str">
            <v>CN4</v>
          </cell>
          <cell r="C432" t="str">
            <v>YM3875</v>
          </cell>
          <cell r="D432">
            <v>427</v>
          </cell>
          <cell r="E432" t="str">
            <v xml:space="preserve">   </v>
          </cell>
          <cell r="F432">
            <v>81002</v>
          </cell>
          <cell r="G432">
            <v>81002</v>
          </cell>
          <cell r="H432">
            <v>81002</v>
          </cell>
          <cell r="I432">
            <v>200</v>
          </cell>
          <cell r="J432">
            <v>201</v>
          </cell>
          <cell r="K432">
            <v>198</v>
          </cell>
          <cell r="L432">
            <v>177</v>
          </cell>
          <cell r="M432">
            <v>177</v>
          </cell>
          <cell r="N432">
            <v>31923800</v>
          </cell>
          <cell r="O432">
            <v>31751568</v>
          </cell>
          <cell r="P432">
            <v>31277664</v>
          </cell>
          <cell r="Q432">
            <v>27960336</v>
          </cell>
          <cell r="R432">
            <v>70246300</v>
          </cell>
          <cell r="S432" t="str">
            <v>*</v>
          </cell>
          <cell r="T432" t="str">
            <v xml:space="preserve"> </v>
          </cell>
          <cell r="U432">
            <v>201</v>
          </cell>
          <cell r="V432">
            <v>31751568</v>
          </cell>
          <cell r="W432">
            <v>177</v>
          </cell>
          <cell r="X432">
            <v>27960336</v>
          </cell>
          <cell r="Y432">
            <v>88.56</v>
          </cell>
          <cell r="Z432">
            <v>89.05</v>
          </cell>
          <cell r="AA432">
            <v>-157968</v>
          </cell>
          <cell r="AB432">
            <v>28118304</v>
          </cell>
          <cell r="AC432">
            <v>3</v>
          </cell>
          <cell r="AD432">
            <v>789840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>
            <v>315936</v>
          </cell>
          <cell r="AM432">
            <v>20</v>
          </cell>
          <cell r="AN432">
            <v>8688240</v>
          </cell>
          <cell r="AO432">
            <v>159619</v>
          </cell>
          <cell r="AP432">
            <v>157968</v>
          </cell>
          <cell r="AQ432">
            <v>538000</v>
          </cell>
          <cell r="AR432">
            <v>398000</v>
          </cell>
          <cell r="AS432">
            <v>3.41</v>
          </cell>
          <cell r="AT432">
            <v>108138000</v>
          </cell>
          <cell r="AU432">
            <v>3.41</v>
          </cell>
          <cell r="AV432">
            <v>-538000</v>
          </cell>
          <cell r="AW432">
            <v>2.52</v>
          </cell>
          <cell r="AX432">
            <v>70784300</v>
          </cell>
          <cell r="AY432">
            <v>88.56</v>
          </cell>
          <cell r="AZ432">
            <v>0</v>
          </cell>
          <cell r="BA432">
            <v>-1</v>
          </cell>
          <cell r="BB432">
            <v>178</v>
          </cell>
          <cell r="BC432">
            <v>177</v>
          </cell>
          <cell r="BD432">
            <v>0</v>
          </cell>
          <cell r="BE432">
            <v>0</v>
          </cell>
          <cell r="BF432">
            <v>20</v>
          </cell>
          <cell r="BG432">
            <v>0</v>
          </cell>
          <cell r="BH432">
            <v>1</v>
          </cell>
          <cell r="BI432">
            <v>14</v>
          </cell>
          <cell r="BJ432">
            <v>3</v>
          </cell>
          <cell r="BK432">
            <v>1</v>
          </cell>
          <cell r="BL432">
            <v>8</v>
          </cell>
          <cell r="BM432">
            <v>-2</v>
          </cell>
          <cell r="BN432">
            <v>4</v>
          </cell>
          <cell r="BO432">
            <v>0</v>
          </cell>
          <cell r="BP432">
            <v>14</v>
          </cell>
          <cell r="BQ432">
            <v>1</v>
          </cell>
          <cell r="BR432">
            <v>7</v>
          </cell>
          <cell r="BS432">
            <v>3</v>
          </cell>
          <cell r="BT432">
            <v>1</v>
          </cell>
          <cell r="BU432">
            <v>2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59</v>
          </cell>
          <cell r="DU432">
            <v>13</v>
          </cell>
          <cell r="DV432">
            <v>17</v>
          </cell>
          <cell r="DW432">
            <v>6</v>
          </cell>
          <cell r="DX432">
            <v>14</v>
          </cell>
          <cell r="DY432">
            <v>9</v>
          </cell>
          <cell r="DZ432">
            <v>0</v>
          </cell>
          <cell r="EA432">
            <v>75</v>
          </cell>
          <cell r="EB432">
            <v>13</v>
          </cell>
          <cell r="EC432">
            <v>21</v>
          </cell>
          <cell r="ED432">
            <v>18</v>
          </cell>
          <cell r="EE432">
            <v>14</v>
          </cell>
          <cell r="EF432">
            <v>9</v>
          </cell>
          <cell r="EG432">
            <v>0</v>
          </cell>
          <cell r="EH432">
            <v>15</v>
          </cell>
          <cell r="EI432">
            <v>8</v>
          </cell>
          <cell r="EJ432">
            <v>1</v>
          </cell>
          <cell r="EK432">
            <v>2</v>
          </cell>
          <cell r="EL432">
            <v>1</v>
          </cell>
          <cell r="EM432">
            <v>3</v>
          </cell>
          <cell r="EN432">
            <v>0</v>
          </cell>
          <cell r="EO432" t="str">
            <v xml:space="preserve">MENS SUNNYVALE JACKET                                       </v>
          </cell>
        </row>
        <row r="433">
          <cell r="A433" t="str">
            <v>CN4YM3875688</v>
          </cell>
          <cell r="B433" t="str">
            <v>CN4</v>
          </cell>
          <cell r="C433" t="str">
            <v>YM3875</v>
          </cell>
          <cell r="D433">
            <v>688</v>
          </cell>
          <cell r="E433" t="str">
            <v xml:space="preserve">   </v>
          </cell>
          <cell r="F433">
            <v>81002</v>
          </cell>
          <cell r="G433">
            <v>81002</v>
          </cell>
          <cell r="H433">
            <v>81002</v>
          </cell>
          <cell r="I433">
            <v>100</v>
          </cell>
          <cell r="J433">
            <v>100</v>
          </cell>
          <cell r="K433">
            <v>98</v>
          </cell>
          <cell r="L433">
            <v>88</v>
          </cell>
          <cell r="M433">
            <v>88</v>
          </cell>
          <cell r="N433">
            <v>15961900</v>
          </cell>
          <cell r="O433">
            <v>15796800</v>
          </cell>
          <cell r="P433">
            <v>15480864</v>
          </cell>
          <cell r="Q433">
            <v>13901184</v>
          </cell>
          <cell r="R433">
            <v>34839407</v>
          </cell>
          <cell r="S433" t="str">
            <v>*</v>
          </cell>
          <cell r="T433" t="str">
            <v xml:space="preserve"> </v>
          </cell>
          <cell r="U433">
            <v>100</v>
          </cell>
          <cell r="V433">
            <v>15796800</v>
          </cell>
          <cell r="W433">
            <v>88</v>
          </cell>
          <cell r="X433">
            <v>13901184</v>
          </cell>
          <cell r="Y433">
            <v>88</v>
          </cell>
          <cell r="Z433">
            <v>88</v>
          </cell>
          <cell r="AA433">
            <v>0</v>
          </cell>
          <cell r="AB433">
            <v>13901184</v>
          </cell>
          <cell r="AC433">
            <v>2</v>
          </cell>
          <cell r="AD433">
            <v>315936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10</v>
          </cell>
          <cell r="AN433">
            <v>4265136</v>
          </cell>
          <cell r="AO433">
            <v>159619</v>
          </cell>
          <cell r="AP433">
            <v>157968</v>
          </cell>
          <cell r="AQ433">
            <v>538000</v>
          </cell>
          <cell r="AR433">
            <v>398000</v>
          </cell>
          <cell r="AS433">
            <v>3.41</v>
          </cell>
          <cell r="AT433">
            <v>53800000</v>
          </cell>
          <cell r="AU433">
            <v>0</v>
          </cell>
          <cell r="AV433">
            <v>0</v>
          </cell>
          <cell r="AW433">
            <v>2.5099999999999998</v>
          </cell>
          <cell r="AX433">
            <v>34839407</v>
          </cell>
          <cell r="AY433">
            <v>88</v>
          </cell>
          <cell r="AZ433">
            <v>0</v>
          </cell>
          <cell r="BA433">
            <v>0</v>
          </cell>
          <cell r="BB433">
            <v>88</v>
          </cell>
          <cell r="BC433">
            <v>88</v>
          </cell>
          <cell r="BD433">
            <v>0</v>
          </cell>
          <cell r="BE433">
            <v>0</v>
          </cell>
          <cell r="BF433">
            <v>7</v>
          </cell>
          <cell r="BG433">
            <v>0</v>
          </cell>
          <cell r="BH433">
            <v>1</v>
          </cell>
          <cell r="BI433">
            <v>9</v>
          </cell>
          <cell r="BJ433">
            <v>5</v>
          </cell>
          <cell r="BK433">
            <v>0</v>
          </cell>
          <cell r="BL433">
            <v>0</v>
          </cell>
          <cell r="BM433">
            <v>1</v>
          </cell>
          <cell r="BN433">
            <v>3</v>
          </cell>
          <cell r="BO433">
            <v>0</v>
          </cell>
          <cell r="BP433">
            <v>5</v>
          </cell>
          <cell r="BQ433">
            <v>1</v>
          </cell>
          <cell r="BR433">
            <v>3</v>
          </cell>
          <cell r="BS433">
            <v>1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35</v>
          </cell>
          <cell r="DU433">
            <v>5</v>
          </cell>
          <cell r="DV433">
            <v>5</v>
          </cell>
          <cell r="DW433">
            <v>7</v>
          </cell>
          <cell r="DX433">
            <v>8</v>
          </cell>
          <cell r="DY433">
            <v>10</v>
          </cell>
          <cell r="DZ433">
            <v>0</v>
          </cell>
          <cell r="EA433">
            <v>24</v>
          </cell>
          <cell r="EB433">
            <v>1</v>
          </cell>
          <cell r="EC433">
            <v>11</v>
          </cell>
          <cell r="ED433">
            <v>2</v>
          </cell>
          <cell r="EE433">
            <v>10</v>
          </cell>
          <cell r="EF433">
            <v>0</v>
          </cell>
          <cell r="EG433">
            <v>0</v>
          </cell>
          <cell r="EH433">
            <v>15</v>
          </cell>
          <cell r="EI433">
            <v>2</v>
          </cell>
          <cell r="EJ433">
            <v>7</v>
          </cell>
          <cell r="EK433">
            <v>1</v>
          </cell>
          <cell r="EL433">
            <v>3</v>
          </cell>
          <cell r="EM433">
            <v>2</v>
          </cell>
          <cell r="EN433">
            <v>0</v>
          </cell>
          <cell r="EO433" t="str">
            <v xml:space="preserve">MENS SUNNYVALE JACKET                                       </v>
          </cell>
        </row>
        <row r="434">
          <cell r="A434" t="str">
            <v>CN4YM3876294</v>
          </cell>
          <cell r="B434" t="str">
            <v>CN4</v>
          </cell>
          <cell r="C434" t="str">
            <v>YM3876</v>
          </cell>
          <cell r="D434">
            <v>294</v>
          </cell>
          <cell r="E434" t="str">
            <v xml:space="preserve">   </v>
          </cell>
          <cell r="F434">
            <v>81107</v>
          </cell>
          <cell r="G434">
            <v>81107</v>
          </cell>
          <cell r="H434">
            <v>0</v>
          </cell>
          <cell r="I434">
            <v>190</v>
          </cell>
          <cell r="J434">
            <v>186</v>
          </cell>
          <cell r="K434">
            <v>186</v>
          </cell>
          <cell r="L434">
            <v>38</v>
          </cell>
          <cell r="M434">
            <v>38</v>
          </cell>
          <cell r="N434">
            <v>30131150</v>
          </cell>
          <cell r="O434">
            <v>31263252</v>
          </cell>
          <cell r="P434">
            <v>31263252</v>
          </cell>
          <cell r="Q434">
            <v>6387116</v>
          </cell>
          <cell r="R434">
            <v>14341200</v>
          </cell>
          <cell r="S434" t="str">
            <v xml:space="preserve"> </v>
          </cell>
          <cell r="T434" t="str">
            <v xml:space="preserve"> </v>
          </cell>
          <cell r="U434">
            <v>186</v>
          </cell>
          <cell r="V434">
            <v>31263252</v>
          </cell>
          <cell r="W434">
            <v>38</v>
          </cell>
          <cell r="X434">
            <v>6387116</v>
          </cell>
          <cell r="Y434">
            <v>20.43</v>
          </cell>
          <cell r="Z434">
            <v>20.43</v>
          </cell>
          <cell r="AA434">
            <v>6387116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148</v>
          </cell>
          <cell r="AN434">
            <v>49920354</v>
          </cell>
          <cell r="AO434">
            <v>158585</v>
          </cell>
          <cell r="AP434">
            <v>168082</v>
          </cell>
          <cell r="AQ434">
            <v>498000</v>
          </cell>
          <cell r="AR434">
            <v>0</v>
          </cell>
          <cell r="AS434">
            <v>2.96</v>
          </cell>
          <cell r="AT434">
            <v>92628000</v>
          </cell>
          <cell r="AU434">
            <v>2.25</v>
          </cell>
          <cell r="AV434">
            <v>14341200</v>
          </cell>
          <cell r="AW434">
            <v>0</v>
          </cell>
          <cell r="AX434">
            <v>0</v>
          </cell>
          <cell r="AY434">
            <v>20.43</v>
          </cell>
          <cell r="AZ434">
            <v>0</v>
          </cell>
          <cell r="BA434">
            <v>38</v>
          </cell>
          <cell r="BB434">
            <v>0</v>
          </cell>
          <cell r="BC434">
            <v>38</v>
          </cell>
          <cell r="BD434">
            <v>0</v>
          </cell>
          <cell r="BE434">
            <v>0</v>
          </cell>
          <cell r="BF434">
            <v>3</v>
          </cell>
          <cell r="BG434">
            <v>1</v>
          </cell>
          <cell r="BH434">
            <v>1</v>
          </cell>
          <cell r="BI434">
            <v>20</v>
          </cell>
          <cell r="BJ434">
            <v>4</v>
          </cell>
          <cell r="BK434">
            <v>7</v>
          </cell>
          <cell r="BL434">
            <v>5</v>
          </cell>
          <cell r="BM434">
            <v>1</v>
          </cell>
          <cell r="BN434">
            <v>3</v>
          </cell>
          <cell r="BO434">
            <v>0</v>
          </cell>
          <cell r="BP434">
            <v>1</v>
          </cell>
          <cell r="BQ434">
            <v>0</v>
          </cell>
          <cell r="BR434">
            <v>1</v>
          </cell>
          <cell r="BS434">
            <v>-1</v>
          </cell>
          <cell r="BT434">
            <v>0</v>
          </cell>
          <cell r="BU434">
            <v>1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9</v>
          </cell>
          <cell r="EB434">
            <v>0</v>
          </cell>
          <cell r="EC434">
            <v>2</v>
          </cell>
          <cell r="ED434">
            <v>1</v>
          </cell>
          <cell r="EE434">
            <v>3</v>
          </cell>
          <cell r="EF434">
            <v>3</v>
          </cell>
          <cell r="EG434">
            <v>0</v>
          </cell>
          <cell r="EH434">
            <v>8</v>
          </cell>
          <cell r="EI434">
            <v>1</v>
          </cell>
          <cell r="EJ434">
            <v>1</v>
          </cell>
          <cell r="EK434">
            <v>1</v>
          </cell>
          <cell r="EL434">
            <v>5</v>
          </cell>
          <cell r="EM434">
            <v>0</v>
          </cell>
          <cell r="EN434">
            <v>0</v>
          </cell>
          <cell r="EO434" t="str">
            <v xml:space="preserve">MILLDALE JACKET                                             </v>
          </cell>
        </row>
        <row r="435">
          <cell r="A435" t="str">
            <v>CN4YM3877010</v>
          </cell>
          <cell r="B435" t="str">
            <v>CN4</v>
          </cell>
          <cell r="C435" t="str">
            <v>YM3877</v>
          </cell>
          <cell r="D435">
            <v>10</v>
          </cell>
          <cell r="E435" t="str">
            <v xml:space="preserve">   </v>
          </cell>
          <cell r="F435">
            <v>80923</v>
          </cell>
          <cell r="G435">
            <v>80924</v>
          </cell>
          <cell r="H435">
            <v>90107</v>
          </cell>
          <cell r="I435">
            <v>600</v>
          </cell>
          <cell r="J435">
            <v>620</v>
          </cell>
          <cell r="K435">
            <v>604</v>
          </cell>
          <cell r="L435">
            <v>405</v>
          </cell>
          <cell r="M435">
            <v>405</v>
          </cell>
          <cell r="N435">
            <v>28290000</v>
          </cell>
          <cell r="O435">
            <v>29232380</v>
          </cell>
          <cell r="P435">
            <v>28477996</v>
          </cell>
          <cell r="Q435">
            <v>19095345</v>
          </cell>
          <cell r="R435">
            <v>53780924</v>
          </cell>
          <cell r="S435" t="str">
            <v>*</v>
          </cell>
          <cell r="T435" t="str">
            <v xml:space="preserve"> </v>
          </cell>
          <cell r="U435">
            <v>620</v>
          </cell>
          <cell r="V435">
            <v>29232380</v>
          </cell>
          <cell r="W435">
            <v>405</v>
          </cell>
          <cell r="X435">
            <v>19095345</v>
          </cell>
          <cell r="Y435">
            <v>65</v>
          </cell>
          <cell r="Z435">
            <v>64.680000000000007</v>
          </cell>
          <cell r="AA435">
            <v>9571247</v>
          </cell>
          <cell r="AB435">
            <v>9524098</v>
          </cell>
          <cell r="AC435">
            <v>16</v>
          </cell>
          <cell r="AD435">
            <v>2216003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-2</v>
          </cell>
          <cell r="AL435">
            <v>-188596</v>
          </cell>
          <cell r="AM435">
            <v>201</v>
          </cell>
          <cell r="AN435">
            <v>22867265</v>
          </cell>
          <cell r="AO435">
            <v>47150</v>
          </cell>
          <cell r="AP435">
            <v>47149</v>
          </cell>
          <cell r="AQ435">
            <v>178000</v>
          </cell>
          <cell r="AR435">
            <v>107000</v>
          </cell>
          <cell r="AS435">
            <v>3.78</v>
          </cell>
          <cell r="AT435">
            <v>110360000</v>
          </cell>
          <cell r="AU435">
            <v>3.39</v>
          </cell>
          <cell r="AV435">
            <v>32467347</v>
          </cell>
          <cell r="AW435">
            <v>2.2400000000000002</v>
          </cell>
          <cell r="AX435">
            <v>21313577</v>
          </cell>
          <cell r="AY435">
            <v>65</v>
          </cell>
          <cell r="AZ435">
            <v>0</v>
          </cell>
          <cell r="BA435">
            <v>203</v>
          </cell>
          <cell r="BB435">
            <v>202</v>
          </cell>
          <cell r="BC435">
            <v>405</v>
          </cell>
          <cell r="BD435">
            <v>0</v>
          </cell>
          <cell r="BE435">
            <v>0</v>
          </cell>
          <cell r="BF435">
            <v>120</v>
          </cell>
          <cell r="BG435">
            <v>1</v>
          </cell>
          <cell r="BH435">
            <v>1</v>
          </cell>
          <cell r="BI435">
            <v>107</v>
          </cell>
          <cell r="BJ435">
            <v>8</v>
          </cell>
          <cell r="BK435">
            <v>33</v>
          </cell>
          <cell r="BL435">
            <v>21</v>
          </cell>
          <cell r="BM435">
            <v>24</v>
          </cell>
          <cell r="BN435">
            <v>21</v>
          </cell>
          <cell r="BO435">
            <v>0</v>
          </cell>
          <cell r="BP435">
            <v>98</v>
          </cell>
          <cell r="BQ435">
            <v>7</v>
          </cell>
          <cell r="BR435">
            <v>40</v>
          </cell>
          <cell r="BS435">
            <v>23</v>
          </cell>
          <cell r="BT435">
            <v>15</v>
          </cell>
          <cell r="BU435">
            <v>13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39</v>
          </cell>
          <cell r="DN435">
            <v>0</v>
          </cell>
          <cell r="DO435">
            <v>0</v>
          </cell>
          <cell r="DP435">
            <v>0</v>
          </cell>
          <cell r="DQ435">
            <v>38</v>
          </cell>
          <cell r="DR435">
            <v>1</v>
          </cell>
          <cell r="DS435">
            <v>0</v>
          </cell>
          <cell r="DT435">
            <v>56</v>
          </cell>
          <cell r="DU435">
            <v>15</v>
          </cell>
          <cell r="DV435">
            <v>9</v>
          </cell>
          <cell r="DW435">
            <v>9</v>
          </cell>
          <cell r="DX435">
            <v>15</v>
          </cell>
          <cell r="DY435">
            <v>8</v>
          </cell>
          <cell r="DZ435">
            <v>0</v>
          </cell>
          <cell r="EA435">
            <v>79</v>
          </cell>
          <cell r="EB435">
            <v>11</v>
          </cell>
          <cell r="EC435">
            <v>15</v>
          </cell>
          <cell r="ED435">
            <v>23</v>
          </cell>
          <cell r="EE435">
            <v>18</v>
          </cell>
          <cell r="EF435">
            <v>12</v>
          </cell>
          <cell r="EG435">
            <v>0</v>
          </cell>
          <cell r="EH435">
            <v>26</v>
          </cell>
          <cell r="EI435">
            <v>5</v>
          </cell>
          <cell r="EJ435">
            <v>7</v>
          </cell>
          <cell r="EK435">
            <v>12</v>
          </cell>
          <cell r="EL435">
            <v>3</v>
          </cell>
          <cell r="EM435">
            <v>-1</v>
          </cell>
          <cell r="EN435">
            <v>0</v>
          </cell>
          <cell r="EO435" t="str">
            <v xml:space="preserve">MENS PEORIA JACKET                                          </v>
          </cell>
        </row>
        <row r="436">
          <cell r="A436" t="str">
            <v>CN4YM3877265</v>
          </cell>
          <cell r="B436" t="str">
            <v>CN4</v>
          </cell>
          <cell r="C436" t="str">
            <v>YM3877</v>
          </cell>
          <cell r="D436">
            <v>265</v>
          </cell>
          <cell r="E436" t="str">
            <v xml:space="preserve">   </v>
          </cell>
          <cell r="F436">
            <v>80923</v>
          </cell>
          <cell r="G436">
            <v>80924</v>
          </cell>
          <cell r="H436">
            <v>90107</v>
          </cell>
          <cell r="I436">
            <v>400</v>
          </cell>
          <cell r="J436">
            <v>366</v>
          </cell>
          <cell r="K436">
            <v>330</v>
          </cell>
          <cell r="L436">
            <v>98</v>
          </cell>
          <cell r="M436">
            <v>98</v>
          </cell>
          <cell r="N436">
            <v>18860000</v>
          </cell>
          <cell r="O436">
            <v>17256534</v>
          </cell>
          <cell r="P436">
            <v>15559170</v>
          </cell>
          <cell r="Q436">
            <v>4620602</v>
          </cell>
          <cell r="R436">
            <v>13256072</v>
          </cell>
          <cell r="S436" t="str">
            <v>*</v>
          </cell>
          <cell r="T436" t="str">
            <v xml:space="preserve"> </v>
          </cell>
          <cell r="U436">
            <v>366</v>
          </cell>
          <cell r="V436">
            <v>17256534</v>
          </cell>
          <cell r="W436">
            <v>98</v>
          </cell>
          <cell r="X436">
            <v>4620602</v>
          </cell>
          <cell r="Y436">
            <v>26.78</v>
          </cell>
          <cell r="Z436">
            <v>26.78</v>
          </cell>
          <cell r="AA436">
            <v>2640344</v>
          </cell>
          <cell r="AB436">
            <v>1980258</v>
          </cell>
          <cell r="AC436">
            <v>36</v>
          </cell>
          <cell r="AD436">
            <v>2734642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232</v>
          </cell>
          <cell r="AN436">
            <v>23338755</v>
          </cell>
          <cell r="AO436">
            <v>47150</v>
          </cell>
          <cell r="AP436">
            <v>47149</v>
          </cell>
          <cell r="AQ436">
            <v>178000</v>
          </cell>
          <cell r="AR436">
            <v>107000</v>
          </cell>
          <cell r="AS436">
            <v>3.78</v>
          </cell>
          <cell r="AT436">
            <v>65148000</v>
          </cell>
          <cell r="AU436">
            <v>3.32</v>
          </cell>
          <cell r="AV436">
            <v>8762072</v>
          </cell>
          <cell r="AW436">
            <v>2.27</v>
          </cell>
          <cell r="AX436">
            <v>4494000</v>
          </cell>
          <cell r="AY436">
            <v>26.78</v>
          </cell>
          <cell r="AZ436">
            <v>0</v>
          </cell>
          <cell r="BA436">
            <v>56</v>
          </cell>
          <cell r="BB436">
            <v>42</v>
          </cell>
          <cell r="BC436">
            <v>98</v>
          </cell>
          <cell r="BD436">
            <v>0</v>
          </cell>
          <cell r="BE436">
            <v>0</v>
          </cell>
          <cell r="BF436">
            <v>21</v>
          </cell>
          <cell r="BG436">
            <v>0</v>
          </cell>
          <cell r="BH436">
            <v>1</v>
          </cell>
          <cell r="BI436">
            <v>29</v>
          </cell>
          <cell r="BJ436">
            <v>3</v>
          </cell>
          <cell r="BK436">
            <v>6</v>
          </cell>
          <cell r="BL436">
            <v>3</v>
          </cell>
          <cell r="BM436">
            <v>9</v>
          </cell>
          <cell r="BN436">
            <v>8</v>
          </cell>
          <cell r="BO436">
            <v>0</v>
          </cell>
          <cell r="BP436">
            <v>17</v>
          </cell>
          <cell r="BQ436">
            <v>2</v>
          </cell>
          <cell r="BR436">
            <v>5</v>
          </cell>
          <cell r="BS436">
            <v>2</v>
          </cell>
          <cell r="BT436">
            <v>3</v>
          </cell>
          <cell r="BU436">
            <v>5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17</v>
          </cell>
          <cell r="DN436">
            <v>0</v>
          </cell>
          <cell r="DO436">
            <v>0</v>
          </cell>
          <cell r="DP436">
            <v>0</v>
          </cell>
          <cell r="DQ436">
            <v>15</v>
          </cell>
          <cell r="DR436">
            <v>2</v>
          </cell>
          <cell r="DS436">
            <v>0</v>
          </cell>
          <cell r="DT436">
            <v>26</v>
          </cell>
          <cell r="DU436">
            <v>7</v>
          </cell>
          <cell r="DV436">
            <v>7</v>
          </cell>
          <cell r="DW436">
            <v>5</v>
          </cell>
          <cell r="DX436">
            <v>6</v>
          </cell>
          <cell r="DY436">
            <v>1</v>
          </cell>
          <cell r="DZ436">
            <v>0</v>
          </cell>
          <cell r="EA436">
            <v>9</v>
          </cell>
          <cell r="EB436">
            <v>2</v>
          </cell>
          <cell r="EC436">
            <v>5</v>
          </cell>
          <cell r="ED436">
            <v>4</v>
          </cell>
          <cell r="EE436">
            <v>-2</v>
          </cell>
          <cell r="EF436">
            <v>0</v>
          </cell>
          <cell r="EG436">
            <v>0</v>
          </cell>
          <cell r="EH436">
            <v>0</v>
          </cell>
          <cell r="EI436">
            <v>-1</v>
          </cell>
          <cell r="EJ436">
            <v>0</v>
          </cell>
          <cell r="EK436">
            <v>-1</v>
          </cell>
          <cell r="EL436">
            <v>2</v>
          </cell>
          <cell r="EM436">
            <v>0</v>
          </cell>
          <cell r="EN436">
            <v>0</v>
          </cell>
          <cell r="EO436" t="str">
            <v xml:space="preserve">MENS PEORIA JACKET                                          </v>
          </cell>
        </row>
        <row r="437">
          <cell r="A437" t="str">
            <v>CN4YM3881010</v>
          </cell>
          <cell r="B437" t="str">
            <v>CN4</v>
          </cell>
          <cell r="C437" t="str">
            <v>YM3881</v>
          </cell>
          <cell r="D437">
            <v>10</v>
          </cell>
          <cell r="E437" t="str">
            <v xml:space="preserve">   </v>
          </cell>
          <cell r="F437">
            <v>80411</v>
          </cell>
          <cell r="G437">
            <v>80610</v>
          </cell>
          <cell r="H437">
            <v>81128</v>
          </cell>
          <cell r="I437">
            <v>1000</v>
          </cell>
          <cell r="J437">
            <v>493</v>
          </cell>
          <cell r="K437">
            <v>493</v>
          </cell>
          <cell r="L437">
            <v>480</v>
          </cell>
          <cell r="M437">
            <v>480</v>
          </cell>
          <cell r="N437">
            <v>41688000</v>
          </cell>
          <cell r="O437">
            <v>21897291</v>
          </cell>
          <cell r="P437">
            <v>22316631</v>
          </cell>
          <cell r="Q437">
            <v>21728160</v>
          </cell>
          <cell r="R437">
            <v>33929701</v>
          </cell>
          <cell r="S437" t="str">
            <v>*</v>
          </cell>
          <cell r="T437" t="str">
            <v xml:space="preserve"> </v>
          </cell>
          <cell r="U437">
            <v>493</v>
          </cell>
          <cell r="V437">
            <v>21897291</v>
          </cell>
          <cell r="W437">
            <v>480</v>
          </cell>
          <cell r="X437">
            <v>21728160</v>
          </cell>
          <cell r="Y437">
            <v>97.36</v>
          </cell>
          <cell r="Z437">
            <v>99.23</v>
          </cell>
          <cell r="AA437">
            <v>543204</v>
          </cell>
          <cell r="AB437">
            <v>21184956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13</v>
          </cell>
          <cell r="AN437">
            <v>1176942</v>
          </cell>
          <cell r="AO437">
            <v>41688</v>
          </cell>
          <cell r="AP437">
            <v>45267</v>
          </cell>
          <cell r="AQ437">
            <v>198000</v>
          </cell>
          <cell r="AR437">
            <v>119000</v>
          </cell>
          <cell r="AS437">
            <v>4.46</v>
          </cell>
          <cell r="AT437">
            <v>97614000</v>
          </cell>
          <cell r="AU437">
            <v>4.12</v>
          </cell>
          <cell r="AV437">
            <v>2235875</v>
          </cell>
          <cell r="AW437">
            <v>1.5</v>
          </cell>
          <cell r="AX437">
            <v>31693826</v>
          </cell>
          <cell r="AY437">
            <v>97.36</v>
          </cell>
          <cell r="AZ437">
            <v>0</v>
          </cell>
          <cell r="BA437">
            <v>12</v>
          </cell>
          <cell r="BB437">
            <v>468</v>
          </cell>
          <cell r="BC437">
            <v>227</v>
          </cell>
          <cell r="BD437">
            <v>253</v>
          </cell>
          <cell r="BE437">
            <v>0</v>
          </cell>
          <cell r="BF437">
            <v>252</v>
          </cell>
          <cell r="BG437">
            <v>1</v>
          </cell>
          <cell r="BH437">
            <v>1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-1</v>
          </cell>
          <cell r="CZ437">
            <v>-1</v>
          </cell>
          <cell r="DA437">
            <v>0</v>
          </cell>
          <cell r="DB437">
            <v>-1</v>
          </cell>
          <cell r="DC437">
            <v>1</v>
          </cell>
          <cell r="DD437">
            <v>0</v>
          </cell>
          <cell r="DE437">
            <v>0</v>
          </cell>
          <cell r="DF437">
            <v>3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3</v>
          </cell>
          <cell r="DL437">
            <v>0</v>
          </cell>
          <cell r="DM437">
            <v>7</v>
          </cell>
          <cell r="DN437">
            <v>2</v>
          </cell>
          <cell r="DO437">
            <v>1</v>
          </cell>
          <cell r="DP437">
            <v>0</v>
          </cell>
          <cell r="DQ437">
            <v>3</v>
          </cell>
          <cell r="DR437">
            <v>1</v>
          </cell>
          <cell r="DS437">
            <v>0</v>
          </cell>
          <cell r="DT437">
            <v>2</v>
          </cell>
          <cell r="DU437">
            <v>1</v>
          </cell>
          <cell r="DV437">
            <v>1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252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252</v>
          </cell>
          <cell r="EG437">
            <v>0</v>
          </cell>
          <cell r="EH437">
            <v>217</v>
          </cell>
          <cell r="EI437">
            <v>12</v>
          </cell>
          <cell r="EJ437">
            <v>205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 t="str">
            <v xml:space="preserve">GOOSE DOWN LINNER JACKET                                    </v>
          </cell>
        </row>
        <row r="438">
          <cell r="A438" t="str">
            <v>CN4YM3882010</v>
          </cell>
          <cell r="B438" t="str">
            <v>CN4</v>
          </cell>
          <cell r="C438" t="str">
            <v>YM3882</v>
          </cell>
          <cell r="D438">
            <v>10</v>
          </cell>
          <cell r="E438" t="str">
            <v xml:space="preserve">   </v>
          </cell>
          <cell r="F438">
            <v>81010</v>
          </cell>
          <cell r="G438">
            <v>81010</v>
          </cell>
          <cell r="H438">
            <v>0</v>
          </cell>
          <cell r="I438">
            <v>415</v>
          </cell>
          <cell r="J438">
            <v>415</v>
          </cell>
          <cell r="K438">
            <v>400</v>
          </cell>
          <cell r="L438">
            <v>399</v>
          </cell>
          <cell r="M438">
            <v>399</v>
          </cell>
          <cell r="N438">
            <v>68039250</v>
          </cell>
          <cell r="O438">
            <v>68088220</v>
          </cell>
          <cell r="P438">
            <v>65627200</v>
          </cell>
          <cell r="Q438">
            <v>65463132</v>
          </cell>
          <cell r="R438">
            <v>234013377</v>
          </cell>
          <cell r="S438" t="str">
            <v xml:space="preserve"> </v>
          </cell>
          <cell r="T438" t="str">
            <v xml:space="preserve"> </v>
          </cell>
          <cell r="U438">
            <v>415</v>
          </cell>
          <cell r="V438">
            <v>68088220</v>
          </cell>
          <cell r="W438">
            <v>399</v>
          </cell>
          <cell r="X438">
            <v>65463132</v>
          </cell>
          <cell r="Y438">
            <v>96.39</v>
          </cell>
          <cell r="Z438">
            <v>96.63</v>
          </cell>
          <cell r="AA438">
            <v>64970928</v>
          </cell>
          <cell r="AB438">
            <v>492204</v>
          </cell>
          <cell r="AC438">
            <v>15</v>
          </cell>
          <cell r="AD438">
            <v>2461020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>
            <v>328136</v>
          </cell>
          <cell r="AM438">
            <v>0</v>
          </cell>
          <cell r="AN438">
            <v>1640680</v>
          </cell>
          <cell r="AO438">
            <v>163950</v>
          </cell>
          <cell r="AP438">
            <v>164068</v>
          </cell>
          <cell r="AQ438">
            <v>678000</v>
          </cell>
          <cell r="AR438">
            <v>0</v>
          </cell>
          <cell r="AS438">
            <v>4.13</v>
          </cell>
          <cell r="AT438">
            <v>281370000</v>
          </cell>
          <cell r="AU438">
            <v>3.6</v>
          </cell>
          <cell r="AV438">
            <v>233992800</v>
          </cell>
          <cell r="AW438">
            <v>0.04</v>
          </cell>
          <cell r="AX438">
            <v>20577</v>
          </cell>
          <cell r="AY438">
            <v>96.39</v>
          </cell>
          <cell r="AZ438">
            <v>0</v>
          </cell>
          <cell r="BA438">
            <v>396</v>
          </cell>
          <cell r="BB438">
            <v>3</v>
          </cell>
          <cell r="BC438">
            <v>399</v>
          </cell>
          <cell r="BD438">
            <v>0</v>
          </cell>
          <cell r="BE438">
            <v>0</v>
          </cell>
          <cell r="BF438">
            <v>13</v>
          </cell>
          <cell r="BG438">
            <v>1</v>
          </cell>
          <cell r="BH438">
            <v>1</v>
          </cell>
          <cell r="BI438">
            <v>53</v>
          </cell>
          <cell r="BJ438">
            <v>9</v>
          </cell>
          <cell r="BK438">
            <v>26</v>
          </cell>
          <cell r="BL438">
            <v>18</v>
          </cell>
          <cell r="BM438">
            <v>3</v>
          </cell>
          <cell r="BN438">
            <v>-3</v>
          </cell>
          <cell r="BO438">
            <v>0</v>
          </cell>
          <cell r="BP438">
            <v>-5</v>
          </cell>
          <cell r="BQ438">
            <v>1</v>
          </cell>
          <cell r="BR438">
            <v>-3</v>
          </cell>
          <cell r="BS438">
            <v>-2</v>
          </cell>
          <cell r="BT438">
            <v>-2</v>
          </cell>
          <cell r="BU438">
            <v>1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33</v>
          </cell>
          <cell r="DU438">
            <v>0</v>
          </cell>
          <cell r="DV438">
            <v>2</v>
          </cell>
          <cell r="DW438">
            <v>19</v>
          </cell>
          <cell r="DX438">
            <v>3</v>
          </cell>
          <cell r="DY438">
            <v>9</v>
          </cell>
          <cell r="DZ438">
            <v>0</v>
          </cell>
          <cell r="EA438">
            <v>178</v>
          </cell>
          <cell r="EB438">
            <v>9</v>
          </cell>
          <cell r="EC438">
            <v>33</v>
          </cell>
          <cell r="ED438">
            <v>26</v>
          </cell>
          <cell r="EE438">
            <v>61</v>
          </cell>
          <cell r="EF438">
            <v>49</v>
          </cell>
          <cell r="EG438">
            <v>0</v>
          </cell>
          <cell r="EH438">
            <v>140</v>
          </cell>
          <cell r="EI438">
            <v>48</v>
          </cell>
          <cell r="EJ438">
            <v>36</v>
          </cell>
          <cell r="EK438">
            <v>32</v>
          </cell>
          <cell r="EL438">
            <v>18</v>
          </cell>
          <cell r="EM438">
            <v>6</v>
          </cell>
          <cell r="EN438">
            <v>0</v>
          </cell>
          <cell r="EO438" t="str">
            <v xml:space="preserve">Mans Mt. Carmel Down Jacket                                 </v>
          </cell>
        </row>
        <row r="439">
          <cell r="A439" t="str">
            <v>CN4YM3882493</v>
          </cell>
          <cell r="B439" t="str">
            <v>CN4</v>
          </cell>
          <cell r="C439" t="str">
            <v>YM3882</v>
          </cell>
          <cell r="D439">
            <v>493</v>
          </cell>
          <cell r="E439" t="str">
            <v xml:space="preserve">   </v>
          </cell>
          <cell r="F439">
            <v>81010</v>
          </cell>
          <cell r="G439">
            <v>81010</v>
          </cell>
          <cell r="H439">
            <v>0</v>
          </cell>
          <cell r="I439">
            <v>245</v>
          </cell>
          <cell r="J439">
            <v>245</v>
          </cell>
          <cell r="K439">
            <v>150</v>
          </cell>
          <cell r="L439">
            <v>131</v>
          </cell>
          <cell r="M439">
            <v>131</v>
          </cell>
          <cell r="N439">
            <v>40167750</v>
          </cell>
          <cell r="O439">
            <v>40196660</v>
          </cell>
          <cell r="P439">
            <v>24610200</v>
          </cell>
          <cell r="Q439">
            <v>21492908</v>
          </cell>
          <cell r="R439">
            <v>76314900</v>
          </cell>
          <cell r="S439" t="str">
            <v xml:space="preserve"> </v>
          </cell>
          <cell r="T439" t="str">
            <v xml:space="preserve"> </v>
          </cell>
          <cell r="U439">
            <v>245</v>
          </cell>
          <cell r="V439">
            <v>40196660</v>
          </cell>
          <cell r="W439">
            <v>131</v>
          </cell>
          <cell r="X439">
            <v>21492908</v>
          </cell>
          <cell r="Y439">
            <v>53.47</v>
          </cell>
          <cell r="Z439">
            <v>53.47</v>
          </cell>
          <cell r="AA439">
            <v>21492908</v>
          </cell>
          <cell r="AB439">
            <v>0</v>
          </cell>
          <cell r="AC439">
            <v>95</v>
          </cell>
          <cell r="AD439">
            <v>15750528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19</v>
          </cell>
          <cell r="AN439">
            <v>22477316</v>
          </cell>
          <cell r="AO439">
            <v>163950</v>
          </cell>
          <cell r="AP439">
            <v>164068</v>
          </cell>
          <cell r="AQ439">
            <v>678000</v>
          </cell>
          <cell r="AR439">
            <v>0</v>
          </cell>
          <cell r="AS439">
            <v>4.13</v>
          </cell>
          <cell r="AT439">
            <v>166110000</v>
          </cell>
          <cell r="AU439">
            <v>3.55</v>
          </cell>
          <cell r="AV439">
            <v>76314900</v>
          </cell>
          <cell r="AW439">
            <v>0</v>
          </cell>
          <cell r="AX439">
            <v>0</v>
          </cell>
          <cell r="AY439">
            <v>53.47</v>
          </cell>
          <cell r="AZ439">
            <v>0</v>
          </cell>
          <cell r="BA439">
            <v>131</v>
          </cell>
          <cell r="BB439">
            <v>0</v>
          </cell>
          <cell r="BC439">
            <v>131</v>
          </cell>
          <cell r="BD439">
            <v>0</v>
          </cell>
          <cell r="BE439">
            <v>0</v>
          </cell>
          <cell r="BF439">
            <v>25</v>
          </cell>
          <cell r="BG439">
            <v>0</v>
          </cell>
          <cell r="BH439">
            <v>1</v>
          </cell>
          <cell r="BI439">
            <v>38</v>
          </cell>
          <cell r="BJ439">
            <v>3</v>
          </cell>
          <cell r="BK439">
            <v>15</v>
          </cell>
          <cell r="BL439">
            <v>11</v>
          </cell>
          <cell r="BM439">
            <v>2</v>
          </cell>
          <cell r="BN439">
            <v>7</v>
          </cell>
          <cell r="BO439">
            <v>0</v>
          </cell>
          <cell r="BP439">
            <v>5</v>
          </cell>
          <cell r="BQ439">
            <v>1</v>
          </cell>
          <cell r="BR439">
            <v>4</v>
          </cell>
          <cell r="BS439">
            <v>1</v>
          </cell>
          <cell r="BT439">
            <v>-1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8</v>
          </cell>
          <cell r="DU439">
            <v>0</v>
          </cell>
          <cell r="DV439">
            <v>0</v>
          </cell>
          <cell r="DW439">
            <v>2</v>
          </cell>
          <cell r="DX439">
            <v>5</v>
          </cell>
          <cell r="DY439">
            <v>1</v>
          </cell>
          <cell r="DZ439">
            <v>0</v>
          </cell>
          <cell r="EA439">
            <v>36</v>
          </cell>
          <cell r="EB439">
            <v>4</v>
          </cell>
          <cell r="EC439">
            <v>5</v>
          </cell>
          <cell r="ED439">
            <v>5</v>
          </cell>
          <cell r="EE439">
            <v>14</v>
          </cell>
          <cell r="EF439">
            <v>8</v>
          </cell>
          <cell r="EG439">
            <v>0</v>
          </cell>
          <cell r="EH439">
            <v>44</v>
          </cell>
          <cell r="EI439">
            <v>6</v>
          </cell>
          <cell r="EJ439">
            <v>12</v>
          </cell>
          <cell r="EK439">
            <v>11</v>
          </cell>
          <cell r="EL439">
            <v>11</v>
          </cell>
          <cell r="EM439">
            <v>4</v>
          </cell>
          <cell r="EN439">
            <v>0</v>
          </cell>
          <cell r="EO439" t="str">
            <v xml:space="preserve">Mans Mt. Carmel Down Jacket                                 </v>
          </cell>
        </row>
        <row r="440">
          <cell r="A440" t="str">
            <v>CN4YM3883010</v>
          </cell>
          <cell r="B440" t="str">
            <v>CN4</v>
          </cell>
          <cell r="C440" t="str">
            <v>YM3883</v>
          </cell>
          <cell r="D440">
            <v>10</v>
          </cell>
          <cell r="E440" t="str">
            <v xml:space="preserve">   </v>
          </cell>
          <cell r="F440">
            <v>81023</v>
          </cell>
          <cell r="G440">
            <v>81024</v>
          </cell>
          <cell r="H440">
            <v>0</v>
          </cell>
          <cell r="I440">
            <v>800</v>
          </cell>
          <cell r="J440">
            <v>749</v>
          </cell>
          <cell r="K440">
            <v>749</v>
          </cell>
          <cell r="L440">
            <v>730</v>
          </cell>
          <cell r="M440">
            <v>730</v>
          </cell>
          <cell r="N440">
            <v>69320000</v>
          </cell>
          <cell r="O440">
            <v>64982716</v>
          </cell>
          <cell r="P440">
            <v>64982287</v>
          </cell>
          <cell r="Q440">
            <v>63330159</v>
          </cell>
          <cell r="R440">
            <v>263707456</v>
          </cell>
          <cell r="S440" t="str">
            <v xml:space="preserve"> </v>
          </cell>
          <cell r="T440" t="str">
            <v xml:space="preserve"> </v>
          </cell>
          <cell r="U440">
            <v>749</v>
          </cell>
          <cell r="V440">
            <v>64982716</v>
          </cell>
          <cell r="W440">
            <v>730</v>
          </cell>
          <cell r="X440">
            <v>63330159</v>
          </cell>
          <cell r="Y440">
            <v>98</v>
          </cell>
          <cell r="Z440">
            <v>98.52</v>
          </cell>
          <cell r="AA440">
            <v>63330159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4</v>
          </cell>
          <cell r="AL440">
            <v>694024</v>
          </cell>
          <cell r="AM440">
            <v>15</v>
          </cell>
          <cell r="AN440">
            <v>1995319</v>
          </cell>
          <cell r="AO440">
            <v>86650</v>
          </cell>
          <cell r="AP440">
            <v>86753</v>
          </cell>
          <cell r="AQ440">
            <v>398000</v>
          </cell>
          <cell r="AR440">
            <v>0</v>
          </cell>
          <cell r="AS440">
            <v>4.59</v>
          </cell>
          <cell r="AT440">
            <v>298102000</v>
          </cell>
          <cell r="AU440">
            <v>4.16</v>
          </cell>
          <cell r="AV440">
            <v>263707456</v>
          </cell>
          <cell r="AW440">
            <v>0</v>
          </cell>
          <cell r="AX440">
            <v>0</v>
          </cell>
          <cell r="AY440">
            <v>98</v>
          </cell>
          <cell r="AZ440">
            <v>0</v>
          </cell>
          <cell r="BA440">
            <v>730</v>
          </cell>
          <cell r="BB440">
            <v>0</v>
          </cell>
          <cell r="BC440">
            <v>730</v>
          </cell>
          <cell r="BD440">
            <v>0</v>
          </cell>
          <cell r="BE440">
            <v>0</v>
          </cell>
          <cell r="BF440">
            <v>17</v>
          </cell>
          <cell r="BG440">
            <v>1</v>
          </cell>
          <cell r="BH440">
            <v>1</v>
          </cell>
          <cell r="BI440">
            <v>5</v>
          </cell>
          <cell r="BJ440">
            <v>1</v>
          </cell>
          <cell r="BK440">
            <v>3</v>
          </cell>
          <cell r="BL440">
            <v>-3</v>
          </cell>
          <cell r="BM440">
            <v>4</v>
          </cell>
          <cell r="BN440">
            <v>0</v>
          </cell>
          <cell r="BO440">
            <v>0</v>
          </cell>
          <cell r="BP440">
            <v>-7</v>
          </cell>
          <cell r="BQ440">
            <v>-1</v>
          </cell>
          <cell r="BR440">
            <v>-1</v>
          </cell>
          <cell r="BS440">
            <v>-3</v>
          </cell>
          <cell r="BT440">
            <v>-3</v>
          </cell>
          <cell r="BU440">
            <v>1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1</v>
          </cell>
          <cell r="DN440">
            <v>0</v>
          </cell>
          <cell r="DO440">
            <v>0</v>
          </cell>
          <cell r="DP440">
            <v>0</v>
          </cell>
          <cell r="DQ440">
            <v>1</v>
          </cell>
          <cell r="DR440">
            <v>0</v>
          </cell>
          <cell r="DS440">
            <v>0</v>
          </cell>
          <cell r="DT440">
            <v>52</v>
          </cell>
          <cell r="DU440">
            <v>0</v>
          </cell>
          <cell r="DV440">
            <v>0</v>
          </cell>
          <cell r="DW440">
            <v>0</v>
          </cell>
          <cell r="DX440">
            <v>16</v>
          </cell>
          <cell r="DY440">
            <v>36</v>
          </cell>
          <cell r="DZ440">
            <v>0</v>
          </cell>
          <cell r="EA440">
            <v>523</v>
          </cell>
          <cell r="EB440">
            <v>28</v>
          </cell>
          <cell r="EC440">
            <v>50</v>
          </cell>
          <cell r="ED440">
            <v>57</v>
          </cell>
          <cell r="EE440">
            <v>183</v>
          </cell>
          <cell r="EF440">
            <v>205</v>
          </cell>
          <cell r="EG440">
            <v>0</v>
          </cell>
          <cell r="EH440">
            <v>156</v>
          </cell>
          <cell r="EI440">
            <v>113</v>
          </cell>
          <cell r="EJ440">
            <v>27</v>
          </cell>
          <cell r="EK440">
            <v>14</v>
          </cell>
          <cell r="EL440">
            <v>5</v>
          </cell>
          <cell r="EM440">
            <v>-3</v>
          </cell>
          <cell r="EN440">
            <v>0</v>
          </cell>
          <cell r="EO440" t="str">
            <v xml:space="preserve">MANS WATERBURY DOWN JACKET                                  </v>
          </cell>
        </row>
        <row r="441">
          <cell r="A441" t="str">
            <v>CN4YM3883407</v>
          </cell>
          <cell r="B441" t="str">
            <v>CN4</v>
          </cell>
          <cell r="C441" t="str">
            <v>YM3883</v>
          </cell>
          <cell r="D441">
            <v>407</v>
          </cell>
          <cell r="E441" t="str">
            <v xml:space="preserve">   </v>
          </cell>
          <cell r="F441">
            <v>81028</v>
          </cell>
          <cell r="G441">
            <v>81029</v>
          </cell>
          <cell r="H441">
            <v>0</v>
          </cell>
          <cell r="I441">
            <v>1200</v>
          </cell>
          <cell r="J441">
            <v>1151</v>
          </cell>
          <cell r="K441">
            <v>1151</v>
          </cell>
          <cell r="L441">
            <v>1012</v>
          </cell>
          <cell r="M441">
            <v>1012</v>
          </cell>
          <cell r="N441">
            <v>103980000</v>
          </cell>
          <cell r="O441">
            <v>99855673</v>
          </cell>
          <cell r="P441">
            <v>99857994</v>
          </cell>
          <cell r="Q441">
            <v>87794223</v>
          </cell>
          <cell r="R441">
            <v>374036522</v>
          </cell>
          <cell r="S441" t="str">
            <v xml:space="preserve"> </v>
          </cell>
          <cell r="T441" t="str">
            <v xml:space="preserve"> </v>
          </cell>
          <cell r="U441">
            <v>1151</v>
          </cell>
          <cell r="V441">
            <v>99855673</v>
          </cell>
          <cell r="W441">
            <v>1012</v>
          </cell>
          <cell r="X441">
            <v>87794223</v>
          </cell>
          <cell r="Y441">
            <v>88.18</v>
          </cell>
          <cell r="Z441">
            <v>88.44</v>
          </cell>
          <cell r="AA441">
            <v>87533964</v>
          </cell>
          <cell r="AB441">
            <v>260259</v>
          </cell>
          <cell r="AC441">
            <v>0</v>
          </cell>
          <cell r="AD441">
            <v>86753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3</v>
          </cell>
          <cell r="AL441">
            <v>520518</v>
          </cell>
          <cell r="AM441">
            <v>136</v>
          </cell>
          <cell r="AN441">
            <v>21861756</v>
          </cell>
          <cell r="AO441">
            <v>86650</v>
          </cell>
          <cell r="AP441">
            <v>86753</v>
          </cell>
          <cell r="AQ441">
            <v>398000</v>
          </cell>
          <cell r="AR441">
            <v>0</v>
          </cell>
          <cell r="AS441">
            <v>4.59</v>
          </cell>
          <cell r="AT441">
            <v>458098000</v>
          </cell>
          <cell r="AU441">
            <v>4.2699999999999996</v>
          </cell>
          <cell r="AV441">
            <v>374015945</v>
          </cell>
          <cell r="AW441">
            <v>0.08</v>
          </cell>
          <cell r="AX441">
            <v>20577</v>
          </cell>
          <cell r="AY441">
            <v>88.18</v>
          </cell>
          <cell r="AZ441">
            <v>0</v>
          </cell>
          <cell r="BA441">
            <v>1009</v>
          </cell>
          <cell r="BB441">
            <v>3</v>
          </cell>
          <cell r="BC441">
            <v>1012</v>
          </cell>
          <cell r="BD441">
            <v>0</v>
          </cell>
          <cell r="BE441">
            <v>0</v>
          </cell>
          <cell r="BF441">
            <v>97</v>
          </cell>
          <cell r="BG441">
            <v>0</v>
          </cell>
          <cell r="BH441">
            <v>1</v>
          </cell>
          <cell r="BI441">
            <v>235</v>
          </cell>
          <cell r="BJ441">
            <v>63</v>
          </cell>
          <cell r="BK441">
            <v>71</v>
          </cell>
          <cell r="BL441">
            <v>64</v>
          </cell>
          <cell r="BM441">
            <v>29</v>
          </cell>
          <cell r="BN441">
            <v>8</v>
          </cell>
          <cell r="BO441">
            <v>0</v>
          </cell>
          <cell r="BP441">
            <v>-19</v>
          </cell>
          <cell r="BQ441">
            <v>1</v>
          </cell>
          <cell r="BR441">
            <v>5</v>
          </cell>
          <cell r="BS441">
            <v>-5</v>
          </cell>
          <cell r="BT441">
            <v>-9</v>
          </cell>
          <cell r="BU441">
            <v>-11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17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17</v>
          </cell>
          <cell r="DZ441">
            <v>0</v>
          </cell>
          <cell r="EA441">
            <v>263</v>
          </cell>
          <cell r="EB441">
            <v>17</v>
          </cell>
          <cell r="EC441">
            <v>24</v>
          </cell>
          <cell r="ED441">
            <v>25</v>
          </cell>
          <cell r="EE441">
            <v>102</v>
          </cell>
          <cell r="EF441">
            <v>95</v>
          </cell>
          <cell r="EG441">
            <v>0</v>
          </cell>
          <cell r="EH441">
            <v>516</v>
          </cell>
          <cell r="EI441">
            <v>124</v>
          </cell>
          <cell r="EJ441">
            <v>94</v>
          </cell>
          <cell r="EK441">
            <v>117</v>
          </cell>
          <cell r="EL441">
            <v>145</v>
          </cell>
          <cell r="EM441">
            <v>36</v>
          </cell>
          <cell r="EN441">
            <v>0</v>
          </cell>
          <cell r="EO441" t="str">
            <v xml:space="preserve">MANS WATERBURY DOWN JACKET                                  </v>
          </cell>
        </row>
        <row r="442">
          <cell r="A442" t="str">
            <v>CN4YM3883809</v>
          </cell>
          <cell r="B442" t="str">
            <v>CN4</v>
          </cell>
          <cell r="C442" t="str">
            <v>YM3883</v>
          </cell>
          <cell r="D442">
            <v>809</v>
          </cell>
          <cell r="E442" t="str">
            <v xml:space="preserve">   </v>
          </cell>
          <cell r="F442">
            <v>81101</v>
          </cell>
          <cell r="G442">
            <v>81101</v>
          </cell>
          <cell r="H442">
            <v>0</v>
          </cell>
          <cell r="I442">
            <v>500</v>
          </cell>
          <cell r="J442">
            <v>504</v>
          </cell>
          <cell r="K442">
            <v>503</v>
          </cell>
          <cell r="L442">
            <v>362</v>
          </cell>
          <cell r="M442">
            <v>362</v>
          </cell>
          <cell r="N442">
            <v>43325000</v>
          </cell>
          <cell r="O442">
            <v>43723512</v>
          </cell>
          <cell r="P442">
            <v>43636759</v>
          </cell>
          <cell r="Q442">
            <v>31404483</v>
          </cell>
          <cell r="R442">
            <v>133152390</v>
          </cell>
          <cell r="S442" t="str">
            <v xml:space="preserve"> </v>
          </cell>
          <cell r="T442" t="str">
            <v xml:space="preserve"> </v>
          </cell>
          <cell r="U442">
            <v>504</v>
          </cell>
          <cell r="V442">
            <v>43723512</v>
          </cell>
          <cell r="W442">
            <v>362</v>
          </cell>
          <cell r="X442">
            <v>31404483</v>
          </cell>
          <cell r="Y442">
            <v>71.63</v>
          </cell>
          <cell r="Z442">
            <v>71.63</v>
          </cell>
          <cell r="AA442">
            <v>31404483</v>
          </cell>
          <cell r="AB442">
            <v>0</v>
          </cell>
          <cell r="AC442">
            <v>1</v>
          </cell>
          <cell r="AD442">
            <v>86753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-1</v>
          </cell>
          <cell r="AL442">
            <v>-86753</v>
          </cell>
          <cell r="AM442">
            <v>142</v>
          </cell>
          <cell r="AN442">
            <v>24551099</v>
          </cell>
          <cell r="AO442">
            <v>86650</v>
          </cell>
          <cell r="AP442">
            <v>86753</v>
          </cell>
          <cell r="AQ442">
            <v>398000</v>
          </cell>
          <cell r="AR442">
            <v>0</v>
          </cell>
          <cell r="AS442">
            <v>4.59</v>
          </cell>
          <cell r="AT442">
            <v>200592000</v>
          </cell>
          <cell r="AU442">
            <v>4.24</v>
          </cell>
          <cell r="AV442">
            <v>133152390</v>
          </cell>
          <cell r="AW442">
            <v>0</v>
          </cell>
          <cell r="AX442">
            <v>0</v>
          </cell>
          <cell r="AY442">
            <v>71.63</v>
          </cell>
          <cell r="AZ442">
            <v>0</v>
          </cell>
          <cell r="BA442">
            <v>362</v>
          </cell>
          <cell r="BB442">
            <v>0</v>
          </cell>
          <cell r="BC442">
            <v>362</v>
          </cell>
          <cell r="BD442">
            <v>0</v>
          </cell>
          <cell r="BE442">
            <v>0</v>
          </cell>
          <cell r="BF442">
            <v>37</v>
          </cell>
          <cell r="BG442">
            <v>0</v>
          </cell>
          <cell r="BH442">
            <v>1</v>
          </cell>
          <cell r="BI442">
            <v>127</v>
          </cell>
          <cell r="BJ442">
            <v>22</v>
          </cell>
          <cell r="BK442">
            <v>36</v>
          </cell>
          <cell r="BL442">
            <v>33</v>
          </cell>
          <cell r="BM442">
            <v>26</v>
          </cell>
          <cell r="BN442">
            <v>10</v>
          </cell>
          <cell r="BO442">
            <v>0</v>
          </cell>
          <cell r="BP442">
            <v>-1</v>
          </cell>
          <cell r="BQ442">
            <v>0</v>
          </cell>
          <cell r="BR442">
            <v>1</v>
          </cell>
          <cell r="BS442">
            <v>-2</v>
          </cell>
          <cell r="BT442">
            <v>-1</v>
          </cell>
          <cell r="BU442">
            <v>1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1</v>
          </cell>
          <cell r="DN442">
            <v>0</v>
          </cell>
          <cell r="DO442">
            <v>0</v>
          </cell>
          <cell r="DP442">
            <v>0</v>
          </cell>
          <cell r="DQ442">
            <v>1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74</v>
          </cell>
          <cell r="EB442">
            <v>0</v>
          </cell>
          <cell r="EC442">
            <v>3</v>
          </cell>
          <cell r="ED442">
            <v>15</v>
          </cell>
          <cell r="EE442">
            <v>33</v>
          </cell>
          <cell r="EF442">
            <v>23</v>
          </cell>
          <cell r="EG442">
            <v>0</v>
          </cell>
          <cell r="EH442">
            <v>161</v>
          </cell>
          <cell r="EI442">
            <v>28</v>
          </cell>
          <cell r="EJ442">
            <v>32</v>
          </cell>
          <cell r="EK442">
            <v>32</v>
          </cell>
          <cell r="EL442">
            <v>53</v>
          </cell>
          <cell r="EM442">
            <v>16</v>
          </cell>
          <cell r="EN442">
            <v>0</v>
          </cell>
          <cell r="EO442" t="str">
            <v xml:space="preserve">MANS WATERBURY DOWN JACKET                                  </v>
          </cell>
        </row>
        <row r="443">
          <cell r="A443" t="str">
            <v>CN4YM3884506</v>
          </cell>
          <cell r="B443" t="str">
            <v>CN4</v>
          </cell>
          <cell r="C443" t="str">
            <v>YM3884</v>
          </cell>
          <cell r="D443">
            <v>506</v>
          </cell>
          <cell r="E443" t="str">
            <v xml:space="preserve">   </v>
          </cell>
          <cell r="F443">
            <v>81101</v>
          </cell>
          <cell r="G443">
            <v>81101</v>
          </cell>
          <cell r="H443">
            <v>0</v>
          </cell>
          <cell r="I443">
            <v>600</v>
          </cell>
          <cell r="J443">
            <v>601</v>
          </cell>
          <cell r="K443">
            <v>601</v>
          </cell>
          <cell r="L443">
            <v>524</v>
          </cell>
          <cell r="M443">
            <v>524</v>
          </cell>
          <cell r="N443">
            <v>34890000</v>
          </cell>
          <cell r="O443">
            <v>34997432</v>
          </cell>
          <cell r="P443">
            <v>34997432</v>
          </cell>
          <cell r="Q443">
            <v>30513240</v>
          </cell>
          <cell r="R443">
            <v>125080306</v>
          </cell>
          <cell r="S443" t="str">
            <v xml:space="preserve"> </v>
          </cell>
          <cell r="T443" t="str">
            <v xml:space="preserve"> </v>
          </cell>
          <cell r="U443">
            <v>601</v>
          </cell>
          <cell r="V443">
            <v>34997432</v>
          </cell>
          <cell r="W443">
            <v>524</v>
          </cell>
          <cell r="X443">
            <v>30513240</v>
          </cell>
          <cell r="Y443">
            <v>87.35</v>
          </cell>
          <cell r="Z443">
            <v>87.52</v>
          </cell>
          <cell r="AA443">
            <v>30338544</v>
          </cell>
          <cell r="AB443">
            <v>174696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>
            <v>116464</v>
          </cell>
          <cell r="AM443">
            <v>76</v>
          </cell>
          <cell r="AN443">
            <v>8210712</v>
          </cell>
          <cell r="AO443">
            <v>58150</v>
          </cell>
          <cell r="AP443">
            <v>58232</v>
          </cell>
          <cell r="AQ443">
            <v>258000</v>
          </cell>
          <cell r="AR443">
            <v>0</v>
          </cell>
          <cell r="AS443">
            <v>4.43</v>
          </cell>
          <cell r="AT443">
            <v>155058000</v>
          </cell>
          <cell r="AU443">
            <v>4.12</v>
          </cell>
          <cell r="AV443">
            <v>125059729</v>
          </cell>
          <cell r="AW443">
            <v>0.12</v>
          </cell>
          <cell r="AX443">
            <v>20577</v>
          </cell>
          <cell r="AY443">
            <v>87.35</v>
          </cell>
          <cell r="AZ443">
            <v>0</v>
          </cell>
          <cell r="BA443">
            <v>521</v>
          </cell>
          <cell r="BB443">
            <v>3</v>
          </cell>
          <cell r="BC443">
            <v>524</v>
          </cell>
          <cell r="BD443">
            <v>0</v>
          </cell>
          <cell r="BE443">
            <v>0</v>
          </cell>
          <cell r="BF443">
            <v>43</v>
          </cell>
          <cell r="BG443">
            <v>1</v>
          </cell>
          <cell r="BH443">
            <v>1</v>
          </cell>
          <cell r="BI443">
            <v>57</v>
          </cell>
          <cell r="BJ443">
            <v>19</v>
          </cell>
          <cell r="BK443">
            <v>24</v>
          </cell>
          <cell r="BL443">
            <v>6</v>
          </cell>
          <cell r="BM443">
            <v>7</v>
          </cell>
          <cell r="BN443">
            <v>1</v>
          </cell>
          <cell r="BO443">
            <v>0</v>
          </cell>
          <cell r="BP443">
            <v>-11</v>
          </cell>
          <cell r="BQ443">
            <v>4</v>
          </cell>
          <cell r="BR443">
            <v>-6</v>
          </cell>
          <cell r="BS443">
            <v>3</v>
          </cell>
          <cell r="BT443">
            <v>-3</v>
          </cell>
          <cell r="BU443">
            <v>-9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4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4</v>
          </cell>
          <cell r="DZ443">
            <v>0</v>
          </cell>
          <cell r="EA443">
            <v>239</v>
          </cell>
          <cell r="EB443">
            <v>7</v>
          </cell>
          <cell r="EC443">
            <v>31</v>
          </cell>
          <cell r="ED443">
            <v>50</v>
          </cell>
          <cell r="EE443">
            <v>78</v>
          </cell>
          <cell r="EF443">
            <v>73</v>
          </cell>
          <cell r="EG443">
            <v>0</v>
          </cell>
          <cell r="EH443">
            <v>235</v>
          </cell>
          <cell r="EI443">
            <v>68</v>
          </cell>
          <cell r="EJ443">
            <v>61</v>
          </cell>
          <cell r="EK443">
            <v>52</v>
          </cell>
          <cell r="EL443">
            <v>44</v>
          </cell>
          <cell r="EM443">
            <v>10</v>
          </cell>
          <cell r="EN443">
            <v>0</v>
          </cell>
          <cell r="EO443" t="str">
            <v xml:space="preserve">MANS BASALT DOWNJACKET                                      </v>
          </cell>
        </row>
        <row r="444">
          <cell r="A444" t="str">
            <v>CN4YM3884980</v>
          </cell>
          <cell r="B444" t="str">
            <v>CN4</v>
          </cell>
          <cell r="C444" t="str">
            <v>YM3884</v>
          </cell>
          <cell r="D444">
            <v>980</v>
          </cell>
          <cell r="E444" t="str">
            <v xml:space="preserve">   </v>
          </cell>
          <cell r="F444">
            <v>81101</v>
          </cell>
          <cell r="G444">
            <v>81101</v>
          </cell>
          <cell r="H444">
            <v>0</v>
          </cell>
          <cell r="I444">
            <v>800</v>
          </cell>
          <cell r="J444">
            <v>805</v>
          </cell>
          <cell r="K444">
            <v>805</v>
          </cell>
          <cell r="L444">
            <v>759</v>
          </cell>
          <cell r="M444">
            <v>759</v>
          </cell>
          <cell r="N444">
            <v>46520000</v>
          </cell>
          <cell r="O444">
            <v>46876760</v>
          </cell>
          <cell r="P444">
            <v>46876760</v>
          </cell>
          <cell r="Q444">
            <v>44197924</v>
          </cell>
          <cell r="R444">
            <v>180611943</v>
          </cell>
          <cell r="S444" t="str">
            <v xml:space="preserve"> </v>
          </cell>
          <cell r="T444" t="str">
            <v xml:space="preserve"> </v>
          </cell>
          <cell r="U444">
            <v>805</v>
          </cell>
          <cell r="V444">
            <v>46876760</v>
          </cell>
          <cell r="W444">
            <v>759</v>
          </cell>
          <cell r="X444">
            <v>44197924</v>
          </cell>
          <cell r="Y444">
            <v>95.16</v>
          </cell>
          <cell r="Z444">
            <v>96.02</v>
          </cell>
          <cell r="AA444">
            <v>43906764</v>
          </cell>
          <cell r="AB444">
            <v>291160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7</v>
          </cell>
          <cell r="AL444">
            <v>815248</v>
          </cell>
          <cell r="AM444">
            <v>39</v>
          </cell>
          <cell r="AN444">
            <v>4134472</v>
          </cell>
          <cell r="AO444">
            <v>58150</v>
          </cell>
          <cell r="AP444">
            <v>58232</v>
          </cell>
          <cell r="AQ444">
            <v>258000</v>
          </cell>
          <cell r="AR444">
            <v>0</v>
          </cell>
          <cell r="AS444">
            <v>4.43</v>
          </cell>
          <cell r="AT444">
            <v>207690000</v>
          </cell>
          <cell r="AU444">
            <v>4.1100000000000003</v>
          </cell>
          <cell r="AV444">
            <v>180577648</v>
          </cell>
          <cell r="AW444">
            <v>0.12</v>
          </cell>
          <cell r="AX444">
            <v>34295</v>
          </cell>
          <cell r="AY444">
            <v>95.16</v>
          </cell>
          <cell r="AZ444">
            <v>0</v>
          </cell>
          <cell r="BA444">
            <v>754</v>
          </cell>
          <cell r="BB444">
            <v>5</v>
          </cell>
          <cell r="BC444">
            <v>759</v>
          </cell>
          <cell r="BD444">
            <v>0</v>
          </cell>
          <cell r="BE444">
            <v>0</v>
          </cell>
          <cell r="BF444">
            <v>29</v>
          </cell>
          <cell r="BG444">
            <v>0</v>
          </cell>
          <cell r="BH444">
            <v>1</v>
          </cell>
          <cell r="BI444">
            <v>81</v>
          </cell>
          <cell r="BJ444">
            <v>23</v>
          </cell>
          <cell r="BK444">
            <v>40</v>
          </cell>
          <cell r="BL444">
            <v>16</v>
          </cell>
          <cell r="BM444">
            <v>-2</v>
          </cell>
          <cell r="BN444">
            <v>4</v>
          </cell>
          <cell r="BO444">
            <v>0</v>
          </cell>
          <cell r="BP444">
            <v>-7</v>
          </cell>
          <cell r="BQ444">
            <v>0</v>
          </cell>
          <cell r="BR444">
            <v>0</v>
          </cell>
          <cell r="BS444">
            <v>-6</v>
          </cell>
          <cell r="BT444">
            <v>1</v>
          </cell>
          <cell r="BU444">
            <v>-2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2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2</v>
          </cell>
          <cell r="DZ444">
            <v>0</v>
          </cell>
          <cell r="EA444">
            <v>311</v>
          </cell>
          <cell r="EB444">
            <v>8</v>
          </cell>
          <cell r="EC444">
            <v>33</v>
          </cell>
          <cell r="ED444">
            <v>71</v>
          </cell>
          <cell r="EE444">
            <v>104</v>
          </cell>
          <cell r="EF444">
            <v>95</v>
          </cell>
          <cell r="EG444">
            <v>0</v>
          </cell>
          <cell r="EH444">
            <v>372</v>
          </cell>
          <cell r="EI444">
            <v>94</v>
          </cell>
          <cell r="EJ444">
            <v>76</v>
          </cell>
          <cell r="EK444">
            <v>93</v>
          </cell>
          <cell r="EL444">
            <v>77</v>
          </cell>
          <cell r="EM444">
            <v>32</v>
          </cell>
          <cell r="EN444">
            <v>0</v>
          </cell>
          <cell r="EO444" t="str">
            <v xml:space="preserve">MANS BASALT DOWNJACKET                                      </v>
          </cell>
        </row>
        <row r="445">
          <cell r="A445" t="str">
            <v>CN4YM5852302</v>
          </cell>
          <cell r="B445" t="str">
            <v>CN4</v>
          </cell>
          <cell r="C445" t="str">
            <v>YM5852</v>
          </cell>
          <cell r="D445">
            <v>302</v>
          </cell>
          <cell r="E445" t="str">
            <v xml:space="preserve">   </v>
          </cell>
          <cell r="F445">
            <v>81101</v>
          </cell>
          <cell r="G445">
            <v>81030</v>
          </cell>
          <cell r="H445">
            <v>0</v>
          </cell>
          <cell r="I445">
            <v>600</v>
          </cell>
          <cell r="J445">
            <v>56</v>
          </cell>
          <cell r="K445">
            <v>56</v>
          </cell>
          <cell r="L445">
            <v>57</v>
          </cell>
          <cell r="M445">
            <v>57</v>
          </cell>
          <cell r="N445">
            <v>25890000</v>
          </cell>
          <cell r="O445">
            <v>2416848</v>
          </cell>
          <cell r="P445">
            <v>2416440</v>
          </cell>
          <cell r="Q445">
            <v>2460006</v>
          </cell>
          <cell r="R445">
            <v>10388000</v>
          </cell>
          <cell r="S445" t="str">
            <v xml:space="preserve"> </v>
          </cell>
          <cell r="T445" t="str">
            <v>C</v>
          </cell>
          <cell r="U445">
            <v>56</v>
          </cell>
          <cell r="V445">
            <v>2416848</v>
          </cell>
          <cell r="W445">
            <v>57</v>
          </cell>
          <cell r="X445">
            <v>2460006</v>
          </cell>
          <cell r="Y445">
            <v>101.79</v>
          </cell>
          <cell r="Z445">
            <v>101.79</v>
          </cell>
          <cell r="AA445">
            <v>2460006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-1</v>
          </cell>
          <cell r="AN445">
            <v>-86316</v>
          </cell>
          <cell r="AO445">
            <v>43150</v>
          </cell>
          <cell r="AP445">
            <v>43158</v>
          </cell>
          <cell r="AQ445">
            <v>185000</v>
          </cell>
          <cell r="AR445">
            <v>0</v>
          </cell>
          <cell r="AS445">
            <v>4.29</v>
          </cell>
          <cell r="AT445">
            <v>10360000</v>
          </cell>
          <cell r="AU445">
            <v>4.22</v>
          </cell>
          <cell r="AV445">
            <v>10388000</v>
          </cell>
          <cell r="AW445">
            <v>0</v>
          </cell>
          <cell r="AX445">
            <v>0</v>
          </cell>
          <cell r="AY445">
            <v>101.79</v>
          </cell>
          <cell r="AZ445">
            <v>0</v>
          </cell>
          <cell r="BA445">
            <v>57</v>
          </cell>
          <cell r="BB445">
            <v>0</v>
          </cell>
          <cell r="BC445">
            <v>57</v>
          </cell>
          <cell r="BD445">
            <v>0</v>
          </cell>
          <cell r="BE445">
            <v>0</v>
          </cell>
          <cell r="BF445">
            <v>0</v>
          </cell>
          <cell r="BG445">
            <v>1</v>
          </cell>
          <cell r="BH445">
            <v>1</v>
          </cell>
          <cell r="BI445">
            <v>1</v>
          </cell>
          <cell r="BJ445">
            <v>0</v>
          </cell>
          <cell r="BK445">
            <v>0</v>
          </cell>
          <cell r="BL445">
            <v>1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56</v>
          </cell>
          <cell r="EB445">
            <v>2</v>
          </cell>
          <cell r="EC445">
            <v>52</v>
          </cell>
          <cell r="ED445">
            <v>0</v>
          </cell>
          <cell r="EE445">
            <v>2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 t="str">
            <v xml:space="preserve">MANS HIGHWOOD JACKET                                        </v>
          </cell>
        </row>
        <row r="446">
          <cell r="A446" t="str">
            <v>CN4YM5852345</v>
          </cell>
          <cell r="B446" t="str">
            <v>CN4</v>
          </cell>
          <cell r="C446" t="str">
            <v>YM5852</v>
          </cell>
          <cell r="D446">
            <v>345</v>
          </cell>
          <cell r="E446" t="str">
            <v xml:space="preserve">   </v>
          </cell>
          <cell r="F446">
            <v>81101</v>
          </cell>
          <cell r="G446">
            <v>81030</v>
          </cell>
          <cell r="H446">
            <v>0</v>
          </cell>
          <cell r="I446">
            <v>400</v>
          </cell>
          <cell r="J446">
            <v>275</v>
          </cell>
          <cell r="K446">
            <v>275</v>
          </cell>
          <cell r="L446">
            <v>274</v>
          </cell>
          <cell r="M446">
            <v>274</v>
          </cell>
          <cell r="N446">
            <v>17260000</v>
          </cell>
          <cell r="O446">
            <v>11868450</v>
          </cell>
          <cell r="P446">
            <v>11866386</v>
          </cell>
          <cell r="Q446">
            <v>11825284</v>
          </cell>
          <cell r="R446">
            <v>50466750</v>
          </cell>
          <cell r="S446" t="str">
            <v xml:space="preserve"> </v>
          </cell>
          <cell r="T446" t="str">
            <v>C</v>
          </cell>
          <cell r="U446">
            <v>275</v>
          </cell>
          <cell r="V446">
            <v>11868450</v>
          </cell>
          <cell r="W446">
            <v>274</v>
          </cell>
          <cell r="X446">
            <v>11825284</v>
          </cell>
          <cell r="Y446">
            <v>99.64</v>
          </cell>
          <cell r="Z446">
            <v>99.64</v>
          </cell>
          <cell r="AA446">
            <v>11825284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</v>
          </cell>
          <cell r="AN446">
            <v>86316</v>
          </cell>
          <cell r="AO446">
            <v>43150</v>
          </cell>
          <cell r="AP446">
            <v>43158</v>
          </cell>
          <cell r="AQ446">
            <v>185000</v>
          </cell>
          <cell r="AR446">
            <v>0</v>
          </cell>
          <cell r="AS446">
            <v>4.29</v>
          </cell>
          <cell r="AT446">
            <v>50875000</v>
          </cell>
          <cell r="AU446">
            <v>4.2699999999999996</v>
          </cell>
          <cell r="AV446">
            <v>50466750</v>
          </cell>
          <cell r="AW446">
            <v>0</v>
          </cell>
          <cell r="AX446">
            <v>0</v>
          </cell>
          <cell r="AY446">
            <v>99.64</v>
          </cell>
          <cell r="AZ446">
            <v>0</v>
          </cell>
          <cell r="BA446">
            <v>274</v>
          </cell>
          <cell r="BB446">
            <v>0</v>
          </cell>
          <cell r="BC446">
            <v>274</v>
          </cell>
          <cell r="BD446">
            <v>0</v>
          </cell>
          <cell r="BE446">
            <v>0</v>
          </cell>
          <cell r="BF446">
            <v>6</v>
          </cell>
          <cell r="BG446">
            <v>0</v>
          </cell>
          <cell r="BH446">
            <v>1</v>
          </cell>
          <cell r="BI446">
            <v>-1</v>
          </cell>
          <cell r="BJ446">
            <v>-1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-1</v>
          </cell>
          <cell r="BT446">
            <v>1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1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1</v>
          </cell>
          <cell r="DZ446">
            <v>0</v>
          </cell>
          <cell r="EA446">
            <v>273</v>
          </cell>
          <cell r="EB446">
            <v>16</v>
          </cell>
          <cell r="EC446">
            <v>258</v>
          </cell>
          <cell r="ED446">
            <v>0</v>
          </cell>
          <cell r="EE446">
            <v>0</v>
          </cell>
          <cell r="EF446">
            <v>-1</v>
          </cell>
          <cell r="EG446">
            <v>0</v>
          </cell>
          <cell r="EH446">
            <v>1</v>
          </cell>
          <cell r="EI446">
            <v>1</v>
          </cell>
          <cell r="EJ446">
            <v>0</v>
          </cell>
          <cell r="EK446">
            <v>0</v>
          </cell>
          <cell r="EL446">
            <v>-1</v>
          </cell>
          <cell r="EM446">
            <v>1</v>
          </cell>
          <cell r="EN446">
            <v>0</v>
          </cell>
          <cell r="EO446" t="str">
            <v xml:space="preserve">MANS HIGHWOOD JACKET                                        </v>
          </cell>
        </row>
        <row r="447">
          <cell r="A447" t="str">
            <v>CN4YM5852407</v>
          </cell>
          <cell r="B447" t="str">
            <v>CN4</v>
          </cell>
          <cell r="C447" t="str">
            <v>YM5852</v>
          </cell>
          <cell r="D447">
            <v>407</v>
          </cell>
          <cell r="E447" t="str">
            <v xml:space="preserve">   </v>
          </cell>
          <cell r="F447">
            <v>81101</v>
          </cell>
          <cell r="G447">
            <v>81030</v>
          </cell>
          <cell r="H447">
            <v>0</v>
          </cell>
          <cell r="I447">
            <v>900</v>
          </cell>
          <cell r="J447">
            <v>588</v>
          </cell>
          <cell r="K447">
            <v>588</v>
          </cell>
          <cell r="L447">
            <v>587</v>
          </cell>
          <cell r="M447">
            <v>587</v>
          </cell>
          <cell r="N447">
            <v>38835000</v>
          </cell>
          <cell r="O447">
            <v>25376904</v>
          </cell>
          <cell r="P447">
            <v>25372504</v>
          </cell>
          <cell r="Q447">
            <v>25333682</v>
          </cell>
          <cell r="R447">
            <v>107047750</v>
          </cell>
          <cell r="S447" t="str">
            <v xml:space="preserve"> </v>
          </cell>
          <cell r="T447" t="str">
            <v>C</v>
          </cell>
          <cell r="U447">
            <v>588</v>
          </cell>
          <cell r="V447">
            <v>25376904</v>
          </cell>
          <cell r="W447">
            <v>587</v>
          </cell>
          <cell r="X447">
            <v>25333682</v>
          </cell>
          <cell r="Y447">
            <v>100</v>
          </cell>
          <cell r="Z447">
            <v>100</v>
          </cell>
          <cell r="AA447">
            <v>25333682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>
            <v>43158</v>
          </cell>
          <cell r="AM447">
            <v>0</v>
          </cell>
          <cell r="AN447">
            <v>43158</v>
          </cell>
          <cell r="AO447">
            <v>43150</v>
          </cell>
          <cell r="AP447">
            <v>43158</v>
          </cell>
          <cell r="AQ447">
            <v>185000</v>
          </cell>
          <cell r="AR447">
            <v>0</v>
          </cell>
          <cell r="AS447">
            <v>4.29</v>
          </cell>
          <cell r="AT447">
            <v>108780000</v>
          </cell>
          <cell r="AU447">
            <v>4.2300000000000004</v>
          </cell>
          <cell r="AV447">
            <v>107047750</v>
          </cell>
          <cell r="AW447">
            <v>0</v>
          </cell>
          <cell r="AX447">
            <v>0</v>
          </cell>
          <cell r="AY447">
            <v>100</v>
          </cell>
          <cell r="AZ447">
            <v>0</v>
          </cell>
          <cell r="BA447">
            <v>587</v>
          </cell>
          <cell r="BB447">
            <v>0</v>
          </cell>
          <cell r="BC447">
            <v>587</v>
          </cell>
          <cell r="BD447">
            <v>0</v>
          </cell>
          <cell r="BE447">
            <v>0</v>
          </cell>
          <cell r="BF447">
            <v>4</v>
          </cell>
          <cell r="BG447">
            <v>0</v>
          </cell>
          <cell r="BH447">
            <v>1</v>
          </cell>
          <cell r="BI447">
            <v>-1</v>
          </cell>
          <cell r="BJ447">
            <v>1</v>
          </cell>
          <cell r="BK447">
            <v>-2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8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8</v>
          </cell>
          <cell r="DZ447">
            <v>0</v>
          </cell>
          <cell r="EA447">
            <v>582</v>
          </cell>
          <cell r="EB447">
            <v>63</v>
          </cell>
          <cell r="EC447">
            <v>518</v>
          </cell>
          <cell r="ED447">
            <v>-1</v>
          </cell>
          <cell r="EE447">
            <v>1</v>
          </cell>
          <cell r="EF447">
            <v>1</v>
          </cell>
          <cell r="EG447">
            <v>0</v>
          </cell>
          <cell r="EH447">
            <v>-2</v>
          </cell>
          <cell r="EI447">
            <v>-2</v>
          </cell>
          <cell r="EJ447">
            <v>1</v>
          </cell>
          <cell r="EK447">
            <v>0</v>
          </cell>
          <cell r="EL447">
            <v>1</v>
          </cell>
          <cell r="EM447">
            <v>-2</v>
          </cell>
          <cell r="EN447">
            <v>0</v>
          </cell>
          <cell r="EO447" t="str">
            <v xml:space="preserve">MANS HIGHWOOD JACKET                                        </v>
          </cell>
        </row>
        <row r="448">
          <cell r="A448" t="str">
            <v>CN4YM6867028</v>
          </cell>
          <cell r="B448" t="str">
            <v>CN4</v>
          </cell>
          <cell r="C448" t="str">
            <v>YM6867</v>
          </cell>
          <cell r="D448">
            <v>28</v>
          </cell>
          <cell r="E448" t="str">
            <v xml:space="preserve">   </v>
          </cell>
          <cell r="F448">
            <v>81023</v>
          </cell>
          <cell r="G448">
            <v>81023</v>
          </cell>
          <cell r="H448">
            <v>81128</v>
          </cell>
          <cell r="I448">
            <v>900</v>
          </cell>
          <cell r="J448">
            <v>926</v>
          </cell>
          <cell r="K448">
            <v>923</v>
          </cell>
          <cell r="L448">
            <v>897</v>
          </cell>
          <cell r="M448">
            <v>897</v>
          </cell>
          <cell r="N448">
            <v>17235000</v>
          </cell>
          <cell r="O448">
            <v>17745864</v>
          </cell>
          <cell r="P448">
            <v>17688372</v>
          </cell>
          <cell r="Q448">
            <v>17190108</v>
          </cell>
          <cell r="R448">
            <v>56035470</v>
          </cell>
          <cell r="S448" t="str">
            <v>*</v>
          </cell>
          <cell r="T448" t="str">
            <v xml:space="preserve"> </v>
          </cell>
          <cell r="U448">
            <v>926</v>
          </cell>
          <cell r="V448">
            <v>17745864</v>
          </cell>
          <cell r="W448">
            <v>897</v>
          </cell>
          <cell r="X448">
            <v>17190108</v>
          </cell>
          <cell r="Y448">
            <v>96.98</v>
          </cell>
          <cell r="Z448">
            <v>97.08</v>
          </cell>
          <cell r="AA448">
            <v>5442576</v>
          </cell>
          <cell r="AB448">
            <v>11747532</v>
          </cell>
          <cell r="AC448">
            <v>3</v>
          </cell>
          <cell r="AD448">
            <v>76656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>
            <v>38328</v>
          </cell>
          <cell r="AM448">
            <v>25</v>
          </cell>
          <cell r="AN448">
            <v>1130676</v>
          </cell>
          <cell r="AO448">
            <v>19150</v>
          </cell>
          <cell r="AP448">
            <v>19164</v>
          </cell>
          <cell r="AQ448">
            <v>89000</v>
          </cell>
          <cell r="AR448">
            <v>53000</v>
          </cell>
          <cell r="AS448">
            <v>4.6399999999999997</v>
          </cell>
          <cell r="AT448">
            <v>82414000</v>
          </cell>
          <cell r="AU448">
            <v>4.33</v>
          </cell>
          <cell r="AV448">
            <v>23591650</v>
          </cell>
          <cell r="AW448">
            <v>2.76</v>
          </cell>
          <cell r="AX448">
            <v>32443820</v>
          </cell>
          <cell r="AY448">
            <v>96.98</v>
          </cell>
          <cell r="AZ448">
            <v>0</v>
          </cell>
          <cell r="BA448">
            <v>284</v>
          </cell>
          <cell r="BB448">
            <v>613</v>
          </cell>
          <cell r="BC448">
            <v>897</v>
          </cell>
          <cell r="BD448">
            <v>0</v>
          </cell>
          <cell r="BE448">
            <v>0</v>
          </cell>
          <cell r="BF448">
            <v>13</v>
          </cell>
          <cell r="BG448">
            <v>1</v>
          </cell>
          <cell r="BH448">
            <v>1</v>
          </cell>
          <cell r="BI448">
            <v>50</v>
          </cell>
          <cell r="BJ448">
            <v>16</v>
          </cell>
          <cell r="BK448">
            <v>19</v>
          </cell>
          <cell r="BL448">
            <v>4</v>
          </cell>
          <cell r="BM448">
            <v>4</v>
          </cell>
          <cell r="BN448">
            <v>7</v>
          </cell>
          <cell r="BO448">
            <v>0</v>
          </cell>
          <cell r="BP448">
            <v>7</v>
          </cell>
          <cell r="BQ448">
            <v>0</v>
          </cell>
          <cell r="BR448">
            <v>2</v>
          </cell>
          <cell r="BS448">
            <v>1</v>
          </cell>
          <cell r="BT448">
            <v>2</v>
          </cell>
          <cell r="BU448">
            <v>2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87</v>
          </cell>
          <cell r="DU448">
            <v>0</v>
          </cell>
          <cell r="DV448">
            <v>0</v>
          </cell>
          <cell r="DW448">
            <v>0</v>
          </cell>
          <cell r="DX448">
            <v>45</v>
          </cell>
          <cell r="DY448">
            <v>42</v>
          </cell>
          <cell r="DZ448">
            <v>0</v>
          </cell>
          <cell r="EA448">
            <v>365</v>
          </cell>
          <cell r="EB448">
            <v>22</v>
          </cell>
          <cell r="EC448">
            <v>46</v>
          </cell>
          <cell r="ED448">
            <v>68</v>
          </cell>
          <cell r="EE448">
            <v>50</v>
          </cell>
          <cell r="EF448">
            <v>179</v>
          </cell>
          <cell r="EG448">
            <v>0</v>
          </cell>
          <cell r="EH448">
            <v>388</v>
          </cell>
          <cell r="EI448">
            <v>190</v>
          </cell>
          <cell r="EJ448">
            <v>101</v>
          </cell>
          <cell r="EK448">
            <v>64</v>
          </cell>
          <cell r="EL448">
            <v>31</v>
          </cell>
          <cell r="EM448">
            <v>2</v>
          </cell>
          <cell r="EN448">
            <v>0</v>
          </cell>
          <cell r="EO448" t="str">
            <v xml:space="preserve">Mens Somerset                                               </v>
          </cell>
        </row>
        <row r="449">
          <cell r="A449" t="str">
            <v>CN4YM6867480</v>
          </cell>
          <cell r="B449" t="str">
            <v>CN4</v>
          </cell>
          <cell r="C449" t="str">
            <v>YM6867</v>
          </cell>
          <cell r="D449">
            <v>480</v>
          </cell>
          <cell r="E449" t="str">
            <v xml:space="preserve">   </v>
          </cell>
          <cell r="F449">
            <v>81023</v>
          </cell>
          <cell r="G449">
            <v>81023</v>
          </cell>
          <cell r="H449">
            <v>81128</v>
          </cell>
          <cell r="I449">
            <v>700</v>
          </cell>
          <cell r="J449">
            <v>708</v>
          </cell>
          <cell r="K449">
            <v>701</v>
          </cell>
          <cell r="L449">
            <v>582</v>
          </cell>
          <cell r="M449">
            <v>582</v>
          </cell>
          <cell r="N449">
            <v>13405000</v>
          </cell>
          <cell r="O449">
            <v>13568112</v>
          </cell>
          <cell r="P449">
            <v>13433964</v>
          </cell>
          <cell r="Q449">
            <v>11153448</v>
          </cell>
          <cell r="R449">
            <v>32588257</v>
          </cell>
          <cell r="S449" t="str">
            <v>*</v>
          </cell>
          <cell r="T449" t="str">
            <v xml:space="preserve"> </v>
          </cell>
          <cell r="U449">
            <v>708</v>
          </cell>
          <cell r="V449">
            <v>13568112</v>
          </cell>
          <cell r="W449">
            <v>582</v>
          </cell>
          <cell r="X449">
            <v>11153448</v>
          </cell>
          <cell r="Y449">
            <v>82.06</v>
          </cell>
          <cell r="Z449">
            <v>81.92</v>
          </cell>
          <cell r="AA449">
            <v>1264824</v>
          </cell>
          <cell r="AB449">
            <v>9888624</v>
          </cell>
          <cell r="AC449">
            <v>7</v>
          </cell>
          <cell r="AD449">
            <v>421608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-1</v>
          </cell>
          <cell r="AL449">
            <v>-38328</v>
          </cell>
          <cell r="AM449">
            <v>120</v>
          </cell>
          <cell r="AN449">
            <v>5308428</v>
          </cell>
          <cell r="AO449">
            <v>19150</v>
          </cell>
          <cell r="AP449">
            <v>19164</v>
          </cell>
          <cell r="AQ449">
            <v>89000</v>
          </cell>
          <cell r="AR449">
            <v>53000</v>
          </cell>
          <cell r="AS449">
            <v>4.6399999999999997</v>
          </cell>
          <cell r="AT449">
            <v>63012000</v>
          </cell>
          <cell r="AU449">
            <v>4.22</v>
          </cell>
          <cell r="AV449">
            <v>5333500</v>
          </cell>
          <cell r="AW449">
            <v>2.76</v>
          </cell>
          <cell r="AX449">
            <v>27254757</v>
          </cell>
          <cell r="AY449">
            <v>82.06</v>
          </cell>
          <cell r="AZ449">
            <v>0</v>
          </cell>
          <cell r="BA449">
            <v>66</v>
          </cell>
          <cell r="BB449">
            <v>516</v>
          </cell>
          <cell r="BC449">
            <v>582</v>
          </cell>
          <cell r="BD449">
            <v>0</v>
          </cell>
          <cell r="BE449">
            <v>0</v>
          </cell>
          <cell r="BF449">
            <v>53</v>
          </cell>
          <cell r="BG449">
            <v>0</v>
          </cell>
          <cell r="BH449">
            <v>1</v>
          </cell>
          <cell r="BI449">
            <v>111</v>
          </cell>
          <cell r="BJ449">
            <v>24</v>
          </cell>
          <cell r="BK449">
            <v>37</v>
          </cell>
          <cell r="BL449">
            <v>28</v>
          </cell>
          <cell r="BM449">
            <v>14</v>
          </cell>
          <cell r="BN449">
            <v>8</v>
          </cell>
          <cell r="BO449">
            <v>0</v>
          </cell>
          <cell r="BP449">
            <v>45</v>
          </cell>
          <cell r="BQ449">
            <v>6</v>
          </cell>
          <cell r="BR449">
            <v>14</v>
          </cell>
          <cell r="BS449">
            <v>9</v>
          </cell>
          <cell r="BT449">
            <v>13</v>
          </cell>
          <cell r="BU449">
            <v>3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21</v>
          </cell>
          <cell r="DU449">
            <v>0</v>
          </cell>
          <cell r="DV449">
            <v>0</v>
          </cell>
          <cell r="DW449">
            <v>0</v>
          </cell>
          <cell r="DX449">
            <v>7</v>
          </cell>
          <cell r="DY449">
            <v>14</v>
          </cell>
          <cell r="DZ449">
            <v>0</v>
          </cell>
          <cell r="EA449">
            <v>98</v>
          </cell>
          <cell r="EB449">
            <v>11</v>
          </cell>
          <cell r="EC449">
            <v>11</v>
          </cell>
          <cell r="ED449">
            <v>14</v>
          </cell>
          <cell r="EE449">
            <v>3</v>
          </cell>
          <cell r="EF449">
            <v>59</v>
          </cell>
          <cell r="EG449">
            <v>0</v>
          </cell>
          <cell r="EH449">
            <v>307</v>
          </cell>
          <cell r="EI449">
            <v>103</v>
          </cell>
          <cell r="EJ449">
            <v>94</v>
          </cell>
          <cell r="EK449">
            <v>60</v>
          </cell>
          <cell r="EL449">
            <v>43</v>
          </cell>
          <cell r="EM449">
            <v>7</v>
          </cell>
          <cell r="EN449">
            <v>0</v>
          </cell>
          <cell r="EO449" t="str">
            <v xml:space="preserve">Mens Somerset                                               </v>
          </cell>
        </row>
        <row r="450">
          <cell r="A450" t="str">
            <v>CN4YM6870010</v>
          </cell>
          <cell r="B450" t="str">
            <v>CN4</v>
          </cell>
          <cell r="C450" t="str">
            <v>YM6870</v>
          </cell>
          <cell r="D450">
            <v>10</v>
          </cell>
          <cell r="E450" t="str">
            <v xml:space="preserve">   </v>
          </cell>
          <cell r="F450">
            <v>80925</v>
          </cell>
          <cell r="G450">
            <v>81008</v>
          </cell>
          <cell r="H450">
            <v>0</v>
          </cell>
          <cell r="I450">
            <v>900</v>
          </cell>
          <cell r="J450">
            <v>677</v>
          </cell>
          <cell r="K450">
            <v>676</v>
          </cell>
          <cell r="L450">
            <v>434</v>
          </cell>
          <cell r="M450">
            <v>434</v>
          </cell>
          <cell r="N450">
            <v>18045000</v>
          </cell>
          <cell r="O450">
            <v>13558673</v>
          </cell>
          <cell r="P450">
            <v>13538782</v>
          </cell>
          <cell r="Q450">
            <v>8697775</v>
          </cell>
          <cell r="R450">
            <v>37419029</v>
          </cell>
          <cell r="S450" t="str">
            <v xml:space="preserve"> </v>
          </cell>
          <cell r="T450" t="str">
            <v xml:space="preserve"> </v>
          </cell>
          <cell r="U450">
            <v>677</v>
          </cell>
          <cell r="V450">
            <v>13558673</v>
          </cell>
          <cell r="W450">
            <v>434</v>
          </cell>
          <cell r="X450">
            <v>8697775</v>
          </cell>
          <cell r="Y450">
            <v>63.96</v>
          </cell>
          <cell r="Z450">
            <v>63.85</v>
          </cell>
          <cell r="AA450">
            <v>8697775</v>
          </cell>
          <cell r="AB450">
            <v>0</v>
          </cell>
          <cell r="AC450">
            <v>1</v>
          </cell>
          <cell r="AD450">
            <v>20044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-1</v>
          </cell>
          <cell r="AL450">
            <v>-40088</v>
          </cell>
          <cell r="AM450">
            <v>243</v>
          </cell>
          <cell r="AN450">
            <v>10122220</v>
          </cell>
          <cell r="AO450">
            <v>20050</v>
          </cell>
          <cell r="AP450">
            <v>20044</v>
          </cell>
          <cell r="AQ450">
            <v>93000</v>
          </cell>
          <cell r="AR450">
            <v>0</v>
          </cell>
          <cell r="AS450">
            <v>4.6399999999999997</v>
          </cell>
          <cell r="AT450">
            <v>62961000</v>
          </cell>
          <cell r="AU450">
            <v>4.3</v>
          </cell>
          <cell r="AV450">
            <v>37419029</v>
          </cell>
          <cell r="AW450">
            <v>0</v>
          </cell>
          <cell r="AX450">
            <v>0</v>
          </cell>
          <cell r="AY450">
            <v>63.96</v>
          </cell>
          <cell r="AZ450">
            <v>0</v>
          </cell>
          <cell r="BA450">
            <v>434</v>
          </cell>
          <cell r="BB450">
            <v>0</v>
          </cell>
          <cell r="BC450">
            <v>434</v>
          </cell>
          <cell r="BD450">
            <v>0</v>
          </cell>
          <cell r="BE450">
            <v>0</v>
          </cell>
          <cell r="BF450">
            <v>38</v>
          </cell>
          <cell r="BG450">
            <v>1</v>
          </cell>
          <cell r="BH450">
            <v>1</v>
          </cell>
          <cell r="BI450">
            <v>69</v>
          </cell>
          <cell r="BJ450">
            <v>15</v>
          </cell>
          <cell r="BK450">
            <v>17</v>
          </cell>
          <cell r="BL450">
            <v>21</v>
          </cell>
          <cell r="BM450">
            <v>14</v>
          </cell>
          <cell r="BN450">
            <v>2</v>
          </cell>
          <cell r="BO450">
            <v>0</v>
          </cell>
          <cell r="BP450">
            <v>18</v>
          </cell>
          <cell r="BQ450">
            <v>3</v>
          </cell>
          <cell r="BR450">
            <v>8</v>
          </cell>
          <cell r="BS450">
            <v>8</v>
          </cell>
          <cell r="BT450">
            <v>0</v>
          </cell>
          <cell r="BU450">
            <v>-1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64</v>
          </cell>
          <cell r="DU450">
            <v>0</v>
          </cell>
          <cell r="DV450">
            <v>11</v>
          </cell>
          <cell r="DW450">
            <v>20</v>
          </cell>
          <cell r="DX450">
            <v>19</v>
          </cell>
          <cell r="DY450">
            <v>14</v>
          </cell>
          <cell r="DZ450">
            <v>0</v>
          </cell>
          <cell r="EA450">
            <v>169</v>
          </cell>
          <cell r="EB450">
            <v>14</v>
          </cell>
          <cell r="EC450">
            <v>64</v>
          </cell>
          <cell r="ED450">
            <v>23</v>
          </cell>
          <cell r="EE450">
            <v>36</v>
          </cell>
          <cell r="EF450">
            <v>32</v>
          </cell>
          <cell r="EG450">
            <v>0</v>
          </cell>
          <cell r="EH450">
            <v>114</v>
          </cell>
          <cell r="EI450">
            <v>26</v>
          </cell>
          <cell r="EJ450">
            <v>21</v>
          </cell>
          <cell r="EK450">
            <v>22</v>
          </cell>
          <cell r="EL450">
            <v>43</v>
          </cell>
          <cell r="EM450">
            <v>2</v>
          </cell>
          <cell r="EN450">
            <v>0</v>
          </cell>
          <cell r="EO450" t="str">
            <v xml:space="preserve">Mens Holbrook                                               </v>
          </cell>
        </row>
        <row r="451">
          <cell r="A451" t="str">
            <v>CN4YM6870493</v>
          </cell>
          <cell r="B451" t="str">
            <v>CN4</v>
          </cell>
          <cell r="C451" t="str">
            <v>YM6870</v>
          </cell>
          <cell r="D451">
            <v>493</v>
          </cell>
          <cell r="E451" t="str">
            <v xml:space="preserve">   </v>
          </cell>
          <cell r="F451">
            <v>80925</v>
          </cell>
          <cell r="G451">
            <v>81008</v>
          </cell>
          <cell r="H451">
            <v>0</v>
          </cell>
          <cell r="I451">
            <v>1000</v>
          </cell>
          <cell r="J451">
            <v>1038</v>
          </cell>
          <cell r="K451">
            <v>1036</v>
          </cell>
          <cell r="L451">
            <v>782</v>
          </cell>
          <cell r="M451">
            <v>782</v>
          </cell>
          <cell r="N451">
            <v>20050000</v>
          </cell>
          <cell r="O451">
            <v>20794036</v>
          </cell>
          <cell r="P451">
            <v>20754049</v>
          </cell>
          <cell r="Q451">
            <v>15671315</v>
          </cell>
          <cell r="R451">
            <v>68409429</v>
          </cell>
          <cell r="S451" t="str">
            <v xml:space="preserve"> </v>
          </cell>
          <cell r="T451" t="str">
            <v xml:space="preserve"> </v>
          </cell>
          <cell r="U451">
            <v>1038</v>
          </cell>
          <cell r="V451">
            <v>20794036</v>
          </cell>
          <cell r="W451">
            <v>782</v>
          </cell>
          <cell r="X451">
            <v>15671315</v>
          </cell>
          <cell r="Y451">
            <v>75.34</v>
          </cell>
          <cell r="Z451">
            <v>75.36</v>
          </cell>
          <cell r="AA451">
            <v>15671315</v>
          </cell>
          <cell r="AB451">
            <v>0</v>
          </cell>
          <cell r="AC451">
            <v>2</v>
          </cell>
          <cell r="AD451">
            <v>40088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254</v>
          </cell>
          <cell r="AN451">
            <v>11044244</v>
          </cell>
          <cell r="AO451">
            <v>20050</v>
          </cell>
          <cell r="AP451">
            <v>20044</v>
          </cell>
          <cell r="AQ451">
            <v>93000</v>
          </cell>
          <cell r="AR451">
            <v>0</v>
          </cell>
          <cell r="AS451">
            <v>4.6399999999999997</v>
          </cell>
          <cell r="AT451">
            <v>96534000</v>
          </cell>
          <cell r="AU451">
            <v>4.37</v>
          </cell>
          <cell r="AV451">
            <v>68409429</v>
          </cell>
          <cell r="AW451">
            <v>0</v>
          </cell>
          <cell r="AX451">
            <v>0</v>
          </cell>
          <cell r="AY451">
            <v>75.34</v>
          </cell>
          <cell r="AZ451">
            <v>0</v>
          </cell>
          <cell r="BA451">
            <v>782</v>
          </cell>
          <cell r="BB451">
            <v>0</v>
          </cell>
          <cell r="BC451">
            <v>782</v>
          </cell>
          <cell r="BD451">
            <v>0</v>
          </cell>
          <cell r="BE451">
            <v>0</v>
          </cell>
          <cell r="BF451">
            <v>77</v>
          </cell>
          <cell r="BG451">
            <v>0</v>
          </cell>
          <cell r="BH451">
            <v>1</v>
          </cell>
          <cell r="BI451">
            <v>157</v>
          </cell>
          <cell r="BJ451">
            <v>24</v>
          </cell>
          <cell r="BK451">
            <v>45</v>
          </cell>
          <cell r="BL451">
            <v>36</v>
          </cell>
          <cell r="BM451">
            <v>33</v>
          </cell>
          <cell r="BN451">
            <v>19</v>
          </cell>
          <cell r="BO451">
            <v>0</v>
          </cell>
          <cell r="BP451">
            <v>41</v>
          </cell>
          <cell r="BQ451">
            <v>2</v>
          </cell>
          <cell r="BR451">
            <v>17</v>
          </cell>
          <cell r="BS451">
            <v>14</v>
          </cell>
          <cell r="BT451">
            <v>9</v>
          </cell>
          <cell r="BU451">
            <v>-1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159</v>
          </cell>
          <cell r="DU451">
            <v>0</v>
          </cell>
          <cell r="DV451">
            <v>47</v>
          </cell>
          <cell r="DW451">
            <v>47</v>
          </cell>
          <cell r="DX451">
            <v>40</v>
          </cell>
          <cell r="DY451">
            <v>25</v>
          </cell>
          <cell r="DZ451">
            <v>0</v>
          </cell>
          <cell r="EA451">
            <v>231</v>
          </cell>
          <cell r="EB451">
            <v>18</v>
          </cell>
          <cell r="EC451">
            <v>48</v>
          </cell>
          <cell r="ED451">
            <v>41</v>
          </cell>
          <cell r="EE451">
            <v>68</v>
          </cell>
          <cell r="EF451">
            <v>56</v>
          </cell>
          <cell r="EG451">
            <v>0</v>
          </cell>
          <cell r="EH451">
            <v>194</v>
          </cell>
          <cell r="EI451">
            <v>55</v>
          </cell>
          <cell r="EJ451">
            <v>38</v>
          </cell>
          <cell r="EK451">
            <v>44</v>
          </cell>
          <cell r="EL451">
            <v>38</v>
          </cell>
          <cell r="EM451">
            <v>19</v>
          </cell>
          <cell r="EN451">
            <v>0</v>
          </cell>
          <cell r="EO451" t="str">
            <v xml:space="preserve">Mens Holbrook                                               </v>
          </cell>
        </row>
        <row r="452">
          <cell r="A452" t="str">
            <v>CN4YM6870684</v>
          </cell>
          <cell r="B452" t="str">
            <v>CN4</v>
          </cell>
          <cell r="C452" t="str">
            <v>YM6870</v>
          </cell>
          <cell r="D452">
            <v>684</v>
          </cell>
          <cell r="E452" t="str">
            <v xml:space="preserve">   </v>
          </cell>
          <cell r="F452">
            <v>80925</v>
          </cell>
          <cell r="G452">
            <v>81008</v>
          </cell>
          <cell r="H452">
            <v>0</v>
          </cell>
          <cell r="I452">
            <v>400</v>
          </cell>
          <cell r="J452">
            <v>405</v>
          </cell>
          <cell r="K452">
            <v>403</v>
          </cell>
          <cell r="L452">
            <v>130</v>
          </cell>
          <cell r="M452">
            <v>130</v>
          </cell>
          <cell r="N452">
            <v>8020000</v>
          </cell>
          <cell r="O452">
            <v>8110530</v>
          </cell>
          <cell r="P452">
            <v>8070681</v>
          </cell>
          <cell r="Q452">
            <v>2605512</v>
          </cell>
          <cell r="R452">
            <v>11113259</v>
          </cell>
          <cell r="S452" t="str">
            <v xml:space="preserve"> </v>
          </cell>
          <cell r="T452" t="str">
            <v xml:space="preserve"> </v>
          </cell>
          <cell r="U452">
            <v>405</v>
          </cell>
          <cell r="V452">
            <v>8110530</v>
          </cell>
          <cell r="W452">
            <v>130</v>
          </cell>
          <cell r="X452">
            <v>2605512</v>
          </cell>
          <cell r="Y452">
            <v>31.85</v>
          </cell>
          <cell r="Z452">
            <v>31.63</v>
          </cell>
          <cell r="AA452">
            <v>2585468</v>
          </cell>
          <cell r="AB452">
            <v>20044</v>
          </cell>
          <cell r="AC452">
            <v>2</v>
          </cell>
          <cell r="AD452">
            <v>40088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-1</v>
          </cell>
          <cell r="AL452">
            <v>-40088</v>
          </cell>
          <cell r="AM452">
            <v>274</v>
          </cell>
          <cell r="AN452">
            <v>11264728</v>
          </cell>
          <cell r="AO452">
            <v>20050</v>
          </cell>
          <cell r="AP452">
            <v>20044</v>
          </cell>
          <cell r="AQ452">
            <v>93000</v>
          </cell>
          <cell r="AR452">
            <v>0</v>
          </cell>
          <cell r="AS452">
            <v>4.6399999999999997</v>
          </cell>
          <cell r="AT452">
            <v>37665000</v>
          </cell>
          <cell r="AU452">
            <v>4.3</v>
          </cell>
          <cell r="AV452">
            <v>11106400</v>
          </cell>
          <cell r="AW452">
            <v>0.34</v>
          </cell>
          <cell r="AX452">
            <v>6859</v>
          </cell>
          <cell r="AY452">
            <v>31.85</v>
          </cell>
          <cell r="AZ452">
            <v>0</v>
          </cell>
          <cell r="BA452">
            <v>129</v>
          </cell>
          <cell r="BB452">
            <v>1</v>
          </cell>
          <cell r="BC452">
            <v>130</v>
          </cell>
          <cell r="BD452">
            <v>0</v>
          </cell>
          <cell r="BE452">
            <v>0</v>
          </cell>
          <cell r="BF452">
            <v>18</v>
          </cell>
          <cell r="BG452">
            <v>0</v>
          </cell>
          <cell r="BH452">
            <v>1</v>
          </cell>
          <cell r="BI452">
            <v>35</v>
          </cell>
          <cell r="BJ452">
            <v>4</v>
          </cell>
          <cell r="BK452">
            <v>9</v>
          </cell>
          <cell r="BL452">
            <v>4</v>
          </cell>
          <cell r="BM452">
            <v>9</v>
          </cell>
          <cell r="BN452">
            <v>9</v>
          </cell>
          <cell r="BO452">
            <v>0</v>
          </cell>
          <cell r="BP452">
            <v>12</v>
          </cell>
          <cell r="BQ452">
            <v>2</v>
          </cell>
          <cell r="BR452">
            <v>7</v>
          </cell>
          <cell r="BS452">
            <v>3</v>
          </cell>
          <cell r="BT452">
            <v>1</v>
          </cell>
          <cell r="BU452">
            <v>-1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9</v>
          </cell>
          <cell r="DU452">
            <v>0</v>
          </cell>
          <cell r="DV452">
            <v>0</v>
          </cell>
          <cell r="DW452">
            <v>4</v>
          </cell>
          <cell r="DX452">
            <v>4</v>
          </cell>
          <cell r="DY452">
            <v>1</v>
          </cell>
          <cell r="DZ452">
            <v>0</v>
          </cell>
          <cell r="EA452">
            <v>46</v>
          </cell>
          <cell r="EB452">
            <v>2</v>
          </cell>
          <cell r="EC452">
            <v>14</v>
          </cell>
          <cell r="ED452">
            <v>5</v>
          </cell>
          <cell r="EE452">
            <v>12</v>
          </cell>
          <cell r="EF452">
            <v>13</v>
          </cell>
          <cell r="EG452">
            <v>0</v>
          </cell>
          <cell r="EH452">
            <v>28</v>
          </cell>
          <cell r="EI452">
            <v>9</v>
          </cell>
          <cell r="EJ452">
            <v>2</v>
          </cell>
          <cell r="EK452">
            <v>8</v>
          </cell>
          <cell r="EL452">
            <v>8</v>
          </cell>
          <cell r="EM452">
            <v>1</v>
          </cell>
          <cell r="EN452">
            <v>0</v>
          </cell>
          <cell r="EO452" t="str">
            <v xml:space="preserve">Mens Holbrook                                               </v>
          </cell>
        </row>
        <row r="453">
          <cell r="A453" t="str">
            <v>CN4YM6872925</v>
          </cell>
          <cell r="B453" t="str">
            <v>CN4</v>
          </cell>
          <cell r="C453" t="str">
            <v>YM6872</v>
          </cell>
          <cell r="D453">
            <v>925</v>
          </cell>
          <cell r="E453" t="str">
            <v xml:space="preserve">   </v>
          </cell>
          <cell r="F453">
            <v>81022</v>
          </cell>
          <cell r="G453">
            <v>81025</v>
          </cell>
          <cell r="H453">
            <v>0</v>
          </cell>
          <cell r="I453">
            <v>1000</v>
          </cell>
          <cell r="J453">
            <v>825</v>
          </cell>
          <cell r="K453">
            <v>426</v>
          </cell>
          <cell r="L453">
            <v>364</v>
          </cell>
          <cell r="M453">
            <v>364</v>
          </cell>
          <cell r="N453">
            <v>25650000</v>
          </cell>
          <cell r="O453">
            <v>21171975</v>
          </cell>
          <cell r="P453">
            <v>10932438</v>
          </cell>
          <cell r="Q453">
            <v>9341332</v>
          </cell>
          <cell r="R453">
            <v>30650200</v>
          </cell>
          <cell r="S453" t="str">
            <v xml:space="preserve"> </v>
          </cell>
          <cell r="T453" t="str">
            <v xml:space="preserve"> </v>
          </cell>
          <cell r="U453">
            <v>825</v>
          </cell>
          <cell r="V453">
            <v>21171975</v>
          </cell>
          <cell r="W453">
            <v>364</v>
          </cell>
          <cell r="X453">
            <v>9341332</v>
          </cell>
          <cell r="Y453">
            <v>44.12</v>
          </cell>
          <cell r="Z453">
            <v>44.12</v>
          </cell>
          <cell r="AA453">
            <v>9341332</v>
          </cell>
          <cell r="AB453">
            <v>0</v>
          </cell>
          <cell r="AC453">
            <v>399</v>
          </cell>
          <cell r="AD453">
            <v>10239537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62</v>
          </cell>
          <cell r="AN453">
            <v>13575727</v>
          </cell>
          <cell r="AO453">
            <v>25650</v>
          </cell>
          <cell r="AP453">
            <v>25663</v>
          </cell>
          <cell r="AQ453">
            <v>98000</v>
          </cell>
          <cell r="AR453">
            <v>0</v>
          </cell>
          <cell r="AS453">
            <v>3.82</v>
          </cell>
          <cell r="AT453">
            <v>80850000</v>
          </cell>
          <cell r="AU453">
            <v>3.28</v>
          </cell>
          <cell r="AV453">
            <v>30650200</v>
          </cell>
          <cell r="AW453">
            <v>0</v>
          </cell>
          <cell r="AX453">
            <v>0</v>
          </cell>
          <cell r="AY453">
            <v>44.12</v>
          </cell>
          <cell r="AZ453">
            <v>0</v>
          </cell>
          <cell r="BA453">
            <v>364</v>
          </cell>
          <cell r="BB453">
            <v>0</v>
          </cell>
          <cell r="BC453">
            <v>364</v>
          </cell>
          <cell r="BD453">
            <v>0</v>
          </cell>
          <cell r="BE453">
            <v>0</v>
          </cell>
          <cell r="BF453">
            <v>36</v>
          </cell>
          <cell r="BG453">
            <v>1</v>
          </cell>
          <cell r="BH453">
            <v>1</v>
          </cell>
          <cell r="BI453">
            <v>136</v>
          </cell>
          <cell r="BJ453">
            <v>29</v>
          </cell>
          <cell r="BK453">
            <v>35</v>
          </cell>
          <cell r="BL453">
            <v>32</v>
          </cell>
          <cell r="BM453">
            <v>30</v>
          </cell>
          <cell r="BN453">
            <v>10</v>
          </cell>
          <cell r="BO453">
            <v>0</v>
          </cell>
          <cell r="BP453">
            <v>6</v>
          </cell>
          <cell r="BQ453">
            <v>2</v>
          </cell>
          <cell r="BR453">
            <v>6</v>
          </cell>
          <cell r="BS453">
            <v>1</v>
          </cell>
          <cell r="BT453">
            <v>2</v>
          </cell>
          <cell r="BU453">
            <v>-5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14</v>
          </cell>
          <cell r="DU453">
            <v>0</v>
          </cell>
          <cell r="DV453">
            <v>0</v>
          </cell>
          <cell r="DW453">
            <v>0</v>
          </cell>
          <cell r="DX453">
            <v>6</v>
          </cell>
          <cell r="DY453">
            <v>8</v>
          </cell>
          <cell r="DZ453">
            <v>0</v>
          </cell>
          <cell r="EA453">
            <v>87</v>
          </cell>
          <cell r="EB453">
            <v>8</v>
          </cell>
          <cell r="EC453">
            <v>20</v>
          </cell>
          <cell r="ED453">
            <v>20</v>
          </cell>
          <cell r="EE453">
            <v>17</v>
          </cell>
          <cell r="EF453">
            <v>22</v>
          </cell>
          <cell r="EG453">
            <v>0</v>
          </cell>
          <cell r="EH453">
            <v>121</v>
          </cell>
          <cell r="EI453">
            <v>21</v>
          </cell>
          <cell r="EJ453">
            <v>17</v>
          </cell>
          <cell r="EK453">
            <v>28</v>
          </cell>
          <cell r="EL453">
            <v>28</v>
          </cell>
          <cell r="EM453">
            <v>27</v>
          </cell>
          <cell r="EN453">
            <v>0</v>
          </cell>
          <cell r="EO453" t="str">
            <v xml:space="preserve">Mens Holly Springs                                          </v>
          </cell>
        </row>
        <row r="454">
          <cell r="A454" t="str">
            <v>CN4YM6872993</v>
          </cell>
          <cell r="B454" t="str">
            <v>CN4</v>
          </cell>
          <cell r="C454" t="str">
            <v>YM6872</v>
          </cell>
          <cell r="D454">
            <v>993</v>
          </cell>
          <cell r="E454" t="str">
            <v xml:space="preserve">   </v>
          </cell>
          <cell r="F454">
            <v>81022</v>
          </cell>
          <cell r="G454">
            <v>81025</v>
          </cell>
          <cell r="H454">
            <v>0</v>
          </cell>
          <cell r="I454">
            <v>1000</v>
          </cell>
          <cell r="J454">
            <v>816</v>
          </cell>
          <cell r="K454">
            <v>410</v>
          </cell>
          <cell r="L454">
            <v>349</v>
          </cell>
          <cell r="M454">
            <v>349</v>
          </cell>
          <cell r="N454">
            <v>25650000</v>
          </cell>
          <cell r="O454">
            <v>20941008</v>
          </cell>
          <cell r="P454">
            <v>10521830</v>
          </cell>
          <cell r="Q454">
            <v>8956387</v>
          </cell>
          <cell r="R454">
            <v>29251600</v>
          </cell>
          <cell r="S454" t="str">
            <v xml:space="preserve"> </v>
          </cell>
          <cell r="T454" t="str">
            <v xml:space="preserve"> </v>
          </cell>
          <cell r="U454">
            <v>816</v>
          </cell>
          <cell r="V454">
            <v>20941008</v>
          </cell>
          <cell r="W454">
            <v>349</v>
          </cell>
          <cell r="X454">
            <v>8956387</v>
          </cell>
          <cell r="Y454">
            <v>42.89</v>
          </cell>
          <cell r="Z454">
            <v>43.01</v>
          </cell>
          <cell r="AA454">
            <v>8956387</v>
          </cell>
          <cell r="AB454">
            <v>0</v>
          </cell>
          <cell r="AC454">
            <v>406</v>
          </cell>
          <cell r="AD454">
            <v>10419178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>
            <v>51326</v>
          </cell>
          <cell r="AM454">
            <v>60</v>
          </cell>
          <cell r="AN454">
            <v>13858020</v>
          </cell>
          <cell r="AO454">
            <v>25650</v>
          </cell>
          <cell r="AP454">
            <v>25663</v>
          </cell>
          <cell r="AQ454">
            <v>98000</v>
          </cell>
          <cell r="AR454">
            <v>0</v>
          </cell>
          <cell r="AS454">
            <v>3.82</v>
          </cell>
          <cell r="AT454">
            <v>79968000</v>
          </cell>
          <cell r="AU454">
            <v>3.27</v>
          </cell>
          <cell r="AV454">
            <v>29251600</v>
          </cell>
          <cell r="AW454">
            <v>0</v>
          </cell>
          <cell r="AX454">
            <v>0</v>
          </cell>
          <cell r="AY454">
            <v>42.89</v>
          </cell>
          <cell r="AZ454">
            <v>0</v>
          </cell>
          <cell r="BA454">
            <v>349</v>
          </cell>
          <cell r="BB454">
            <v>0</v>
          </cell>
          <cell r="BC454">
            <v>349</v>
          </cell>
          <cell r="BD454">
            <v>0</v>
          </cell>
          <cell r="BE454">
            <v>0</v>
          </cell>
          <cell r="BF454">
            <v>34</v>
          </cell>
          <cell r="BG454">
            <v>0</v>
          </cell>
          <cell r="BH454">
            <v>1</v>
          </cell>
          <cell r="BI454">
            <v>167</v>
          </cell>
          <cell r="BJ454">
            <v>37</v>
          </cell>
          <cell r="BK454">
            <v>49</v>
          </cell>
          <cell r="BL454">
            <v>35</v>
          </cell>
          <cell r="BM454">
            <v>30</v>
          </cell>
          <cell r="BN454">
            <v>16</v>
          </cell>
          <cell r="BO454">
            <v>0</v>
          </cell>
          <cell r="BP454">
            <v>14</v>
          </cell>
          <cell r="BQ454">
            <v>6</v>
          </cell>
          <cell r="BR454">
            <v>7</v>
          </cell>
          <cell r="BS454">
            <v>4</v>
          </cell>
          <cell r="BT454">
            <v>0</v>
          </cell>
          <cell r="BU454">
            <v>-3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13</v>
          </cell>
          <cell r="DU454">
            <v>0</v>
          </cell>
          <cell r="DV454">
            <v>0</v>
          </cell>
          <cell r="DW454">
            <v>0</v>
          </cell>
          <cell r="DX454">
            <v>5</v>
          </cell>
          <cell r="DY454">
            <v>8</v>
          </cell>
          <cell r="DZ454">
            <v>0</v>
          </cell>
          <cell r="EA454">
            <v>85</v>
          </cell>
          <cell r="EB454">
            <v>5</v>
          </cell>
          <cell r="EC454">
            <v>32</v>
          </cell>
          <cell r="ED454">
            <v>15</v>
          </cell>
          <cell r="EE454">
            <v>12</v>
          </cell>
          <cell r="EF454">
            <v>21</v>
          </cell>
          <cell r="EG454">
            <v>0</v>
          </cell>
          <cell r="EH454">
            <v>70</v>
          </cell>
          <cell r="EI454">
            <v>7</v>
          </cell>
          <cell r="EJ454">
            <v>13</v>
          </cell>
          <cell r="EK454">
            <v>12</v>
          </cell>
          <cell r="EL454">
            <v>23</v>
          </cell>
          <cell r="EM454">
            <v>15</v>
          </cell>
          <cell r="EN454">
            <v>0</v>
          </cell>
          <cell r="EO454" t="str">
            <v xml:space="preserve">Mens Holly Springs                                          </v>
          </cell>
        </row>
        <row r="455">
          <cell r="A455" t="str">
            <v>CN4YM6873400</v>
          </cell>
          <cell r="B455" t="str">
            <v>CN4</v>
          </cell>
          <cell r="C455" t="str">
            <v>YM6873</v>
          </cell>
          <cell r="D455">
            <v>400</v>
          </cell>
          <cell r="E455" t="str">
            <v xml:space="preserve">   </v>
          </cell>
          <cell r="F455">
            <v>80905</v>
          </cell>
          <cell r="G455">
            <v>80909</v>
          </cell>
          <cell r="H455">
            <v>0</v>
          </cell>
          <cell r="I455">
            <v>800</v>
          </cell>
          <cell r="J455">
            <v>824</v>
          </cell>
          <cell r="K455">
            <v>494</v>
          </cell>
          <cell r="L455">
            <v>430</v>
          </cell>
          <cell r="M455">
            <v>430</v>
          </cell>
          <cell r="N455">
            <v>18840000</v>
          </cell>
          <cell r="O455">
            <v>19390368</v>
          </cell>
          <cell r="P455">
            <v>11624808</v>
          </cell>
          <cell r="Q455">
            <v>10118760</v>
          </cell>
          <cell r="R455">
            <v>38049300</v>
          </cell>
          <cell r="S455" t="str">
            <v xml:space="preserve"> </v>
          </cell>
          <cell r="T455" t="str">
            <v xml:space="preserve"> </v>
          </cell>
          <cell r="U455">
            <v>824</v>
          </cell>
          <cell r="V455">
            <v>19390368</v>
          </cell>
          <cell r="W455">
            <v>430</v>
          </cell>
          <cell r="X455">
            <v>10118760</v>
          </cell>
          <cell r="Y455">
            <v>52.31</v>
          </cell>
          <cell r="Z455">
            <v>52.43</v>
          </cell>
          <cell r="AA455">
            <v>10118760</v>
          </cell>
          <cell r="AB455">
            <v>0</v>
          </cell>
          <cell r="AC455">
            <v>330</v>
          </cell>
          <cell r="AD455">
            <v>7765560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>
            <v>47064</v>
          </cell>
          <cell r="AM455">
            <v>63</v>
          </cell>
          <cell r="AN455">
            <v>10636464</v>
          </cell>
          <cell r="AO455">
            <v>23550</v>
          </cell>
          <cell r="AP455">
            <v>23532</v>
          </cell>
          <cell r="AQ455">
            <v>98000</v>
          </cell>
          <cell r="AR455">
            <v>0</v>
          </cell>
          <cell r="AS455">
            <v>4.16</v>
          </cell>
          <cell r="AT455">
            <v>80752000</v>
          </cell>
          <cell r="AU455">
            <v>3.76</v>
          </cell>
          <cell r="AV455">
            <v>38049300</v>
          </cell>
          <cell r="AW455">
            <v>0</v>
          </cell>
          <cell r="AX455">
            <v>0</v>
          </cell>
          <cell r="AY455">
            <v>52.31</v>
          </cell>
          <cell r="AZ455">
            <v>0</v>
          </cell>
          <cell r="BA455">
            <v>430</v>
          </cell>
          <cell r="BB455">
            <v>0</v>
          </cell>
          <cell r="BC455">
            <v>430</v>
          </cell>
          <cell r="BD455">
            <v>0</v>
          </cell>
          <cell r="BE455">
            <v>0</v>
          </cell>
          <cell r="BF455">
            <v>20</v>
          </cell>
          <cell r="BG455">
            <v>1</v>
          </cell>
          <cell r="BH455">
            <v>1</v>
          </cell>
          <cell r="BI455">
            <v>76</v>
          </cell>
          <cell r="BJ455">
            <v>15</v>
          </cell>
          <cell r="BK455">
            <v>14</v>
          </cell>
          <cell r="BL455">
            <v>17</v>
          </cell>
          <cell r="BM455">
            <v>15</v>
          </cell>
          <cell r="BN455">
            <v>15</v>
          </cell>
          <cell r="BO455">
            <v>0</v>
          </cell>
          <cell r="BP455">
            <v>-4</v>
          </cell>
          <cell r="BQ455">
            <v>1</v>
          </cell>
          <cell r="BR455">
            <v>2</v>
          </cell>
          <cell r="BS455">
            <v>-6</v>
          </cell>
          <cell r="BT455">
            <v>-1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108</v>
          </cell>
          <cell r="DN455">
            <v>0</v>
          </cell>
          <cell r="DO455">
            <v>3</v>
          </cell>
          <cell r="DP455">
            <v>9</v>
          </cell>
          <cell r="DQ455">
            <v>90</v>
          </cell>
          <cell r="DR455">
            <v>6</v>
          </cell>
          <cell r="DS455">
            <v>0</v>
          </cell>
          <cell r="DT455">
            <v>100</v>
          </cell>
          <cell r="DU455">
            <v>22</v>
          </cell>
          <cell r="DV455">
            <v>25</v>
          </cell>
          <cell r="DW455">
            <v>26</v>
          </cell>
          <cell r="DX455">
            <v>11</v>
          </cell>
          <cell r="DY455">
            <v>16</v>
          </cell>
          <cell r="DZ455">
            <v>0</v>
          </cell>
          <cell r="EA455">
            <v>83</v>
          </cell>
          <cell r="EB455">
            <v>10</v>
          </cell>
          <cell r="EC455">
            <v>23</v>
          </cell>
          <cell r="ED455">
            <v>16</v>
          </cell>
          <cell r="EE455">
            <v>16</v>
          </cell>
          <cell r="EF455">
            <v>18</v>
          </cell>
          <cell r="EG455">
            <v>0</v>
          </cell>
          <cell r="EH455">
            <v>67</v>
          </cell>
          <cell r="EI455">
            <v>16</v>
          </cell>
          <cell r="EJ455">
            <v>15</v>
          </cell>
          <cell r="EK455">
            <v>11</v>
          </cell>
          <cell r="EL455">
            <v>32</v>
          </cell>
          <cell r="EM455">
            <v>-7</v>
          </cell>
          <cell r="EN455">
            <v>0</v>
          </cell>
          <cell r="EO455" t="str">
            <v xml:space="preserve">Mens  Holyoke                                               </v>
          </cell>
        </row>
        <row r="456">
          <cell r="A456" t="str">
            <v>CN4YM6873929</v>
          </cell>
          <cell r="B456" t="str">
            <v>CN4</v>
          </cell>
          <cell r="C456" t="str">
            <v>YM6873</v>
          </cell>
          <cell r="D456">
            <v>929</v>
          </cell>
          <cell r="E456" t="str">
            <v xml:space="preserve">   </v>
          </cell>
          <cell r="F456">
            <v>80905</v>
          </cell>
          <cell r="G456">
            <v>80909</v>
          </cell>
          <cell r="H456">
            <v>0</v>
          </cell>
          <cell r="I456">
            <v>700</v>
          </cell>
          <cell r="J456">
            <v>728</v>
          </cell>
          <cell r="K456">
            <v>351</v>
          </cell>
          <cell r="L456">
            <v>290</v>
          </cell>
          <cell r="M456">
            <v>290</v>
          </cell>
          <cell r="N456">
            <v>16485000</v>
          </cell>
          <cell r="O456">
            <v>17131296</v>
          </cell>
          <cell r="P456">
            <v>8259732</v>
          </cell>
          <cell r="Q456">
            <v>6824280</v>
          </cell>
          <cell r="R456">
            <v>25930977</v>
          </cell>
          <cell r="S456" t="str">
            <v xml:space="preserve"> </v>
          </cell>
          <cell r="T456" t="str">
            <v xml:space="preserve"> </v>
          </cell>
          <cell r="U456">
            <v>728</v>
          </cell>
          <cell r="V456">
            <v>17131296</v>
          </cell>
          <cell r="W456">
            <v>290</v>
          </cell>
          <cell r="X456">
            <v>6824280</v>
          </cell>
          <cell r="Y456">
            <v>39.700000000000003</v>
          </cell>
          <cell r="Z456">
            <v>39.56</v>
          </cell>
          <cell r="AA456">
            <v>6753684</v>
          </cell>
          <cell r="AB456">
            <v>70596</v>
          </cell>
          <cell r="AC456">
            <v>377</v>
          </cell>
          <cell r="AD456">
            <v>8871564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-1</v>
          </cell>
          <cell r="AL456">
            <v>-47064</v>
          </cell>
          <cell r="AM456">
            <v>62</v>
          </cell>
          <cell r="AN456">
            <v>11860128</v>
          </cell>
          <cell r="AO456">
            <v>23550</v>
          </cell>
          <cell r="AP456">
            <v>23532</v>
          </cell>
          <cell r="AQ456">
            <v>98000</v>
          </cell>
          <cell r="AR456">
            <v>0</v>
          </cell>
          <cell r="AS456">
            <v>4.16</v>
          </cell>
          <cell r="AT456">
            <v>71344000</v>
          </cell>
          <cell r="AU456">
            <v>3.84</v>
          </cell>
          <cell r="AV456">
            <v>25910400</v>
          </cell>
          <cell r="AW456">
            <v>0.28999999999999998</v>
          </cell>
          <cell r="AX456">
            <v>20577</v>
          </cell>
          <cell r="AY456">
            <v>39.700000000000003</v>
          </cell>
          <cell r="AZ456">
            <v>0</v>
          </cell>
          <cell r="BA456">
            <v>287</v>
          </cell>
          <cell r="BB456">
            <v>3</v>
          </cell>
          <cell r="BC456">
            <v>290</v>
          </cell>
          <cell r="BD456">
            <v>0</v>
          </cell>
          <cell r="BE456">
            <v>0</v>
          </cell>
          <cell r="BF456">
            <v>23</v>
          </cell>
          <cell r="BG456">
            <v>0</v>
          </cell>
          <cell r="BH456">
            <v>1</v>
          </cell>
          <cell r="BI456">
            <v>62</v>
          </cell>
          <cell r="BJ456">
            <v>9</v>
          </cell>
          <cell r="BK456">
            <v>17</v>
          </cell>
          <cell r="BL456">
            <v>18</v>
          </cell>
          <cell r="BM456">
            <v>12</v>
          </cell>
          <cell r="BN456">
            <v>6</v>
          </cell>
          <cell r="BO456">
            <v>0</v>
          </cell>
          <cell r="BP456">
            <v>3</v>
          </cell>
          <cell r="BQ456">
            <v>1</v>
          </cell>
          <cell r="BR456">
            <v>5</v>
          </cell>
          <cell r="BS456">
            <v>-4</v>
          </cell>
          <cell r="BT456">
            <v>1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49</v>
          </cell>
          <cell r="DN456">
            <v>0</v>
          </cell>
          <cell r="DO456">
            <v>3</v>
          </cell>
          <cell r="DP456">
            <v>6</v>
          </cell>
          <cell r="DQ456">
            <v>39</v>
          </cell>
          <cell r="DR456">
            <v>1</v>
          </cell>
          <cell r="DS456">
            <v>0</v>
          </cell>
          <cell r="DT456">
            <v>59</v>
          </cell>
          <cell r="DU456">
            <v>18</v>
          </cell>
          <cell r="DV456">
            <v>10</v>
          </cell>
          <cell r="DW456">
            <v>11</v>
          </cell>
          <cell r="DX456">
            <v>10</v>
          </cell>
          <cell r="DY456">
            <v>10</v>
          </cell>
          <cell r="DZ456">
            <v>0</v>
          </cell>
          <cell r="EA456">
            <v>66</v>
          </cell>
          <cell r="EB456">
            <v>3</v>
          </cell>
          <cell r="EC456">
            <v>15</v>
          </cell>
          <cell r="ED456">
            <v>12</v>
          </cell>
          <cell r="EE456">
            <v>20</v>
          </cell>
          <cell r="EF456">
            <v>16</v>
          </cell>
          <cell r="EG456">
            <v>0</v>
          </cell>
          <cell r="EH456">
            <v>51</v>
          </cell>
          <cell r="EI456">
            <v>13</v>
          </cell>
          <cell r="EJ456">
            <v>13</v>
          </cell>
          <cell r="EK456">
            <v>6</v>
          </cell>
          <cell r="EL456">
            <v>15</v>
          </cell>
          <cell r="EM456">
            <v>4</v>
          </cell>
          <cell r="EN456">
            <v>0</v>
          </cell>
          <cell r="EO456" t="str">
            <v xml:space="preserve">Mens  Holyoke                                               </v>
          </cell>
        </row>
        <row r="457">
          <cell r="A457" t="str">
            <v>CN4YM6875094</v>
          </cell>
          <cell r="B457" t="str">
            <v>CN4</v>
          </cell>
          <cell r="C457" t="str">
            <v>YM6875</v>
          </cell>
          <cell r="D457">
            <v>94</v>
          </cell>
          <cell r="E457" t="str">
            <v xml:space="preserve">   </v>
          </cell>
          <cell r="F457">
            <v>81028</v>
          </cell>
          <cell r="G457">
            <v>81028</v>
          </cell>
          <cell r="H457">
            <v>0</v>
          </cell>
          <cell r="I457">
            <v>1000</v>
          </cell>
          <cell r="J457">
            <v>952</v>
          </cell>
          <cell r="K457">
            <v>952</v>
          </cell>
          <cell r="L457">
            <v>430</v>
          </cell>
          <cell r="M457">
            <v>430</v>
          </cell>
          <cell r="N457">
            <v>23150000</v>
          </cell>
          <cell r="O457">
            <v>22081610</v>
          </cell>
          <cell r="P457">
            <v>22082034</v>
          </cell>
          <cell r="Q457">
            <v>9974694</v>
          </cell>
          <cell r="R457">
            <v>39436719</v>
          </cell>
          <cell r="S457" t="str">
            <v xml:space="preserve"> </v>
          </cell>
          <cell r="T457" t="str">
            <v xml:space="preserve"> </v>
          </cell>
          <cell r="U457">
            <v>952</v>
          </cell>
          <cell r="V457">
            <v>22081610</v>
          </cell>
          <cell r="W457">
            <v>430</v>
          </cell>
          <cell r="X457">
            <v>9974694</v>
          </cell>
          <cell r="Y457">
            <v>45.17</v>
          </cell>
          <cell r="Z457">
            <v>45.17</v>
          </cell>
          <cell r="AA457">
            <v>9951497</v>
          </cell>
          <cell r="AB457">
            <v>23197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522</v>
          </cell>
          <cell r="AN457">
            <v>24959972</v>
          </cell>
          <cell r="AO457">
            <v>23150</v>
          </cell>
          <cell r="AP457">
            <v>23197</v>
          </cell>
          <cell r="AQ457">
            <v>108000</v>
          </cell>
          <cell r="AR457">
            <v>0</v>
          </cell>
          <cell r="AS457">
            <v>4.66</v>
          </cell>
          <cell r="AT457">
            <v>102816000</v>
          </cell>
          <cell r="AU457">
            <v>3.96</v>
          </cell>
          <cell r="AV457">
            <v>39429860</v>
          </cell>
          <cell r="AW457">
            <v>0.3</v>
          </cell>
          <cell r="AX457">
            <v>6859</v>
          </cell>
          <cell r="AY457">
            <v>45.17</v>
          </cell>
          <cell r="AZ457">
            <v>0</v>
          </cell>
          <cell r="BA457">
            <v>429</v>
          </cell>
          <cell r="BB457">
            <v>1</v>
          </cell>
          <cell r="BC457">
            <v>430</v>
          </cell>
          <cell r="BD457">
            <v>0</v>
          </cell>
          <cell r="BE457">
            <v>0</v>
          </cell>
          <cell r="BF457">
            <v>48</v>
          </cell>
          <cell r="BG457">
            <v>1</v>
          </cell>
          <cell r="BH457">
            <v>1</v>
          </cell>
          <cell r="BI457">
            <v>181</v>
          </cell>
          <cell r="BJ457">
            <v>34</v>
          </cell>
          <cell r="BK457">
            <v>50</v>
          </cell>
          <cell r="BL457">
            <v>50</v>
          </cell>
          <cell r="BM457">
            <v>34</v>
          </cell>
          <cell r="BN457">
            <v>13</v>
          </cell>
          <cell r="BO457">
            <v>0</v>
          </cell>
          <cell r="BP457">
            <v>32</v>
          </cell>
          <cell r="BQ457">
            <v>1</v>
          </cell>
          <cell r="BR457">
            <v>6</v>
          </cell>
          <cell r="BS457">
            <v>10</v>
          </cell>
          <cell r="BT457">
            <v>12</v>
          </cell>
          <cell r="BU457">
            <v>3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8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8</v>
          </cell>
          <cell r="DZ457">
            <v>0</v>
          </cell>
          <cell r="EA457">
            <v>107</v>
          </cell>
          <cell r="EB457">
            <v>16</v>
          </cell>
          <cell r="EC457">
            <v>26</v>
          </cell>
          <cell r="ED457">
            <v>22</v>
          </cell>
          <cell r="EE457">
            <v>28</v>
          </cell>
          <cell r="EF457">
            <v>15</v>
          </cell>
          <cell r="EG457">
            <v>0</v>
          </cell>
          <cell r="EH457">
            <v>102</v>
          </cell>
          <cell r="EI457">
            <v>11</v>
          </cell>
          <cell r="EJ457">
            <v>9</v>
          </cell>
          <cell r="EK457">
            <v>20</v>
          </cell>
          <cell r="EL457">
            <v>40</v>
          </cell>
          <cell r="EM457">
            <v>22</v>
          </cell>
          <cell r="EN457">
            <v>0</v>
          </cell>
          <cell r="EO457" t="str">
            <v xml:space="preserve">Mens  Yoder                                                 </v>
          </cell>
        </row>
        <row r="458">
          <cell r="A458" t="str">
            <v>CN4YM6875642</v>
          </cell>
          <cell r="B458" t="str">
            <v>CN4</v>
          </cell>
          <cell r="C458" t="str">
            <v>YM6875</v>
          </cell>
          <cell r="D458">
            <v>642</v>
          </cell>
          <cell r="E458" t="str">
            <v xml:space="preserve">   </v>
          </cell>
          <cell r="F458">
            <v>81028</v>
          </cell>
          <cell r="G458">
            <v>81028</v>
          </cell>
          <cell r="H458">
            <v>0</v>
          </cell>
          <cell r="I458">
            <v>500</v>
          </cell>
          <cell r="J458">
            <v>511</v>
          </cell>
          <cell r="K458">
            <v>511</v>
          </cell>
          <cell r="L458">
            <v>320</v>
          </cell>
          <cell r="M458">
            <v>320</v>
          </cell>
          <cell r="N458">
            <v>11575000</v>
          </cell>
          <cell r="O458">
            <v>11852637</v>
          </cell>
          <cell r="P458">
            <v>11852719</v>
          </cell>
          <cell r="Q458">
            <v>7423014</v>
          </cell>
          <cell r="R458">
            <v>28462918</v>
          </cell>
          <cell r="S458" t="str">
            <v xml:space="preserve"> </v>
          </cell>
          <cell r="T458" t="str">
            <v xml:space="preserve"> </v>
          </cell>
          <cell r="U458">
            <v>511</v>
          </cell>
          <cell r="V458">
            <v>11852637</v>
          </cell>
          <cell r="W458">
            <v>320</v>
          </cell>
          <cell r="X458">
            <v>7423014</v>
          </cell>
          <cell r="Y458">
            <v>62.62</v>
          </cell>
          <cell r="Z458">
            <v>62.63</v>
          </cell>
          <cell r="AA458">
            <v>7376620</v>
          </cell>
          <cell r="AB458">
            <v>46394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191</v>
          </cell>
          <cell r="AN458">
            <v>9023633</v>
          </cell>
          <cell r="AO458">
            <v>23150</v>
          </cell>
          <cell r="AP458">
            <v>23197</v>
          </cell>
          <cell r="AQ458">
            <v>108000</v>
          </cell>
          <cell r="AR458">
            <v>0</v>
          </cell>
          <cell r="AS458">
            <v>4.66</v>
          </cell>
          <cell r="AT458">
            <v>55188000</v>
          </cell>
          <cell r="AU458">
            <v>3.86</v>
          </cell>
          <cell r="AV458">
            <v>28449200</v>
          </cell>
          <cell r="AW458">
            <v>0.3</v>
          </cell>
          <cell r="AX458">
            <v>13718</v>
          </cell>
          <cell r="AY458">
            <v>62.62</v>
          </cell>
          <cell r="AZ458">
            <v>0</v>
          </cell>
          <cell r="BA458">
            <v>318</v>
          </cell>
          <cell r="BB458">
            <v>2</v>
          </cell>
          <cell r="BC458">
            <v>320</v>
          </cell>
          <cell r="BD458">
            <v>0</v>
          </cell>
          <cell r="BE458">
            <v>0</v>
          </cell>
          <cell r="BF458">
            <v>13</v>
          </cell>
          <cell r="BG458">
            <v>0</v>
          </cell>
          <cell r="BH458">
            <v>1</v>
          </cell>
          <cell r="BI458">
            <v>154</v>
          </cell>
          <cell r="BJ458">
            <v>101</v>
          </cell>
          <cell r="BK458">
            <v>21</v>
          </cell>
          <cell r="BL458">
            <v>23</v>
          </cell>
          <cell r="BM458">
            <v>8</v>
          </cell>
          <cell r="BN458">
            <v>1</v>
          </cell>
          <cell r="BO458">
            <v>0</v>
          </cell>
          <cell r="BP458">
            <v>7</v>
          </cell>
          <cell r="BQ458">
            <v>1</v>
          </cell>
          <cell r="BR458">
            <v>3</v>
          </cell>
          <cell r="BS458">
            <v>1</v>
          </cell>
          <cell r="BT458">
            <v>1</v>
          </cell>
          <cell r="BU458">
            <v>1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13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13</v>
          </cell>
          <cell r="DZ458">
            <v>0</v>
          </cell>
          <cell r="EA458">
            <v>94</v>
          </cell>
          <cell r="EB458">
            <v>16</v>
          </cell>
          <cell r="EC458">
            <v>24</v>
          </cell>
          <cell r="ED458">
            <v>21</v>
          </cell>
          <cell r="EE458">
            <v>15</v>
          </cell>
          <cell r="EF458">
            <v>18</v>
          </cell>
          <cell r="EG458">
            <v>0</v>
          </cell>
          <cell r="EH458">
            <v>52</v>
          </cell>
          <cell r="EI458">
            <v>15</v>
          </cell>
          <cell r="EJ458">
            <v>9</v>
          </cell>
          <cell r="EK458">
            <v>1</v>
          </cell>
          <cell r="EL458">
            <v>14</v>
          </cell>
          <cell r="EM458">
            <v>13</v>
          </cell>
          <cell r="EN458">
            <v>0</v>
          </cell>
          <cell r="EO458" t="str">
            <v xml:space="preserve">Mens  Yoder                                                 </v>
          </cell>
        </row>
        <row r="459">
          <cell r="A459" t="str">
            <v>CN4YM6875979</v>
          </cell>
          <cell r="B459" t="str">
            <v>CN4</v>
          </cell>
          <cell r="C459" t="str">
            <v>YM6875</v>
          </cell>
          <cell r="D459">
            <v>979</v>
          </cell>
          <cell r="E459" t="str">
            <v xml:space="preserve">   </v>
          </cell>
          <cell r="F459">
            <v>81028</v>
          </cell>
          <cell r="G459">
            <v>81028</v>
          </cell>
          <cell r="H459">
            <v>0</v>
          </cell>
          <cell r="I459">
            <v>800</v>
          </cell>
          <cell r="J459">
            <v>790</v>
          </cell>
          <cell r="K459">
            <v>786</v>
          </cell>
          <cell r="L459">
            <v>397</v>
          </cell>
          <cell r="M459">
            <v>397</v>
          </cell>
          <cell r="N459">
            <v>18520000</v>
          </cell>
          <cell r="O459">
            <v>18324036</v>
          </cell>
          <cell r="P459">
            <v>18231620</v>
          </cell>
          <cell r="Q459">
            <v>9209181</v>
          </cell>
          <cell r="R459">
            <v>36512383</v>
          </cell>
          <cell r="S459" t="str">
            <v xml:space="preserve"> </v>
          </cell>
          <cell r="T459" t="str">
            <v xml:space="preserve"> </v>
          </cell>
          <cell r="U459">
            <v>790</v>
          </cell>
          <cell r="V459">
            <v>18324036</v>
          </cell>
          <cell r="W459">
            <v>397</v>
          </cell>
          <cell r="X459">
            <v>9209181</v>
          </cell>
          <cell r="Y459">
            <v>50.25</v>
          </cell>
          <cell r="Z459">
            <v>50.26</v>
          </cell>
          <cell r="AA459">
            <v>9162787</v>
          </cell>
          <cell r="AB459">
            <v>46394</v>
          </cell>
          <cell r="AC459">
            <v>4</v>
          </cell>
          <cell r="AD459">
            <v>92788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389</v>
          </cell>
          <cell r="AN459">
            <v>18998343</v>
          </cell>
          <cell r="AO459">
            <v>23150</v>
          </cell>
          <cell r="AP459">
            <v>23197</v>
          </cell>
          <cell r="AQ459">
            <v>108000</v>
          </cell>
          <cell r="AR459">
            <v>0</v>
          </cell>
          <cell r="AS459">
            <v>4.66</v>
          </cell>
          <cell r="AT459">
            <v>85320000</v>
          </cell>
          <cell r="AU459">
            <v>3.98</v>
          </cell>
          <cell r="AV459">
            <v>36498665</v>
          </cell>
          <cell r="AW459">
            <v>0.3</v>
          </cell>
          <cell r="AX459">
            <v>13718</v>
          </cell>
          <cell r="AY459">
            <v>50.25</v>
          </cell>
          <cell r="AZ459">
            <v>0</v>
          </cell>
          <cell r="BA459">
            <v>395</v>
          </cell>
          <cell r="BB459">
            <v>2</v>
          </cell>
          <cell r="BC459">
            <v>397</v>
          </cell>
          <cell r="BD459">
            <v>0</v>
          </cell>
          <cell r="BE459">
            <v>0</v>
          </cell>
          <cell r="BF459">
            <v>55</v>
          </cell>
          <cell r="BG459">
            <v>0</v>
          </cell>
          <cell r="BH459">
            <v>1</v>
          </cell>
          <cell r="BI459">
            <v>175</v>
          </cell>
          <cell r="BJ459">
            <v>28</v>
          </cell>
          <cell r="BK459">
            <v>45</v>
          </cell>
          <cell r="BL459">
            <v>42</v>
          </cell>
          <cell r="BM459">
            <v>46</v>
          </cell>
          <cell r="BN459">
            <v>14</v>
          </cell>
          <cell r="BO459">
            <v>0</v>
          </cell>
          <cell r="BP459">
            <v>37</v>
          </cell>
          <cell r="BQ459">
            <v>6</v>
          </cell>
          <cell r="BR459">
            <v>9</v>
          </cell>
          <cell r="BS459">
            <v>7</v>
          </cell>
          <cell r="BT459">
            <v>12</v>
          </cell>
          <cell r="BU459">
            <v>3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14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14</v>
          </cell>
          <cell r="DZ459">
            <v>0</v>
          </cell>
          <cell r="EA459">
            <v>95</v>
          </cell>
          <cell r="EB459">
            <v>14</v>
          </cell>
          <cell r="EC459">
            <v>27</v>
          </cell>
          <cell r="ED459">
            <v>19</v>
          </cell>
          <cell r="EE459">
            <v>15</v>
          </cell>
          <cell r="EF459">
            <v>20</v>
          </cell>
          <cell r="EG459">
            <v>0</v>
          </cell>
          <cell r="EH459">
            <v>76</v>
          </cell>
          <cell r="EI459">
            <v>8</v>
          </cell>
          <cell r="EJ459">
            <v>13</v>
          </cell>
          <cell r="EK459">
            <v>9</v>
          </cell>
          <cell r="EL459">
            <v>26</v>
          </cell>
          <cell r="EM459">
            <v>20</v>
          </cell>
          <cell r="EN459">
            <v>0</v>
          </cell>
          <cell r="EO459" t="str">
            <v xml:space="preserve">Mens  Yoder                                                 </v>
          </cell>
        </row>
        <row r="460">
          <cell r="A460" t="str">
            <v>CN4YM6876302</v>
          </cell>
          <cell r="B460" t="str">
            <v>CN4</v>
          </cell>
          <cell r="C460" t="str">
            <v>YM6876</v>
          </cell>
          <cell r="D460">
            <v>302</v>
          </cell>
          <cell r="E460" t="str">
            <v xml:space="preserve">   </v>
          </cell>
          <cell r="F460">
            <v>81017</v>
          </cell>
          <cell r="G460">
            <v>81017</v>
          </cell>
          <cell r="H460">
            <v>0</v>
          </cell>
          <cell r="I460">
            <v>700</v>
          </cell>
          <cell r="J460">
            <v>721</v>
          </cell>
          <cell r="K460">
            <v>718</v>
          </cell>
          <cell r="L460">
            <v>336</v>
          </cell>
          <cell r="M460">
            <v>336</v>
          </cell>
          <cell r="N460">
            <v>23415000</v>
          </cell>
          <cell r="O460">
            <v>24149174</v>
          </cell>
          <cell r="P460">
            <v>24048692</v>
          </cell>
          <cell r="Q460">
            <v>11253984</v>
          </cell>
          <cell r="R460">
            <v>49451510</v>
          </cell>
          <cell r="S460" t="str">
            <v xml:space="preserve"> </v>
          </cell>
          <cell r="T460" t="str">
            <v xml:space="preserve"> </v>
          </cell>
          <cell r="U460">
            <v>721</v>
          </cell>
          <cell r="V460">
            <v>24149174</v>
          </cell>
          <cell r="W460">
            <v>336</v>
          </cell>
          <cell r="X460">
            <v>11253984</v>
          </cell>
          <cell r="Y460">
            <v>46.74</v>
          </cell>
          <cell r="Z460">
            <v>46.88</v>
          </cell>
          <cell r="AA460">
            <v>11220490</v>
          </cell>
          <cell r="AB460">
            <v>33494</v>
          </cell>
          <cell r="AC460">
            <v>3</v>
          </cell>
          <cell r="AD460">
            <v>100482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>
            <v>66988</v>
          </cell>
          <cell r="AM460">
            <v>381</v>
          </cell>
          <cell r="AN460">
            <v>26426766</v>
          </cell>
          <cell r="AO460">
            <v>33450</v>
          </cell>
          <cell r="AP460">
            <v>33494</v>
          </cell>
          <cell r="AQ460">
            <v>158000</v>
          </cell>
          <cell r="AR460">
            <v>0</v>
          </cell>
          <cell r="AS460">
            <v>4.72</v>
          </cell>
          <cell r="AT460">
            <v>113918000</v>
          </cell>
          <cell r="AU460">
            <v>4.41</v>
          </cell>
          <cell r="AV460">
            <v>49444651</v>
          </cell>
          <cell r="AW460">
            <v>0.2</v>
          </cell>
          <cell r="AX460">
            <v>6859</v>
          </cell>
          <cell r="AY460">
            <v>46.74</v>
          </cell>
          <cell r="AZ460">
            <v>0</v>
          </cell>
          <cell r="BA460">
            <v>335</v>
          </cell>
          <cell r="BB460">
            <v>1</v>
          </cell>
          <cell r="BC460">
            <v>336</v>
          </cell>
          <cell r="BD460">
            <v>0</v>
          </cell>
          <cell r="BE460">
            <v>0</v>
          </cell>
          <cell r="BF460">
            <v>34</v>
          </cell>
          <cell r="BG460">
            <v>1</v>
          </cell>
          <cell r="BH460">
            <v>1</v>
          </cell>
          <cell r="BI460">
            <v>65</v>
          </cell>
          <cell r="BJ460">
            <v>8</v>
          </cell>
          <cell r="BK460">
            <v>22</v>
          </cell>
          <cell r="BL460">
            <v>17</v>
          </cell>
          <cell r="BM460">
            <v>13</v>
          </cell>
          <cell r="BN460">
            <v>5</v>
          </cell>
          <cell r="BO460">
            <v>0</v>
          </cell>
          <cell r="BP460">
            <v>24</v>
          </cell>
          <cell r="BQ460">
            <v>4</v>
          </cell>
          <cell r="BR460">
            <v>4</v>
          </cell>
          <cell r="BS460">
            <v>7</v>
          </cell>
          <cell r="BT460">
            <v>9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38</v>
          </cell>
          <cell r="DU460">
            <v>0</v>
          </cell>
          <cell r="DV460">
            <v>0</v>
          </cell>
          <cell r="DW460">
            <v>4</v>
          </cell>
          <cell r="DX460">
            <v>20</v>
          </cell>
          <cell r="DY460">
            <v>14</v>
          </cell>
          <cell r="DZ460">
            <v>0</v>
          </cell>
          <cell r="EA460">
            <v>131</v>
          </cell>
          <cell r="EB460">
            <v>10</v>
          </cell>
          <cell r="EC460">
            <v>33</v>
          </cell>
          <cell r="ED460">
            <v>30</v>
          </cell>
          <cell r="EE460">
            <v>29</v>
          </cell>
          <cell r="EF460">
            <v>29</v>
          </cell>
          <cell r="EG460">
            <v>0</v>
          </cell>
          <cell r="EH460">
            <v>78</v>
          </cell>
          <cell r="EI460">
            <v>17</v>
          </cell>
          <cell r="EJ460">
            <v>18</v>
          </cell>
          <cell r="EK460">
            <v>21</v>
          </cell>
          <cell r="EL460">
            <v>20</v>
          </cell>
          <cell r="EM460">
            <v>2</v>
          </cell>
          <cell r="EN460">
            <v>0</v>
          </cell>
          <cell r="EO460" t="str">
            <v xml:space="preserve">Mens  Roanoke                                               </v>
          </cell>
        </row>
        <row r="461">
          <cell r="A461" t="str">
            <v>CN4YM6876588</v>
          </cell>
          <cell r="B461" t="str">
            <v>CN4</v>
          </cell>
          <cell r="C461" t="str">
            <v>YM6876</v>
          </cell>
          <cell r="D461">
            <v>588</v>
          </cell>
          <cell r="E461" t="str">
            <v xml:space="preserve">   </v>
          </cell>
          <cell r="F461">
            <v>81017</v>
          </cell>
          <cell r="G461">
            <v>81017</v>
          </cell>
          <cell r="H461">
            <v>0</v>
          </cell>
          <cell r="I461">
            <v>600</v>
          </cell>
          <cell r="J461">
            <v>622</v>
          </cell>
          <cell r="K461">
            <v>619</v>
          </cell>
          <cell r="L461">
            <v>295</v>
          </cell>
          <cell r="M461">
            <v>295</v>
          </cell>
          <cell r="N461">
            <v>20070000</v>
          </cell>
          <cell r="O461">
            <v>20833268</v>
          </cell>
          <cell r="P461">
            <v>20732786</v>
          </cell>
          <cell r="Q461">
            <v>9880730</v>
          </cell>
          <cell r="R461">
            <v>44041990</v>
          </cell>
          <cell r="S461" t="str">
            <v xml:space="preserve"> </v>
          </cell>
          <cell r="T461" t="str">
            <v xml:space="preserve"> </v>
          </cell>
          <cell r="U461">
            <v>622</v>
          </cell>
          <cell r="V461">
            <v>20833268</v>
          </cell>
          <cell r="W461">
            <v>295</v>
          </cell>
          <cell r="X461">
            <v>9880730</v>
          </cell>
          <cell r="Y461">
            <v>47.27</v>
          </cell>
          <cell r="Z461">
            <v>47.11</v>
          </cell>
          <cell r="AA461">
            <v>9880730</v>
          </cell>
          <cell r="AB461">
            <v>0</v>
          </cell>
          <cell r="AC461">
            <v>3</v>
          </cell>
          <cell r="AD461">
            <v>100482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-1</v>
          </cell>
          <cell r="AL461">
            <v>-66988</v>
          </cell>
          <cell r="AM461">
            <v>325</v>
          </cell>
          <cell r="AN461">
            <v>22373992</v>
          </cell>
          <cell r="AO461">
            <v>33450</v>
          </cell>
          <cell r="AP461">
            <v>33494</v>
          </cell>
          <cell r="AQ461">
            <v>158000</v>
          </cell>
          <cell r="AR461">
            <v>0</v>
          </cell>
          <cell r="AS461">
            <v>4.72</v>
          </cell>
          <cell r="AT461">
            <v>98276000</v>
          </cell>
          <cell r="AU461">
            <v>4.46</v>
          </cell>
          <cell r="AV461">
            <v>44041990</v>
          </cell>
          <cell r="AW461">
            <v>0</v>
          </cell>
          <cell r="AX461">
            <v>0</v>
          </cell>
          <cell r="AY461">
            <v>47.27</v>
          </cell>
          <cell r="AZ461">
            <v>0</v>
          </cell>
          <cell r="BA461">
            <v>295</v>
          </cell>
          <cell r="BB461">
            <v>0</v>
          </cell>
          <cell r="BC461">
            <v>295</v>
          </cell>
          <cell r="BD461">
            <v>0</v>
          </cell>
          <cell r="BE461">
            <v>0</v>
          </cell>
          <cell r="BF461">
            <v>31</v>
          </cell>
          <cell r="BG461">
            <v>0</v>
          </cell>
          <cell r="BH461">
            <v>1</v>
          </cell>
          <cell r="BI461">
            <v>41</v>
          </cell>
          <cell r="BJ461">
            <v>9</v>
          </cell>
          <cell r="BK461">
            <v>6</v>
          </cell>
          <cell r="BL461">
            <v>12</v>
          </cell>
          <cell r="BM461">
            <v>12</v>
          </cell>
          <cell r="BN461">
            <v>2</v>
          </cell>
          <cell r="BO461">
            <v>0</v>
          </cell>
          <cell r="BP461">
            <v>15</v>
          </cell>
          <cell r="BQ461">
            <v>1</v>
          </cell>
          <cell r="BR461">
            <v>6</v>
          </cell>
          <cell r="BS461">
            <v>5</v>
          </cell>
          <cell r="BT461">
            <v>3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49</v>
          </cell>
          <cell r="DU461">
            <v>0</v>
          </cell>
          <cell r="DV461">
            <v>0</v>
          </cell>
          <cell r="DW461">
            <v>8</v>
          </cell>
          <cell r="DX461">
            <v>24</v>
          </cell>
          <cell r="DY461">
            <v>17</v>
          </cell>
          <cell r="DZ461">
            <v>0</v>
          </cell>
          <cell r="EA461">
            <v>116</v>
          </cell>
          <cell r="EB461">
            <v>20</v>
          </cell>
          <cell r="EC461">
            <v>32</v>
          </cell>
          <cell r="ED461">
            <v>22</v>
          </cell>
          <cell r="EE461">
            <v>23</v>
          </cell>
          <cell r="EF461">
            <v>19</v>
          </cell>
          <cell r="EG461">
            <v>0</v>
          </cell>
          <cell r="EH461">
            <v>74</v>
          </cell>
          <cell r="EI461">
            <v>24</v>
          </cell>
          <cell r="EJ461">
            <v>14</v>
          </cell>
          <cell r="EK461">
            <v>16</v>
          </cell>
          <cell r="EL461">
            <v>19</v>
          </cell>
          <cell r="EM461">
            <v>1</v>
          </cell>
          <cell r="EN461">
            <v>0</v>
          </cell>
          <cell r="EO461" t="str">
            <v xml:space="preserve">Mens  Roanoke                                               </v>
          </cell>
        </row>
        <row r="462">
          <cell r="A462" t="str">
            <v>CN4YM6876980</v>
          </cell>
          <cell r="B462" t="str">
            <v>CN4</v>
          </cell>
          <cell r="C462" t="str">
            <v>YM6876</v>
          </cell>
          <cell r="D462">
            <v>980</v>
          </cell>
          <cell r="E462" t="str">
            <v xml:space="preserve">   </v>
          </cell>
          <cell r="F462">
            <v>81017</v>
          </cell>
          <cell r="G462">
            <v>81017</v>
          </cell>
          <cell r="H462">
            <v>0</v>
          </cell>
          <cell r="I462">
            <v>1100</v>
          </cell>
          <cell r="J462">
            <v>1127</v>
          </cell>
          <cell r="K462">
            <v>1122</v>
          </cell>
          <cell r="L462">
            <v>520</v>
          </cell>
          <cell r="M462">
            <v>520</v>
          </cell>
          <cell r="N462">
            <v>36795000</v>
          </cell>
          <cell r="O462">
            <v>37747738</v>
          </cell>
          <cell r="P462">
            <v>37580268</v>
          </cell>
          <cell r="Q462">
            <v>17416880</v>
          </cell>
          <cell r="R462">
            <v>76477828</v>
          </cell>
          <cell r="S462" t="str">
            <v xml:space="preserve"> </v>
          </cell>
          <cell r="T462" t="str">
            <v xml:space="preserve"> </v>
          </cell>
          <cell r="U462">
            <v>1127</v>
          </cell>
          <cell r="V462">
            <v>37747738</v>
          </cell>
          <cell r="W462">
            <v>520</v>
          </cell>
          <cell r="X462">
            <v>17416880</v>
          </cell>
          <cell r="Y462">
            <v>45.96</v>
          </cell>
          <cell r="Z462">
            <v>45.79</v>
          </cell>
          <cell r="AA462">
            <v>17316398</v>
          </cell>
          <cell r="AB462">
            <v>100482</v>
          </cell>
          <cell r="AC462">
            <v>5</v>
          </cell>
          <cell r="AD462">
            <v>167470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-2</v>
          </cell>
          <cell r="AL462">
            <v>-133976</v>
          </cell>
          <cell r="AM462">
            <v>604</v>
          </cell>
          <cell r="AN462">
            <v>41465572</v>
          </cell>
          <cell r="AO462">
            <v>33450</v>
          </cell>
          <cell r="AP462">
            <v>33494</v>
          </cell>
          <cell r="AQ462">
            <v>158000</v>
          </cell>
          <cell r="AR462">
            <v>0</v>
          </cell>
          <cell r="AS462">
            <v>4.72</v>
          </cell>
          <cell r="AT462">
            <v>178066000</v>
          </cell>
          <cell r="AU462">
            <v>4.42</v>
          </cell>
          <cell r="AV462">
            <v>76457251</v>
          </cell>
          <cell r="AW462">
            <v>0.2</v>
          </cell>
          <cell r="AX462">
            <v>20577</v>
          </cell>
          <cell r="AY462">
            <v>45.96</v>
          </cell>
          <cell r="AZ462">
            <v>0</v>
          </cell>
          <cell r="BA462">
            <v>517</v>
          </cell>
          <cell r="BB462">
            <v>3</v>
          </cell>
          <cell r="BC462">
            <v>520</v>
          </cell>
          <cell r="BD462">
            <v>0</v>
          </cell>
          <cell r="BE462">
            <v>0</v>
          </cell>
          <cell r="BF462">
            <v>39</v>
          </cell>
          <cell r="BG462">
            <v>0</v>
          </cell>
          <cell r="BH462">
            <v>1</v>
          </cell>
          <cell r="BI462">
            <v>97</v>
          </cell>
          <cell r="BJ462">
            <v>20</v>
          </cell>
          <cell r="BK462">
            <v>19</v>
          </cell>
          <cell r="BL462">
            <v>25</v>
          </cell>
          <cell r="BM462">
            <v>25</v>
          </cell>
          <cell r="BN462">
            <v>8</v>
          </cell>
          <cell r="BO462">
            <v>0</v>
          </cell>
          <cell r="BP462">
            <v>25</v>
          </cell>
          <cell r="BQ462">
            <v>4</v>
          </cell>
          <cell r="BR462">
            <v>8</v>
          </cell>
          <cell r="BS462">
            <v>9</v>
          </cell>
          <cell r="BT462">
            <v>5</v>
          </cell>
          <cell r="BU462">
            <v>-1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78</v>
          </cell>
          <cell r="DU462">
            <v>0</v>
          </cell>
          <cell r="DV462">
            <v>0</v>
          </cell>
          <cell r="DW462">
            <v>7</v>
          </cell>
          <cell r="DX462">
            <v>38</v>
          </cell>
          <cell r="DY462">
            <v>33</v>
          </cell>
          <cell r="DZ462">
            <v>0</v>
          </cell>
          <cell r="EA462">
            <v>208</v>
          </cell>
          <cell r="EB462">
            <v>24</v>
          </cell>
          <cell r="EC462">
            <v>64</v>
          </cell>
          <cell r="ED462">
            <v>48</v>
          </cell>
          <cell r="EE462">
            <v>29</v>
          </cell>
          <cell r="EF462">
            <v>43</v>
          </cell>
          <cell r="EG462">
            <v>0</v>
          </cell>
          <cell r="EH462">
            <v>112</v>
          </cell>
          <cell r="EI462">
            <v>30</v>
          </cell>
          <cell r="EJ462">
            <v>25</v>
          </cell>
          <cell r="EK462">
            <v>26</v>
          </cell>
          <cell r="EL462">
            <v>26</v>
          </cell>
          <cell r="EM462">
            <v>5</v>
          </cell>
          <cell r="EN462">
            <v>0</v>
          </cell>
          <cell r="EO462" t="str">
            <v xml:space="preserve">Mens  Roanoke                                               </v>
          </cell>
        </row>
        <row r="463">
          <cell r="A463" t="str">
            <v>CN4YM6878063</v>
          </cell>
          <cell r="B463" t="str">
            <v>CN4</v>
          </cell>
          <cell r="C463" t="str">
            <v>YM6878</v>
          </cell>
          <cell r="D463">
            <v>63</v>
          </cell>
          <cell r="E463" t="str">
            <v xml:space="preserve">   </v>
          </cell>
          <cell r="F463">
            <v>81017</v>
          </cell>
          <cell r="G463">
            <v>81017</v>
          </cell>
          <cell r="H463">
            <v>0</v>
          </cell>
          <cell r="I463">
            <v>500</v>
          </cell>
          <cell r="J463">
            <v>479</v>
          </cell>
          <cell r="K463">
            <v>479</v>
          </cell>
          <cell r="L463">
            <v>387</v>
          </cell>
          <cell r="M463">
            <v>387</v>
          </cell>
          <cell r="N463">
            <v>11275000</v>
          </cell>
          <cell r="O463">
            <v>10823005</v>
          </cell>
          <cell r="P463">
            <v>10823005</v>
          </cell>
          <cell r="Q463">
            <v>8744265</v>
          </cell>
          <cell r="R463">
            <v>38542800</v>
          </cell>
          <cell r="S463" t="str">
            <v xml:space="preserve"> </v>
          </cell>
          <cell r="T463" t="str">
            <v xml:space="preserve"> </v>
          </cell>
          <cell r="U463">
            <v>479</v>
          </cell>
          <cell r="V463">
            <v>10823005</v>
          </cell>
          <cell r="W463">
            <v>387</v>
          </cell>
          <cell r="X463">
            <v>8744265</v>
          </cell>
          <cell r="Y463">
            <v>80.790000000000006</v>
          </cell>
          <cell r="Z463">
            <v>80.790000000000006</v>
          </cell>
          <cell r="AA463">
            <v>8744265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92</v>
          </cell>
          <cell r="AN463">
            <v>4473810</v>
          </cell>
          <cell r="AO463">
            <v>22550</v>
          </cell>
          <cell r="AP463">
            <v>22595</v>
          </cell>
          <cell r="AQ463">
            <v>108000</v>
          </cell>
          <cell r="AR463">
            <v>0</v>
          </cell>
          <cell r="AS463">
            <v>4.78</v>
          </cell>
          <cell r="AT463">
            <v>51732000</v>
          </cell>
          <cell r="AU463">
            <v>4.41</v>
          </cell>
          <cell r="AV463">
            <v>38542800</v>
          </cell>
          <cell r="AW463">
            <v>0</v>
          </cell>
          <cell r="AX463">
            <v>0</v>
          </cell>
          <cell r="AY463">
            <v>80.790000000000006</v>
          </cell>
          <cell r="AZ463">
            <v>0</v>
          </cell>
          <cell r="BA463">
            <v>387</v>
          </cell>
          <cell r="BB463">
            <v>0</v>
          </cell>
          <cell r="BC463">
            <v>387</v>
          </cell>
          <cell r="BD463">
            <v>0</v>
          </cell>
          <cell r="BE463">
            <v>0</v>
          </cell>
          <cell r="BF463">
            <v>22</v>
          </cell>
          <cell r="BG463">
            <v>1</v>
          </cell>
          <cell r="BH463">
            <v>1</v>
          </cell>
          <cell r="BI463">
            <v>69</v>
          </cell>
          <cell r="BJ463">
            <v>12</v>
          </cell>
          <cell r="BK463">
            <v>14</v>
          </cell>
          <cell r="BL463">
            <v>16</v>
          </cell>
          <cell r="BM463">
            <v>21</v>
          </cell>
          <cell r="BN463">
            <v>6</v>
          </cell>
          <cell r="BO463">
            <v>0</v>
          </cell>
          <cell r="BP463">
            <v>14</v>
          </cell>
          <cell r="BQ463">
            <v>2</v>
          </cell>
          <cell r="BR463">
            <v>1</v>
          </cell>
          <cell r="BS463">
            <v>7</v>
          </cell>
          <cell r="BT463">
            <v>4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56</v>
          </cell>
          <cell r="DU463">
            <v>0</v>
          </cell>
          <cell r="DV463">
            <v>0</v>
          </cell>
          <cell r="DW463">
            <v>6</v>
          </cell>
          <cell r="DX463">
            <v>34</v>
          </cell>
          <cell r="DY463">
            <v>16</v>
          </cell>
          <cell r="DZ463">
            <v>0</v>
          </cell>
          <cell r="EA463">
            <v>146</v>
          </cell>
          <cell r="EB463">
            <v>16</v>
          </cell>
          <cell r="EC463">
            <v>34</v>
          </cell>
          <cell r="ED463">
            <v>24</v>
          </cell>
          <cell r="EE463">
            <v>35</v>
          </cell>
          <cell r="EF463">
            <v>37</v>
          </cell>
          <cell r="EG463">
            <v>0</v>
          </cell>
          <cell r="EH463">
            <v>102</v>
          </cell>
          <cell r="EI463">
            <v>30</v>
          </cell>
          <cell r="EJ463">
            <v>23</v>
          </cell>
          <cell r="EK463">
            <v>21</v>
          </cell>
          <cell r="EL463">
            <v>24</v>
          </cell>
          <cell r="EM463">
            <v>4</v>
          </cell>
          <cell r="EN463">
            <v>0</v>
          </cell>
          <cell r="EO463" t="str">
            <v xml:space="preserve">Mens  Union Grove                                           </v>
          </cell>
        </row>
        <row r="464">
          <cell r="A464" t="str">
            <v>CN4YM6878809</v>
          </cell>
          <cell r="B464" t="str">
            <v>CN4</v>
          </cell>
          <cell r="C464" t="str">
            <v>YM6878</v>
          </cell>
          <cell r="D464">
            <v>809</v>
          </cell>
          <cell r="E464" t="str">
            <v xml:space="preserve">   </v>
          </cell>
          <cell r="F464">
            <v>81017</v>
          </cell>
          <cell r="G464">
            <v>81017</v>
          </cell>
          <cell r="H464">
            <v>0</v>
          </cell>
          <cell r="I464">
            <v>400</v>
          </cell>
          <cell r="J464">
            <v>414</v>
          </cell>
          <cell r="K464">
            <v>409</v>
          </cell>
          <cell r="L464">
            <v>176</v>
          </cell>
          <cell r="M464">
            <v>176</v>
          </cell>
          <cell r="N464">
            <v>9020000</v>
          </cell>
          <cell r="O464">
            <v>9354330</v>
          </cell>
          <cell r="P464">
            <v>9241355</v>
          </cell>
          <cell r="Q464">
            <v>3976720</v>
          </cell>
          <cell r="R464">
            <v>17377584</v>
          </cell>
          <cell r="S464" t="str">
            <v xml:space="preserve"> </v>
          </cell>
          <cell r="T464" t="str">
            <v xml:space="preserve"> </v>
          </cell>
          <cell r="U464">
            <v>414</v>
          </cell>
          <cell r="V464">
            <v>9354330</v>
          </cell>
          <cell r="W464">
            <v>176</v>
          </cell>
          <cell r="X464">
            <v>3976720</v>
          </cell>
          <cell r="Y464">
            <v>42.51</v>
          </cell>
          <cell r="Z464">
            <v>42.51</v>
          </cell>
          <cell r="AA464">
            <v>3976720</v>
          </cell>
          <cell r="AB464">
            <v>0</v>
          </cell>
          <cell r="AC464">
            <v>5</v>
          </cell>
          <cell r="AD464">
            <v>112975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233</v>
          </cell>
          <cell r="AN464">
            <v>10890790</v>
          </cell>
          <cell r="AO464">
            <v>22550</v>
          </cell>
          <cell r="AP464">
            <v>22595</v>
          </cell>
          <cell r="AQ464">
            <v>108000</v>
          </cell>
          <cell r="AR464">
            <v>0</v>
          </cell>
          <cell r="AS464">
            <v>4.78</v>
          </cell>
          <cell r="AT464">
            <v>44712000</v>
          </cell>
          <cell r="AU464">
            <v>4.37</v>
          </cell>
          <cell r="AV464">
            <v>17377584</v>
          </cell>
          <cell r="AW464">
            <v>0</v>
          </cell>
          <cell r="AX464">
            <v>0</v>
          </cell>
          <cell r="AY464">
            <v>42.51</v>
          </cell>
          <cell r="AZ464">
            <v>0</v>
          </cell>
          <cell r="BA464">
            <v>176</v>
          </cell>
          <cell r="BB464">
            <v>0</v>
          </cell>
          <cell r="BC464">
            <v>176</v>
          </cell>
          <cell r="BD464">
            <v>0</v>
          </cell>
          <cell r="BE464">
            <v>0</v>
          </cell>
          <cell r="BF464">
            <v>21</v>
          </cell>
          <cell r="BG464">
            <v>0</v>
          </cell>
          <cell r="BH464">
            <v>1</v>
          </cell>
          <cell r="BI464">
            <v>46</v>
          </cell>
          <cell r="BJ464">
            <v>5</v>
          </cell>
          <cell r="BK464">
            <v>7</v>
          </cell>
          <cell r="BL464">
            <v>8</v>
          </cell>
          <cell r="BM464">
            <v>16</v>
          </cell>
          <cell r="BN464">
            <v>10</v>
          </cell>
          <cell r="BO464">
            <v>0</v>
          </cell>
          <cell r="BP464">
            <v>11</v>
          </cell>
          <cell r="BQ464">
            <v>1</v>
          </cell>
          <cell r="BR464">
            <v>3</v>
          </cell>
          <cell r="BS464">
            <v>7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29</v>
          </cell>
          <cell r="DU464">
            <v>0</v>
          </cell>
          <cell r="DV464">
            <v>0</v>
          </cell>
          <cell r="DW464">
            <v>2</v>
          </cell>
          <cell r="DX464">
            <v>19</v>
          </cell>
          <cell r="DY464">
            <v>8</v>
          </cell>
          <cell r="DZ464">
            <v>0</v>
          </cell>
          <cell r="EA464">
            <v>53</v>
          </cell>
          <cell r="EB464">
            <v>8</v>
          </cell>
          <cell r="EC464">
            <v>15</v>
          </cell>
          <cell r="ED464">
            <v>13</v>
          </cell>
          <cell r="EE464">
            <v>5</v>
          </cell>
          <cell r="EF464">
            <v>12</v>
          </cell>
          <cell r="EG464">
            <v>0</v>
          </cell>
          <cell r="EH464">
            <v>37</v>
          </cell>
          <cell r="EI464">
            <v>9</v>
          </cell>
          <cell r="EJ464">
            <v>3</v>
          </cell>
          <cell r="EK464">
            <v>10</v>
          </cell>
          <cell r="EL464">
            <v>10</v>
          </cell>
          <cell r="EM464">
            <v>5</v>
          </cell>
          <cell r="EN464">
            <v>0</v>
          </cell>
          <cell r="EO464" t="str">
            <v xml:space="preserve">Mens  Union Grove                                           </v>
          </cell>
        </row>
        <row r="465">
          <cell r="A465" t="str">
            <v>CN4YM6878979</v>
          </cell>
          <cell r="B465" t="str">
            <v>CN4</v>
          </cell>
          <cell r="C465" t="str">
            <v>YM6878</v>
          </cell>
          <cell r="D465">
            <v>979</v>
          </cell>
          <cell r="E465" t="str">
            <v xml:space="preserve">   </v>
          </cell>
          <cell r="F465">
            <v>81017</v>
          </cell>
          <cell r="G465">
            <v>81017</v>
          </cell>
          <cell r="H465">
            <v>0</v>
          </cell>
          <cell r="I465">
            <v>1000</v>
          </cell>
          <cell r="J465">
            <v>1042</v>
          </cell>
          <cell r="K465">
            <v>1039</v>
          </cell>
          <cell r="L465">
            <v>900</v>
          </cell>
          <cell r="M465">
            <v>900</v>
          </cell>
          <cell r="N465">
            <v>22550000</v>
          </cell>
          <cell r="O465">
            <v>23543990</v>
          </cell>
          <cell r="P465">
            <v>23476205</v>
          </cell>
          <cell r="Q465">
            <v>20335500</v>
          </cell>
          <cell r="R465">
            <v>90281510</v>
          </cell>
          <cell r="S465" t="str">
            <v xml:space="preserve"> </v>
          </cell>
          <cell r="T465" t="str">
            <v xml:space="preserve"> </v>
          </cell>
          <cell r="U465">
            <v>1042</v>
          </cell>
          <cell r="V465">
            <v>23543990</v>
          </cell>
          <cell r="W465">
            <v>900</v>
          </cell>
          <cell r="X465">
            <v>20335500</v>
          </cell>
          <cell r="Y465">
            <v>86.37</v>
          </cell>
          <cell r="Z465">
            <v>86.37</v>
          </cell>
          <cell r="AA465">
            <v>20290310</v>
          </cell>
          <cell r="AB465">
            <v>45190</v>
          </cell>
          <cell r="AC465">
            <v>3</v>
          </cell>
          <cell r="AD465">
            <v>67785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139</v>
          </cell>
          <cell r="AN465">
            <v>6733310</v>
          </cell>
          <cell r="AO465">
            <v>22550</v>
          </cell>
          <cell r="AP465">
            <v>22595</v>
          </cell>
          <cell r="AQ465">
            <v>108000</v>
          </cell>
          <cell r="AR465">
            <v>0</v>
          </cell>
          <cell r="AS465">
            <v>4.78</v>
          </cell>
          <cell r="AT465">
            <v>112536000</v>
          </cell>
          <cell r="AU465">
            <v>4.45</v>
          </cell>
          <cell r="AV465">
            <v>90267792</v>
          </cell>
          <cell r="AW465">
            <v>0.3</v>
          </cell>
          <cell r="AX465">
            <v>13718</v>
          </cell>
          <cell r="AY465">
            <v>86.37</v>
          </cell>
          <cell r="AZ465">
            <v>0</v>
          </cell>
          <cell r="BA465">
            <v>898</v>
          </cell>
          <cell r="BB465">
            <v>2</v>
          </cell>
          <cell r="BC465">
            <v>900</v>
          </cell>
          <cell r="BD465">
            <v>0</v>
          </cell>
          <cell r="BE465">
            <v>0</v>
          </cell>
          <cell r="BF465">
            <v>39</v>
          </cell>
          <cell r="BG465">
            <v>0</v>
          </cell>
          <cell r="BH465">
            <v>1</v>
          </cell>
          <cell r="BI465">
            <v>134</v>
          </cell>
          <cell r="BJ465">
            <v>20</v>
          </cell>
          <cell r="BK465">
            <v>35</v>
          </cell>
          <cell r="BL465">
            <v>36</v>
          </cell>
          <cell r="BM465">
            <v>23</v>
          </cell>
          <cell r="BN465">
            <v>20</v>
          </cell>
          <cell r="BO465">
            <v>0</v>
          </cell>
          <cell r="BP465">
            <v>17</v>
          </cell>
          <cell r="BQ465">
            <v>1</v>
          </cell>
          <cell r="BR465">
            <v>11</v>
          </cell>
          <cell r="BS465">
            <v>3</v>
          </cell>
          <cell r="BT465">
            <v>2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132</v>
          </cell>
          <cell r="DU465">
            <v>0</v>
          </cell>
          <cell r="DV465">
            <v>0</v>
          </cell>
          <cell r="DW465">
            <v>11</v>
          </cell>
          <cell r="DX465">
            <v>78</v>
          </cell>
          <cell r="DY465">
            <v>43</v>
          </cell>
          <cell r="DZ465">
            <v>0</v>
          </cell>
          <cell r="EA465">
            <v>326</v>
          </cell>
          <cell r="EB465">
            <v>27</v>
          </cell>
          <cell r="EC465">
            <v>92</v>
          </cell>
          <cell r="ED465">
            <v>64</v>
          </cell>
          <cell r="EE465">
            <v>84</v>
          </cell>
          <cell r="EF465">
            <v>59</v>
          </cell>
          <cell r="EG465">
            <v>0</v>
          </cell>
          <cell r="EH465">
            <v>291</v>
          </cell>
          <cell r="EI465">
            <v>59</v>
          </cell>
          <cell r="EJ465">
            <v>73</v>
          </cell>
          <cell r="EK465">
            <v>73</v>
          </cell>
          <cell r="EL465">
            <v>70</v>
          </cell>
          <cell r="EM465">
            <v>16</v>
          </cell>
          <cell r="EN465">
            <v>0</v>
          </cell>
          <cell r="EO465" t="str">
            <v xml:space="preserve">Mens  Union Grove                                           </v>
          </cell>
        </row>
        <row r="466">
          <cell r="A466" t="str">
            <v>CN4YM6879010</v>
          </cell>
          <cell r="B466" t="str">
            <v>CN4</v>
          </cell>
          <cell r="C466" t="str">
            <v>YM6879</v>
          </cell>
          <cell r="D466">
            <v>10</v>
          </cell>
          <cell r="E466" t="str">
            <v xml:space="preserve">   </v>
          </cell>
          <cell r="F466">
            <v>80911</v>
          </cell>
          <cell r="G466">
            <v>80918</v>
          </cell>
          <cell r="H466">
            <v>81224</v>
          </cell>
          <cell r="I466">
            <v>800</v>
          </cell>
          <cell r="J466">
            <v>808</v>
          </cell>
          <cell r="K466">
            <v>803</v>
          </cell>
          <cell r="L466">
            <v>702</v>
          </cell>
          <cell r="M466">
            <v>702</v>
          </cell>
          <cell r="N466">
            <v>29720000</v>
          </cell>
          <cell r="O466">
            <v>30013160</v>
          </cell>
          <cell r="P466">
            <v>29827527</v>
          </cell>
          <cell r="Q466">
            <v>26076426</v>
          </cell>
          <cell r="R466">
            <v>79072600</v>
          </cell>
          <cell r="S466" t="str">
            <v>*</v>
          </cell>
          <cell r="T466" t="str">
            <v xml:space="preserve"> </v>
          </cell>
          <cell r="U466">
            <v>808</v>
          </cell>
          <cell r="V466">
            <v>30013160</v>
          </cell>
          <cell r="W466">
            <v>702</v>
          </cell>
          <cell r="X466">
            <v>26076426</v>
          </cell>
          <cell r="Y466">
            <v>86.88</v>
          </cell>
          <cell r="Z466">
            <v>86.88</v>
          </cell>
          <cell r="AA466">
            <v>9695040</v>
          </cell>
          <cell r="AB466">
            <v>16381386</v>
          </cell>
          <cell r="AC466">
            <v>5</v>
          </cell>
          <cell r="AD466">
            <v>222876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101</v>
          </cell>
          <cell r="AN466">
            <v>9100770</v>
          </cell>
          <cell r="AO466">
            <v>37150</v>
          </cell>
          <cell r="AP466">
            <v>37146</v>
          </cell>
          <cell r="AQ466">
            <v>158000</v>
          </cell>
          <cell r="AR466">
            <v>95000</v>
          </cell>
          <cell r="AS466">
            <v>4.25</v>
          </cell>
          <cell r="AT466">
            <v>127664000</v>
          </cell>
          <cell r="AU466">
            <v>3.83</v>
          </cell>
          <cell r="AV466">
            <v>37177600</v>
          </cell>
          <cell r="AW466">
            <v>2.56</v>
          </cell>
          <cell r="AX466">
            <v>41895000</v>
          </cell>
          <cell r="AY466">
            <v>86.88</v>
          </cell>
          <cell r="AZ466">
            <v>0</v>
          </cell>
          <cell r="BA466">
            <v>261</v>
          </cell>
          <cell r="BB466">
            <v>441</v>
          </cell>
          <cell r="BC466">
            <v>702</v>
          </cell>
          <cell r="BD466">
            <v>0</v>
          </cell>
          <cell r="BE466">
            <v>0</v>
          </cell>
          <cell r="BF466">
            <v>57</v>
          </cell>
          <cell r="BG466">
            <v>1</v>
          </cell>
          <cell r="BH466">
            <v>1</v>
          </cell>
          <cell r="BI466">
            <v>254</v>
          </cell>
          <cell r="BJ466">
            <v>54</v>
          </cell>
          <cell r="BK466">
            <v>84</v>
          </cell>
          <cell r="BL466">
            <v>71</v>
          </cell>
          <cell r="BM466">
            <v>33</v>
          </cell>
          <cell r="BN466">
            <v>12</v>
          </cell>
          <cell r="BO466">
            <v>0</v>
          </cell>
          <cell r="BP466">
            <v>39</v>
          </cell>
          <cell r="BQ466">
            <v>4</v>
          </cell>
          <cell r="BR466">
            <v>14</v>
          </cell>
          <cell r="BS466">
            <v>7</v>
          </cell>
          <cell r="BT466">
            <v>10</v>
          </cell>
          <cell r="BU466">
            <v>4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66</v>
          </cell>
          <cell r="DN466">
            <v>0</v>
          </cell>
          <cell r="DO466">
            <v>0</v>
          </cell>
          <cell r="DP466">
            <v>1</v>
          </cell>
          <cell r="DQ466">
            <v>59</v>
          </cell>
          <cell r="DR466">
            <v>6</v>
          </cell>
          <cell r="DS466">
            <v>0</v>
          </cell>
          <cell r="DT466">
            <v>60</v>
          </cell>
          <cell r="DU466">
            <v>12</v>
          </cell>
          <cell r="DV466">
            <v>16</v>
          </cell>
          <cell r="DW466">
            <v>14</v>
          </cell>
          <cell r="DX466">
            <v>9</v>
          </cell>
          <cell r="DY466">
            <v>9</v>
          </cell>
          <cell r="DZ466">
            <v>0</v>
          </cell>
          <cell r="EA466">
            <v>96</v>
          </cell>
          <cell r="EB466">
            <v>6</v>
          </cell>
          <cell r="EC466">
            <v>16</v>
          </cell>
          <cell r="ED466">
            <v>22</v>
          </cell>
          <cell r="EE466">
            <v>30</v>
          </cell>
          <cell r="EF466">
            <v>22</v>
          </cell>
          <cell r="EG466">
            <v>0</v>
          </cell>
          <cell r="EH466">
            <v>187</v>
          </cell>
          <cell r="EI466">
            <v>9</v>
          </cell>
          <cell r="EJ466">
            <v>23</v>
          </cell>
          <cell r="EK466">
            <v>15</v>
          </cell>
          <cell r="EL466">
            <v>100</v>
          </cell>
          <cell r="EM466">
            <v>40</v>
          </cell>
          <cell r="EN466">
            <v>0</v>
          </cell>
          <cell r="EO466" t="str">
            <v xml:space="preserve">Mens Andover                                                </v>
          </cell>
        </row>
        <row r="467">
          <cell r="A467" t="str">
            <v>CN4YM6879331</v>
          </cell>
          <cell r="B467" t="str">
            <v>CN4</v>
          </cell>
          <cell r="C467" t="str">
            <v>YM6879</v>
          </cell>
          <cell r="D467">
            <v>331</v>
          </cell>
          <cell r="E467" t="str">
            <v xml:space="preserve">   </v>
          </cell>
          <cell r="F467">
            <v>80911</v>
          </cell>
          <cell r="G467">
            <v>80918</v>
          </cell>
          <cell r="H467">
            <v>81224</v>
          </cell>
          <cell r="I467">
            <v>600</v>
          </cell>
          <cell r="J467">
            <v>614</v>
          </cell>
          <cell r="K467">
            <v>609</v>
          </cell>
          <cell r="L467">
            <v>467</v>
          </cell>
          <cell r="M467">
            <v>467</v>
          </cell>
          <cell r="N467">
            <v>22290000</v>
          </cell>
          <cell r="O467">
            <v>22807088</v>
          </cell>
          <cell r="P467">
            <v>22621375</v>
          </cell>
          <cell r="Q467">
            <v>17347142</v>
          </cell>
          <cell r="R467">
            <v>52611018</v>
          </cell>
          <cell r="S467" t="str">
            <v>*</v>
          </cell>
          <cell r="T467" t="str">
            <v xml:space="preserve"> </v>
          </cell>
          <cell r="U467">
            <v>614</v>
          </cell>
          <cell r="V467">
            <v>22807088</v>
          </cell>
          <cell r="W467">
            <v>467</v>
          </cell>
          <cell r="X467">
            <v>17347142</v>
          </cell>
          <cell r="Y467">
            <v>76.06</v>
          </cell>
          <cell r="Z467">
            <v>76.06</v>
          </cell>
          <cell r="AA467">
            <v>6389072</v>
          </cell>
          <cell r="AB467">
            <v>10958070</v>
          </cell>
          <cell r="AC467">
            <v>5</v>
          </cell>
          <cell r="AD467">
            <v>260022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142</v>
          </cell>
          <cell r="AN467">
            <v>11923866</v>
          </cell>
          <cell r="AO467">
            <v>37150</v>
          </cell>
          <cell r="AP467">
            <v>37146</v>
          </cell>
          <cell r="AQ467">
            <v>158000</v>
          </cell>
          <cell r="AR467">
            <v>95000</v>
          </cell>
          <cell r="AS467">
            <v>4.25</v>
          </cell>
          <cell r="AT467">
            <v>97012000</v>
          </cell>
          <cell r="AU467">
            <v>3.88</v>
          </cell>
          <cell r="AV467">
            <v>24762300</v>
          </cell>
          <cell r="AW467">
            <v>2.54</v>
          </cell>
          <cell r="AX467">
            <v>27848718</v>
          </cell>
          <cell r="AY467">
            <v>76.06</v>
          </cell>
          <cell r="AZ467">
            <v>0</v>
          </cell>
          <cell r="BA467">
            <v>172</v>
          </cell>
          <cell r="BB467">
            <v>295</v>
          </cell>
          <cell r="BC467">
            <v>467</v>
          </cell>
          <cell r="BD467">
            <v>0</v>
          </cell>
          <cell r="BE467">
            <v>0</v>
          </cell>
          <cell r="BF467">
            <v>58</v>
          </cell>
          <cell r="BG467">
            <v>0</v>
          </cell>
          <cell r="BH467">
            <v>1</v>
          </cell>
          <cell r="BI467">
            <v>192</v>
          </cell>
          <cell r="BJ467">
            <v>28</v>
          </cell>
          <cell r="BK467">
            <v>66</v>
          </cell>
          <cell r="BL467">
            <v>61</v>
          </cell>
          <cell r="BM467">
            <v>20</v>
          </cell>
          <cell r="BN467">
            <v>17</v>
          </cell>
          <cell r="BO467">
            <v>0</v>
          </cell>
          <cell r="BP467">
            <v>34</v>
          </cell>
          <cell r="BQ467">
            <v>4</v>
          </cell>
          <cell r="BR467">
            <v>9</v>
          </cell>
          <cell r="BS467">
            <v>11</v>
          </cell>
          <cell r="BT467">
            <v>6</v>
          </cell>
          <cell r="BU467">
            <v>4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40</v>
          </cell>
          <cell r="DN467">
            <v>0</v>
          </cell>
          <cell r="DO467">
            <v>0</v>
          </cell>
          <cell r="DP467">
            <v>7</v>
          </cell>
          <cell r="DQ467">
            <v>34</v>
          </cell>
          <cell r="DR467">
            <v>-1</v>
          </cell>
          <cell r="DS467">
            <v>0</v>
          </cell>
          <cell r="DT467">
            <v>47</v>
          </cell>
          <cell r="DU467">
            <v>5</v>
          </cell>
          <cell r="DV467">
            <v>12</v>
          </cell>
          <cell r="DW467">
            <v>10</v>
          </cell>
          <cell r="DX467">
            <v>11</v>
          </cell>
          <cell r="DY467">
            <v>9</v>
          </cell>
          <cell r="DZ467">
            <v>0</v>
          </cell>
          <cell r="EA467">
            <v>48</v>
          </cell>
          <cell r="EB467">
            <v>6</v>
          </cell>
          <cell r="EC467">
            <v>11</v>
          </cell>
          <cell r="ED467">
            <v>13</v>
          </cell>
          <cell r="EE467">
            <v>12</v>
          </cell>
          <cell r="EF467">
            <v>6</v>
          </cell>
          <cell r="EG467">
            <v>0</v>
          </cell>
          <cell r="EH467">
            <v>106</v>
          </cell>
          <cell r="EI467">
            <v>13</v>
          </cell>
          <cell r="EJ467">
            <v>15</v>
          </cell>
          <cell r="EK467">
            <v>11</v>
          </cell>
          <cell r="EL467">
            <v>42</v>
          </cell>
          <cell r="EM467">
            <v>25</v>
          </cell>
          <cell r="EN467">
            <v>0</v>
          </cell>
          <cell r="EO467" t="str">
            <v xml:space="preserve">Mens Andover                                                </v>
          </cell>
        </row>
        <row r="468">
          <cell r="A468" t="str">
            <v>CN4YM6879357</v>
          </cell>
          <cell r="B468" t="str">
            <v>CN4</v>
          </cell>
          <cell r="C468" t="str">
            <v>YM6879</v>
          </cell>
          <cell r="D468">
            <v>357</v>
          </cell>
          <cell r="E468" t="str">
            <v xml:space="preserve">   </v>
          </cell>
          <cell r="F468">
            <v>80911</v>
          </cell>
          <cell r="G468">
            <v>80918</v>
          </cell>
          <cell r="H468">
            <v>81224</v>
          </cell>
          <cell r="I468">
            <v>600</v>
          </cell>
          <cell r="J468">
            <v>624</v>
          </cell>
          <cell r="K468">
            <v>616</v>
          </cell>
          <cell r="L468">
            <v>428</v>
          </cell>
          <cell r="M468">
            <v>428</v>
          </cell>
          <cell r="N468">
            <v>22290000</v>
          </cell>
          <cell r="O468">
            <v>23178480</v>
          </cell>
          <cell r="P468">
            <v>22881365</v>
          </cell>
          <cell r="Q468">
            <v>15898454</v>
          </cell>
          <cell r="R468">
            <v>46340900</v>
          </cell>
          <cell r="S468" t="str">
            <v>*</v>
          </cell>
          <cell r="T468" t="str">
            <v xml:space="preserve"> </v>
          </cell>
          <cell r="U468">
            <v>624</v>
          </cell>
          <cell r="V468">
            <v>23178480</v>
          </cell>
          <cell r="W468">
            <v>428</v>
          </cell>
          <cell r="X468">
            <v>15898454</v>
          </cell>
          <cell r="Y468">
            <v>68.75</v>
          </cell>
          <cell r="Z468">
            <v>68.91</v>
          </cell>
          <cell r="AA468">
            <v>4494632</v>
          </cell>
          <cell r="AB468">
            <v>11403822</v>
          </cell>
          <cell r="AC468">
            <v>8</v>
          </cell>
          <cell r="AD468">
            <v>408606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>
            <v>74292</v>
          </cell>
          <cell r="AM468">
            <v>187</v>
          </cell>
          <cell r="AN468">
            <v>15044130</v>
          </cell>
          <cell r="AO468">
            <v>37150</v>
          </cell>
          <cell r="AP468">
            <v>37146</v>
          </cell>
          <cell r="AQ468">
            <v>158000</v>
          </cell>
          <cell r="AR468">
            <v>95000</v>
          </cell>
          <cell r="AS468">
            <v>4.25</v>
          </cell>
          <cell r="AT468">
            <v>98592000</v>
          </cell>
          <cell r="AU468">
            <v>3.82</v>
          </cell>
          <cell r="AV468">
            <v>17175900</v>
          </cell>
          <cell r="AW468">
            <v>2.56</v>
          </cell>
          <cell r="AX468">
            <v>29165000</v>
          </cell>
          <cell r="AY468">
            <v>68.75</v>
          </cell>
          <cell r="AZ468">
            <v>0</v>
          </cell>
          <cell r="BA468">
            <v>121</v>
          </cell>
          <cell r="BB468">
            <v>307</v>
          </cell>
          <cell r="BC468">
            <v>428</v>
          </cell>
          <cell r="BD468">
            <v>0</v>
          </cell>
          <cell r="BE468">
            <v>0</v>
          </cell>
          <cell r="BF468">
            <v>52</v>
          </cell>
          <cell r="BG468">
            <v>0</v>
          </cell>
          <cell r="BH468">
            <v>1</v>
          </cell>
          <cell r="BI468">
            <v>200</v>
          </cell>
          <cell r="BJ468">
            <v>43</v>
          </cell>
          <cell r="BK468">
            <v>73</v>
          </cell>
          <cell r="BL468">
            <v>46</v>
          </cell>
          <cell r="BM468">
            <v>25</v>
          </cell>
          <cell r="BN468">
            <v>13</v>
          </cell>
          <cell r="BO468">
            <v>0</v>
          </cell>
          <cell r="BP468">
            <v>26</v>
          </cell>
          <cell r="BQ468">
            <v>2</v>
          </cell>
          <cell r="BR468">
            <v>11</v>
          </cell>
          <cell r="BS468">
            <v>6</v>
          </cell>
          <cell r="BT468">
            <v>6</v>
          </cell>
          <cell r="BU468">
            <v>1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34</v>
          </cell>
          <cell r="DN468">
            <v>0</v>
          </cell>
          <cell r="DO468">
            <v>0</v>
          </cell>
          <cell r="DP468">
            <v>2</v>
          </cell>
          <cell r="DQ468">
            <v>31</v>
          </cell>
          <cell r="DR468">
            <v>1</v>
          </cell>
          <cell r="DS468">
            <v>0</v>
          </cell>
          <cell r="DT468">
            <v>34</v>
          </cell>
          <cell r="DU468">
            <v>8</v>
          </cell>
          <cell r="DV468">
            <v>10</v>
          </cell>
          <cell r="DW468">
            <v>8</v>
          </cell>
          <cell r="DX468">
            <v>8</v>
          </cell>
          <cell r="DY468">
            <v>0</v>
          </cell>
          <cell r="DZ468">
            <v>0</v>
          </cell>
          <cell r="EA468">
            <v>36</v>
          </cell>
          <cell r="EB468">
            <v>-1</v>
          </cell>
          <cell r="EC468">
            <v>7</v>
          </cell>
          <cell r="ED468">
            <v>7</v>
          </cell>
          <cell r="EE468">
            <v>9</v>
          </cell>
          <cell r="EF468">
            <v>14</v>
          </cell>
          <cell r="EG468">
            <v>0</v>
          </cell>
          <cell r="EH468">
            <v>98</v>
          </cell>
          <cell r="EI468">
            <v>3</v>
          </cell>
          <cell r="EJ468">
            <v>7</v>
          </cell>
          <cell r="EK468">
            <v>11</v>
          </cell>
          <cell r="EL468">
            <v>62</v>
          </cell>
          <cell r="EM468">
            <v>15</v>
          </cell>
          <cell r="EN468">
            <v>0</v>
          </cell>
          <cell r="EO468" t="str">
            <v xml:space="preserve">Mens Andover                                                </v>
          </cell>
        </row>
        <row r="469">
          <cell r="A469" t="str">
            <v>CN4YM6880249</v>
          </cell>
          <cell r="B469" t="str">
            <v>CN4</v>
          </cell>
          <cell r="C469" t="str">
            <v>YM6880</v>
          </cell>
          <cell r="D469">
            <v>249</v>
          </cell>
          <cell r="E469" t="str">
            <v xml:space="preserve">   </v>
          </cell>
          <cell r="F469">
            <v>81027</v>
          </cell>
          <cell r="G469">
            <v>81029</v>
          </cell>
          <cell r="H469">
            <v>0</v>
          </cell>
          <cell r="I469">
            <v>800</v>
          </cell>
          <cell r="J469">
            <v>808</v>
          </cell>
          <cell r="K469">
            <v>807</v>
          </cell>
          <cell r="L469">
            <v>693</v>
          </cell>
          <cell r="M469">
            <v>693</v>
          </cell>
          <cell r="N469">
            <v>31160000</v>
          </cell>
          <cell r="O469">
            <v>31507152</v>
          </cell>
          <cell r="P469">
            <v>31468158</v>
          </cell>
          <cell r="Q469">
            <v>27022842</v>
          </cell>
          <cell r="R469">
            <v>102646030</v>
          </cell>
          <cell r="S469" t="str">
            <v xml:space="preserve"> </v>
          </cell>
          <cell r="T469" t="str">
            <v xml:space="preserve"> </v>
          </cell>
          <cell r="U469">
            <v>808</v>
          </cell>
          <cell r="V469">
            <v>31507152</v>
          </cell>
          <cell r="W469">
            <v>693</v>
          </cell>
          <cell r="X469">
            <v>27022842</v>
          </cell>
          <cell r="Y469">
            <v>85.64</v>
          </cell>
          <cell r="Z469">
            <v>85.52</v>
          </cell>
          <cell r="AA469">
            <v>27022842</v>
          </cell>
          <cell r="AB469">
            <v>0</v>
          </cell>
          <cell r="AC469">
            <v>1</v>
          </cell>
          <cell r="AD469">
            <v>38994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-1</v>
          </cell>
          <cell r="AL469">
            <v>-77988</v>
          </cell>
          <cell r="AM469">
            <v>115</v>
          </cell>
          <cell r="AN469">
            <v>9592524</v>
          </cell>
          <cell r="AO469">
            <v>38950</v>
          </cell>
          <cell r="AP469">
            <v>38994</v>
          </cell>
          <cell r="AQ469">
            <v>158000</v>
          </cell>
          <cell r="AR469">
            <v>0</v>
          </cell>
          <cell r="AS469">
            <v>4.05</v>
          </cell>
          <cell r="AT469">
            <v>127664000</v>
          </cell>
          <cell r="AU469">
            <v>3.8</v>
          </cell>
          <cell r="AV469">
            <v>102646030</v>
          </cell>
          <cell r="AW469">
            <v>0</v>
          </cell>
          <cell r="AX469">
            <v>0</v>
          </cell>
          <cell r="AY469">
            <v>85.64</v>
          </cell>
          <cell r="AZ469">
            <v>0</v>
          </cell>
          <cell r="BA469">
            <v>693</v>
          </cell>
          <cell r="BB469">
            <v>0</v>
          </cell>
          <cell r="BC469">
            <v>693</v>
          </cell>
          <cell r="BD469">
            <v>0</v>
          </cell>
          <cell r="BE469">
            <v>0</v>
          </cell>
          <cell r="BF469">
            <v>47</v>
          </cell>
          <cell r="BG469">
            <v>1</v>
          </cell>
          <cell r="BH469">
            <v>1</v>
          </cell>
          <cell r="BI469">
            <v>130</v>
          </cell>
          <cell r="BJ469">
            <v>28</v>
          </cell>
          <cell r="BK469">
            <v>34</v>
          </cell>
          <cell r="BL469">
            <v>44</v>
          </cell>
          <cell r="BM469">
            <v>22</v>
          </cell>
          <cell r="BN469">
            <v>2</v>
          </cell>
          <cell r="BO469">
            <v>0</v>
          </cell>
          <cell r="BP469">
            <v>15</v>
          </cell>
          <cell r="BQ469">
            <v>2</v>
          </cell>
          <cell r="BR469">
            <v>10</v>
          </cell>
          <cell r="BS469">
            <v>6</v>
          </cell>
          <cell r="BT469">
            <v>0</v>
          </cell>
          <cell r="BU469">
            <v>-3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T469">
            <v>12</v>
          </cell>
          <cell r="DU469">
            <v>0</v>
          </cell>
          <cell r="DV469">
            <v>0</v>
          </cell>
          <cell r="DW469">
            <v>0</v>
          </cell>
          <cell r="DX469">
            <v>0</v>
          </cell>
          <cell r="DY469">
            <v>12</v>
          </cell>
          <cell r="DZ469">
            <v>0</v>
          </cell>
          <cell r="EA469">
            <v>278</v>
          </cell>
          <cell r="EB469">
            <v>31</v>
          </cell>
          <cell r="EC469">
            <v>67</v>
          </cell>
          <cell r="ED469">
            <v>54</v>
          </cell>
          <cell r="EE469">
            <v>66</v>
          </cell>
          <cell r="EF469">
            <v>60</v>
          </cell>
          <cell r="EG469">
            <v>0</v>
          </cell>
          <cell r="EH469">
            <v>258</v>
          </cell>
          <cell r="EI469">
            <v>58</v>
          </cell>
          <cell r="EJ469">
            <v>45</v>
          </cell>
          <cell r="EK469">
            <v>64</v>
          </cell>
          <cell r="EL469">
            <v>67</v>
          </cell>
          <cell r="EM469">
            <v>24</v>
          </cell>
          <cell r="EN469">
            <v>0</v>
          </cell>
          <cell r="EO469" t="str">
            <v xml:space="preserve">Mens Anchor Point                                           </v>
          </cell>
        </row>
        <row r="470">
          <cell r="A470" t="str">
            <v>CN4YM6880357</v>
          </cell>
          <cell r="B470" t="str">
            <v>CN4</v>
          </cell>
          <cell r="C470" t="str">
            <v>YM6880</v>
          </cell>
          <cell r="D470">
            <v>357</v>
          </cell>
          <cell r="E470" t="str">
            <v xml:space="preserve">   </v>
          </cell>
          <cell r="F470">
            <v>81027</v>
          </cell>
          <cell r="G470">
            <v>81029</v>
          </cell>
          <cell r="H470">
            <v>0</v>
          </cell>
          <cell r="I470">
            <v>600</v>
          </cell>
          <cell r="J470">
            <v>635</v>
          </cell>
          <cell r="K470">
            <v>634</v>
          </cell>
          <cell r="L470">
            <v>516</v>
          </cell>
          <cell r="M470">
            <v>516</v>
          </cell>
          <cell r="N470">
            <v>23370000</v>
          </cell>
          <cell r="O470">
            <v>24761190</v>
          </cell>
          <cell r="P470">
            <v>24722196</v>
          </cell>
          <cell r="Q470">
            <v>20120904</v>
          </cell>
          <cell r="R470">
            <v>76407165</v>
          </cell>
          <cell r="S470" t="str">
            <v xml:space="preserve"> </v>
          </cell>
          <cell r="T470" t="str">
            <v xml:space="preserve"> </v>
          </cell>
          <cell r="U470">
            <v>635</v>
          </cell>
          <cell r="V470">
            <v>24761190</v>
          </cell>
          <cell r="W470">
            <v>516</v>
          </cell>
          <cell r="X470">
            <v>20120904</v>
          </cell>
          <cell r="Y470">
            <v>81.099999999999994</v>
          </cell>
          <cell r="Z470">
            <v>80.94</v>
          </cell>
          <cell r="AA470">
            <v>20120904</v>
          </cell>
          <cell r="AB470">
            <v>0</v>
          </cell>
          <cell r="AC470">
            <v>1</v>
          </cell>
          <cell r="AD470">
            <v>38994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-1</v>
          </cell>
          <cell r="AL470">
            <v>-77988</v>
          </cell>
          <cell r="AM470">
            <v>119</v>
          </cell>
          <cell r="AN470">
            <v>9865482</v>
          </cell>
          <cell r="AO470">
            <v>38950</v>
          </cell>
          <cell r="AP470">
            <v>38994</v>
          </cell>
          <cell r="AQ470">
            <v>158000</v>
          </cell>
          <cell r="AR470">
            <v>0</v>
          </cell>
          <cell r="AS470">
            <v>4.05</v>
          </cell>
          <cell r="AT470">
            <v>100330000</v>
          </cell>
          <cell r="AU470">
            <v>3.8</v>
          </cell>
          <cell r="AV470">
            <v>76407165</v>
          </cell>
          <cell r="AW470">
            <v>0</v>
          </cell>
          <cell r="AX470">
            <v>0</v>
          </cell>
          <cell r="AY470">
            <v>81.099999999999994</v>
          </cell>
          <cell r="AZ470">
            <v>0</v>
          </cell>
          <cell r="BA470">
            <v>516</v>
          </cell>
          <cell r="BB470">
            <v>0</v>
          </cell>
          <cell r="BC470">
            <v>516</v>
          </cell>
          <cell r="BD470">
            <v>0</v>
          </cell>
          <cell r="BE470">
            <v>0</v>
          </cell>
          <cell r="BF470">
            <v>30</v>
          </cell>
          <cell r="BG470">
            <v>0</v>
          </cell>
          <cell r="BH470">
            <v>1</v>
          </cell>
          <cell r="BI470">
            <v>100</v>
          </cell>
          <cell r="BJ470">
            <v>12</v>
          </cell>
          <cell r="BK470">
            <v>32</v>
          </cell>
          <cell r="BL470">
            <v>27</v>
          </cell>
          <cell r="BM470">
            <v>15</v>
          </cell>
          <cell r="BN470">
            <v>14</v>
          </cell>
          <cell r="BO470">
            <v>0</v>
          </cell>
          <cell r="BP470">
            <v>14</v>
          </cell>
          <cell r="BQ470">
            <v>2</v>
          </cell>
          <cell r="BR470">
            <v>5</v>
          </cell>
          <cell r="BS470">
            <v>4</v>
          </cell>
          <cell r="BT470">
            <v>2</v>
          </cell>
          <cell r="BU470">
            <v>1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  <cell r="DP470">
            <v>0</v>
          </cell>
          <cell r="DQ470">
            <v>0</v>
          </cell>
          <cell r="DR470">
            <v>0</v>
          </cell>
          <cell r="DS470">
            <v>0</v>
          </cell>
          <cell r="DT470">
            <v>5</v>
          </cell>
          <cell r="DU470">
            <v>0</v>
          </cell>
          <cell r="DV470">
            <v>0</v>
          </cell>
          <cell r="DW470">
            <v>0</v>
          </cell>
          <cell r="DX470">
            <v>0</v>
          </cell>
          <cell r="DY470">
            <v>5</v>
          </cell>
          <cell r="DZ470">
            <v>0</v>
          </cell>
          <cell r="EA470">
            <v>227</v>
          </cell>
          <cell r="EB470">
            <v>20</v>
          </cell>
          <cell r="EC470">
            <v>54</v>
          </cell>
          <cell r="ED470">
            <v>42</v>
          </cell>
          <cell r="EE470">
            <v>55</v>
          </cell>
          <cell r="EF470">
            <v>56</v>
          </cell>
          <cell r="EG470">
            <v>0</v>
          </cell>
          <cell r="EH470">
            <v>170</v>
          </cell>
          <cell r="EI470">
            <v>46</v>
          </cell>
          <cell r="EJ470">
            <v>29</v>
          </cell>
          <cell r="EK470">
            <v>28</v>
          </cell>
          <cell r="EL470">
            <v>55</v>
          </cell>
          <cell r="EM470">
            <v>12</v>
          </cell>
          <cell r="EN470">
            <v>0</v>
          </cell>
          <cell r="EO470" t="str">
            <v xml:space="preserve">Mens Anchor Point                                           </v>
          </cell>
        </row>
        <row r="471">
          <cell r="A471" t="str">
            <v>CN4YM6883009</v>
          </cell>
          <cell r="B471" t="str">
            <v>CN4</v>
          </cell>
          <cell r="C471" t="str">
            <v>YM6883</v>
          </cell>
          <cell r="D471">
            <v>9</v>
          </cell>
          <cell r="E471" t="str">
            <v xml:space="preserve">   </v>
          </cell>
          <cell r="F471">
            <v>80826</v>
          </cell>
          <cell r="G471">
            <v>80829</v>
          </cell>
          <cell r="H471">
            <v>0</v>
          </cell>
          <cell r="I471">
            <v>500</v>
          </cell>
          <cell r="J471">
            <v>516</v>
          </cell>
          <cell r="K471">
            <v>516</v>
          </cell>
          <cell r="L471">
            <v>439</v>
          </cell>
          <cell r="M471">
            <v>439</v>
          </cell>
          <cell r="N471">
            <v>9575000</v>
          </cell>
          <cell r="O471">
            <v>9873660</v>
          </cell>
          <cell r="P471">
            <v>9873660</v>
          </cell>
          <cell r="Q471">
            <v>8400265</v>
          </cell>
          <cell r="R471">
            <v>31253650</v>
          </cell>
          <cell r="S471" t="str">
            <v xml:space="preserve"> </v>
          </cell>
          <cell r="T471" t="str">
            <v xml:space="preserve"> </v>
          </cell>
          <cell r="U471">
            <v>516</v>
          </cell>
          <cell r="V471">
            <v>9873660</v>
          </cell>
          <cell r="W471">
            <v>439</v>
          </cell>
          <cell r="X471">
            <v>8400265</v>
          </cell>
          <cell r="Y471">
            <v>89.15</v>
          </cell>
          <cell r="Z471">
            <v>93.22</v>
          </cell>
          <cell r="AA471">
            <v>8361995</v>
          </cell>
          <cell r="AB471">
            <v>38270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21</v>
          </cell>
          <cell r="AL471">
            <v>803670</v>
          </cell>
          <cell r="AM471">
            <v>56</v>
          </cell>
          <cell r="AN471">
            <v>2238795</v>
          </cell>
          <cell r="AO471">
            <v>19150</v>
          </cell>
          <cell r="AP471">
            <v>19135</v>
          </cell>
          <cell r="AQ471">
            <v>78000</v>
          </cell>
          <cell r="AR471">
            <v>0</v>
          </cell>
          <cell r="AS471">
            <v>4.08</v>
          </cell>
          <cell r="AT471">
            <v>40248000</v>
          </cell>
          <cell r="AU471">
            <v>3.74</v>
          </cell>
          <cell r="AV471">
            <v>31239932</v>
          </cell>
          <cell r="AW471">
            <v>0.36</v>
          </cell>
          <cell r="AX471">
            <v>13718</v>
          </cell>
          <cell r="AY471">
            <v>89.15</v>
          </cell>
          <cell r="AZ471">
            <v>0</v>
          </cell>
          <cell r="BA471">
            <v>437</v>
          </cell>
          <cell r="BB471">
            <v>2</v>
          </cell>
          <cell r="BC471">
            <v>439</v>
          </cell>
          <cell r="BD471">
            <v>0</v>
          </cell>
          <cell r="BE471">
            <v>0</v>
          </cell>
          <cell r="BF471">
            <v>17</v>
          </cell>
          <cell r="BG471">
            <v>1</v>
          </cell>
          <cell r="BH471">
            <v>1</v>
          </cell>
          <cell r="BI471">
            <v>41</v>
          </cell>
          <cell r="BJ471">
            <v>10</v>
          </cell>
          <cell r="BK471">
            <v>10</v>
          </cell>
          <cell r="BL471">
            <v>13</v>
          </cell>
          <cell r="BM471">
            <v>5</v>
          </cell>
          <cell r="BN471">
            <v>3</v>
          </cell>
          <cell r="BO471">
            <v>0</v>
          </cell>
          <cell r="BP471">
            <v>5</v>
          </cell>
          <cell r="BQ471">
            <v>-1</v>
          </cell>
          <cell r="BR471">
            <v>2</v>
          </cell>
          <cell r="BS471">
            <v>0</v>
          </cell>
          <cell r="BT471">
            <v>2</v>
          </cell>
          <cell r="BU471">
            <v>2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3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3</v>
          </cell>
          <cell r="DL471">
            <v>0</v>
          </cell>
          <cell r="DM471">
            <v>110</v>
          </cell>
          <cell r="DN471">
            <v>11</v>
          </cell>
          <cell r="DO471">
            <v>8</v>
          </cell>
          <cell r="DP471">
            <v>13</v>
          </cell>
          <cell r="DQ471">
            <v>69</v>
          </cell>
          <cell r="DR471">
            <v>9</v>
          </cell>
          <cell r="DS471">
            <v>0</v>
          </cell>
          <cell r="DT471">
            <v>107</v>
          </cell>
          <cell r="DU471">
            <v>20</v>
          </cell>
          <cell r="DV471">
            <v>26</v>
          </cell>
          <cell r="DW471">
            <v>18</v>
          </cell>
          <cell r="DX471">
            <v>24</v>
          </cell>
          <cell r="DY471">
            <v>19</v>
          </cell>
          <cell r="DZ471">
            <v>0</v>
          </cell>
          <cell r="EA471">
            <v>92</v>
          </cell>
          <cell r="EB471">
            <v>11</v>
          </cell>
          <cell r="EC471">
            <v>33</v>
          </cell>
          <cell r="ED471">
            <v>10</v>
          </cell>
          <cell r="EE471">
            <v>27</v>
          </cell>
          <cell r="EF471">
            <v>11</v>
          </cell>
          <cell r="EG471">
            <v>0</v>
          </cell>
          <cell r="EH471">
            <v>81</v>
          </cell>
          <cell r="EI471">
            <v>17</v>
          </cell>
          <cell r="EJ471">
            <v>15</v>
          </cell>
          <cell r="EK471">
            <v>20</v>
          </cell>
          <cell r="EL471">
            <v>26</v>
          </cell>
          <cell r="EM471">
            <v>3</v>
          </cell>
          <cell r="EN471">
            <v>0</v>
          </cell>
          <cell r="EO471" t="str">
            <v xml:space="preserve">Mens Blue Rapids                                            </v>
          </cell>
        </row>
        <row r="472">
          <cell r="A472" t="str">
            <v>CN4YM6883010</v>
          </cell>
          <cell r="B472" t="str">
            <v>CN4</v>
          </cell>
          <cell r="C472" t="str">
            <v>YM6883</v>
          </cell>
          <cell r="D472">
            <v>10</v>
          </cell>
          <cell r="E472" t="str">
            <v xml:space="preserve">   </v>
          </cell>
          <cell r="F472">
            <v>80826</v>
          </cell>
          <cell r="G472">
            <v>80829</v>
          </cell>
          <cell r="H472">
            <v>0</v>
          </cell>
          <cell r="I472">
            <v>500</v>
          </cell>
          <cell r="J472">
            <v>495</v>
          </cell>
          <cell r="K472">
            <v>495</v>
          </cell>
          <cell r="L472">
            <v>450</v>
          </cell>
          <cell r="M472">
            <v>450</v>
          </cell>
          <cell r="N472">
            <v>9575000</v>
          </cell>
          <cell r="O472">
            <v>9471825</v>
          </cell>
          <cell r="P472">
            <v>9471825</v>
          </cell>
          <cell r="Q472">
            <v>8610750</v>
          </cell>
          <cell r="R472">
            <v>31985452</v>
          </cell>
          <cell r="S472" t="str">
            <v xml:space="preserve"> </v>
          </cell>
          <cell r="T472" t="str">
            <v xml:space="preserve"> </v>
          </cell>
          <cell r="U472">
            <v>495</v>
          </cell>
          <cell r="V472">
            <v>9471825</v>
          </cell>
          <cell r="W472">
            <v>450</v>
          </cell>
          <cell r="X472">
            <v>8610750</v>
          </cell>
          <cell r="Y472">
            <v>86.67</v>
          </cell>
          <cell r="Z472">
            <v>82.42</v>
          </cell>
          <cell r="AA472">
            <v>8515075</v>
          </cell>
          <cell r="AB472">
            <v>95675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-21</v>
          </cell>
          <cell r="AL472">
            <v>-803670</v>
          </cell>
          <cell r="AM472">
            <v>66</v>
          </cell>
          <cell r="AN472">
            <v>2870250</v>
          </cell>
          <cell r="AO472">
            <v>19150</v>
          </cell>
          <cell r="AP472">
            <v>19135</v>
          </cell>
          <cell r="AQ472">
            <v>78000</v>
          </cell>
          <cell r="AR472">
            <v>0</v>
          </cell>
          <cell r="AS472">
            <v>4.08</v>
          </cell>
          <cell r="AT472">
            <v>38610000</v>
          </cell>
          <cell r="AU472">
            <v>3.75</v>
          </cell>
          <cell r="AV472">
            <v>31951157</v>
          </cell>
          <cell r="AW472">
            <v>0.36</v>
          </cell>
          <cell r="AX472">
            <v>34295</v>
          </cell>
          <cell r="AY472">
            <v>86.67</v>
          </cell>
          <cell r="AZ472">
            <v>0</v>
          </cell>
          <cell r="BA472">
            <v>445</v>
          </cell>
          <cell r="BB472">
            <v>5</v>
          </cell>
          <cell r="BC472">
            <v>450</v>
          </cell>
          <cell r="BD472">
            <v>0</v>
          </cell>
          <cell r="BE472">
            <v>0</v>
          </cell>
          <cell r="BF472">
            <v>20</v>
          </cell>
          <cell r="BG472">
            <v>0</v>
          </cell>
          <cell r="BH472">
            <v>1</v>
          </cell>
          <cell r="BI472">
            <v>55</v>
          </cell>
          <cell r="BJ472">
            <v>11</v>
          </cell>
          <cell r="BK472">
            <v>12</v>
          </cell>
          <cell r="BL472">
            <v>14</v>
          </cell>
          <cell r="BM472">
            <v>13</v>
          </cell>
          <cell r="BN472">
            <v>5</v>
          </cell>
          <cell r="BO472">
            <v>0</v>
          </cell>
          <cell r="BP472">
            <v>18</v>
          </cell>
          <cell r="BQ472">
            <v>0</v>
          </cell>
          <cell r="BR472">
            <v>8</v>
          </cell>
          <cell r="BS472">
            <v>4</v>
          </cell>
          <cell r="BT472">
            <v>3</v>
          </cell>
          <cell r="BU472">
            <v>3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2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2</v>
          </cell>
          <cell r="DL472">
            <v>0</v>
          </cell>
          <cell r="DM472">
            <v>88</v>
          </cell>
          <cell r="DN472">
            <v>17</v>
          </cell>
          <cell r="DO472">
            <v>11</v>
          </cell>
          <cell r="DP472">
            <v>11</v>
          </cell>
          <cell r="DQ472">
            <v>44</v>
          </cell>
          <cell r="DR472">
            <v>5</v>
          </cell>
          <cell r="DS472">
            <v>0</v>
          </cell>
          <cell r="DT472">
            <v>97</v>
          </cell>
          <cell r="DU472">
            <v>16</v>
          </cell>
          <cell r="DV472">
            <v>14</v>
          </cell>
          <cell r="DW472">
            <v>26</v>
          </cell>
          <cell r="DX472">
            <v>19</v>
          </cell>
          <cell r="DY472">
            <v>22</v>
          </cell>
          <cell r="DZ472">
            <v>0</v>
          </cell>
          <cell r="EA472">
            <v>115</v>
          </cell>
          <cell r="EB472">
            <v>20</v>
          </cell>
          <cell r="EC472">
            <v>23</v>
          </cell>
          <cell r="ED472">
            <v>27</v>
          </cell>
          <cell r="EE472">
            <v>22</v>
          </cell>
          <cell r="EF472">
            <v>23</v>
          </cell>
          <cell r="EG472">
            <v>0</v>
          </cell>
          <cell r="EH472">
            <v>75</v>
          </cell>
          <cell r="EI472">
            <v>13</v>
          </cell>
          <cell r="EJ472">
            <v>18</v>
          </cell>
          <cell r="EK472">
            <v>14</v>
          </cell>
          <cell r="EL472">
            <v>22</v>
          </cell>
          <cell r="EM472">
            <v>8</v>
          </cell>
          <cell r="EN472">
            <v>0</v>
          </cell>
          <cell r="EO472" t="str">
            <v xml:space="preserve">Mens Blue Rapids                                            </v>
          </cell>
        </row>
        <row r="473">
          <cell r="A473" t="str">
            <v>CN4YM6886756</v>
          </cell>
          <cell r="B473" t="str">
            <v>CN4</v>
          </cell>
          <cell r="C473" t="str">
            <v>YM6886</v>
          </cell>
          <cell r="D473">
            <v>756</v>
          </cell>
          <cell r="E473" t="str">
            <v xml:space="preserve">   </v>
          </cell>
          <cell r="F473">
            <v>81015</v>
          </cell>
          <cell r="G473">
            <v>81015</v>
          </cell>
          <cell r="H473">
            <v>0</v>
          </cell>
          <cell r="I473">
            <v>700</v>
          </cell>
          <cell r="J473">
            <v>587</v>
          </cell>
          <cell r="K473">
            <v>304</v>
          </cell>
          <cell r="L473">
            <v>269</v>
          </cell>
          <cell r="M473">
            <v>269</v>
          </cell>
          <cell r="N473">
            <v>13405000</v>
          </cell>
          <cell r="O473">
            <v>11250442</v>
          </cell>
          <cell r="P473">
            <v>5826464</v>
          </cell>
          <cell r="Q473">
            <v>5155654</v>
          </cell>
          <cell r="R473">
            <v>22704356</v>
          </cell>
          <cell r="S473" t="str">
            <v xml:space="preserve"> </v>
          </cell>
          <cell r="T473" t="str">
            <v xml:space="preserve"> </v>
          </cell>
          <cell r="U473">
            <v>587</v>
          </cell>
          <cell r="V473">
            <v>11250442</v>
          </cell>
          <cell r="W473">
            <v>269</v>
          </cell>
          <cell r="X473">
            <v>5155654</v>
          </cell>
          <cell r="Y473">
            <v>45.14</v>
          </cell>
          <cell r="Z473">
            <v>44.46</v>
          </cell>
          <cell r="AA473">
            <v>5155654</v>
          </cell>
          <cell r="AB473">
            <v>0</v>
          </cell>
          <cell r="AC473">
            <v>283</v>
          </cell>
          <cell r="AD473">
            <v>5423978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-4</v>
          </cell>
          <cell r="AL473">
            <v>-153328</v>
          </cell>
          <cell r="AM473">
            <v>39</v>
          </cell>
          <cell r="AN473">
            <v>7110586</v>
          </cell>
          <cell r="AO473">
            <v>19150</v>
          </cell>
          <cell r="AP473">
            <v>19166</v>
          </cell>
          <cell r="AQ473">
            <v>89000</v>
          </cell>
          <cell r="AR473">
            <v>0</v>
          </cell>
          <cell r="AS473">
            <v>4.6399999999999997</v>
          </cell>
          <cell r="AT473">
            <v>52243000</v>
          </cell>
          <cell r="AU473">
            <v>4.4000000000000004</v>
          </cell>
          <cell r="AV473">
            <v>22704356</v>
          </cell>
          <cell r="AW473">
            <v>0</v>
          </cell>
          <cell r="AX473">
            <v>0</v>
          </cell>
          <cell r="AY473">
            <v>45.14</v>
          </cell>
          <cell r="AZ473">
            <v>0</v>
          </cell>
          <cell r="BA473">
            <v>269</v>
          </cell>
          <cell r="BB473">
            <v>0</v>
          </cell>
          <cell r="BC473">
            <v>269</v>
          </cell>
          <cell r="BD473">
            <v>0</v>
          </cell>
          <cell r="BE473">
            <v>0</v>
          </cell>
          <cell r="BF473">
            <v>24</v>
          </cell>
          <cell r="BG473">
            <v>1</v>
          </cell>
          <cell r="BH473">
            <v>1</v>
          </cell>
          <cell r="BI473">
            <v>66</v>
          </cell>
          <cell r="BJ473">
            <v>15</v>
          </cell>
          <cell r="BK473">
            <v>22</v>
          </cell>
          <cell r="BL473">
            <v>10</v>
          </cell>
          <cell r="BM473">
            <v>13</v>
          </cell>
          <cell r="BN473">
            <v>6</v>
          </cell>
          <cell r="BO473">
            <v>0</v>
          </cell>
          <cell r="BP473">
            <v>10</v>
          </cell>
          <cell r="BQ473">
            <v>2</v>
          </cell>
          <cell r="BR473">
            <v>2</v>
          </cell>
          <cell r="BS473">
            <v>7</v>
          </cell>
          <cell r="BT473">
            <v>-1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T473">
            <v>45</v>
          </cell>
          <cell r="DU473">
            <v>0</v>
          </cell>
          <cell r="DV473">
            <v>0</v>
          </cell>
          <cell r="DW473">
            <v>11</v>
          </cell>
          <cell r="DX473">
            <v>13</v>
          </cell>
          <cell r="DY473">
            <v>21</v>
          </cell>
          <cell r="DZ473">
            <v>0</v>
          </cell>
          <cell r="EA473">
            <v>87</v>
          </cell>
          <cell r="EB473">
            <v>8</v>
          </cell>
          <cell r="EC473">
            <v>13</v>
          </cell>
          <cell r="ED473">
            <v>29</v>
          </cell>
          <cell r="EE473">
            <v>17</v>
          </cell>
          <cell r="EF473">
            <v>20</v>
          </cell>
          <cell r="EG473">
            <v>0</v>
          </cell>
          <cell r="EH473">
            <v>61</v>
          </cell>
          <cell r="EI473">
            <v>16</v>
          </cell>
          <cell r="EJ473">
            <v>11</v>
          </cell>
          <cell r="EK473">
            <v>19</v>
          </cell>
          <cell r="EL473">
            <v>13</v>
          </cell>
          <cell r="EM473">
            <v>2</v>
          </cell>
          <cell r="EN473">
            <v>0</v>
          </cell>
          <cell r="EO473" t="str">
            <v xml:space="preserve">Mens Moorpark                                               </v>
          </cell>
        </row>
        <row r="474">
          <cell r="A474" t="str">
            <v>CN4YM6886841</v>
          </cell>
          <cell r="B474" t="str">
            <v>CN4</v>
          </cell>
          <cell r="C474" t="str">
            <v>YM6886</v>
          </cell>
          <cell r="D474">
            <v>841</v>
          </cell>
          <cell r="E474" t="str">
            <v xml:space="preserve">   </v>
          </cell>
          <cell r="F474">
            <v>81015</v>
          </cell>
          <cell r="G474">
            <v>81015</v>
          </cell>
          <cell r="H474">
            <v>0</v>
          </cell>
          <cell r="I474">
            <v>500</v>
          </cell>
          <cell r="J474">
            <v>443</v>
          </cell>
          <cell r="K474">
            <v>280</v>
          </cell>
          <cell r="L474">
            <v>245</v>
          </cell>
          <cell r="M474">
            <v>245</v>
          </cell>
          <cell r="N474">
            <v>9575000</v>
          </cell>
          <cell r="O474">
            <v>8490538</v>
          </cell>
          <cell r="P474">
            <v>5366480</v>
          </cell>
          <cell r="Q474">
            <v>4695670</v>
          </cell>
          <cell r="R474">
            <v>20225650</v>
          </cell>
          <cell r="S474" t="str">
            <v xml:space="preserve"> </v>
          </cell>
          <cell r="T474" t="str">
            <v xml:space="preserve"> </v>
          </cell>
          <cell r="U474">
            <v>443</v>
          </cell>
          <cell r="V474">
            <v>8490538</v>
          </cell>
          <cell r="W474">
            <v>245</v>
          </cell>
          <cell r="X474">
            <v>4695670</v>
          </cell>
          <cell r="Y474">
            <v>55.3</v>
          </cell>
          <cell r="Z474">
            <v>55.3</v>
          </cell>
          <cell r="AA474">
            <v>4695670</v>
          </cell>
          <cell r="AB474">
            <v>0</v>
          </cell>
          <cell r="AC474">
            <v>163</v>
          </cell>
          <cell r="AD474">
            <v>3124058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35</v>
          </cell>
          <cell r="AN474">
            <v>4427346</v>
          </cell>
          <cell r="AO474">
            <v>19150</v>
          </cell>
          <cell r="AP474">
            <v>19166</v>
          </cell>
          <cell r="AQ474">
            <v>89000</v>
          </cell>
          <cell r="AR474">
            <v>0</v>
          </cell>
          <cell r="AS474">
            <v>4.6399999999999997</v>
          </cell>
          <cell r="AT474">
            <v>39427000</v>
          </cell>
          <cell r="AU474">
            <v>4.3099999999999996</v>
          </cell>
          <cell r="AV474">
            <v>20225650</v>
          </cell>
          <cell r="AW474">
            <v>0</v>
          </cell>
          <cell r="AX474">
            <v>0</v>
          </cell>
          <cell r="AY474">
            <v>55.3</v>
          </cell>
          <cell r="AZ474">
            <v>0</v>
          </cell>
          <cell r="BA474">
            <v>245</v>
          </cell>
          <cell r="BB474">
            <v>0</v>
          </cell>
          <cell r="BC474">
            <v>245</v>
          </cell>
          <cell r="BD474">
            <v>0</v>
          </cell>
          <cell r="BE474">
            <v>0</v>
          </cell>
          <cell r="BF474">
            <v>16</v>
          </cell>
          <cell r="BG474">
            <v>0</v>
          </cell>
          <cell r="BH474">
            <v>1</v>
          </cell>
          <cell r="BI474">
            <v>42</v>
          </cell>
          <cell r="BJ474">
            <v>12</v>
          </cell>
          <cell r="BK474">
            <v>7</v>
          </cell>
          <cell r="BL474">
            <v>11</v>
          </cell>
          <cell r="BM474">
            <v>7</v>
          </cell>
          <cell r="BN474">
            <v>5</v>
          </cell>
          <cell r="BO474">
            <v>0</v>
          </cell>
          <cell r="BP474">
            <v>-2</v>
          </cell>
          <cell r="BQ474">
            <v>1</v>
          </cell>
          <cell r="BR474">
            <v>0</v>
          </cell>
          <cell r="BS474">
            <v>-3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52</v>
          </cell>
          <cell r="DU474">
            <v>0</v>
          </cell>
          <cell r="DV474">
            <v>0</v>
          </cell>
          <cell r="DW474">
            <v>12</v>
          </cell>
          <cell r="DX474">
            <v>25</v>
          </cell>
          <cell r="DY474">
            <v>15</v>
          </cell>
          <cell r="DZ474">
            <v>0</v>
          </cell>
          <cell r="EA474">
            <v>87</v>
          </cell>
          <cell r="EB474">
            <v>7</v>
          </cell>
          <cell r="EC474">
            <v>25</v>
          </cell>
          <cell r="ED474">
            <v>17</v>
          </cell>
          <cell r="EE474">
            <v>19</v>
          </cell>
          <cell r="EF474">
            <v>19</v>
          </cell>
          <cell r="EG474">
            <v>0</v>
          </cell>
          <cell r="EH474">
            <v>66</v>
          </cell>
          <cell r="EI474">
            <v>11</v>
          </cell>
          <cell r="EJ474">
            <v>17</v>
          </cell>
          <cell r="EK474">
            <v>24</v>
          </cell>
          <cell r="EL474">
            <v>10</v>
          </cell>
          <cell r="EM474">
            <v>4</v>
          </cell>
          <cell r="EN474">
            <v>0</v>
          </cell>
          <cell r="EO474" t="str">
            <v xml:space="preserve">Mens Moorpark                                               </v>
          </cell>
        </row>
        <row r="475">
          <cell r="A475" t="str">
            <v>CN4YM6888485</v>
          </cell>
          <cell r="B475" t="str">
            <v>CN4</v>
          </cell>
          <cell r="C475" t="str">
            <v>YM6888</v>
          </cell>
          <cell r="D475">
            <v>485</v>
          </cell>
          <cell r="E475" t="str">
            <v xml:space="preserve">   </v>
          </cell>
          <cell r="F475">
            <v>81028</v>
          </cell>
          <cell r="G475">
            <v>81028</v>
          </cell>
          <cell r="H475">
            <v>81224</v>
          </cell>
          <cell r="I475">
            <v>800</v>
          </cell>
          <cell r="J475">
            <v>660</v>
          </cell>
          <cell r="K475">
            <v>657</v>
          </cell>
          <cell r="L475">
            <v>510</v>
          </cell>
          <cell r="M475">
            <v>510</v>
          </cell>
          <cell r="N475">
            <v>20120000</v>
          </cell>
          <cell r="O475">
            <v>16607410</v>
          </cell>
          <cell r="P475">
            <v>16531867</v>
          </cell>
          <cell r="Q475">
            <v>12832120</v>
          </cell>
          <cell r="R475">
            <v>33282700</v>
          </cell>
          <cell r="S475" t="str">
            <v>*</v>
          </cell>
          <cell r="T475" t="str">
            <v xml:space="preserve"> </v>
          </cell>
          <cell r="U475">
            <v>660</v>
          </cell>
          <cell r="V475">
            <v>16607410</v>
          </cell>
          <cell r="W475">
            <v>510</v>
          </cell>
          <cell r="X475">
            <v>12832120</v>
          </cell>
          <cell r="Y475">
            <v>77.42</v>
          </cell>
          <cell r="Z475">
            <v>77.42</v>
          </cell>
          <cell r="AA475">
            <v>2616754</v>
          </cell>
          <cell r="AB475">
            <v>10215366</v>
          </cell>
          <cell r="AC475">
            <v>3</v>
          </cell>
          <cell r="AD475">
            <v>276771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>
            <v>25161</v>
          </cell>
          <cell r="AM475">
            <v>146</v>
          </cell>
          <cell r="AN475">
            <v>8001198</v>
          </cell>
          <cell r="AO475">
            <v>25150</v>
          </cell>
          <cell r="AP475">
            <v>25161</v>
          </cell>
          <cell r="AQ475">
            <v>98000</v>
          </cell>
          <cell r="AR475">
            <v>59000</v>
          </cell>
          <cell r="AS475">
            <v>3.89</v>
          </cell>
          <cell r="AT475">
            <v>64680000</v>
          </cell>
          <cell r="AU475">
            <v>3.56</v>
          </cell>
          <cell r="AV475">
            <v>9328700</v>
          </cell>
          <cell r="AW475">
            <v>2.34</v>
          </cell>
          <cell r="AX475">
            <v>23954000</v>
          </cell>
          <cell r="AY475">
            <v>77.42</v>
          </cell>
          <cell r="AZ475">
            <v>0</v>
          </cell>
          <cell r="BA475">
            <v>104</v>
          </cell>
          <cell r="BB475">
            <v>406</v>
          </cell>
          <cell r="BC475">
            <v>510</v>
          </cell>
          <cell r="BD475">
            <v>0</v>
          </cell>
          <cell r="BE475">
            <v>0</v>
          </cell>
          <cell r="BF475">
            <v>64</v>
          </cell>
          <cell r="BG475">
            <v>1</v>
          </cell>
          <cell r="BH475">
            <v>1</v>
          </cell>
          <cell r="BI475">
            <v>259</v>
          </cell>
          <cell r="BJ475">
            <v>56</v>
          </cell>
          <cell r="BK475">
            <v>78</v>
          </cell>
          <cell r="BL475">
            <v>56</v>
          </cell>
          <cell r="BM475">
            <v>43</v>
          </cell>
          <cell r="BN475">
            <v>26</v>
          </cell>
          <cell r="BO475">
            <v>0</v>
          </cell>
          <cell r="BP475">
            <v>30</v>
          </cell>
          <cell r="BQ475">
            <v>4</v>
          </cell>
          <cell r="BR475">
            <v>0</v>
          </cell>
          <cell r="BS475">
            <v>4</v>
          </cell>
          <cell r="BT475">
            <v>16</v>
          </cell>
          <cell r="BU475">
            <v>6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T475">
            <v>2</v>
          </cell>
          <cell r="DU475">
            <v>0</v>
          </cell>
          <cell r="DV475">
            <v>0</v>
          </cell>
          <cell r="DW475">
            <v>0</v>
          </cell>
          <cell r="DX475">
            <v>0</v>
          </cell>
          <cell r="DY475">
            <v>2</v>
          </cell>
          <cell r="DZ475">
            <v>0</v>
          </cell>
          <cell r="EA475">
            <v>38</v>
          </cell>
          <cell r="EB475">
            <v>0</v>
          </cell>
          <cell r="EC475">
            <v>8</v>
          </cell>
          <cell r="ED475">
            <v>4</v>
          </cell>
          <cell r="EE475">
            <v>14</v>
          </cell>
          <cell r="EF475">
            <v>12</v>
          </cell>
          <cell r="EG475">
            <v>0</v>
          </cell>
          <cell r="EH475">
            <v>181</v>
          </cell>
          <cell r="EI475">
            <v>13</v>
          </cell>
          <cell r="EJ475">
            <v>10</v>
          </cell>
          <cell r="EK475">
            <v>17</v>
          </cell>
          <cell r="EL475">
            <v>109</v>
          </cell>
          <cell r="EM475">
            <v>32</v>
          </cell>
          <cell r="EN475">
            <v>0</v>
          </cell>
          <cell r="EO475" t="str">
            <v xml:space="preserve">Mens Emerald Isle                                           </v>
          </cell>
        </row>
        <row r="476">
          <cell r="A476" t="str">
            <v>CN4YM6888988</v>
          </cell>
          <cell r="B476" t="str">
            <v>CN4</v>
          </cell>
          <cell r="C476" t="str">
            <v>YM6888</v>
          </cell>
          <cell r="D476">
            <v>988</v>
          </cell>
          <cell r="E476" t="str">
            <v xml:space="preserve">   </v>
          </cell>
          <cell r="F476">
            <v>81028</v>
          </cell>
          <cell r="G476">
            <v>81028</v>
          </cell>
          <cell r="H476">
            <v>81224</v>
          </cell>
          <cell r="I476">
            <v>650</v>
          </cell>
          <cell r="J476">
            <v>661</v>
          </cell>
          <cell r="K476">
            <v>655</v>
          </cell>
          <cell r="L476">
            <v>564</v>
          </cell>
          <cell r="M476">
            <v>564</v>
          </cell>
          <cell r="N476">
            <v>16347500</v>
          </cell>
          <cell r="O476">
            <v>16634726</v>
          </cell>
          <cell r="P476">
            <v>16483420</v>
          </cell>
          <cell r="Q476">
            <v>14190839</v>
          </cell>
          <cell r="R476">
            <v>38063100</v>
          </cell>
          <cell r="S476" t="str">
            <v>*</v>
          </cell>
          <cell r="T476" t="str">
            <v xml:space="preserve"> </v>
          </cell>
          <cell r="U476">
            <v>661</v>
          </cell>
          <cell r="V476">
            <v>16634726</v>
          </cell>
          <cell r="W476">
            <v>564</v>
          </cell>
          <cell r="X476">
            <v>14190839</v>
          </cell>
          <cell r="Y476">
            <v>85.17</v>
          </cell>
          <cell r="Z476">
            <v>85.16</v>
          </cell>
          <cell r="AA476">
            <v>3975473</v>
          </cell>
          <cell r="AB476">
            <v>10215366</v>
          </cell>
          <cell r="AC476">
            <v>6</v>
          </cell>
          <cell r="AD476">
            <v>251610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-1</v>
          </cell>
          <cell r="AL476">
            <v>-25161</v>
          </cell>
          <cell r="AM476">
            <v>92</v>
          </cell>
          <cell r="AN476">
            <v>5359293</v>
          </cell>
          <cell r="AO476">
            <v>25150</v>
          </cell>
          <cell r="AP476">
            <v>25161</v>
          </cell>
          <cell r="AQ476">
            <v>98000</v>
          </cell>
          <cell r="AR476">
            <v>59000</v>
          </cell>
          <cell r="AS476">
            <v>3.89</v>
          </cell>
          <cell r="AT476">
            <v>64778000</v>
          </cell>
          <cell r="AU476">
            <v>3.55</v>
          </cell>
          <cell r="AV476">
            <v>14109100</v>
          </cell>
          <cell r="AW476">
            <v>2.34</v>
          </cell>
          <cell r="AX476">
            <v>23954000</v>
          </cell>
          <cell r="AY476">
            <v>85.17</v>
          </cell>
          <cell r="AZ476">
            <v>0</v>
          </cell>
          <cell r="BA476">
            <v>158</v>
          </cell>
          <cell r="BB476">
            <v>406</v>
          </cell>
          <cell r="BC476">
            <v>564</v>
          </cell>
          <cell r="BD476">
            <v>0</v>
          </cell>
          <cell r="BE476">
            <v>0</v>
          </cell>
          <cell r="BF476">
            <v>48</v>
          </cell>
          <cell r="BG476">
            <v>0</v>
          </cell>
          <cell r="BH476">
            <v>1</v>
          </cell>
          <cell r="BI476">
            <v>271</v>
          </cell>
          <cell r="BJ476">
            <v>63</v>
          </cell>
          <cell r="BK476">
            <v>103</v>
          </cell>
          <cell r="BL476">
            <v>59</v>
          </cell>
          <cell r="BM476">
            <v>34</v>
          </cell>
          <cell r="BN476">
            <v>12</v>
          </cell>
          <cell r="BO476">
            <v>0</v>
          </cell>
          <cell r="BP476">
            <v>28</v>
          </cell>
          <cell r="BQ476">
            <v>2</v>
          </cell>
          <cell r="BR476">
            <v>13</v>
          </cell>
          <cell r="BS476">
            <v>6</v>
          </cell>
          <cell r="BT476">
            <v>5</v>
          </cell>
          <cell r="BU476">
            <v>2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7</v>
          </cell>
          <cell r="DU476">
            <v>0</v>
          </cell>
          <cell r="DV476">
            <v>0</v>
          </cell>
          <cell r="DW476">
            <v>0</v>
          </cell>
          <cell r="DX476">
            <v>0</v>
          </cell>
          <cell r="DY476">
            <v>7</v>
          </cell>
          <cell r="DZ476">
            <v>0</v>
          </cell>
          <cell r="EA476">
            <v>76</v>
          </cell>
          <cell r="EB476">
            <v>8</v>
          </cell>
          <cell r="EC476">
            <v>22</v>
          </cell>
          <cell r="ED476">
            <v>10</v>
          </cell>
          <cell r="EE476">
            <v>23</v>
          </cell>
          <cell r="EF476">
            <v>13</v>
          </cell>
          <cell r="EG476">
            <v>0</v>
          </cell>
          <cell r="EH476">
            <v>182</v>
          </cell>
          <cell r="EI476">
            <v>24</v>
          </cell>
          <cell r="EJ476">
            <v>14</v>
          </cell>
          <cell r="EK476">
            <v>23</v>
          </cell>
          <cell r="EL476">
            <v>101</v>
          </cell>
          <cell r="EM476">
            <v>20</v>
          </cell>
          <cell r="EN476">
            <v>0</v>
          </cell>
          <cell r="EO476" t="str">
            <v xml:space="preserve">Mens Emerald Isle                                           </v>
          </cell>
        </row>
        <row r="477">
          <cell r="A477" t="str">
            <v>CN4YM8859010</v>
          </cell>
          <cell r="B477" t="str">
            <v>CN4</v>
          </cell>
          <cell r="C477" t="str">
            <v>YM8859</v>
          </cell>
          <cell r="D477">
            <v>10</v>
          </cell>
          <cell r="E477" t="str">
            <v xml:space="preserve">   </v>
          </cell>
          <cell r="F477">
            <v>81010</v>
          </cell>
          <cell r="G477">
            <v>81010</v>
          </cell>
          <cell r="H477">
            <v>81128</v>
          </cell>
          <cell r="I477">
            <v>1000</v>
          </cell>
          <cell r="J477">
            <v>962</v>
          </cell>
          <cell r="K477">
            <v>959</v>
          </cell>
          <cell r="L477">
            <v>954</v>
          </cell>
          <cell r="M477">
            <v>954</v>
          </cell>
          <cell r="N477">
            <v>30050000</v>
          </cell>
          <cell r="O477">
            <v>29979768</v>
          </cell>
          <cell r="P477">
            <v>29886276</v>
          </cell>
          <cell r="Q477">
            <v>29730456</v>
          </cell>
          <cell r="R477">
            <v>121843469</v>
          </cell>
          <cell r="S477" t="str">
            <v>*</v>
          </cell>
          <cell r="T477" t="str">
            <v xml:space="preserve"> </v>
          </cell>
          <cell r="U477">
            <v>962</v>
          </cell>
          <cell r="V477">
            <v>29979768</v>
          </cell>
          <cell r="W477">
            <v>954</v>
          </cell>
          <cell r="X477">
            <v>29730456</v>
          </cell>
          <cell r="Y477">
            <v>99.17</v>
          </cell>
          <cell r="Z477">
            <v>99.17</v>
          </cell>
          <cell r="AA477">
            <v>14615916</v>
          </cell>
          <cell r="AB477">
            <v>15114540</v>
          </cell>
          <cell r="AC477">
            <v>3</v>
          </cell>
          <cell r="AD477">
            <v>186984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5</v>
          </cell>
          <cell r="AN477">
            <v>498624</v>
          </cell>
          <cell r="AO477">
            <v>30050</v>
          </cell>
          <cell r="AP477">
            <v>31164</v>
          </cell>
          <cell r="AQ477">
            <v>168000</v>
          </cell>
          <cell r="AR477">
            <v>101000</v>
          </cell>
          <cell r="AS477">
            <v>5.39</v>
          </cell>
          <cell r="AT477">
            <v>161616000</v>
          </cell>
          <cell r="AU477">
            <v>4.99</v>
          </cell>
          <cell r="AV477">
            <v>72967760</v>
          </cell>
          <cell r="AW477">
            <v>3.23</v>
          </cell>
          <cell r="AX477">
            <v>48875709</v>
          </cell>
          <cell r="AY477">
            <v>99.17</v>
          </cell>
          <cell r="AZ477">
            <v>0</v>
          </cell>
          <cell r="BA477">
            <v>469</v>
          </cell>
          <cell r="BB477">
            <v>485</v>
          </cell>
          <cell r="BC477">
            <v>954</v>
          </cell>
          <cell r="BD477">
            <v>0</v>
          </cell>
          <cell r="BE477">
            <v>0</v>
          </cell>
          <cell r="BF477">
            <v>6</v>
          </cell>
          <cell r="BG477">
            <v>1</v>
          </cell>
          <cell r="BH477">
            <v>1</v>
          </cell>
          <cell r="BI477">
            <v>19</v>
          </cell>
          <cell r="BJ477">
            <v>6</v>
          </cell>
          <cell r="BK477">
            <v>9</v>
          </cell>
          <cell r="BL477">
            <v>5</v>
          </cell>
          <cell r="BM477">
            <v>0</v>
          </cell>
          <cell r="BN477">
            <v>-1</v>
          </cell>
          <cell r="BO477">
            <v>0</v>
          </cell>
          <cell r="BP477">
            <v>6</v>
          </cell>
          <cell r="BQ477">
            <v>0</v>
          </cell>
          <cell r="BR477">
            <v>2</v>
          </cell>
          <cell r="BS477">
            <v>3</v>
          </cell>
          <cell r="BT477">
            <v>1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121</v>
          </cell>
          <cell r="DU477">
            <v>0</v>
          </cell>
          <cell r="DV477">
            <v>9</v>
          </cell>
          <cell r="DW477">
            <v>23</v>
          </cell>
          <cell r="DX477">
            <v>50</v>
          </cell>
          <cell r="DY477">
            <v>39</v>
          </cell>
          <cell r="DZ477">
            <v>0</v>
          </cell>
          <cell r="EA477">
            <v>499</v>
          </cell>
          <cell r="EB477">
            <v>46</v>
          </cell>
          <cell r="EC477">
            <v>101</v>
          </cell>
          <cell r="ED477">
            <v>98</v>
          </cell>
          <cell r="EE477">
            <v>85</v>
          </cell>
          <cell r="EF477">
            <v>169</v>
          </cell>
          <cell r="EG477">
            <v>0</v>
          </cell>
          <cell r="EH477">
            <v>309</v>
          </cell>
          <cell r="EI477">
            <v>212</v>
          </cell>
          <cell r="EJ477">
            <v>69</v>
          </cell>
          <cell r="EK477">
            <v>15</v>
          </cell>
          <cell r="EL477">
            <v>9</v>
          </cell>
          <cell r="EM477">
            <v>4</v>
          </cell>
          <cell r="EN477">
            <v>0</v>
          </cell>
          <cell r="EO477" t="str">
            <v xml:space="preserve"> Mens Dixiana                                               </v>
          </cell>
        </row>
        <row r="478">
          <cell r="A478" t="str">
            <v>CN4YM8859230</v>
          </cell>
          <cell r="B478" t="str">
            <v>CN4</v>
          </cell>
          <cell r="C478" t="str">
            <v>YM8859</v>
          </cell>
          <cell r="D478">
            <v>230</v>
          </cell>
          <cell r="E478" t="str">
            <v xml:space="preserve">   </v>
          </cell>
          <cell r="F478">
            <v>81010</v>
          </cell>
          <cell r="G478">
            <v>81010</v>
          </cell>
          <cell r="H478">
            <v>81128</v>
          </cell>
          <cell r="I478">
            <v>500</v>
          </cell>
          <cell r="J478">
            <v>488</v>
          </cell>
          <cell r="K478">
            <v>487</v>
          </cell>
          <cell r="L478">
            <v>468</v>
          </cell>
          <cell r="M478">
            <v>468</v>
          </cell>
          <cell r="N478">
            <v>15025000</v>
          </cell>
          <cell r="O478">
            <v>15208032</v>
          </cell>
          <cell r="P478">
            <v>15176868</v>
          </cell>
          <cell r="Q478">
            <v>14584752</v>
          </cell>
          <cell r="R478">
            <v>56392759</v>
          </cell>
          <cell r="S478" t="str">
            <v>*</v>
          </cell>
          <cell r="T478" t="str">
            <v xml:space="preserve"> </v>
          </cell>
          <cell r="U478">
            <v>488</v>
          </cell>
          <cell r="V478">
            <v>15208032</v>
          </cell>
          <cell r="W478">
            <v>468</v>
          </cell>
          <cell r="X478">
            <v>14584752</v>
          </cell>
          <cell r="Y478">
            <v>95.7</v>
          </cell>
          <cell r="Z478">
            <v>95.49</v>
          </cell>
          <cell r="AA478">
            <v>4955076</v>
          </cell>
          <cell r="AB478">
            <v>9629676</v>
          </cell>
          <cell r="AC478">
            <v>1</v>
          </cell>
          <cell r="AD478">
            <v>155820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-1</v>
          </cell>
          <cell r="AL478">
            <v>-62328</v>
          </cell>
          <cell r="AM478">
            <v>20</v>
          </cell>
          <cell r="AN478">
            <v>1340052</v>
          </cell>
          <cell r="AO478">
            <v>30050</v>
          </cell>
          <cell r="AP478">
            <v>31164</v>
          </cell>
          <cell r="AQ478">
            <v>168000</v>
          </cell>
          <cell r="AR478">
            <v>101000</v>
          </cell>
          <cell r="AS478">
            <v>5.39</v>
          </cell>
          <cell r="AT478">
            <v>81984000</v>
          </cell>
          <cell r="AU478">
            <v>5.0599999999999996</v>
          </cell>
          <cell r="AV478">
            <v>25094000</v>
          </cell>
          <cell r="AW478">
            <v>3.25</v>
          </cell>
          <cell r="AX478">
            <v>31298759</v>
          </cell>
          <cell r="AY478">
            <v>95.7</v>
          </cell>
          <cell r="AZ478">
            <v>0</v>
          </cell>
          <cell r="BA478">
            <v>159</v>
          </cell>
          <cell r="BB478">
            <v>309</v>
          </cell>
          <cell r="BC478">
            <v>468</v>
          </cell>
          <cell r="BD478">
            <v>0</v>
          </cell>
          <cell r="BE478">
            <v>0</v>
          </cell>
          <cell r="BF478">
            <v>20</v>
          </cell>
          <cell r="BG478">
            <v>0</v>
          </cell>
          <cell r="BH478">
            <v>1</v>
          </cell>
          <cell r="BI478">
            <v>36</v>
          </cell>
          <cell r="BJ478">
            <v>6</v>
          </cell>
          <cell r="BK478">
            <v>13</v>
          </cell>
          <cell r="BL478">
            <v>9</v>
          </cell>
          <cell r="BM478">
            <v>1</v>
          </cell>
          <cell r="BN478">
            <v>7</v>
          </cell>
          <cell r="BO478">
            <v>0</v>
          </cell>
          <cell r="BP478">
            <v>6</v>
          </cell>
          <cell r="BQ478">
            <v>0</v>
          </cell>
          <cell r="BR478">
            <v>3</v>
          </cell>
          <cell r="BS478">
            <v>0</v>
          </cell>
          <cell r="BT478">
            <v>3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T478">
            <v>55</v>
          </cell>
          <cell r="DU478">
            <v>0</v>
          </cell>
          <cell r="DV478">
            <v>4</v>
          </cell>
          <cell r="DW478">
            <v>15</v>
          </cell>
          <cell r="DX478">
            <v>25</v>
          </cell>
          <cell r="DY478">
            <v>11</v>
          </cell>
          <cell r="DZ478">
            <v>0</v>
          </cell>
          <cell r="EA478">
            <v>174</v>
          </cell>
          <cell r="EB478">
            <v>13</v>
          </cell>
          <cell r="EC478">
            <v>35</v>
          </cell>
          <cell r="ED478">
            <v>34</v>
          </cell>
          <cell r="EE478">
            <v>20</v>
          </cell>
          <cell r="EF478">
            <v>72</v>
          </cell>
          <cell r="EG478">
            <v>0</v>
          </cell>
          <cell r="EH478">
            <v>197</v>
          </cell>
          <cell r="EI478">
            <v>79</v>
          </cell>
          <cell r="EJ478">
            <v>59</v>
          </cell>
          <cell r="EK478">
            <v>37</v>
          </cell>
          <cell r="EL478">
            <v>25</v>
          </cell>
          <cell r="EM478">
            <v>-3</v>
          </cell>
          <cell r="EN478">
            <v>0</v>
          </cell>
          <cell r="EO478" t="str">
            <v xml:space="preserve"> Mens Dixiana                                               </v>
          </cell>
        </row>
        <row r="479">
          <cell r="A479" t="str">
            <v>CN4YM8859493</v>
          </cell>
          <cell r="B479" t="str">
            <v>CN4</v>
          </cell>
          <cell r="C479" t="str">
            <v>YM8859</v>
          </cell>
          <cell r="D479">
            <v>493</v>
          </cell>
          <cell r="E479" t="str">
            <v xml:space="preserve">   </v>
          </cell>
          <cell r="F479">
            <v>81010</v>
          </cell>
          <cell r="G479">
            <v>81010</v>
          </cell>
          <cell r="H479">
            <v>81128</v>
          </cell>
          <cell r="I479">
            <v>700</v>
          </cell>
          <cell r="J479">
            <v>677</v>
          </cell>
          <cell r="K479">
            <v>676</v>
          </cell>
          <cell r="L479">
            <v>500</v>
          </cell>
          <cell r="M479">
            <v>500</v>
          </cell>
          <cell r="N479">
            <v>21035000</v>
          </cell>
          <cell r="O479">
            <v>21098028</v>
          </cell>
          <cell r="P479">
            <v>21066864</v>
          </cell>
          <cell r="Q479">
            <v>15582000</v>
          </cell>
          <cell r="R479">
            <v>56520800</v>
          </cell>
          <cell r="S479" t="str">
            <v>*</v>
          </cell>
          <cell r="T479" t="str">
            <v xml:space="preserve"> </v>
          </cell>
          <cell r="U479">
            <v>677</v>
          </cell>
          <cell r="V479">
            <v>21098028</v>
          </cell>
          <cell r="W479">
            <v>500</v>
          </cell>
          <cell r="X479">
            <v>15582000</v>
          </cell>
          <cell r="Y479">
            <v>74</v>
          </cell>
          <cell r="Z479">
            <v>74.150000000000006</v>
          </cell>
          <cell r="AA479">
            <v>3241056</v>
          </cell>
          <cell r="AB479">
            <v>12340944</v>
          </cell>
          <cell r="AC479">
            <v>1</v>
          </cell>
          <cell r="AD479">
            <v>716772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>
            <v>62328</v>
          </cell>
          <cell r="AM479">
            <v>175</v>
          </cell>
          <cell r="AN479">
            <v>11125548</v>
          </cell>
          <cell r="AO479">
            <v>30050</v>
          </cell>
          <cell r="AP479">
            <v>31164</v>
          </cell>
          <cell r="AQ479">
            <v>168000</v>
          </cell>
          <cell r="AR479">
            <v>101000</v>
          </cell>
          <cell r="AS479">
            <v>5.39</v>
          </cell>
          <cell r="AT479">
            <v>113736000</v>
          </cell>
          <cell r="AU479">
            <v>5.0999999999999996</v>
          </cell>
          <cell r="AV479">
            <v>16524800</v>
          </cell>
          <cell r="AW479">
            <v>3.24</v>
          </cell>
          <cell r="AX479">
            <v>39996000</v>
          </cell>
          <cell r="AY479">
            <v>74</v>
          </cell>
          <cell r="AZ479">
            <v>0</v>
          </cell>
          <cell r="BA479">
            <v>104</v>
          </cell>
          <cell r="BB479">
            <v>396</v>
          </cell>
          <cell r="BC479">
            <v>500</v>
          </cell>
          <cell r="BD479">
            <v>0</v>
          </cell>
          <cell r="BE479">
            <v>0</v>
          </cell>
          <cell r="BF479">
            <v>96</v>
          </cell>
          <cell r="BG479">
            <v>0</v>
          </cell>
          <cell r="BH479">
            <v>1</v>
          </cell>
          <cell r="BI479">
            <v>114</v>
          </cell>
          <cell r="BJ479">
            <v>30</v>
          </cell>
          <cell r="BK479">
            <v>27</v>
          </cell>
          <cell r="BL479">
            <v>24</v>
          </cell>
          <cell r="BM479">
            <v>21</v>
          </cell>
          <cell r="BN479">
            <v>12</v>
          </cell>
          <cell r="BO479">
            <v>0</v>
          </cell>
          <cell r="BP479">
            <v>28</v>
          </cell>
          <cell r="BQ479">
            <v>2</v>
          </cell>
          <cell r="BR479">
            <v>1</v>
          </cell>
          <cell r="BS479">
            <v>14</v>
          </cell>
          <cell r="BT479">
            <v>8</v>
          </cell>
          <cell r="BU479">
            <v>3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>
            <v>0</v>
          </cell>
          <cell r="DS479">
            <v>0</v>
          </cell>
          <cell r="DT479">
            <v>38</v>
          </cell>
          <cell r="DU479">
            <v>0</v>
          </cell>
          <cell r="DV479">
            <v>9</v>
          </cell>
          <cell r="DW479">
            <v>12</v>
          </cell>
          <cell r="DX479">
            <v>9</v>
          </cell>
          <cell r="DY479">
            <v>8</v>
          </cell>
          <cell r="DZ479">
            <v>0</v>
          </cell>
          <cell r="EA479">
            <v>105</v>
          </cell>
          <cell r="EB479">
            <v>12</v>
          </cell>
          <cell r="EC479">
            <v>23</v>
          </cell>
          <cell r="ED479">
            <v>9</v>
          </cell>
          <cell r="EE479">
            <v>21</v>
          </cell>
          <cell r="EF479">
            <v>40</v>
          </cell>
          <cell r="EG479">
            <v>0</v>
          </cell>
          <cell r="EH479">
            <v>215</v>
          </cell>
          <cell r="EI479">
            <v>58</v>
          </cell>
          <cell r="EJ479">
            <v>58</v>
          </cell>
          <cell r="EK479">
            <v>38</v>
          </cell>
          <cell r="EL479">
            <v>49</v>
          </cell>
          <cell r="EM479">
            <v>12</v>
          </cell>
          <cell r="EN479">
            <v>0</v>
          </cell>
          <cell r="EO479" t="str">
            <v xml:space="preserve"> Mens Dixiana                                               </v>
          </cell>
        </row>
        <row r="480">
          <cell r="A480" t="str">
            <v>CN4YM8861010</v>
          </cell>
          <cell r="B480" t="str">
            <v>CN4</v>
          </cell>
          <cell r="C480" t="str">
            <v>YM8861</v>
          </cell>
          <cell r="D480">
            <v>10</v>
          </cell>
          <cell r="E480" t="str">
            <v xml:space="preserve">   </v>
          </cell>
          <cell r="F480">
            <v>81024</v>
          </cell>
          <cell r="G480">
            <v>81027</v>
          </cell>
          <cell r="H480">
            <v>0</v>
          </cell>
          <cell r="I480">
            <v>1200</v>
          </cell>
          <cell r="J480">
            <v>1202</v>
          </cell>
          <cell r="K480">
            <v>1202</v>
          </cell>
          <cell r="L480">
            <v>1117</v>
          </cell>
          <cell r="M480">
            <v>1117</v>
          </cell>
          <cell r="N480">
            <v>40075200</v>
          </cell>
          <cell r="O480">
            <v>40289810</v>
          </cell>
          <cell r="P480">
            <v>40293114</v>
          </cell>
          <cell r="Q480">
            <v>37455731</v>
          </cell>
          <cell r="R480">
            <v>144658118</v>
          </cell>
          <cell r="S480" t="str">
            <v xml:space="preserve"> </v>
          </cell>
          <cell r="T480" t="str">
            <v xml:space="preserve"> </v>
          </cell>
          <cell r="U480">
            <v>1202</v>
          </cell>
          <cell r="V480">
            <v>40289810</v>
          </cell>
          <cell r="W480">
            <v>1117</v>
          </cell>
          <cell r="X480">
            <v>37455731</v>
          </cell>
          <cell r="Y480">
            <v>92.93</v>
          </cell>
          <cell r="Z480">
            <v>92.97</v>
          </cell>
          <cell r="AA480">
            <v>37388665</v>
          </cell>
          <cell r="AB480">
            <v>67066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85</v>
          </cell>
          <cell r="AN480">
            <v>6773666</v>
          </cell>
          <cell r="AO480">
            <v>33396</v>
          </cell>
          <cell r="AP480">
            <v>33533</v>
          </cell>
          <cell r="AQ480">
            <v>138000</v>
          </cell>
          <cell r="AR480">
            <v>0</v>
          </cell>
          <cell r="AS480">
            <v>4.12</v>
          </cell>
          <cell r="AT480">
            <v>165876000</v>
          </cell>
          <cell r="AU480">
            <v>3.87</v>
          </cell>
          <cell r="AV480">
            <v>144644400</v>
          </cell>
          <cell r="AW480">
            <v>0.2</v>
          </cell>
          <cell r="AX480">
            <v>13718</v>
          </cell>
          <cell r="AY480">
            <v>92.93</v>
          </cell>
          <cell r="AZ480">
            <v>0</v>
          </cell>
          <cell r="BA480">
            <v>1115</v>
          </cell>
          <cell r="BB480">
            <v>2</v>
          </cell>
          <cell r="BC480">
            <v>1117</v>
          </cell>
          <cell r="BD480">
            <v>0</v>
          </cell>
          <cell r="BE480">
            <v>0</v>
          </cell>
          <cell r="BF480">
            <v>88</v>
          </cell>
          <cell r="BG480">
            <v>1</v>
          </cell>
          <cell r="BH480">
            <v>1</v>
          </cell>
          <cell r="BI480">
            <v>186</v>
          </cell>
          <cell r="BJ480">
            <v>49</v>
          </cell>
          <cell r="BK480">
            <v>52</v>
          </cell>
          <cell r="BL480">
            <v>40</v>
          </cell>
          <cell r="BM480">
            <v>26</v>
          </cell>
          <cell r="BN480">
            <v>19</v>
          </cell>
          <cell r="BO480">
            <v>0</v>
          </cell>
          <cell r="BP480">
            <v>32</v>
          </cell>
          <cell r="BQ480">
            <v>6</v>
          </cell>
          <cell r="BR480">
            <v>10</v>
          </cell>
          <cell r="BS480">
            <v>12</v>
          </cell>
          <cell r="BT480">
            <v>7</v>
          </cell>
          <cell r="BU480">
            <v>-3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>
            <v>0</v>
          </cell>
          <cell r="DS480">
            <v>0</v>
          </cell>
          <cell r="DT480">
            <v>45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45</v>
          </cell>
          <cell r="DZ480">
            <v>0</v>
          </cell>
          <cell r="EA480">
            <v>532</v>
          </cell>
          <cell r="EB480">
            <v>54</v>
          </cell>
          <cell r="EC480">
            <v>148</v>
          </cell>
          <cell r="ED480">
            <v>122</v>
          </cell>
          <cell r="EE480">
            <v>104</v>
          </cell>
          <cell r="EF480">
            <v>104</v>
          </cell>
          <cell r="EG480">
            <v>0</v>
          </cell>
          <cell r="EH480">
            <v>322</v>
          </cell>
          <cell r="EI480">
            <v>94</v>
          </cell>
          <cell r="EJ480">
            <v>72</v>
          </cell>
          <cell r="EK480">
            <v>46</v>
          </cell>
          <cell r="EL480">
            <v>88</v>
          </cell>
          <cell r="EM480">
            <v>22</v>
          </cell>
          <cell r="EN480">
            <v>0</v>
          </cell>
          <cell r="EO480" t="str">
            <v xml:space="preserve"> Mens Lisle                                                 </v>
          </cell>
        </row>
        <row r="481">
          <cell r="A481" t="str">
            <v>CN4YM8861094</v>
          </cell>
          <cell r="B481" t="str">
            <v>CN4</v>
          </cell>
          <cell r="C481" t="str">
            <v>YM8861</v>
          </cell>
          <cell r="D481">
            <v>94</v>
          </cell>
          <cell r="E481" t="str">
            <v xml:space="preserve">   </v>
          </cell>
          <cell r="F481">
            <v>81024</v>
          </cell>
          <cell r="G481">
            <v>81027</v>
          </cell>
          <cell r="H481">
            <v>0</v>
          </cell>
          <cell r="I481">
            <v>600</v>
          </cell>
          <cell r="J481">
            <v>551</v>
          </cell>
          <cell r="K481">
            <v>551</v>
          </cell>
          <cell r="L481">
            <v>241</v>
          </cell>
          <cell r="M481">
            <v>241</v>
          </cell>
          <cell r="N481">
            <v>20037600</v>
          </cell>
          <cell r="O481">
            <v>18468969</v>
          </cell>
          <cell r="P481">
            <v>18469263</v>
          </cell>
          <cell r="Q481">
            <v>8081271</v>
          </cell>
          <cell r="R481">
            <v>31353500</v>
          </cell>
          <cell r="S481" t="str">
            <v xml:space="preserve"> </v>
          </cell>
          <cell r="T481" t="str">
            <v xml:space="preserve"> </v>
          </cell>
          <cell r="U481">
            <v>551</v>
          </cell>
          <cell r="V481">
            <v>18468969</v>
          </cell>
          <cell r="W481">
            <v>241</v>
          </cell>
          <cell r="X481">
            <v>8081271</v>
          </cell>
          <cell r="Y481">
            <v>43.74</v>
          </cell>
          <cell r="Z481">
            <v>43.76</v>
          </cell>
          <cell r="AA481">
            <v>8081271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310</v>
          </cell>
          <cell r="AN481">
            <v>21427587</v>
          </cell>
          <cell r="AO481">
            <v>33396</v>
          </cell>
          <cell r="AP481">
            <v>33533</v>
          </cell>
          <cell r="AQ481">
            <v>138000</v>
          </cell>
          <cell r="AR481">
            <v>0</v>
          </cell>
          <cell r="AS481">
            <v>4.12</v>
          </cell>
          <cell r="AT481">
            <v>76038000</v>
          </cell>
          <cell r="AU481">
            <v>3.88</v>
          </cell>
          <cell r="AV481">
            <v>31353500</v>
          </cell>
          <cell r="AW481">
            <v>0</v>
          </cell>
          <cell r="AX481">
            <v>0</v>
          </cell>
          <cell r="AY481">
            <v>43.74</v>
          </cell>
          <cell r="AZ481">
            <v>0</v>
          </cell>
          <cell r="BA481">
            <v>241</v>
          </cell>
          <cell r="BB481">
            <v>0</v>
          </cell>
          <cell r="BC481">
            <v>241</v>
          </cell>
          <cell r="BD481">
            <v>0</v>
          </cell>
          <cell r="BE481">
            <v>0</v>
          </cell>
          <cell r="BF481">
            <v>27</v>
          </cell>
          <cell r="BG481">
            <v>0</v>
          </cell>
          <cell r="BH481">
            <v>1</v>
          </cell>
          <cell r="BI481">
            <v>58</v>
          </cell>
          <cell r="BJ481">
            <v>12</v>
          </cell>
          <cell r="BK481">
            <v>14</v>
          </cell>
          <cell r="BL481">
            <v>9</v>
          </cell>
          <cell r="BM481">
            <v>17</v>
          </cell>
          <cell r="BN481">
            <v>6</v>
          </cell>
          <cell r="BO481">
            <v>0</v>
          </cell>
          <cell r="BP481">
            <v>19</v>
          </cell>
          <cell r="BQ481">
            <v>1</v>
          </cell>
          <cell r="BR481">
            <v>2</v>
          </cell>
          <cell r="BS481">
            <v>3</v>
          </cell>
          <cell r="BT481">
            <v>6</v>
          </cell>
          <cell r="BU481">
            <v>7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>
            <v>0</v>
          </cell>
          <cell r="DS481">
            <v>0</v>
          </cell>
          <cell r="DT481">
            <v>13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13</v>
          </cell>
          <cell r="DZ481">
            <v>0</v>
          </cell>
          <cell r="EA481">
            <v>86</v>
          </cell>
          <cell r="EB481">
            <v>11</v>
          </cell>
          <cell r="EC481">
            <v>23</v>
          </cell>
          <cell r="ED481">
            <v>23</v>
          </cell>
          <cell r="EE481">
            <v>18</v>
          </cell>
          <cell r="EF481">
            <v>11</v>
          </cell>
          <cell r="EG481">
            <v>0</v>
          </cell>
          <cell r="EH481">
            <v>65</v>
          </cell>
          <cell r="EI481">
            <v>22</v>
          </cell>
          <cell r="EJ481">
            <v>10</v>
          </cell>
          <cell r="EK481">
            <v>10</v>
          </cell>
          <cell r="EL481">
            <v>18</v>
          </cell>
          <cell r="EM481">
            <v>5</v>
          </cell>
          <cell r="EN481">
            <v>0</v>
          </cell>
          <cell r="EO481" t="str">
            <v xml:space="preserve"> Mens Lisle                                                 </v>
          </cell>
        </row>
        <row r="482">
          <cell r="A482" t="str">
            <v>CN4YM8861326</v>
          </cell>
          <cell r="B482" t="str">
            <v>CN4</v>
          </cell>
          <cell r="C482" t="str">
            <v>YM8861</v>
          </cell>
          <cell r="D482">
            <v>326</v>
          </cell>
          <cell r="E482" t="str">
            <v xml:space="preserve">   </v>
          </cell>
          <cell r="F482">
            <v>81024</v>
          </cell>
          <cell r="G482">
            <v>81027</v>
          </cell>
          <cell r="H482">
            <v>0</v>
          </cell>
          <cell r="I482">
            <v>400</v>
          </cell>
          <cell r="J482">
            <v>347</v>
          </cell>
          <cell r="K482">
            <v>347</v>
          </cell>
          <cell r="L482">
            <v>253</v>
          </cell>
          <cell r="M482">
            <v>253</v>
          </cell>
          <cell r="N482">
            <v>13358400</v>
          </cell>
          <cell r="O482">
            <v>11631093</v>
          </cell>
          <cell r="P482">
            <v>11631541</v>
          </cell>
          <cell r="Q482">
            <v>8483765</v>
          </cell>
          <cell r="R482">
            <v>33105900</v>
          </cell>
          <cell r="S482" t="str">
            <v xml:space="preserve"> </v>
          </cell>
          <cell r="T482" t="str">
            <v xml:space="preserve"> </v>
          </cell>
          <cell r="U482">
            <v>347</v>
          </cell>
          <cell r="V482">
            <v>11631093</v>
          </cell>
          <cell r="W482">
            <v>253</v>
          </cell>
          <cell r="X482">
            <v>8483765</v>
          </cell>
          <cell r="Y482">
            <v>72.91</v>
          </cell>
          <cell r="Z482">
            <v>72.94</v>
          </cell>
          <cell r="AA482">
            <v>8483765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94</v>
          </cell>
          <cell r="AN482">
            <v>6706600</v>
          </cell>
          <cell r="AO482">
            <v>33396</v>
          </cell>
          <cell r="AP482">
            <v>33533</v>
          </cell>
          <cell r="AQ482">
            <v>138000</v>
          </cell>
          <cell r="AR482">
            <v>0</v>
          </cell>
          <cell r="AS482">
            <v>4.12</v>
          </cell>
          <cell r="AT482">
            <v>47886000</v>
          </cell>
          <cell r="AU482">
            <v>3.9</v>
          </cell>
          <cell r="AV482">
            <v>33105900</v>
          </cell>
          <cell r="AW482">
            <v>0</v>
          </cell>
          <cell r="AX482">
            <v>0</v>
          </cell>
          <cell r="AY482">
            <v>72.91</v>
          </cell>
          <cell r="AZ482">
            <v>0</v>
          </cell>
          <cell r="BA482">
            <v>253</v>
          </cell>
          <cell r="BB482">
            <v>0</v>
          </cell>
          <cell r="BC482">
            <v>253</v>
          </cell>
          <cell r="BD482">
            <v>0</v>
          </cell>
          <cell r="BE482">
            <v>0</v>
          </cell>
          <cell r="BF482">
            <v>16</v>
          </cell>
          <cell r="BG482">
            <v>0</v>
          </cell>
          <cell r="BH482">
            <v>1</v>
          </cell>
          <cell r="BI482">
            <v>56</v>
          </cell>
          <cell r="BJ482">
            <v>6</v>
          </cell>
          <cell r="BK482">
            <v>21</v>
          </cell>
          <cell r="BL482">
            <v>15</v>
          </cell>
          <cell r="BM482">
            <v>11</v>
          </cell>
          <cell r="BN482">
            <v>3</v>
          </cell>
          <cell r="BO482">
            <v>0</v>
          </cell>
          <cell r="BP482">
            <v>12</v>
          </cell>
          <cell r="BQ482">
            <v>2</v>
          </cell>
          <cell r="BR482">
            <v>2</v>
          </cell>
          <cell r="BS482">
            <v>-1</v>
          </cell>
          <cell r="BT482">
            <v>5</v>
          </cell>
          <cell r="BU482">
            <v>4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T482">
            <v>6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6</v>
          </cell>
          <cell r="DZ482">
            <v>0</v>
          </cell>
          <cell r="EA482">
            <v>110</v>
          </cell>
          <cell r="EB482">
            <v>12</v>
          </cell>
          <cell r="EC482">
            <v>29</v>
          </cell>
          <cell r="ED482">
            <v>15</v>
          </cell>
          <cell r="EE482">
            <v>22</v>
          </cell>
          <cell r="EF482">
            <v>32</v>
          </cell>
          <cell r="EG482">
            <v>0</v>
          </cell>
          <cell r="EH482">
            <v>69</v>
          </cell>
          <cell r="EI482">
            <v>11</v>
          </cell>
          <cell r="EJ482">
            <v>16</v>
          </cell>
          <cell r="EK482">
            <v>15</v>
          </cell>
          <cell r="EL482">
            <v>18</v>
          </cell>
          <cell r="EM482">
            <v>9</v>
          </cell>
          <cell r="EN482">
            <v>0</v>
          </cell>
          <cell r="EO482" t="str">
            <v xml:space="preserve"> Mens Lisle                                                 </v>
          </cell>
        </row>
        <row r="483">
          <cell r="A483" t="str">
            <v>CN4YM8862010</v>
          </cell>
          <cell r="B483" t="str">
            <v>CN4</v>
          </cell>
          <cell r="C483" t="str">
            <v>YM8862</v>
          </cell>
          <cell r="D483">
            <v>10</v>
          </cell>
          <cell r="E483" t="str">
            <v xml:space="preserve">   </v>
          </cell>
          <cell r="F483">
            <v>80923</v>
          </cell>
          <cell r="G483">
            <v>80924</v>
          </cell>
          <cell r="H483">
            <v>0</v>
          </cell>
          <cell r="I483">
            <v>1500</v>
          </cell>
          <cell r="J483">
            <v>1485</v>
          </cell>
          <cell r="K483">
            <v>1266</v>
          </cell>
          <cell r="L483">
            <v>1126</v>
          </cell>
          <cell r="M483">
            <v>1126</v>
          </cell>
          <cell r="N483">
            <v>60450000</v>
          </cell>
          <cell r="O483">
            <v>59861835</v>
          </cell>
          <cell r="P483">
            <v>51033726</v>
          </cell>
          <cell r="Q483">
            <v>45390186</v>
          </cell>
          <cell r="R483">
            <v>171016426</v>
          </cell>
          <cell r="S483" t="str">
            <v xml:space="preserve"> </v>
          </cell>
          <cell r="T483" t="str">
            <v xml:space="preserve"> </v>
          </cell>
          <cell r="U483">
            <v>1485</v>
          </cell>
          <cell r="V483">
            <v>59861835</v>
          </cell>
          <cell r="W483">
            <v>1126</v>
          </cell>
          <cell r="X483">
            <v>45390186</v>
          </cell>
          <cell r="Y483">
            <v>75.819999999999993</v>
          </cell>
          <cell r="Z483">
            <v>75.819999999999993</v>
          </cell>
          <cell r="AA483">
            <v>44825832</v>
          </cell>
          <cell r="AB483">
            <v>564354</v>
          </cell>
          <cell r="AC483">
            <v>219</v>
          </cell>
          <cell r="AD483">
            <v>8828109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140</v>
          </cell>
          <cell r="AN483">
            <v>20679543</v>
          </cell>
          <cell r="AO483">
            <v>40300</v>
          </cell>
          <cell r="AP483">
            <v>40311</v>
          </cell>
          <cell r="AQ483">
            <v>168000</v>
          </cell>
          <cell r="AR483">
            <v>0</v>
          </cell>
          <cell r="AS483">
            <v>4.17</v>
          </cell>
          <cell r="AT483">
            <v>249480000</v>
          </cell>
          <cell r="AU483">
            <v>3.81</v>
          </cell>
          <cell r="AV483">
            <v>170920400</v>
          </cell>
          <cell r="AW483">
            <v>0.17</v>
          </cell>
          <cell r="AX483">
            <v>96026</v>
          </cell>
          <cell r="AY483">
            <v>75.819999999999993</v>
          </cell>
          <cell r="AZ483">
            <v>0</v>
          </cell>
          <cell r="BA483">
            <v>1112</v>
          </cell>
          <cell r="BB483">
            <v>14</v>
          </cell>
          <cell r="BC483">
            <v>1126</v>
          </cell>
          <cell r="BD483">
            <v>0</v>
          </cell>
          <cell r="BE483">
            <v>0</v>
          </cell>
          <cell r="BF483">
            <v>94</v>
          </cell>
          <cell r="BG483">
            <v>1</v>
          </cell>
          <cell r="BH483">
            <v>1</v>
          </cell>
          <cell r="BI483">
            <v>161</v>
          </cell>
          <cell r="BJ483">
            <v>27</v>
          </cell>
          <cell r="BK483">
            <v>43</v>
          </cell>
          <cell r="BL483">
            <v>37</v>
          </cell>
          <cell r="BM483">
            <v>30</v>
          </cell>
          <cell r="BN483">
            <v>24</v>
          </cell>
          <cell r="BO483">
            <v>0</v>
          </cell>
          <cell r="BP483">
            <v>14</v>
          </cell>
          <cell r="BQ483">
            <v>4</v>
          </cell>
          <cell r="BR483">
            <v>15</v>
          </cell>
          <cell r="BS483">
            <v>1</v>
          </cell>
          <cell r="BT483">
            <v>-4</v>
          </cell>
          <cell r="BU483">
            <v>-2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191</v>
          </cell>
          <cell r="DN483">
            <v>0</v>
          </cell>
          <cell r="DO483">
            <v>0</v>
          </cell>
          <cell r="DP483">
            <v>0</v>
          </cell>
          <cell r="DQ483">
            <v>184</v>
          </cell>
          <cell r="DR483">
            <v>7</v>
          </cell>
          <cell r="DS483">
            <v>0</v>
          </cell>
          <cell r="DT483">
            <v>285</v>
          </cell>
          <cell r="DU483">
            <v>43</v>
          </cell>
          <cell r="DV483">
            <v>55</v>
          </cell>
          <cell r="DW483">
            <v>62</v>
          </cell>
          <cell r="DX483">
            <v>77</v>
          </cell>
          <cell r="DY483">
            <v>48</v>
          </cell>
          <cell r="DZ483">
            <v>0</v>
          </cell>
          <cell r="EA483">
            <v>261</v>
          </cell>
          <cell r="EB483">
            <v>38</v>
          </cell>
          <cell r="EC483">
            <v>72</v>
          </cell>
          <cell r="ED483">
            <v>58</v>
          </cell>
          <cell r="EE483">
            <v>42</v>
          </cell>
          <cell r="EF483">
            <v>51</v>
          </cell>
          <cell r="EG483">
            <v>0</v>
          </cell>
          <cell r="EH483">
            <v>214</v>
          </cell>
          <cell r="EI483">
            <v>35</v>
          </cell>
          <cell r="EJ483">
            <v>43</v>
          </cell>
          <cell r="EK483">
            <v>42</v>
          </cell>
          <cell r="EL483">
            <v>52</v>
          </cell>
          <cell r="EM483">
            <v>42</v>
          </cell>
          <cell r="EN483">
            <v>0</v>
          </cell>
          <cell r="EO483" t="str">
            <v xml:space="preserve">Mens Lisman                                                 </v>
          </cell>
        </row>
        <row r="484">
          <cell r="A484" t="str">
            <v>CN4YM8862053</v>
          </cell>
          <cell r="B484" t="str">
            <v>CN4</v>
          </cell>
          <cell r="C484" t="str">
            <v>YM8862</v>
          </cell>
          <cell r="D484">
            <v>53</v>
          </cell>
          <cell r="E484" t="str">
            <v xml:space="preserve">   </v>
          </cell>
          <cell r="F484">
            <v>80923</v>
          </cell>
          <cell r="G484">
            <v>80924</v>
          </cell>
          <cell r="H484">
            <v>0</v>
          </cell>
          <cell r="I484">
            <v>800</v>
          </cell>
          <cell r="J484">
            <v>774</v>
          </cell>
          <cell r="K484">
            <v>411</v>
          </cell>
          <cell r="L484">
            <v>232</v>
          </cell>
          <cell r="M484">
            <v>232</v>
          </cell>
          <cell r="N484">
            <v>32240000</v>
          </cell>
          <cell r="O484">
            <v>31200714</v>
          </cell>
          <cell r="P484">
            <v>16567821</v>
          </cell>
          <cell r="Q484">
            <v>9352152</v>
          </cell>
          <cell r="R484">
            <v>35180918</v>
          </cell>
          <cell r="S484" t="str">
            <v xml:space="preserve"> </v>
          </cell>
          <cell r="T484" t="str">
            <v xml:space="preserve"> </v>
          </cell>
          <cell r="U484">
            <v>774</v>
          </cell>
          <cell r="V484">
            <v>31200714</v>
          </cell>
          <cell r="W484">
            <v>232</v>
          </cell>
          <cell r="X484">
            <v>9352152</v>
          </cell>
          <cell r="Y484">
            <v>30.36</v>
          </cell>
          <cell r="Z484">
            <v>30.75</v>
          </cell>
          <cell r="AA484">
            <v>9271530</v>
          </cell>
          <cell r="AB484">
            <v>80622</v>
          </cell>
          <cell r="AC484">
            <v>363</v>
          </cell>
          <cell r="AD484">
            <v>14713515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3</v>
          </cell>
          <cell r="AL484">
            <v>241866</v>
          </cell>
          <cell r="AM484">
            <v>176</v>
          </cell>
          <cell r="AN484">
            <v>29023920</v>
          </cell>
          <cell r="AO484">
            <v>40300</v>
          </cell>
          <cell r="AP484">
            <v>40311</v>
          </cell>
          <cell r="AQ484">
            <v>168000</v>
          </cell>
          <cell r="AR484">
            <v>0</v>
          </cell>
          <cell r="AS484">
            <v>4.17</v>
          </cell>
          <cell r="AT484">
            <v>130032000</v>
          </cell>
          <cell r="AU484">
            <v>3.79</v>
          </cell>
          <cell r="AV484">
            <v>35167200</v>
          </cell>
          <cell r="AW484">
            <v>0.17</v>
          </cell>
          <cell r="AX484">
            <v>13718</v>
          </cell>
          <cell r="AY484">
            <v>30.36</v>
          </cell>
          <cell r="AZ484">
            <v>0</v>
          </cell>
          <cell r="BA484">
            <v>230</v>
          </cell>
          <cell r="BB484">
            <v>2</v>
          </cell>
          <cell r="BC484">
            <v>232</v>
          </cell>
          <cell r="BD484">
            <v>0</v>
          </cell>
          <cell r="BE484">
            <v>0</v>
          </cell>
          <cell r="BF484">
            <v>21</v>
          </cell>
          <cell r="BG484">
            <v>0</v>
          </cell>
          <cell r="BH484">
            <v>1</v>
          </cell>
          <cell r="BI484">
            <v>36</v>
          </cell>
          <cell r="BJ484">
            <v>6</v>
          </cell>
          <cell r="BK484">
            <v>9</v>
          </cell>
          <cell r="BL484">
            <v>12</v>
          </cell>
          <cell r="BM484">
            <v>10</v>
          </cell>
          <cell r="BN484">
            <v>-1</v>
          </cell>
          <cell r="BO484">
            <v>0</v>
          </cell>
          <cell r="BP484">
            <v>7</v>
          </cell>
          <cell r="BQ484">
            <v>1</v>
          </cell>
          <cell r="BR484">
            <v>5</v>
          </cell>
          <cell r="BS484">
            <v>-2</v>
          </cell>
          <cell r="BT484">
            <v>1</v>
          </cell>
          <cell r="BU484">
            <v>2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57</v>
          </cell>
          <cell r="DN484">
            <v>0</v>
          </cell>
          <cell r="DO484">
            <v>0</v>
          </cell>
          <cell r="DP484">
            <v>0</v>
          </cell>
          <cell r="DQ484">
            <v>51</v>
          </cell>
          <cell r="DR484">
            <v>6</v>
          </cell>
          <cell r="DS484">
            <v>0</v>
          </cell>
          <cell r="DT484">
            <v>55</v>
          </cell>
          <cell r="DU484">
            <v>9</v>
          </cell>
          <cell r="DV484">
            <v>12</v>
          </cell>
          <cell r="DW484">
            <v>12</v>
          </cell>
          <cell r="DX484">
            <v>12</v>
          </cell>
          <cell r="DY484">
            <v>10</v>
          </cell>
          <cell r="DZ484">
            <v>0</v>
          </cell>
          <cell r="EA484">
            <v>48</v>
          </cell>
          <cell r="EB484">
            <v>13</v>
          </cell>
          <cell r="EC484">
            <v>14</v>
          </cell>
          <cell r="ED484">
            <v>9</v>
          </cell>
          <cell r="EE484">
            <v>6</v>
          </cell>
          <cell r="EF484">
            <v>6</v>
          </cell>
          <cell r="EG484">
            <v>0</v>
          </cell>
          <cell r="EH484">
            <v>29</v>
          </cell>
          <cell r="EI484">
            <v>7</v>
          </cell>
          <cell r="EJ484">
            <v>9</v>
          </cell>
          <cell r="EK484">
            <v>7</v>
          </cell>
          <cell r="EL484">
            <v>3</v>
          </cell>
          <cell r="EM484">
            <v>3</v>
          </cell>
          <cell r="EN484">
            <v>0</v>
          </cell>
          <cell r="EO484" t="str">
            <v xml:space="preserve">Mens Lisman                                                 </v>
          </cell>
        </row>
        <row r="485">
          <cell r="A485" t="str">
            <v>CN4YM8864010</v>
          </cell>
          <cell r="B485" t="str">
            <v>CN4</v>
          </cell>
          <cell r="C485" t="str">
            <v>YM8864</v>
          </cell>
          <cell r="D485">
            <v>10</v>
          </cell>
          <cell r="E485" t="str">
            <v xml:space="preserve">   </v>
          </cell>
          <cell r="F485">
            <v>81001</v>
          </cell>
          <cell r="G485">
            <v>81002</v>
          </cell>
          <cell r="H485">
            <v>0</v>
          </cell>
          <cell r="I485">
            <v>1800</v>
          </cell>
          <cell r="J485">
            <v>1774</v>
          </cell>
          <cell r="K485">
            <v>1774</v>
          </cell>
          <cell r="L485">
            <v>1521</v>
          </cell>
          <cell r="M485">
            <v>1521</v>
          </cell>
          <cell r="N485">
            <v>42210000</v>
          </cell>
          <cell r="O485">
            <v>41655294</v>
          </cell>
          <cell r="P485">
            <v>41655294</v>
          </cell>
          <cell r="Q485">
            <v>35714601</v>
          </cell>
          <cell r="R485">
            <v>204088976</v>
          </cell>
          <cell r="S485" t="str">
            <v xml:space="preserve"> </v>
          </cell>
          <cell r="T485" t="str">
            <v xml:space="preserve"> </v>
          </cell>
          <cell r="U485">
            <v>1774</v>
          </cell>
          <cell r="V485">
            <v>41655294</v>
          </cell>
          <cell r="W485">
            <v>1521</v>
          </cell>
          <cell r="X485">
            <v>35714601</v>
          </cell>
          <cell r="Y485">
            <v>85.85</v>
          </cell>
          <cell r="Z485">
            <v>85.96</v>
          </cell>
          <cell r="AA485">
            <v>35597196</v>
          </cell>
          <cell r="AB485">
            <v>117405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2</v>
          </cell>
          <cell r="AL485">
            <v>93924</v>
          </cell>
          <cell r="AM485">
            <v>251</v>
          </cell>
          <cell r="AN485">
            <v>11951829</v>
          </cell>
          <cell r="AO485">
            <v>23450</v>
          </cell>
          <cell r="AP485">
            <v>23481</v>
          </cell>
          <cell r="AQ485">
            <v>158000</v>
          </cell>
          <cell r="AR485">
            <v>0</v>
          </cell>
          <cell r="AS485">
            <v>6.73</v>
          </cell>
          <cell r="AT485">
            <v>280292000</v>
          </cell>
          <cell r="AU485">
            <v>5.73</v>
          </cell>
          <cell r="AV485">
            <v>204054681</v>
          </cell>
          <cell r="AW485">
            <v>0.28999999999999998</v>
          </cell>
          <cell r="AX485">
            <v>34295</v>
          </cell>
          <cell r="AY485">
            <v>85.85</v>
          </cell>
          <cell r="AZ485">
            <v>0</v>
          </cell>
          <cell r="BA485">
            <v>1516</v>
          </cell>
          <cell r="BB485">
            <v>5</v>
          </cell>
          <cell r="BC485">
            <v>1521</v>
          </cell>
          <cell r="BD485">
            <v>0</v>
          </cell>
          <cell r="BE485">
            <v>0</v>
          </cell>
          <cell r="BF485">
            <v>83</v>
          </cell>
          <cell r="BG485">
            <v>1</v>
          </cell>
          <cell r="BH485">
            <v>1</v>
          </cell>
          <cell r="BI485">
            <v>715</v>
          </cell>
          <cell r="BJ485">
            <v>212</v>
          </cell>
          <cell r="BK485">
            <v>237</v>
          </cell>
          <cell r="BL485">
            <v>168</v>
          </cell>
          <cell r="BM485">
            <v>57</v>
          </cell>
          <cell r="BN485">
            <v>41</v>
          </cell>
          <cell r="BO485">
            <v>0</v>
          </cell>
          <cell r="BP485">
            <v>7</v>
          </cell>
          <cell r="BQ485">
            <v>13</v>
          </cell>
          <cell r="BR485">
            <v>5</v>
          </cell>
          <cell r="BS485">
            <v>-1</v>
          </cell>
          <cell r="BT485">
            <v>2</v>
          </cell>
          <cell r="BU485">
            <v>-12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T485">
            <v>65</v>
          </cell>
          <cell r="DU485">
            <v>13</v>
          </cell>
          <cell r="DV485">
            <v>19</v>
          </cell>
          <cell r="DW485">
            <v>8</v>
          </cell>
          <cell r="DX485">
            <v>18</v>
          </cell>
          <cell r="DY485">
            <v>7</v>
          </cell>
          <cell r="DZ485">
            <v>0</v>
          </cell>
          <cell r="EA485">
            <v>248</v>
          </cell>
          <cell r="EB485">
            <v>12</v>
          </cell>
          <cell r="EC485">
            <v>36</v>
          </cell>
          <cell r="ED485">
            <v>31</v>
          </cell>
          <cell r="EE485">
            <v>81</v>
          </cell>
          <cell r="EF485">
            <v>88</v>
          </cell>
          <cell r="EG485">
            <v>0</v>
          </cell>
          <cell r="EH485">
            <v>486</v>
          </cell>
          <cell r="EI485">
            <v>83</v>
          </cell>
          <cell r="EJ485">
            <v>72</v>
          </cell>
          <cell r="EK485">
            <v>64</v>
          </cell>
          <cell r="EL485">
            <v>199</v>
          </cell>
          <cell r="EM485">
            <v>68</v>
          </cell>
          <cell r="EN485">
            <v>0</v>
          </cell>
          <cell r="EO485" t="str">
            <v xml:space="preserve"> Mens Vista                                                 </v>
          </cell>
        </row>
        <row r="486">
          <cell r="A486" t="str">
            <v>CN4YM8864048</v>
          </cell>
          <cell r="B486" t="str">
            <v>CN4</v>
          </cell>
          <cell r="C486" t="str">
            <v>YM8864</v>
          </cell>
          <cell r="D486">
            <v>48</v>
          </cell>
          <cell r="E486" t="str">
            <v xml:space="preserve">   </v>
          </cell>
          <cell r="F486">
            <v>81001</v>
          </cell>
          <cell r="G486">
            <v>81002</v>
          </cell>
          <cell r="H486">
            <v>0</v>
          </cell>
          <cell r="I486">
            <v>800</v>
          </cell>
          <cell r="J486">
            <v>789</v>
          </cell>
          <cell r="K486">
            <v>789</v>
          </cell>
          <cell r="L486">
            <v>431</v>
          </cell>
          <cell r="M486">
            <v>431</v>
          </cell>
          <cell r="N486">
            <v>18760000</v>
          </cell>
          <cell r="O486">
            <v>18526509</v>
          </cell>
          <cell r="P486">
            <v>18526509</v>
          </cell>
          <cell r="Q486">
            <v>10120311</v>
          </cell>
          <cell r="R486">
            <v>57574919</v>
          </cell>
          <cell r="S486" t="str">
            <v xml:space="preserve"> </v>
          </cell>
          <cell r="T486" t="str">
            <v xml:space="preserve"> </v>
          </cell>
          <cell r="U486">
            <v>789</v>
          </cell>
          <cell r="V486">
            <v>18526509</v>
          </cell>
          <cell r="W486">
            <v>431</v>
          </cell>
          <cell r="X486">
            <v>10120311</v>
          </cell>
          <cell r="Y486">
            <v>54.63</v>
          </cell>
          <cell r="Z486">
            <v>54.63</v>
          </cell>
          <cell r="AA486">
            <v>10120311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358</v>
          </cell>
          <cell r="AN486">
            <v>17493345</v>
          </cell>
          <cell r="AO486">
            <v>23450</v>
          </cell>
          <cell r="AP486">
            <v>23481</v>
          </cell>
          <cell r="AQ486">
            <v>158000</v>
          </cell>
          <cell r="AR486">
            <v>0</v>
          </cell>
          <cell r="AS486">
            <v>6.73</v>
          </cell>
          <cell r="AT486">
            <v>124662000</v>
          </cell>
          <cell r="AU486">
            <v>5.69</v>
          </cell>
          <cell r="AV486">
            <v>57574919</v>
          </cell>
          <cell r="AW486">
            <v>0</v>
          </cell>
          <cell r="AX486">
            <v>0</v>
          </cell>
          <cell r="AY486">
            <v>54.63</v>
          </cell>
          <cell r="AZ486">
            <v>0</v>
          </cell>
          <cell r="BA486">
            <v>431</v>
          </cell>
          <cell r="BB486">
            <v>0</v>
          </cell>
          <cell r="BC486">
            <v>431</v>
          </cell>
          <cell r="BD486">
            <v>0</v>
          </cell>
          <cell r="BE486">
            <v>0</v>
          </cell>
          <cell r="BF486">
            <v>41</v>
          </cell>
          <cell r="BG486">
            <v>0</v>
          </cell>
          <cell r="BH486">
            <v>1</v>
          </cell>
          <cell r="BI486">
            <v>213</v>
          </cell>
          <cell r="BJ486">
            <v>33</v>
          </cell>
          <cell r="BK486">
            <v>64</v>
          </cell>
          <cell r="BL486">
            <v>62</v>
          </cell>
          <cell r="BM486">
            <v>36</v>
          </cell>
          <cell r="BN486">
            <v>18</v>
          </cell>
          <cell r="BO486">
            <v>0</v>
          </cell>
          <cell r="BP486">
            <v>29</v>
          </cell>
          <cell r="BQ486">
            <v>14</v>
          </cell>
          <cell r="BR486">
            <v>3</v>
          </cell>
          <cell r="BS486">
            <v>3</v>
          </cell>
          <cell r="BT486">
            <v>7</v>
          </cell>
          <cell r="BU486">
            <v>2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T486">
            <v>30</v>
          </cell>
          <cell r="DU486">
            <v>5</v>
          </cell>
          <cell r="DV486">
            <v>7</v>
          </cell>
          <cell r="DW486">
            <v>5</v>
          </cell>
          <cell r="DX486">
            <v>4</v>
          </cell>
          <cell r="DY486">
            <v>9</v>
          </cell>
          <cell r="DZ486">
            <v>0</v>
          </cell>
          <cell r="EA486">
            <v>65</v>
          </cell>
          <cell r="EB486">
            <v>3</v>
          </cell>
          <cell r="EC486">
            <v>11</v>
          </cell>
          <cell r="ED486">
            <v>10</v>
          </cell>
          <cell r="EE486">
            <v>22</v>
          </cell>
          <cell r="EF486">
            <v>19</v>
          </cell>
          <cell r="EG486">
            <v>0</v>
          </cell>
          <cell r="EH486">
            <v>94</v>
          </cell>
          <cell r="EI486">
            <v>15</v>
          </cell>
          <cell r="EJ486">
            <v>10</v>
          </cell>
          <cell r="EK486">
            <v>10</v>
          </cell>
          <cell r="EL486">
            <v>36</v>
          </cell>
          <cell r="EM486">
            <v>23</v>
          </cell>
          <cell r="EN486">
            <v>0</v>
          </cell>
          <cell r="EO486" t="str">
            <v xml:space="preserve"> Mens Vista                                                 </v>
          </cell>
        </row>
        <row r="487">
          <cell r="A487" t="str">
            <v>CN4YM8865010</v>
          </cell>
          <cell r="B487" t="str">
            <v>CN4</v>
          </cell>
          <cell r="C487" t="str">
            <v>YM8865</v>
          </cell>
          <cell r="D487">
            <v>10</v>
          </cell>
          <cell r="E487" t="str">
            <v xml:space="preserve">   </v>
          </cell>
          <cell r="F487">
            <v>81023</v>
          </cell>
          <cell r="G487">
            <v>81024</v>
          </cell>
          <cell r="H487">
            <v>0</v>
          </cell>
          <cell r="I487">
            <v>1500</v>
          </cell>
          <cell r="J487">
            <v>1484</v>
          </cell>
          <cell r="K487">
            <v>1484</v>
          </cell>
          <cell r="L487">
            <v>1008</v>
          </cell>
          <cell r="M487">
            <v>1008</v>
          </cell>
          <cell r="N487">
            <v>88725000</v>
          </cell>
          <cell r="O487">
            <v>87806792</v>
          </cell>
          <cell r="P487">
            <v>87802733</v>
          </cell>
          <cell r="Q487">
            <v>59646177</v>
          </cell>
          <cell r="R487">
            <v>201574500</v>
          </cell>
          <cell r="S487" t="str">
            <v xml:space="preserve"> </v>
          </cell>
          <cell r="T487" t="str">
            <v xml:space="preserve"> </v>
          </cell>
          <cell r="U487">
            <v>1484</v>
          </cell>
          <cell r="V487">
            <v>87806792</v>
          </cell>
          <cell r="W487">
            <v>1008</v>
          </cell>
          <cell r="X487">
            <v>59646177</v>
          </cell>
          <cell r="Y487">
            <v>67.92</v>
          </cell>
          <cell r="Z487">
            <v>67.930000000000007</v>
          </cell>
          <cell r="AA487">
            <v>59646177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476</v>
          </cell>
          <cell r="AN487">
            <v>59054654</v>
          </cell>
          <cell r="AO487">
            <v>59150</v>
          </cell>
          <cell r="AP487">
            <v>59173</v>
          </cell>
          <cell r="AQ487">
            <v>218000</v>
          </cell>
          <cell r="AR487">
            <v>0</v>
          </cell>
          <cell r="AS487">
            <v>3.68</v>
          </cell>
          <cell r="AT487">
            <v>323512000</v>
          </cell>
          <cell r="AU487">
            <v>3.38</v>
          </cell>
          <cell r="AV487">
            <v>201574500</v>
          </cell>
          <cell r="AW487">
            <v>0</v>
          </cell>
          <cell r="AX487">
            <v>0</v>
          </cell>
          <cell r="AY487">
            <v>67.92</v>
          </cell>
          <cell r="AZ487">
            <v>0</v>
          </cell>
          <cell r="BA487">
            <v>1008</v>
          </cell>
          <cell r="BB487">
            <v>0</v>
          </cell>
          <cell r="BC487">
            <v>1008</v>
          </cell>
          <cell r="BD487">
            <v>0</v>
          </cell>
          <cell r="BE487">
            <v>0</v>
          </cell>
          <cell r="BF487">
            <v>90</v>
          </cell>
          <cell r="BG487">
            <v>1</v>
          </cell>
          <cell r="BH487">
            <v>1</v>
          </cell>
          <cell r="BI487">
            <v>279</v>
          </cell>
          <cell r="BJ487">
            <v>51</v>
          </cell>
          <cell r="BK487">
            <v>75</v>
          </cell>
          <cell r="BL487">
            <v>79</v>
          </cell>
          <cell r="BM487">
            <v>50</v>
          </cell>
          <cell r="BN487">
            <v>24</v>
          </cell>
          <cell r="BO487">
            <v>0</v>
          </cell>
          <cell r="BP487">
            <v>46</v>
          </cell>
          <cell r="BQ487">
            <v>4</v>
          </cell>
          <cell r="BR487">
            <v>15</v>
          </cell>
          <cell r="BS487">
            <v>12</v>
          </cell>
          <cell r="BT487">
            <v>9</v>
          </cell>
          <cell r="BU487">
            <v>6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Q487">
            <v>0</v>
          </cell>
          <cell r="DR487">
            <v>0</v>
          </cell>
          <cell r="DS487">
            <v>0</v>
          </cell>
          <cell r="DT487">
            <v>23</v>
          </cell>
          <cell r="DU487">
            <v>0</v>
          </cell>
          <cell r="DV487">
            <v>0</v>
          </cell>
          <cell r="DW487">
            <v>0</v>
          </cell>
          <cell r="DX487">
            <v>5</v>
          </cell>
          <cell r="DY487">
            <v>18</v>
          </cell>
          <cell r="DZ487">
            <v>0</v>
          </cell>
          <cell r="EA487">
            <v>299</v>
          </cell>
          <cell r="EB487">
            <v>16</v>
          </cell>
          <cell r="EC487">
            <v>40</v>
          </cell>
          <cell r="ED487">
            <v>59</v>
          </cell>
          <cell r="EE487">
            <v>104</v>
          </cell>
          <cell r="EF487">
            <v>80</v>
          </cell>
          <cell r="EG487">
            <v>0</v>
          </cell>
          <cell r="EH487">
            <v>361</v>
          </cell>
          <cell r="EI487">
            <v>108</v>
          </cell>
          <cell r="EJ487">
            <v>98</v>
          </cell>
          <cell r="EK487">
            <v>54</v>
          </cell>
          <cell r="EL487">
            <v>73</v>
          </cell>
          <cell r="EM487">
            <v>28</v>
          </cell>
          <cell r="EN487">
            <v>0</v>
          </cell>
          <cell r="EO487" t="str">
            <v xml:space="preserve">Mens Miramichi                                              </v>
          </cell>
        </row>
        <row r="488">
          <cell r="A488" t="str">
            <v>CN4YM8865093</v>
          </cell>
          <cell r="B488" t="str">
            <v>CN4</v>
          </cell>
          <cell r="C488" t="str">
            <v>YM8865</v>
          </cell>
          <cell r="D488">
            <v>93</v>
          </cell>
          <cell r="E488" t="str">
            <v xml:space="preserve">   </v>
          </cell>
          <cell r="F488">
            <v>81023</v>
          </cell>
          <cell r="G488">
            <v>81024</v>
          </cell>
          <cell r="H488">
            <v>0</v>
          </cell>
          <cell r="I488">
            <v>600</v>
          </cell>
          <cell r="J488">
            <v>659</v>
          </cell>
          <cell r="K488">
            <v>657</v>
          </cell>
          <cell r="L488">
            <v>201</v>
          </cell>
          <cell r="M488">
            <v>201</v>
          </cell>
          <cell r="N488">
            <v>35490000</v>
          </cell>
          <cell r="O488">
            <v>38994197</v>
          </cell>
          <cell r="P488">
            <v>38871261</v>
          </cell>
          <cell r="Q488">
            <v>11893764</v>
          </cell>
          <cell r="R488">
            <v>41423620</v>
          </cell>
          <cell r="S488" t="str">
            <v xml:space="preserve"> </v>
          </cell>
          <cell r="T488" t="str">
            <v xml:space="preserve"> </v>
          </cell>
          <cell r="U488">
            <v>659</v>
          </cell>
          <cell r="V488">
            <v>38994197</v>
          </cell>
          <cell r="W488">
            <v>201</v>
          </cell>
          <cell r="X488">
            <v>11893764</v>
          </cell>
          <cell r="Y488">
            <v>30.5</v>
          </cell>
          <cell r="Z488">
            <v>30.5</v>
          </cell>
          <cell r="AA488">
            <v>11893764</v>
          </cell>
          <cell r="AB488">
            <v>0</v>
          </cell>
          <cell r="AC488">
            <v>2</v>
          </cell>
          <cell r="AD488">
            <v>118346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456</v>
          </cell>
          <cell r="AN488">
            <v>54971717</v>
          </cell>
          <cell r="AO488">
            <v>59150</v>
          </cell>
          <cell r="AP488">
            <v>59173</v>
          </cell>
          <cell r="AQ488">
            <v>218000</v>
          </cell>
          <cell r="AR488">
            <v>0</v>
          </cell>
          <cell r="AS488">
            <v>3.68</v>
          </cell>
          <cell r="AT488">
            <v>143662000</v>
          </cell>
          <cell r="AU488">
            <v>3.48</v>
          </cell>
          <cell r="AV488">
            <v>41423620</v>
          </cell>
          <cell r="AW488">
            <v>0</v>
          </cell>
          <cell r="AX488">
            <v>0</v>
          </cell>
          <cell r="AY488">
            <v>30.5</v>
          </cell>
          <cell r="AZ488">
            <v>0</v>
          </cell>
          <cell r="BA488">
            <v>201</v>
          </cell>
          <cell r="BB488">
            <v>0</v>
          </cell>
          <cell r="BC488">
            <v>201</v>
          </cell>
          <cell r="BD488">
            <v>0</v>
          </cell>
          <cell r="BE488">
            <v>0</v>
          </cell>
          <cell r="BF488">
            <v>21</v>
          </cell>
          <cell r="BG488">
            <v>0</v>
          </cell>
          <cell r="BH488">
            <v>1</v>
          </cell>
          <cell r="BI488">
            <v>58</v>
          </cell>
          <cell r="BJ488">
            <v>8</v>
          </cell>
          <cell r="BK488">
            <v>15</v>
          </cell>
          <cell r="BL488">
            <v>13</v>
          </cell>
          <cell r="BM488">
            <v>13</v>
          </cell>
          <cell r="BN488">
            <v>9</v>
          </cell>
          <cell r="BO488">
            <v>0</v>
          </cell>
          <cell r="BP488">
            <v>15</v>
          </cell>
          <cell r="BQ488">
            <v>2</v>
          </cell>
          <cell r="BR488">
            <v>4</v>
          </cell>
          <cell r="BS488">
            <v>5</v>
          </cell>
          <cell r="BT488">
            <v>4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1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1</v>
          </cell>
          <cell r="DZ488">
            <v>0</v>
          </cell>
          <cell r="EA488">
            <v>55</v>
          </cell>
          <cell r="EB488">
            <v>3</v>
          </cell>
          <cell r="EC488">
            <v>10</v>
          </cell>
          <cell r="ED488">
            <v>10</v>
          </cell>
          <cell r="EE488">
            <v>18</v>
          </cell>
          <cell r="EF488">
            <v>14</v>
          </cell>
          <cell r="EG488">
            <v>0</v>
          </cell>
          <cell r="EH488">
            <v>72</v>
          </cell>
          <cell r="EI488">
            <v>16</v>
          </cell>
          <cell r="EJ488">
            <v>15</v>
          </cell>
          <cell r="EK488">
            <v>20</v>
          </cell>
          <cell r="EL488">
            <v>19</v>
          </cell>
          <cell r="EM488">
            <v>2</v>
          </cell>
          <cell r="EN488">
            <v>0</v>
          </cell>
          <cell r="EO488" t="str">
            <v xml:space="preserve">Mens Miramichi                                              </v>
          </cell>
        </row>
        <row r="489">
          <cell r="A489" t="str">
            <v>CN4YM8867010</v>
          </cell>
          <cell r="B489" t="str">
            <v>CN4</v>
          </cell>
          <cell r="C489" t="str">
            <v>YM8867</v>
          </cell>
          <cell r="D489">
            <v>10</v>
          </cell>
          <cell r="E489" t="str">
            <v xml:space="preserve">   </v>
          </cell>
          <cell r="F489">
            <v>81024</v>
          </cell>
          <cell r="G489">
            <v>81024</v>
          </cell>
          <cell r="H489">
            <v>0</v>
          </cell>
          <cell r="I489">
            <v>1200</v>
          </cell>
          <cell r="J489">
            <v>1097</v>
          </cell>
          <cell r="K489">
            <v>1097</v>
          </cell>
          <cell r="L489">
            <v>745</v>
          </cell>
          <cell r="M489">
            <v>745</v>
          </cell>
          <cell r="N489">
            <v>90660000</v>
          </cell>
          <cell r="O489">
            <v>82898324</v>
          </cell>
          <cell r="P489">
            <v>82899224</v>
          </cell>
          <cell r="Q489">
            <v>56300986</v>
          </cell>
          <cell r="R489">
            <v>205913777</v>
          </cell>
          <cell r="S489" t="str">
            <v xml:space="preserve"> </v>
          </cell>
          <cell r="T489" t="str">
            <v xml:space="preserve"> </v>
          </cell>
          <cell r="U489">
            <v>1097</v>
          </cell>
          <cell r="V489">
            <v>82898324</v>
          </cell>
          <cell r="W489">
            <v>745</v>
          </cell>
          <cell r="X489">
            <v>56300986</v>
          </cell>
          <cell r="Y489">
            <v>67.91</v>
          </cell>
          <cell r="Z489">
            <v>67.92</v>
          </cell>
          <cell r="AA489">
            <v>56074270</v>
          </cell>
          <cell r="AB489">
            <v>226716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352</v>
          </cell>
          <cell r="AN489">
            <v>55998852</v>
          </cell>
          <cell r="AO489">
            <v>75550</v>
          </cell>
          <cell r="AP489">
            <v>75572</v>
          </cell>
          <cell r="AQ489">
            <v>298000</v>
          </cell>
          <cell r="AR489">
            <v>0</v>
          </cell>
          <cell r="AS489">
            <v>3.94</v>
          </cell>
          <cell r="AT489">
            <v>326906000</v>
          </cell>
          <cell r="AU489">
            <v>3.67</v>
          </cell>
          <cell r="AV489">
            <v>205893200</v>
          </cell>
          <cell r="AW489">
            <v>0.09</v>
          </cell>
          <cell r="AX489">
            <v>20577</v>
          </cell>
          <cell r="AY489">
            <v>67.91</v>
          </cell>
          <cell r="AZ489">
            <v>0</v>
          </cell>
          <cell r="BA489">
            <v>742</v>
          </cell>
          <cell r="BB489">
            <v>3</v>
          </cell>
          <cell r="BC489">
            <v>745</v>
          </cell>
          <cell r="BD489">
            <v>0</v>
          </cell>
          <cell r="BE489">
            <v>0</v>
          </cell>
          <cell r="BF489">
            <v>53</v>
          </cell>
          <cell r="BG489">
            <v>1</v>
          </cell>
          <cell r="BH489">
            <v>1</v>
          </cell>
          <cell r="BI489">
            <v>165</v>
          </cell>
          <cell r="BJ489">
            <v>34</v>
          </cell>
          <cell r="BK489">
            <v>38</v>
          </cell>
          <cell r="BL489">
            <v>50</v>
          </cell>
          <cell r="BM489">
            <v>29</v>
          </cell>
          <cell r="BN489">
            <v>14</v>
          </cell>
          <cell r="BO489">
            <v>0</v>
          </cell>
          <cell r="BP489">
            <v>37</v>
          </cell>
          <cell r="BQ489">
            <v>4</v>
          </cell>
          <cell r="BR489">
            <v>9</v>
          </cell>
          <cell r="BS489">
            <v>11</v>
          </cell>
          <cell r="BT489">
            <v>6</v>
          </cell>
          <cell r="BU489">
            <v>7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1</v>
          </cell>
          <cell r="DN489">
            <v>0</v>
          </cell>
          <cell r="DO489">
            <v>0</v>
          </cell>
          <cell r="DP489">
            <v>0</v>
          </cell>
          <cell r="DQ489">
            <v>1</v>
          </cell>
          <cell r="DR489">
            <v>0</v>
          </cell>
          <cell r="DS489">
            <v>0</v>
          </cell>
          <cell r="DT489">
            <v>33</v>
          </cell>
          <cell r="DU489">
            <v>0</v>
          </cell>
          <cell r="DV489">
            <v>0</v>
          </cell>
          <cell r="DW489">
            <v>0</v>
          </cell>
          <cell r="DX489">
            <v>14</v>
          </cell>
          <cell r="DY489">
            <v>19</v>
          </cell>
          <cell r="DZ489">
            <v>0</v>
          </cell>
          <cell r="EA489">
            <v>286</v>
          </cell>
          <cell r="EB489">
            <v>13</v>
          </cell>
          <cell r="EC489">
            <v>58</v>
          </cell>
          <cell r="ED489">
            <v>60</v>
          </cell>
          <cell r="EE489">
            <v>74</v>
          </cell>
          <cell r="EF489">
            <v>81</v>
          </cell>
          <cell r="EG489">
            <v>0</v>
          </cell>
          <cell r="EH489">
            <v>223</v>
          </cell>
          <cell r="EI489">
            <v>65</v>
          </cell>
          <cell r="EJ489">
            <v>48</v>
          </cell>
          <cell r="EK489">
            <v>40</v>
          </cell>
          <cell r="EL489">
            <v>52</v>
          </cell>
          <cell r="EM489">
            <v>18</v>
          </cell>
          <cell r="EN489">
            <v>0</v>
          </cell>
          <cell r="EO489" t="str">
            <v xml:space="preserve">Mens Birmingport                                            </v>
          </cell>
        </row>
        <row r="490">
          <cell r="A490" t="str">
            <v>CN4YM8867094</v>
          </cell>
          <cell r="B490" t="str">
            <v>CN4</v>
          </cell>
          <cell r="C490" t="str">
            <v>YM8867</v>
          </cell>
          <cell r="D490">
            <v>94</v>
          </cell>
          <cell r="E490" t="str">
            <v xml:space="preserve">   </v>
          </cell>
          <cell r="F490">
            <v>81101</v>
          </cell>
          <cell r="G490">
            <v>81101</v>
          </cell>
          <cell r="H490">
            <v>0</v>
          </cell>
          <cell r="I490">
            <v>700</v>
          </cell>
          <cell r="J490">
            <v>693</v>
          </cell>
          <cell r="K490">
            <v>685</v>
          </cell>
          <cell r="L490">
            <v>127</v>
          </cell>
          <cell r="M490">
            <v>127</v>
          </cell>
          <cell r="N490">
            <v>52885000</v>
          </cell>
          <cell r="O490">
            <v>52371396</v>
          </cell>
          <cell r="P490">
            <v>51766820</v>
          </cell>
          <cell r="Q490">
            <v>9597600</v>
          </cell>
          <cell r="R490">
            <v>35254900</v>
          </cell>
          <cell r="S490" t="str">
            <v xml:space="preserve"> </v>
          </cell>
          <cell r="T490" t="str">
            <v xml:space="preserve"> </v>
          </cell>
          <cell r="U490">
            <v>693</v>
          </cell>
          <cell r="V490">
            <v>52371396</v>
          </cell>
          <cell r="W490">
            <v>127</v>
          </cell>
          <cell r="X490">
            <v>9597600</v>
          </cell>
          <cell r="Y490">
            <v>18.47</v>
          </cell>
          <cell r="Z490">
            <v>18.61</v>
          </cell>
          <cell r="AA490">
            <v>9597600</v>
          </cell>
          <cell r="AB490">
            <v>0</v>
          </cell>
          <cell r="AC490">
            <v>8</v>
          </cell>
          <cell r="AD490">
            <v>604576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>
            <v>151144</v>
          </cell>
          <cell r="AM490">
            <v>557</v>
          </cell>
          <cell r="AN490">
            <v>85547504</v>
          </cell>
          <cell r="AO490">
            <v>75550</v>
          </cell>
          <cell r="AP490">
            <v>75572</v>
          </cell>
          <cell r="AQ490">
            <v>298000</v>
          </cell>
          <cell r="AR490">
            <v>0</v>
          </cell>
          <cell r="AS490">
            <v>3.94</v>
          </cell>
          <cell r="AT490">
            <v>206514000</v>
          </cell>
          <cell r="AU490">
            <v>3.67</v>
          </cell>
          <cell r="AV490">
            <v>35254900</v>
          </cell>
          <cell r="AW490">
            <v>0</v>
          </cell>
          <cell r="AX490">
            <v>0</v>
          </cell>
          <cell r="AY490">
            <v>18.47</v>
          </cell>
          <cell r="AZ490">
            <v>0</v>
          </cell>
          <cell r="BA490">
            <v>127</v>
          </cell>
          <cell r="BB490">
            <v>0</v>
          </cell>
          <cell r="BC490">
            <v>127</v>
          </cell>
          <cell r="BD490">
            <v>0</v>
          </cell>
          <cell r="BE490">
            <v>0</v>
          </cell>
          <cell r="BF490">
            <v>16</v>
          </cell>
          <cell r="BG490">
            <v>0</v>
          </cell>
          <cell r="BH490">
            <v>1</v>
          </cell>
          <cell r="BI490">
            <v>38</v>
          </cell>
          <cell r="BJ490">
            <v>4</v>
          </cell>
          <cell r="BK490">
            <v>10</v>
          </cell>
          <cell r="BL490">
            <v>10</v>
          </cell>
          <cell r="BM490">
            <v>11</v>
          </cell>
          <cell r="BN490">
            <v>3</v>
          </cell>
          <cell r="BO490">
            <v>0</v>
          </cell>
          <cell r="BP490">
            <v>10</v>
          </cell>
          <cell r="BQ490">
            <v>0</v>
          </cell>
          <cell r="BR490">
            <v>4</v>
          </cell>
          <cell r="BS490">
            <v>2</v>
          </cell>
          <cell r="BT490">
            <v>4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2</v>
          </cell>
          <cell r="DN490">
            <v>0</v>
          </cell>
          <cell r="DO490">
            <v>0</v>
          </cell>
          <cell r="DP490">
            <v>0</v>
          </cell>
          <cell r="DQ490">
            <v>2</v>
          </cell>
          <cell r="DR490">
            <v>0</v>
          </cell>
          <cell r="DS490">
            <v>0</v>
          </cell>
          <cell r="DT490">
            <v>0</v>
          </cell>
          <cell r="DU490">
            <v>0</v>
          </cell>
          <cell r="DV490">
            <v>0</v>
          </cell>
          <cell r="DW490">
            <v>0</v>
          </cell>
          <cell r="DX490">
            <v>0</v>
          </cell>
          <cell r="DY490">
            <v>0</v>
          </cell>
          <cell r="DZ490">
            <v>0</v>
          </cell>
          <cell r="EA490">
            <v>41</v>
          </cell>
          <cell r="EB490">
            <v>3</v>
          </cell>
          <cell r="EC490">
            <v>7</v>
          </cell>
          <cell r="ED490">
            <v>9</v>
          </cell>
          <cell r="EE490">
            <v>12</v>
          </cell>
          <cell r="EF490">
            <v>10</v>
          </cell>
          <cell r="EG490">
            <v>0</v>
          </cell>
          <cell r="EH490">
            <v>36</v>
          </cell>
          <cell r="EI490">
            <v>6</v>
          </cell>
          <cell r="EJ490">
            <v>5</v>
          </cell>
          <cell r="EK490">
            <v>11</v>
          </cell>
          <cell r="EL490">
            <v>12</v>
          </cell>
          <cell r="EM490">
            <v>2</v>
          </cell>
          <cell r="EN490">
            <v>0</v>
          </cell>
          <cell r="EO490" t="str">
            <v xml:space="preserve">Mens Birmingport                                            </v>
          </cell>
        </row>
        <row r="491">
          <cell r="A491" t="str">
            <v>CN4YM8868010</v>
          </cell>
          <cell r="B491" t="str">
            <v>CN4</v>
          </cell>
          <cell r="C491" t="str">
            <v>YM8868</v>
          </cell>
          <cell r="D491">
            <v>10</v>
          </cell>
          <cell r="E491" t="str">
            <v xml:space="preserve">   </v>
          </cell>
          <cell r="F491">
            <v>81024</v>
          </cell>
          <cell r="G491">
            <v>81027</v>
          </cell>
          <cell r="H491">
            <v>0</v>
          </cell>
          <cell r="I491">
            <v>600</v>
          </cell>
          <cell r="J491">
            <v>597</v>
          </cell>
          <cell r="K491">
            <v>597</v>
          </cell>
          <cell r="L491">
            <v>309</v>
          </cell>
          <cell r="M491">
            <v>309</v>
          </cell>
          <cell r="N491">
            <v>33450000</v>
          </cell>
          <cell r="O491">
            <v>33293496</v>
          </cell>
          <cell r="P491">
            <v>33293612</v>
          </cell>
          <cell r="Q491">
            <v>17233536</v>
          </cell>
          <cell r="R491">
            <v>68456689</v>
          </cell>
          <cell r="S491" t="str">
            <v xml:space="preserve"> </v>
          </cell>
          <cell r="T491" t="str">
            <v xml:space="preserve"> </v>
          </cell>
          <cell r="U491">
            <v>597</v>
          </cell>
          <cell r="V491">
            <v>33293496</v>
          </cell>
          <cell r="W491">
            <v>309</v>
          </cell>
          <cell r="X491">
            <v>17233536</v>
          </cell>
          <cell r="Y491">
            <v>51.76</v>
          </cell>
          <cell r="Z491">
            <v>51.76</v>
          </cell>
          <cell r="AA491">
            <v>17177764</v>
          </cell>
          <cell r="AB491">
            <v>55772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288</v>
          </cell>
          <cell r="AN491">
            <v>33184340</v>
          </cell>
          <cell r="AO491">
            <v>55750</v>
          </cell>
          <cell r="AP491">
            <v>55772</v>
          </cell>
          <cell r="AQ491">
            <v>238000</v>
          </cell>
          <cell r="AR491">
            <v>0</v>
          </cell>
          <cell r="AS491">
            <v>4.2699999999999996</v>
          </cell>
          <cell r="AT491">
            <v>142086000</v>
          </cell>
          <cell r="AU491">
            <v>3.98</v>
          </cell>
          <cell r="AV491">
            <v>68449778</v>
          </cell>
          <cell r="AW491">
            <v>0.12</v>
          </cell>
          <cell r="AX491">
            <v>6911</v>
          </cell>
          <cell r="AY491">
            <v>51.76</v>
          </cell>
          <cell r="AZ491">
            <v>0</v>
          </cell>
          <cell r="BA491">
            <v>308</v>
          </cell>
          <cell r="BB491">
            <v>1</v>
          </cell>
          <cell r="BC491">
            <v>309</v>
          </cell>
          <cell r="BD491">
            <v>0</v>
          </cell>
          <cell r="BE491">
            <v>0</v>
          </cell>
          <cell r="BF491">
            <v>27</v>
          </cell>
          <cell r="BG491">
            <v>1</v>
          </cell>
          <cell r="BH491">
            <v>1</v>
          </cell>
          <cell r="BI491">
            <v>96</v>
          </cell>
          <cell r="BJ491">
            <v>25</v>
          </cell>
          <cell r="BK491">
            <v>21</v>
          </cell>
          <cell r="BL491">
            <v>23</v>
          </cell>
          <cell r="BM491">
            <v>19</v>
          </cell>
          <cell r="BN491">
            <v>8</v>
          </cell>
          <cell r="BO491">
            <v>0</v>
          </cell>
          <cell r="BP491">
            <v>19</v>
          </cell>
          <cell r="BQ491">
            <v>1</v>
          </cell>
          <cell r="BR491">
            <v>10</v>
          </cell>
          <cell r="BS491">
            <v>2</v>
          </cell>
          <cell r="BT491">
            <v>7</v>
          </cell>
          <cell r="BU491">
            <v>-1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T491">
            <v>3</v>
          </cell>
          <cell r="DU491">
            <v>0</v>
          </cell>
          <cell r="DV491">
            <v>0</v>
          </cell>
          <cell r="DW491">
            <v>0</v>
          </cell>
          <cell r="DX491">
            <v>0</v>
          </cell>
          <cell r="DY491">
            <v>3</v>
          </cell>
          <cell r="DZ491">
            <v>0</v>
          </cell>
          <cell r="EA491">
            <v>103</v>
          </cell>
          <cell r="EB491">
            <v>4</v>
          </cell>
          <cell r="EC491">
            <v>21</v>
          </cell>
          <cell r="ED491">
            <v>21</v>
          </cell>
          <cell r="EE491">
            <v>32</v>
          </cell>
          <cell r="EF491">
            <v>25</v>
          </cell>
          <cell r="EG491">
            <v>0</v>
          </cell>
          <cell r="EH491">
            <v>88</v>
          </cell>
          <cell r="EI491">
            <v>21</v>
          </cell>
          <cell r="EJ491">
            <v>19</v>
          </cell>
          <cell r="EK491">
            <v>21</v>
          </cell>
          <cell r="EL491">
            <v>20</v>
          </cell>
          <cell r="EM491">
            <v>7</v>
          </cell>
          <cell r="EN491">
            <v>0</v>
          </cell>
          <cell r="EO491" t="str">
            <v xml:space="preserve">Mens Pinckard                                               </v>
          </cell>
        </row>
        <row r="492">
          <cell r="A492" t="str">
            <v>CN4YM8868094</v>
          </cell>
          <cell r="B492" t="str">
            <v>CN4</v>
          </cell>
          <cell r="C492" t="str">
            <v>YM8868</v>
          </cell>
          <cell r="D492">
            <v>94</v>
          </cell>
          <cell r="E492" t="str">
            <v xml:space="preserve">   </v>
          </cell>
          <cell r="F492">
            <v>81107</v>
          </cell>
          <cell r="G492">
            <v>81107</v>
          </cell>
          <cell r="H492">
            <v>0</v>
          </cell>
          <cell r="I492">
            <v>500</v>
          </cell>
          <cell r="J492">
            <v>496</v>
          </cell>
          <cell r="K492">
            <v>493</v>
          </cell>
          <cell r="L492">
            <v>86</v>
          </cell>
          <cell r="M492">
            <v>86</v>
          </cell>
          <cell r="N492">
            <v>27875000</v>
          </cell>
          <cell r="O492">
            <v>27662912</v>
          </cell>
          <cell r="P492">
            <v>27495596</v>
          </cell>
          <cell r="Q492">
            <v>4796392</v>
          </cell>
          <cell r="R492">
            <v>18968900</v>
          </cell>
          <cell r="S492" t="str">
            <v xml:space="preserve"> </v>
          </cell>
          <cell r="T492" t="str">
            <v xml:space="preserve"> </v>
          </cell>
          <cell r="U492">
            <v>496</v>
          </cell>
          <cell r="V492">
            <v>27662912</v>
          </cell>
          <cell r="W492">
            <v>86</v>
          </cell>
          <cell r="X492">
            <v>4796392</v>
          </cell>
          <cell r="Y492">
            <v>17.34</v>
          </cell>
          <cell r="Z492">
            <v>17.34</v>
          </cell>
          <cell r="AA492">
            <v>4796392</v>
          </cell>
          <cell r="AB492">
            <v>0</v>
          </cell>
          <cell r="AC492">
            <v>3</v>
          </cell>
          <cell r="AD492">
            <v>167316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407</v>
          </cell>
          <cell r="AN492">
            <v>45900356</v>
          </cell>
          <cell r="AO492">
            <v>55750</v>
          </cell>
          <cell r="AP492">
            <v>55772</v>
          </cell>
          <cell r="AQ492">
            <v>238000</v>
          </cell>
          <cell r="AR492">
            <v>0</v>
          </cell>
          <cell r="AS492">
            <v>4.2699999999999996</v>
          </cell>
          <cell r="AT492">
            <v>118048000</v>
          </cell>
          <cell r="AU492">
            <v>3.95</v>
          </cell>
          <cell r="AV492">
            <v>18968900</v>
          </cell>
          <cell r="AW492">
            <v>0</v>
          </cell>
          <cell r="AX492">
            <v>0</v>
          </cell>
          <cell r="AY492">
            <v>17.34</v>
          </cell>
          <cell r="AZ492">
            <v>0</v>
          </cell>
          <cell r="BA492">
            <v>86</v>
          </cell>
          <cell r="BB492">
            <v>0</v>
          </cell>
          <cell r="BC492">
            <v>86</v>
          </cell>
          <cell r="BD492">
            <v>0</v>
          </cell>
          <cell r="BE492">
            <v>0</v>
          </cell>
          <cell r="BF492">
            <v>20</v>
          </cell>
          <cell r="BG492">
            <v>0</v>
          </cell>
          <cell r="BH492">
            <v>1</v>
          </cell>
          <cell r="BI492">
            <v>26</v>
          </cell>
          <cell r="BJ492">
            <v>3</v>
          </cell>
          <cell r="BK492">
            <v>5</v>
          </cell>
          <cell r="BL492">
            <v>10</v>
          </cell>
          <cell r="BM492">
            <v>4</v>
          </cell>
          <cell r="BN492">
            <v>4</v>
          </cell>
          <cell r="BO492">
            <v>0</v>
          </cell>
          <cell r="BP492">
            <v>6</v>
          </cell>
          <cell r="BQ492">
            <v>1</v>
          </cell>
          <cell r="BR492">
            <v>1</v>
          </cell>
          <cell r="BS492">
            <v>5</v>
          </cell>
          <cell r="BT492">
            <v>0</v>
          </cell>
          <cell r="BU492">
            <v>-1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  <cell r="DP492">
            <v>0</v>
          </cell>
          <cell r="DQ492">
            <v>0</v>
          </cell>
          <cell r="DR492">
            <v>0</v>
          </cell>
          <cell r="DS492">
            <v>0</v>
          </cell>
          <cell r="DT492">
            <v>0</v>
          </cell>
          <cell r="DU492">
            <v>0</v>
          </cell>
          <cell r="DV492">
            <v>0</v>
          </cell>
          <cell r="DW492">
            <v>0</v>
          </cell>
          <cell r="DX492">
            <v>0</v>
          </cell>
          <cell r="DY492">
            <v>0</v>
          </cell>
          <cell r="DZ492">
            <v>0</v>
          </cell>
          <cell r="EA492">
            <v>25</v>
          </cell>
          <cell r="EB492">
            <v>0</v>
          </cell>
          <cell r="EC492">
            <v>1</v>
          </cell>
          <cell r="ED492">
            <v>7</v>
          </cell>
          <cell r="EE492">
            <v>11</v>
          </cell>
          <cell r="EF492">
            <v>6</v>
          </cell>
          <cell r="EG492">
            <v>0</v>
          </cell>
          <cell r="EH492">
            <v>29</v>
          </cell>
          <cell r="EI492">
            <v>7</v>
          </cell>
          <cell r="EJ492">
            <v>7</v>
          </cell>
          <cell r="EK492">
            <v>9</v>
          </cell>
          <cell r="EL492">
            <v>5</v>
          </cell>
          <cell r="EM492">
            <v>1</v>
          </cell>
          <cell r="EN492">
            <v>0</v>
          </cell>
          <cell r="EO492" t="str">
            <v xml:space="preserve">Mens Pinckard                                               </v>
          </cell>
        </row>
        <row r="493">
          <cell r="A493" t="str">
            <v>CN4YM8870010</v>
          </cell>
          <cell r="B493" t="str">
            <v>CN4</v>
          </cell>
          <cell r="C493" t="str">
            <v>YM8870</v>
          </cell>
          <cell r="D493">
            <v>10</v>
          </cell>
          <cell r="E493" t="str">
            <v xml:space="preserve">   </v>
          </cell>
          <cell r="F493">
            <v>81212</v>
          </cell>
          <cell r="G493">
            <v>81212</v>
          </cell>
          <cell r="H493">
            <v>0</v>
          </cell>
          <cell r="I493">
            <v>800</v>
          </cell>
          <cell r="J493">
            <v>724</v>
          </cell>
          <cell r="K493">
            <v>721</v>
          </cell>
          <cell r="L493">
            <v>386</v>
          </cell>
          <cell r="M493">
            <v>386</v>
          </cell>
          <cell r="N493">
            <v>51200000</v>
          </cell>
          <cell r="O493">
            <v>47310504</v>
          </cell>
          <cell r="P493">
            <v>47114466</v>
          </cell>
          <cell r="Q493">
            <v>25223556</v>
          </cell>
          <cell r="R493">
            <v>101587700</v>
          </cell>
          <cell r="S493" t="str">
            <v xml:space="preserve"> </v>
          </cell>
          <cell r="T493" t="str">
            <v xml:space="preserve"> </v>
          </cell>
          <cell r="U493">
            <v>724</v>
          </cell>
          <cell r="V493">
            <v>47310504</v>
          </cell>
          <cell r="W493">
            <v>386</v>
          </cell>
          <cell r="X493">
            <v>25223556</v>
          </cell>
          <cell r="Y493">
            <v>53.31</v>
          </cell>
          <cell r="Z493">
            <v>53.31</v>
          </cell>
          <cell r="AA493">
            <v>25223556</v>
          </cell>
          <cell r="AB493">
            <v>0</v>
          </cell>
          <cell r="AC493">
            <v>3</v>
          </cell>
          <cell r="AD493">
            <v>196038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335</v>
          </cell>
          <cell r="AN493">
            <v>46526352</v>
          </cell>
          <cell r="AO493">
            <v>64000</v>
          </cell>
          <cell r="AP493">
            <v>65346</v>
          </cell>
          <cell r="AQ493">
            <v>278000</v>
          </cell>
          <cell r="AR493">
            <v>0</v>
          </cell>
          <cell r="AS493">
            <v>4.25</v>
          </cell>
          <cell r="AT493">
            <v>201272000</v>
          </cell>
          <cell r="AU493">
            <v>4.03</v>
          </cell>
          <cell r="AV493">
            <v>101587700</v>
          </cell>
          <cell r="AW493">
            <v>0</v>
          </cell>
          <cell r="AX493">
            <v>0</v>
          </cell>
          <cell r="AY493">
            <v>53.31</v>
          </cell>
          <cell r="AZ493">
            <v>0</v>
          </cell>
          <cell r="BA493">
            <v>386</v>
          </cell>
          <cell r="BB493">
            <v>0</v>
          </cell>
          <cell r="BC493">
            <v>386</v>
          </cell>
          <cell r="BD493">
            <v>0</v>
          </cell>
          <cell r="BE493">
            <v>0</v>
          </cell>
          <cell r="BF493">
            <v>53</v>
          </cell>
          <cell r="BG493">
            <v>1</v>
          </cell>
          <cell r="BH493">
            <v>1</v>
          </cell>
          <cell r="BI493">
            <v>201</v>
          </cell>
          <cell r="BJ493">
            <v>28</v>
          </cell>
          <cell r="BK493">
            <v>59</v>
          </cell>
          <cell r="BL493">
            <v>52</v>
          </cell>
          <cell r="BM493">
            <v>39</v>
          </cell>
          <cell r="BN493">
            <v>23</v>
          </cell>
          <cell r="BO493">
            <v>0</v>
          </cell>
          <cell r="BP493">
            <v>39</v>
          </cell>
          <cell r="BQ493">
            <v>6</v>
          </cell>
          <cell r="BR493">
            <v>13</v>
          </cell>
          <cell r="BS493">
            <v>12</v>
          </cell>
          <cell r="BT493">
            <v>8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T493">
            <v>0</v>
          </cell>
          <cell r="DU493">
            <v>0</v>
          </cell>
          <cell r="DV493">
            <v>0</v>
          </cell>
          <cell r="DW493">
            <v>0</v>
          </cell>
          <cell r="DX493">
            <v>0</v>
          </cell>
          <cell r="DY493">
            <v>0</v>
          </cell>
          <cell r="DZ493">
            <v>0</v>
          </cell>
          <cell r="EA493">
            <v>0</v>
          </cell>
          <cell r="EB493">
            <v>0</v>
          </cell>
          <cell r="EC493">
            <v>0</v>
          </cell>
          <cell r="ED493">
            <v>0</v>
          </cell>
          <cell r="EE493">
            <v>0</v>
          </cell>
          <cell r="EF493">
            <v>0</v>
          </cell>
          <cell r="EG493">
            <v>0</v>
          </cell>
          <cell r="EH493">
            <v>146</v>
          </cell>
          <cell r="EI493">
            <v>0</v>
          </cell>
          <cell r="EJ493">
            <v>23</v>
          </cell>
          <cell r="EK493">
            <v>40</v>
          </cell>
          <cell r="EL493">
            <v>57</v>
          </cell>
          <cell r="EM493">
            <v>26</v>
          </cell>
          <cell r="EN493">
            <v>0</v>
          </cell>
          <cell r="EO493" t="str">
            <v xml:space="preserve"> Warwick PANT                                               </v>
          </cell>
        </row>
        <row r="494">
          <cell r="A494" t="str">
            <v>TMITEM</v>
          </cell>
          <cell r="B494" t="str">
            <v xml:space="preserve">TMSTY1    </v>
          </cell>
          <cell r="C494" t="str">
            <v xml:space="preserve">TMSTY2    </v>
          </cell>
          <cell r="D494" t="str">
            <v xml:space="preserve">TMCOLR    </v>
          </cell>
          <cell r="E494" t="str">
            <v xml:space="preserve">TMSIZE    </v>
          </cell>
          <cell r="F494" t="str">
            <v xml:space="preserve">TMIBDT    </v>
          </cell>
          <cell r="G494" t="str">
            <v xml:space="preserve">TMCHDT    </v>
          </cell>
          <cell r="H494" t="str">
            <v xml:space="preserve">TMPMDT    </v>
          </cell>
          <cell r="I494" t="str">
            <v xml:space="preserve">TM11QT    </v>
          </cell>
          <cell r="J494" t="str">
            <v xml:space="preserve">TM12QT    </v>
          </cell>
          <cell r="K494" t="str">
            <v xml:space="preserve">TM13QT    </v>
          </cell>
          <cell r="L494" t="str">
            <v xml:space="preserve">TM14QT    </v>
          </cell>
          <cell r="M494" t="str">
            <v xml:space="preserve">TM15QT    </v>
          </cell>
          <cell r="N494" t="str">
            <v xml:space="preserve">TM11AM    </v>
          </cell>
          <cell r="O494" t="str">
            <v xml:space="preserve">TM12AM    </v>
          </cell>
          <cell r="P494" t="str">
            <v xml:space="preserve">TM13AM    </v>
          </cell>
          <cell r="Q494" t="str">
            <v xml:space="preserve">TM14AM    </v>
          </cell>
          <cell r="R494" t="str">
            <v xml:space="preserve">TM15AM    </v>
          </cell>
          <cell r="S494" t="str">
            <v xml:space="preserve">TMEVNT    </v>
          </cell>
          <cell r="T494" t="str">
            <v xml:space="preserve">TMCAOB    </v>
          </cell>
          <cell r="U494" t="str">
            <v xml:space="preserve">TM21QT    </v>
          </cell>
          <cell r="V494" t="str">
            <v xml:space="preserve">TM21AM    </v>
          </cell>
          <cell r="W494" t="str">
            <v xml:space="preserve">TM22QT    </v>
          </cell>
          <cell r="X494" t="str">
            <v xml:space="preserve">TM22AM    </v>
          </cell>
          <cell r="Y494" t="str">
            <v xml:space="preserve">TM23YQ    </v>
          </cell>
          <cell r="Z494" t="str">
            <v xml:space="preserve">TM23YA    </v>
          </cell>
          <cell r="AA494" t="str">
            <v xml:space="preserve">TM2312    </v>
          </cell>
          <cell r="AB494" t="str">
            <v xml:space="preserve">TM2349    </v>
          </cell>
          <cell r="AC494" t="str">
            <v xml:space="preserve">TMAAQT    </v>
          </cell>
          <cell r="AD494" t="str">
            <v xml:space="preserve">TMAAAM    </v>
          </cell>
          <cell r="AE494" t="str">
            <v xml:space="preserve">TMABQT    </v>
          </cell>
          <cell r="AF494" t="str">
            <v xml:space="preserve">TMABAM    </v>
          </cell>
          <cell r="AG494" t="str">
            <v xml:space="preserve">TMACQT    </v>
          </cell>
          <cell r="AH494" t="str">
            <v xml:space="preserve">TMACAM    </v>
          </cell>
          <cell r="AI494" t="str">
            <v xml:space="preserve">TMY0QT    </v>
          </cell>
          <cell r="AJ494" t="str">
            <v xml:space="preserve">TMY0AM    </v>
          </cell>
          <cell r="AK494" t="str">
            <v xml:space="preserve">TMZ0QT    </v>
          </cell>
          <cell r="AL494" t="str">
            <v xml:space="preserve">TMZ0AM    </v>
          </cell>
          <cell r="AM494" t="str">
            <v xml:space="preserve">TMSHQT    </v>
          </cell>
          <cell r="AN494" t="str">
            <v xml:space="preserve">TMSHAM    </v>
          </cell>
          <cell r="AO494" t="str">
            <v xml:space="preserve">TMMWON    </v>
          </cell>
          <cell r="AP494" t="str">
            <v xml:space="preserve">TMCWON    </v>
          </cell>
          <cell r="AQ494" t="str">
            <v xml:space="preserve">TMPWON    </v>
          </cell>
          <cell r="AR494" t="str">
            <v xml:space="preserve">TMKWON    </v>
          </cell>
          <cell r="AS494" t="str">
            <v xml:space="preserve">TM33YU    </v>
          </cell>
          <cell r="AT494" t="str">
            <v xml:space="preserve">TM33AM    </v>
          </cell>
          <cell r="AU494" t="str">
            <v xml:space="preserve">TM34YU    </v>
          </cell>
          <cell r="AV494" t="str">
            <v xml:space="preserve">TM34AM    </v>
          </cell>
          <cell r="AW494" t="str">
            <v xml:space="preserve">TM35YU    </v>
          </cell>
          <cell r="AX494" t="str">
            <v xml:space="preserve">TM35AM    </v>
          </cell>
          <cell r="AY494" t="str">
            <v xml:space="preserve">TM40YQ    </v>
          </cell>
          <cell r="AZ494" t="str">
            <v xml:space="preserve">TM40YA    </v>
          </cell>
          <cell r="BA494" t="str">
            <v xml:space="preserve">TM43QT    </v>
          </cell>
          <cell r="BB494" t="str">
            <v xml:space="preserve">TM44QT    </v>
          </cell>
          <cell r="BC494" t="str">
            <v xml:space="preserve">TM45QT    </v>
          </cell>
          <cell r="BD494" t="str">
            <v xml:space="preserve">TM46QT    </v>
          </cell>
          <cell r="BE494" t="str">
            <v xml:space="preserve">TM47QT    </v>
          </cell>
          <cell r="BF494" t="str">
            <v xml:space="preserve">TM48QT    </v>
          </cell>
          <cell r="BG494" t="str">
            <v xml:space="preserve">TMSTQT    </v>
          </cell>
          <cell r="BH494" t="str">
            <v xml:space="preserve">TMCOQT    </v>
          </cell>
          <cell r="BI494" t="str">
            <v xml:space="preserve">TM01MH    </v>
          </cell>
          <cell r="BJ494" t="str">
            <v xml:space="preserve">TM0101    </v>
          </cell>
          <cell r="BK494" t="str">
            <v xml:space="preserve">TM0102    </v>
          </cell>
          <cell r="BL494" t="str">
            <v xml:space="preserve">TM0103    </v>
          </cell>
          <cell r="BM494" t="str">
            <v xml:space="preserve">TM0104    </v>
          </cell>
          <cell r="BN494" t="str">
            <v xml:space="preserve">TM0105    </v>
          </cell>
          <cell r="BO494" t="str">
            <v xml:space="preserve">TM0106    </v>
          </cell>
          <cell r="BP494" t="str">
            <v xml:space="preserve">TM02MH    </v>
          </cell>
          <cell r="BQ494" t="str">
            <v xml:space="preserve">TM0201    </v>
          </cell>
          <cell r="BR494" t="str">
            <v xml:space="preserve">TM0202    </v>
          </cell>
          <cell r="BS494" t="str">
            <v xml:space="preserve">TM0203    </v>
          </cell>
          <cell r="BT494" t="str">
            <v xml:space="preserve">TM0204    </v>
          </cell>
          <cell r="BU494" t="str">
            <v xml:space="preserve">TM0205    </v>
          </cell>
          <cell r="BV494" t="str">
            <v xml:space="preserve">TM0206    </v>
          </cell>
          <cell r="BW494" t="str">
            <v xml:space="preserve">TM03MH    </v>
          </cell>
          <cell r="BX494" t="str">
            <v xml:space="preserve">TM0301    </v>
          </cell>
          <cell r="BY494" t="str">
            <v xml:space="preserve">TM0302    </v>
          </cell>
          <cell r="BZ494" t="str">
            <v xml:space="preserve">TM0303    </v>
          </cell>
          <cell r="CA494" t="str">
            <v xml:space="preserve">TM0304    </v>
          </cell>
          <cell r="CB494" t="str">
            <v xml:space="preserve">TM0305    </v>
          </cell>
          <cell r="CC494" t="str">
            <v xml:space="preserve">TM0306    </v>
          </cell>
          <cell r="CD494" t="str">
            <v xml:space="preserve">TM04MH    </v>
          </cell>
          <cell r="CE494" t="str">
            <v xml:space="preserve">TM0401    </v>
          </cell>
          <cell r="CF494" t="str">
            <v xml:space="preserve">TM0402    </v>
          </cell>
          <cell r="CG494" t="str">
            <v xml:space="preserve">TM0403    </v>
          </cell>
          <cell r="CH494" t="str">
            <v xml:space="preserve">TM0404    </v>
          </cell>
          <cell r="CI494" t="str">
            <v xml:space="preserve">TM0405    </v>
          </cell>
          <cell r="CJ494" t="str">
            <v xml:space="preserve">TM0406    </v>
          </cell>
          <cell r="CK494" t="str">
            <v xml:space="preserve">TM05MH    </v>
          </cell>
          <cell r="CL494" t="str">
            <v xml:space="preserve">TM0501    </v>
          </cell>
          <cell r="CM494" t="str">
            <v xml:space="preserve">TM0502    </v>
          </cell>
          <cell r="CN494" t="str">
            <v xml:space="preserve">TM0503    </v>
          </cell>
          <cell r="CO494" t="str">
            <v xml:space="preserve">TM0504    </v>
          </cell>
          <cell r="CP494" t="str">
            <v xml:space="preserve">TM0505    </v>
          </cell>
          <cell r="CQ494" t="str">
            <v xml:space="preserve">TM0506    </v>
          </cell>
          <cell r="CR494" t="str">
            <v xml:space="preserve">TM06MH    </v>
          </cell>
          <cell r="CS494" t="str">
            <v xml:space="preserve">TM0601    </v>
          </cell>
          <cell r="CT494" t="str">
            <v xml:space="preserve">TM0602    </v>
          </cell>
          <cell r="CU494" t="str">
            <v xml:space="preserve">TM0603    </v>
          </cell>
          <cell r="CV494" t="str">
            <v xml:space="preserve">TM0604    </v>
          </cell>
          <cell r="CW494" t="str">
            <v xml:space="preserve">TM0605    </v>
          </cell>
          <cell r="CX494" t="str">
            <v xml:space="preserve">TM0606    </v>
          </cell>
          <cell r="CY494" t="str">
            <v xml:space="preserve">TM07MH    </v>
          </cell>
          <cell r="CZ494" t="str">
            <v xml:space="preserve">TM0701    </v>
          </cell>
          <cell r="DA494" t="str">
            <v xml:space="preserve">TM0702    </v>
          </cell>
          <cell r="DB494" t="str">
            <v xml:space="preserve">TM0703    </v>
          </cell>
          <cell r="DC494" t="str">
            <v xml:space="preserve">TM0704    </v>
          </cell>
          <cell r="DD494" t="str">
            <v xml:space="preserve">TM0705    </v>
          </cell>
          <cell r="DE494" t="str">
            <v xml:space="preserve">TM0706    </v>
          </cell>
          <cell r="DF494" t="str">
            <v xml:space="preserve">TM08MH    </v>
          </cell>
          <cell r="DG494" t="str">
            <v xml:space="preserve">TM0801    </v>
          </cell>
          <cell r="DH494" t="str">
            <v xml:space="preserve">TM0802    </v>
          </cell>
          <cell r="DI494" t="str">
            <v xml:space="preserve">TM0803    </v>
          </cell>
          <cell r="DJ494" t="str">
            <v xml:space="preserve">TM0804    </v>
          </cell>
          <cell r="DK494" t="str">
            <v xml:space="preserve">TM0805    </v>
          </cell>
          <cell r="DL494" t="str">
            <v xml:space="preserve">TM0806    </v>
          </cell>
          <cell r="DM494" t="str">
            <v xml:space="preserve">TM09MH    </v>
          </cell>
          <cell r="DN494" t="str">
            <v xml:space="preserve">TM0901    </v>
          </cell>
          <cell r="DO494" t="str">
            <v xml:space="preserve">TM0902    </v>
          </cell>
          <cell r="DP494" t="str">
            <v xml:space="preserve">TM0903    </v>
          </cell>
          <cell r="DQ494" t="str">
            <v xml:space="preserve">TM0904    </v>
          </cell>
          <cell r="DR494" t="str">
            <v xml:space="preserve">TM0905    </v>
          </cell>
          <cell r="DS494" t="str">
            <v xml:space="preserve">TM0906    </v>
          </cell>
          <cell r="DT494" t="str">
            <v xml:space="preserve">TM10MH    </v>
          </cell>
          <cell r="DU494" t="str">
            <v xml:space="preserve">TM1001    </v>
          </cell>
          <cell r="DV494" t="str">
            <v xml:space="preserve">TM1002    </v>
          </cell>
          <cell r="DW494" t="str">
            <v xml:space="preserve">TM1003    </v>
          </cell>
          <cell r="DX494" t="str">
            <v xml:space="preserve">TM1004    </v>
          </cell>
          <cell r="DY494" t="str">
            <v xml:space="preserve">TM1005    </v>
          </cell>
          <cell r="DZ494" t="str">
            <v xml:space="preserve">TM1006    </v>
          </cell>
          <cell r="EA494" t="str">
            <v xml:space="preserve">TM11MH    </v>
          </cell>
          <cell r="EB494" t="str">
            <v xml:space="preserve">TM1101    </v>
          </cell>
          <cell r="EC494" t="str">
            <v xml:space="preserve">TM1102    </v>
          </cell>
          <cell r="ED494" t="str">
            <v xml:space="preserve">TM1103    </v>
          </cell>
          <cell r="EE494" t="str">
            <v xml:space="preserve">TM1104    </v>
          </cell>
          <cell r="EF494" t="str">
            <v xml:space="preserve">TM1105    </v>
          </cell>
          <cell r="EG494" t="str">
            <v xml:space="preserve">TM1106    </v>
          </cell>
          <cell r="EH494" t="str">
            <v xml:space="preserve">TM12MH    </v>
          </cell>
          <cell r="EI494" t="str">
            <v xml:space="preserve">TM1201    </v>
          </cell>
          <cell r="EJ494" t="str">
            <v xml:space="preserve">TM1202    </v>
          </cell>
          <cell r="EK494" t="str">
            <v xml:space="preserve">TM1203    </v>
          </cell>
          <cell r="EL494" t="str">
            <v xml:space="preserve">TM1204    </v>
          </cell>
          <cell r="EM494" t="str">
            <v xml:space="preserve">TM1205    </v>
          </cell>
          <cell r="EN494" t="str">
            <v xml:space="preserve">TM1206    </v>
          </cell>
          <cell r="EO494" t="str">
            <v xml:space="preserve">TMSTNM    </v>
          </cell>
        </row>
        <row r="495">
          <cell r="A495" t="str">
            <v>CP1AB7041160</v>
          </cell>
          <cell r="B495" t="str">
            <v>CP1</v>
          </cell>
          <cell r="C495" t="str">
            <v>AB7041</v>
          </cell>
          <cell r="D495">
            <v>160</v>
          </cell>
          <cell r="E495" t="str">
            <v xml:space="preserve">   </v>
          </cell>
          <cell r="F495">
            <v>81210</v>
          </cell>
          <cell r="G495">
            <v>90225</v>
          </cell>
          <cell r="H495">
            <v>0</v>
          </cell>
          <cell r="I495">
            <v>402</v>
          </cell>
          <cell r="J495">
            <v>402</v>
          </cell>
          <cell r="K495">
            <v>318</v>
          </cell>
          <cell r="L495">
            <v>2</v>
          </cell>
          <cell r="M495">
            <v>2</v>
          </cell>
          <cell r="N495">
            <v>3407754</v>
          </cell>
          <cell r="O495">
            <v>4384614</v>
          </cell>
          <cell r="P495">
            <v>3468426</v>
          </cell>
          <cell r="Q495">
            <v>21814</v>
          </cell>
          <cell r="R495">
            <v>116000</v>
          </cell>
          <cell r="S495" t="str">
            <v xml:space="preserve"> </v>
          </cell>
          <cell r="T495" t="str">
            <v xml:space="preserve"> </v>
          </cell>
          <cell r="U495">
            <v>402</v>
          </cell>
          <cell r="V495">
            <v>4384614</v>
          </cell>
          <cell r="W495">
            <v>2</v>
          </cell>
          <cell r="X495">
            <v>21814</v>
          </cell>
          <cell r="Y495">
            <v>0.5</v>
          </cell>
          <cell r="Z495">
            <v>0.5</v>
          </cell>
          <cell r="AA495">
            <v>21814</v>
          </cell>
          <cell r="AB495">
            <v>0</v>
          </cell>
          <cell r="AC495">
            <v>84</v>
          </cell>
          <cell r="AD495">
            <v>916188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1</v>
          </cell>
          <cell r="AJ495">
            <v>10907</v>
          </cell>
          <cell r="AK495">
            <v>0</v>
          </cell>
          <cell r="AL495">
            <v>0</v>
          </cell>
          <cell r="AM495">
            <v>315</v>
          </cell>
          <cell r="AN495">
            <v>3435705</v>
          </cell>
          <cell r="AO495">
            <v>8477</v>
          </cell>
          <cell r="AP495">
            <v>10907</v>
          </cell>
          <cell r="AQ495">
            <v>58000</v>
          </cell>
          <cell r="AR495">
            <v>0</v>
          </cell>
          <cell r="AS495">
            <v>5.32</v>
          </cell>
          <cell r="AT495">
            <v>23316000</v>
          </cell>
          <cell r="AU495">
            <v>5.32</v>
          </cell>
          <cell r="AV495">
            <v>116000</v>
          </cell>
          <cell r="AW495">
            <v>0</v>
          </cell>
          <cell r="AX495">
            <v>0</v>
          </cell>
          <cell r="AY495">
            <v>0.5</v>
          </cell>
          <cell r="AZ495">
            <v>0</v>
          </cell>
          <cell r="BA495">
            <v>2</v>
          </cell>
          <cell r="BB495">
            <v>0</v>
          </cell>
          <cell r="BC495">
            <v>2</v>
          </cell>
          <cell r="BD495">
            <v>0</v>
          </cell>
          <cell r="BE495">
            <v>0</v>
          </cell>
          <cell r="BF495">
            <v>0</v>
          </cell>
          <cell r="BG495">
            <v>1</v>
          </cell>
          <cell r="BH495">
            <v>1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2</v>
          </cell>
          <cell r="BW495">
            <v>2</v>
          </cell>
          <cell r="BX495">
            <v>2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  <cell r="DP495">
            <v>0</v>
          </cell>
          <cell r="DQ495">
            <v>0</v>
          </cell>
          <cell r="DR495">
            <v>0</v>
          </cell>
          <cell r="DS495">
            <v>0</v>
          </cell>
          <cell r="DT495">
            <v>0</v>
          </cell>
          <cell r="DU495">
            <v>0</v>
          </cell>
          <cell r="DV495">
            <v>0</v>
          </cell>
          <cell r="DW495">
            <v>0</v>
          </cell>
          <cell r="DX495">
            <v>0</v>
          </cell>
          <cell r="DY495">
            <v>0</v>
          </cell>
          <cell r="DZ495">
            <v>0</v>
          </cell>
          <cell r="EA495">
            <v>0</v>
          </cell>
          <cell r="EB495">
            <v>0</v>
          </cell>
          <cell r="EC495">
            <v>0</v>
          </cell>
          <cell r="ED495">
            <v>0</v>
          </cell>
          <cell r="EE495">
            <v>0</v>
          </cell>
          <cell r="EF495">
            <v>0</v>
          </cell>
          <cell r="EG495">
            <v>0</v>
          </cell>
          <cell r="EH495">
            <v>0</v>
          </cell>
          <cell r="EI495">
            <v>0</v>
          </cell>
          <cell r="EJ495">
            <v>0</v>
          </cell>
          <cell r="EK495">
            <v>0</v>
          </cell>
          <cell r="EL495">
            <v>0</v>
          </cell>
          <cell r="EM495">
            <v>0</v>
          </cell>
          <cell r="EN495">
            <v>0</v>
          </cell>
          <cell r="EO495" t="str">
            <v xml:space="preserve">SILVER RIDGE 2 SHIRT                                        </v>
          </cell>
        </row>
        <row r="496">
          <cell r="A496" t="str">
            <v>CP1AB7041477</v>
          </cell>
          <cell r="B496" t="str">
            <v>CP1</v>
          </cell>
          <cell r="C496" t="str">
            <v>AB7041</v>
          </cell>
          <cell r="D496">
            <v>477</v>
          </cell>
          <cell r="E496" t="str">
            <v xml:space="preserve">   </v>
          </cell>
          <cell r="F496">
            <v>81210</v>
          </cell>
          <cell r="G496">
            <v>90225</v>
          </cell>
          <cell r="H496">
            <v>0</v>
          </cell>
          <cell r="I496">
            <v>402</v>
          </cell>
          <cell r="J496">
            <v>402</v>
          </cell>
          <cell r="K496">
            <v>321</v>
          </cell>
          <cell r="L496">
            <v>5</v>
          </cell>
          <cell r="M496">
            <v>5</v>
          </cell>
          <cell r="N496">
            <v>3407754</v>
          </cell>
          <cell r="O496">
            <v>4384614</v>
          </cell>
          <cell r="P496">
            <v>3501147</v>
          </cell>
          <cell r="Q496">
            <v>54535</v>
          </cell>
          <cell r="R496">
            <v>278400</v>
          </cell>
          <cell r="S496" t="str">
            <v xml:space="preserve"> </v>
          </cell>
          <cell r="T496" t="str">
            <v xml:space="preserve"> </v>
          </cell>
          <cell r="U496">
            <v>402</v>
          </cell>
          <cell r="V496">
            <v>4384614</v>
          </cell>
          <cell r="W496">
            <v>5</v>
          </cell>
          <cell r="X496">
            <v>54535</v>
          </cell>
          <cell r="Y496">
            <v>1.24</v>
          </cell>
          <cell r="Z496">
            <v>1.24</v>
          </cell>
          <cell r="AA496">
            <v>54535</v>
          </cell>
          <cell r="AB496">
            <v>0</v>
          </cell>
          <cell r="AC496">
            <v>81</v>
          </cell>
          <cell r="AD496">
            <v>883467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1</v>
          </cell>
          <cell r="AJ496">
            <v>10907</v>
          </cell>
          <cell r="AK496">
            <v>0</v>
          </cell>
          <cell r="AL496">
            <v>0</v>
          </cell>
          <cell r="AM496">
            <v>315</v>
          </cell>
          <cell r="AN496">
            <v>3435705</v>
          </cell>
          <cell r="AO496">
            <v>8477</v>
          </cell>
          <cell r="AP496">
            <v>10907</v>
          </cell>
          <cell r="AQ496">
            <v>58000</v>
          </cell>
          <cell r="AR496">
            <v>0</v>
          </cell>
          <cell r="AS496">
            <v>5.32</v>
          </cell>
          <cell r="AT496">
            <v>23316000</v>
          </cell>
          <cell r="AU496">
            <v>5.0999999999999996</v>
          </cell>
          <cell r="AV496">
            <v>278400</v>
          </cell>
          <cell r="AW496">
            <v>0</v>
          </cell>
          <cell r="AX496">
            <v>0</v>
          </cell>
          <cell r="AY496">
            <v>1.24</v>
          </cell>
          <cell r="AZ496">
            <v>0</v>
          </cell>
          <cell r="BA496">
            <v>5</v>
          </cell>
          <cell r="BB496">
            <v>0</v>
          </cell>
          <cell r="BC496">
            <v>4</v>
          </cell>
          <cell r="BD496">
            <v>1</v>
          </cell>
          <cell r="BE496">
            <v>0</v>
          </cell>
          <cell r="BF496">
            <v>0</v>
          </cell>
          <cell r="BG496">
            <v>0</v>
          </cell>
          <cell r="BH496">
            <v>1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4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4</v>
          </cell>
          <cell r="BV496">
            <v>5</v>
          </cell>
          <cell r="BW496">
            <v>1</v>
          </cell>
          <cell r="BX496">
            <v>1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0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0</v>
          </cell>
          <cell r="EA496">
            <v>0</v>
          </cell>
          <cell r="EB496">
            <v>0</v>
          </cell>
          <cell r="EC496">
            <v>0</v>
          </cell>
          <cell r="ED496">
            <v>0</v>
          </cell>
          <cell r="EE496">
            <v>0</v>
          </cell>
          <cell r="EF496">
            <v>0</v>
          </cell>
          <cell r="EG496">
            <v>0</v>
          </cell>
          <cell r="EH496">
            <v>0</v>
          </cell>
          <cell r="EI496">
            <v>0</v>
          </cell>
          <cell r="EJ496">
            <v>0</v>
          </cell>
          <cell r="EK496">
            <v>0</v>
          </cell>
          <cell r="EL496">
            <v>0</v>
          </cell>
          <cell r="EM496">
            <v>0</v>
          </cell>
          <cell r="EN496">
            <v>0</v>
          </cell>
          <cell r="EO496" t="str">
            <v xml:space="preserve">SILVER RIDGE 2 SHIRT                                        </v>
          </cell>
        </row>
        <row r="497">
          <cell r="A497" t="str">
            <v>CP1AB8145094</v>
          </cell>
          <cell r="B497" t="str">
            <v>CP1</v>
          </cell>
          <cell r="C497" t="str">
            <v>AB8145</v>
          </cell>
          <cell r="D497">
            <v>94</v>
          </cell>
          <cell r="E497" t="str">
            <v xml:space="preserve">   </v>
          </cell>
          <cell r="F497">
            <v>90216</v>
          </cell>
          <cell r="G497">
            <v>90225</v>
          </cell>
          <cell r="H497">
            <v>0</v>
          </cell>
          <cell r="I497">
            <v>402</v>
          </cell>
          <cell r="J497">
            <v>402</v>
          </cell>
          <cell r="K497">
            <v>319</v>
          </cell>
          <cell r="L497">
            <v>6</v>
          </cell>
          <cell r="M497">
            <v>6</v>
          </cell>
          <cell r="N497">
            <v>3818598</v>
          </cell>
          <cell r="O497">
            <v>3818598</v>
          </cell>
          <cell r="P497">
            <v>3030181</v>
          </cell>
          <cell r="Q497">
            <v>56994</v>
          </cell>
          <cell r="R497">
            <v>342200</v>
          </cell>
          <cell r="S497" t="str">
            <v xml:space="preserve"> </v>
          </cell>
          <cell r="T497" t="str">
            <v xml:space="preserve"> </v>
          </cell>
          <cell r="U497">
            <v>402</v>
          </cell>
          <cell r="V497">
            <v>3818598</v>
          </cell>
          <cell r="W497">
            <v>6</v>
          </cell>
          <cell r="X497">
            <v>56994</v>
          </cell>
          <cell r="Y497">
            <v>1.49</v>
          </cell>
          <cell r="Z497">
            <v>1.49</v>
          </cell>
          <cell r="AA497">
            <v>56994</v>
          </cell>
          <cell r="AB497">
            <v>0</v>
          </cell>
          <cell r="AC497">
            <v>83</v>
          </cell>
          <cell r="AD497">
            <v>788417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1</v>
          </cell>
          <cell r="AJ497">
            <v>9499</v>
          </cell>
          <cell r="AK497">
            <v>0</v>
          </cell>
          <cell r="AL497">
            <v>0</v>
          </cell>
          <cell r="AM497">
            <v>312</v>
          </cell>
          <cell r="AN497">
            <v>2963688</v>
          </cell>
          <cell r="AO497">
            <v>9499</v>
          </cell>
          <cell r="AP497">
            <v>9499</v>
          </cell>
          <cell r="AQ497">
            <v>58000</v>
          </cell>
          <cell r="AR497">
            <v>0</v>
          </cell>
          <cell r="AS497">
            <v>6.11</v>
          </cell>
          <cell r="AT497">
            <v>23316000</v>
          </cell>
          <cell r="AU497">
            <v>6</v>
          </cell>
          <cell r="AV497">
            <v>342200</v>
          </cell>
          <cell r="AW497">
            <v>0</v>
          </cell>
          <cell r="AX497">
            <v>0</v>
          </cell>
          <cell r="AY497">
            <v>1.49</v>
          </cell>
          <cell r="AZ497">
            <v>0</v>
          </cell>
          <cell r="BA497">
            <v>6</v>
          </cell>
          <cell r="BB497">
            <v>0</v>
          </cell>
          <cell r="BC497">
            <v>6</v>
          </cell>
          <cell r="BD497">
            <v>0</v>
          </cell>
          <cell r="BE497">
            <v>0</v>
          </cell>
          <cell r="BF497">
            <v>0</v>
          </cell>
          <cell r="BG497">
            <v>1</v>
          </cell>
          <cell r="BH497">
            <v>1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4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4</v>
          </cell>
          <cell r="BV497">
            <v>6</v>
          </cell>
          <cell r="BW497">
            <v>2</v>
          </cell>
          <cell r="BX497">
            <v>2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  <cell r="DP497">
            <v>0</v>
          </cell>
          <cell r="DQ497">
            <v>0</v>
          </cell>
          <cell r="DR497">
            <v>0</v>
          </cell>
          <cell r="DS497">
            <v>0</v>
          </cell>
          <cell r="DT497">
            <v>0</v>
          </cell>
          <cell r="DU497">
            <v>0</v>
          </cell>
          <cell r="DV497">
            <v>0</v>
          </cell>
          <cell r="DW497">
            <v>0</v>
          </cell>
          <cell r="DX497">
            <v>0</v>
          </cell>
          <cell r="DY497">
            <v>0</v>
          </cell>
          <cell r="DZ497">
            <v>0</v>
          </cell>
          <cell r="EA497">
            <v>0</v>
          </cell>
          <cell r="EB497">
            <v>0</v>
          </cell>
          <cell r="EC497">
            <v>0</v>
          </cell>
          <cell r="ED497">
            <v>0</v>
          </cell>
          <cell r="EE497">
            <v>0</v>
          </cell>
          <cell r="EF497">
            <v>0</v>
          </cell>
          <cell r="EG497">
            <v>0</v>
          </cell>
          <cell r="EH497">
            <v>0</v>
          </cell>
          <cell r="EI497">
            <v>0</v>
          </cell>
          <cell r="EJ497">
            <v>0</v>
          </cell>
          <cell r="EK497">
            <v>0</v>
          </cell>
          <cell r="EL497">
            <v>0</v>
          </cell>
          <cell r="EM497">
            <v>0</v>
          </cell>
          <cell r="EN497">
            <v>0</v>
          </cell>
          <cell r="EO497" t="str">
            <v xml:space="preserve">SILVER RIDGE 2 CONVERTIBLE PANT                             </v>
          </cell>
        </row>
        <row r="498">
          <cell r="A498" t="str">
            <v>CP1AB8145160</v>
          </cell>
          <cell r="B498" t="str">
            <v>CP1</v>
          </cell>
          <cell r="C498" t="str">
            <v>AB8145</v>
          </cell>
          <cell r="D498">
            <v>160</v>
          </cell>
          <cell r="E498" t="str">
            <v xml:space="preserve">   </v>
          </cell>
          <cell r="F498">
            <v>90216</v>
          </cell>
          <cell r="G498">
            <v>90225</v>
          </cell>
          <cell r="H498">
            <v>0</v>
          </cell>
          <cell r="I498">
            <v>402</v>
          </cell>
          <cell r="J498">
            <v>402</v>
          </cell>
          <cell r="K498">
            <v>320</v>
          </cell>
          <cell r="L498">
            <v>1</v>
          </cell>
          <cell r="M498">
            <v>1</v>
          </cell>
          <cell r="N498">
            <v>3818598</v>
          </cell>
          <cell r="O498">
            <v>3818598</v>
          </cell>
          <cell r="P498">
            <v>3039680</v>
          </cell>
          <cell r="Q498">
            <v>9499</v>
          </cell>
          <cell r="R498">
            <v>58000</v>
          </cell>
          <cell r="S498" t="str">
            <v xml:space="preserve"> </v>
          </cell>
          <cell r="T498" t="str">
            <v xml:space="preserve"> </v>
          </cell>
          <cell r="U498">
            <v>402</v>
          </cell>
          <cell r="V498">
            <v>3818598</v>
          </cell>
          <cell r="W498">
            <v>1</v>
          </cell>
          <cell r="X498">
            <v>9499</v>
          </cell>
          <cell r="Y498">
            <v>0.25</v>
          </cell>
          <cell r="Z498">
            <v>0.25</v>
          </cell>
          <cell r="AA498">
            <v>9499</v>
          </cell>
          <cell r="AB498">
            <v>0</v>
          </cell>
          <cell r="AC498">
            <v>82</v>
          </cell>
          <cell r="AD498">
            <v>778918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2</v>
          </cell>
          <cell r="AJ498">
            <v>18998</v>
          </cell>
          <cell r="AK498">
            <v>0</v>
          </cell>
          <cell r="AL498">
            <v>0</v>
          </cell>
          <cell r="AM498">
            <v>317</v>
          </cell>
          <cell r="AN498">
            <v>3011183</v>
          </cell>
          <cell r="AO498">
            <v>9499</v>
          </cell>
          <cell r="AP498">
            <v>9499</v>
          </cell>
          <cell r="AQ498">
            <v>58000</v>
          </cell>
          <cell r="AR498">
            <v>0</v>
          </cell>
          <cell r="AS498">
            <v>6.11</v>
          </cell>
          <cell r="AT498">
            <v>23316000</v>
          </cell>
          <cell r="AU498">
            <v>6.11</v>
          </cell>
          <cell r="AV498">
            <v>58000</v>
          </cell>
          <cell r="AW498">
            <v>0</v>
          </cell>
          <cell r="AX498">
            <v>0</v>
          </cell>
          <cell r="AY498">
            <v>0.25</v>
          </cell>
          <cell r="AZ498">
            <v>0</v>
          </cell>
          <cell r="BA498">
            <v>1</v>
          </cell>
          <cell r="BB498">
            <v>0</v>
          </cell>
          <cell r="BC498">
            <v>1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1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1</v>
          </cell>
          <cell r="BW498">
            <v>1</v>
          </cell>
          <cell r="BX498">
            <v>1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0</v>
          </cell>
          <cell r="DR498">
            <v>0</v>
          </cell>
          <cell r="DS498">
            <v>0</v>
          </cell>
          <cell r="DT498">
            <v>0</v>
          </cell>
          <cell r="DU498">
            <v>0</v>
          </cell>
          <cell r="DV498">
            <v>0</v>
          </cell>
          <cell r="DW498">
            <v>0</v>
          </cell>
          <cell r="DX498">
            <v>0</v>
          </cell>
          <cell r="DY498">
            <v>0</v>
          </cell>
          <cell r="DZ498">
            <v>0</v>
          </cell>
          <cell r="EA498">
            <v>0</v>
          </cell>
          <cell r="EB498">
            <v>0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0</v>
          </cell>
          <cell r="EH498">
            <v>0</v>
          </cell>
          <cell r="EI498">
            <v>0</v>
          </cell>
          <cell r="EJ498">
            <v>0</v>
          </cell>
          <cell r="EK498">
            <v>0</v>
          </cell>
          <cell r="EL498">
            <v>0</v>
          </cell>
          <cell r="EM498">
            <v>0</v>
          </cell>
          <cell r="EN498">
            <v>0</v>
          </cell>
          <cell r="EO498" t="str">
            <v xml:space="preserve">SILVER RIDGE 2 CONVERTIBLE PANT                             </v>
          </cell>
        </row>
        <row r="499">
          <cell r="A499" t="str">
            <v>CP1AG7046100</v>
          </cell>
          <cell r="B499" t="str">
            <v>CP1</v>
          </cell>
          <cell r="C499" t="str">
            <v>AG7046</v>
          </cell>
          <cell r="D499">
            <v>100</v>
          </cell>
          <cell r="E499" t="str">
            <v xml:space="preserve">   </v>
          </cell>
          <cell r="F499">
            <v>90203</v>
          </cell>
          <cell r="G499">
            <v>90225</v>
          </cell>
          <cell r="H499">
            <v>0</v>
          </cell>
          <cell r="I499">
            <v>402</v>
          </cell>
          <cell r="J499">
            <v>402</v>
          </cell>
          <cell r="K499">
            <v>319</v>
          </cell>
          <cell r="L499">
            <v>4</v>
          </cell>
          <cell r="M499">
            <v>4</v>
          </cell>
          <cell r="N499">
            <v>3072084</v>
          </cell>
          <cell r="O499">
            <v>3072084</v>
          </cell>
          <cell r="P499">
            <v>2437798</v>
          </cell>
          <cell r="Q499">
            <v>30568</v>
          </cell>
          <cell r="R499">
            <v>202000</v>
          </cell>
          <cell r="S499" t="str">
            <v xml:space="preserve"> </v>
          </cell>
          <cell r="T499" t="str">
            <v xml:space="preserve"> </v>
          </cell>
          <cell r="U499">
            <v>402</v>
          </cell>
          <cell r="V499">
            <v>3072084</v>
          </cell>
          <cell r="W499">
            <v>4</v>
          </cell>
          <cell r="X499">
            <v>30568</v>
          </cell>
          <cell r="Y499">
            <v>1</v>
          </cell>
          <cell r="Z499">
            <v>1</v>
          </cell>
          <cell r="AA499">
            <v>30568</v>
          </cell>
          <cell r="AB499">
            <v>0</v>
          </cell>
          <cell r="AC499">
            <v>83</v>
          </cell>
          <cell r="AD499">
            <v>634286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1</v>
          </cell>
          <cell r="AJ499">
            <v>7642</v>
          </cell>
          <cell r="AK499">
            <v>0</v>
          </cell>
          <cell r="AL499">
            <v>0</v>
          </cell>
          <cell r="AM499">
            <v>314</v>
          </cell>
          <cell r="AN499">
            <v>2399588</v>
          </cell>
          <cell r="AO499">
            <v>7642</v>
          </cell>
          <cell r="AP499">
            <v>7642</v>
          </cell>
          <cell r="AQ499">
            <v>58000</v>
          </cell>
          <cell r="AR499">
            <v>0</v>
          </cell>
          <cell r="AS499">
            <v>7.59</v>
          </cell>
          <cell r="AT499">
            <v>23316000</v>
          </cell>
          <cell r="AU499">
            <v>6.61</v>
          </cell>
          <cell r="AV499">
            <v>202000</v>
          </cell>
          <cell r="AW499">
            <v>0</v>
          </cell>
          <cell r="AX499">
            <v>0</v>
          </cell>
          <cell r="AY499">
            <v>1</v>
          </cell>
          <cell r="AZ499">
            <v>0</v>
          </cell>
          <cell r="BA499">
            <v>4</v>
          </cell>
          <cell r="BB499">
            <v>0</v>
          </cell>
          <cell r="BC499">
            <v>4</v>
          </cell>
          <cell r="BD499">
            <v>0</v>
          </cell>
          <cell r="BE499">
            <v>0</v>
          </cell>
          <cell r="BF499">
            <v>0</v>
          </cell>
          <cell r="BG499">
            <v>1</v>
          </cell>
          <cell r="BH499">
            <v>1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1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1</v>
          </cell>
          <cell r="BV499">
            <v>4</v>
          </cell>
          <cell r="BW499">
            <v>3</v>
          </cell>
          <cell r="BX499">
            <v>3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0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V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J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  <cell r="EO499" t="str">
            <v xml:space="preserve">SILVER RIDGE 2 SHIRT                                        </v>
          </cell>
        </row>
        <row r="500">
          <cell r="A500" t="str">
            <v>CP1AG7046598</v>
          </cell>
          <cell r="B500" t="str">
            <v>CP1</v>
          </cell>
          <cell r="C500" t="str">
            <v>AG7046</v>
          </cell>
          <cell r="D500">
            <v>598</v>
          </cell>
          <cell r="E500" t="str">
            <v xml:space="preserve">   </v>
          </cell>
          <cell r="F500">
            <v>90203</v>
          </cell>
          <cell r="G500">
            <v>90225</v>
          </cell>
          <cell r="H500">
            <v>0</v>
          </cell>
          <cell r="I500">
            <v>402</v>
          </cell>
          <cell r="J500">
            <v>402</v>
          </cell>
          <cell r="K500">
            <v>318</v>
          </cell>
          <cell r="L500">
            <v>0</v>
          </cell>
          <cell r="M500">
            <v>0</v>
          </cell>
          <cell r="N500">
            <v>3072084</v>
          </cell>
          <cell r="O500">
            <v>3072084</v>
          </cell>
          <cell r="P500">
            <v>2430156</v>
          </cell>
          <cell r="Q500">
            <v>0</v>
          </cell>
          <cell r="R500">
            <v>0</v>
          </cell>
          <cell r="S500" t="str">
            <v xml:space="preserve"> </v>
          </cell>
          <cell r="T500" t="str">
            <v xml:space="preserve"> </v>
          </cell>
          <cell r="U500">
            <v>402</v>
          </cell>
          <cell r="V500">
            <v>3072084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84</v>
          </cell>
          <cell r="AD500">
            <v>641928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1</v>
          </cell>
          <cell r="AJ500">
            <v>7642</v>
          </cell>
          <cell r="AK500">
            <v>0</v>
          </cell>
          <cell r="AL500">
            <v>0</v>
          </cell>
          <cell r="AM500">
            <v>317</v>
          </cell>
          <cell r="AN500">
            <v>2422514</v>
          </cell>
          <cell r="AO500">
            <v>7642</v>
          </cell>
          <cell r="AP500">
            <v>7642</v>
          </cell>
          <cell r="AQ500">
            <v>58000</v>
          </cell>
          <cell r="AR500">
            <v>0</v>
          </cell>
          <cell r="AS500">
            <v>7.59</v>
          </cell>
          <cell r="AT500">
            <v>23316000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1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J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  <cell r="EO500" t="str">
            <v xml:space="preserve">SILVER RIDGE 2 SHIRT                                        </v>
          </cell>
        </row>
        <row r="501">
          <cell r="A501" t="str">
            <v>CP1AG8528160</v>
          </cell>
          <cell r="B501" t="str">
            <v>CP1</v>
          </cell>
          <cell r="C501" t="str">
            <v>AG8528</v>
          </cell>
          <cell r="D501">
            <v>160</v>
          </cell>
          <cell r="E501" t="str">
            <v xml:space="preserve">   </v>
          </cell>
          <cell r="F501">
            <v>90216</v>
          </cell>
          <cell r="G501">
            <v>90225</v>
          </cell>
          <cell r="H501">
            <v>0</v>
          </cell>
          <cell r="I501">
            <v>402</v>
          </cell>
          <cell r="J501">
            <v>402</v>
          </cell>
          <cell r="K501">
            <v>318</v>
          </cell>
          <cell r="L501">
            <v>2</v>
          </cell>
          <cell r="M501">
            <v>2</v>
          </cell>
          <cell r="N501">
            <v>3412980</v>
          </cell>
          <cell r="O501">
            <v>3412980</v>
          </cell>
          <cell r="P501">
            <v>2699820</v>
          </cell>
          <cell r="Q501">
            <v>16980</v>
          </cell>
          <cell r="R501">
            <v>113100</v>
          </cell>
          <cell r="S501" t="str">
            <v xml:space="preserve"> </v>
          </cell>
          <cell r="T501" t="str">
            <v xml:space="preserve"> </v>
          </cell>
          <cell r="U501">
            <v>402</v>
          </cell>
          <cell r="V501">
            <v>3412980</v>
          </cell>
          <cell r="W501">
            <v>2</v>
          </cell>
          <cell r="X501">
            <v>16980</v>
          </cell>
          <cell r="Y501">
            <v>0.5</v>
          </cell>
          <cell r="Z501">
            <v>0.5</v>
          </cell>
          <cell r="AA501">
            <v>16980</v>
          </cell>
          <cell r="AB501">
            <v>0</v>
          </cell>
          <cell r="AC501">
            <v>84</v>
          </cell>
          <cell r="AD501">
            <v>713160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</v>
          </cell>
          <cell r="AJ501">
            <v>8490</v>
          </cell>
          <cell r="AK501">
            <v>0</v>
          </cell>
          <cell r="AL501">
            <v>0</v>
          </cell>
          <cell r="AM501">
            <v>315</v>
          </cell>
          <cell r="AN501">
            <v>2674350</v>
          </cell>
          <cell r="AO501">
            <v>8490</v>
          </cell>
          <cell r="AP501">
            <v>8490</v>
          </cell>
          <cell r="AQ501">
            <v>58000</v>
          </cell>
          <cell r="AR501">
            <v>0</v>
          </cell>
          <cell r="AS501">
            <v>6.83</v>
          </cell>
          <cell r="AT501">
            <v>23316000</v>
          </cell>
          <cell r="AU501">
            <v>6.66</v>
          </cell>
          <cell r="AV501">
            <v>113100</v>
          </cell>
          <cell r="AW501">
            <v>0</v>
          </cell>
          <cell r="AX501">
            <v>0</v>
          </cell>
          <cell r="AY501">
            <v>0.5</v>
          </cell>
          <cell r="AZ501">
            <v>0</v>
          </cell>
          <cell r="BA501">
            <v>2</v>
          </cell>
          <cell r="BB501">
            <v>0</v>
          </cell>
          <cell r="BC501">
            <v>2</v>
          </cell>
          <cell r="BD501">
            <v>0</v>
          </cell>
          <cell r="BE501">
            <v>0</v>
          </cell>
          <cell r="BF501">
            <v>0</v>
          </cell>
          <cell r="BG501">
            <v>1</v>
          </cell>
          <cell r="BH501">
            <v>1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2</v>
          </cell>
          <cell r="BW501">
            <v>2</v>
          </cell>
          <cell r="BX501">
            <v>2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V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J501">
            <v>0</v>
          </cell>
          <cell r="EK501">
            <v>0</v>
          </cell>
          <cell r="EL501">
            <v>0</v>
          </cell>
          <cell r="EM501">
            <v>0</v>
          </cell>
          <cell r="EN501">
            <v>0</v>
          </cell>
          <cell r="EO501" t="str">
            <v xml:space="preserve">SILVER RIDGE 2 PANT                                         </v>
          </cell>
        </row>
        <row r="502">
          <cell r="A502" t="str">
            <v>CP1AG8528598</v>
          </cell>
          <cell r="B502" t="str">
            <v>CP1</v>
          </cell>
          <cell r="C502" t="str">
            <v>AG8528</v>
          </cell>
          <cell r="D502">
            <v>598</v>
          </cell>
          <cell r="E502" t="str">
            <v xml:space="preserve">   </v>
          </cell>
          <cell r="F502">
            <v>90216</v>
          </cell>
          <cell r="G502">
            <v>90225</v>
          </cell>
          <cell r="H502">
            <v>0</v>
          </cell>
          <cell r="I502">
            <v>402</v>
          </cell>
          <cell r="J502">
            <v>402</v>
          </cell>
          <cell r="K502">
            <v>319</v>
          </cell>
          <cell r="L502">
            <v>1</v>
          </cell>
          <cell r="M502">
            <v>1</v>
          </cell>
          <cell r="N502">
            <v>3412980</v>
          </cell>
          <cell r="O502">
            <v>3412980</v>
          </cell>
          <cell r="P502">
            <v>2708310</v>
          </cell>
          <cell r="Q502">
            <v>8490</v>
          </cell>
          <cell r="R502">
            <v>58000</v>
          </cell>
          <cell r="S502" t="str">
            <v xml:space="preserve"> </v>
          </cell>
          <cell r="T502" t="str">
            <v xml:space="preserve"> </v>
          </cell>
          <cell r="U502">
            <v>402</v>
          </cell>
          <cell r="V502">
            <v>3412980</v>
          </cell>
          <cell r="W502">
            <v>1</v>
          </cell>
          <cell r="X502">
            <v>8490</v>
          </cell>
          <cell r="Y502">
            <v>0.25</v>
          </cell>
          <cell r="Z502">
            <v>0.25</v>
          </cell>
          <cell r="AA502">
            <v>8490</v>
          </cell>
          <cell r="AB502">
            <v>0</v>
          </cell>
          <cell r="AC502">
            <v>83</v>
          </cell>
          <cell r="AD502">
            <v>704670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</v>
          </cell>
          <cell r="AJ502">
            <v>8490</v>
          </cell>
          <cell r="AK502">
            <v>0</v>
          </cell>
          <cell r="AL502">
            <v>0</v>
          </cell>
          <cell r="AM502">
            <v>317</v>
          </cell>
          <cell r="AN502">
            <v>2691330</v>
          </cell>
          <cell r="AO502">
            <v>8490</v>
          </cell>
          <cell r="AP502">
            <v>8490</v>
          </cell>
          <cell r="AQ502">
            <v>58000</v>
          </cell>
          <cell r="AR502">
            <v>0</v>
          </cell>
          <cell r="AS502">
            <v>6.83</v>
          </cell>
          <cell r="AT502">
            <v>23316000</v>
          </cell>
          <cell r="AU502">
            <v>6.83</v>
          </cell>
          <cell r="AV502">
            <v>58000</v>
          </cell>
          <cell r="AW502">
            <v>0</v>
          </cell>
          <cell r="AX502">
            <v>0</v>
          </cell>
          <cell r="AY502">
            <v>0.25</v>
          </cell>
          <cell r="AZ502">
            <v>0</v>
          </cell>
          <cell r="BA502">
            <v>1</v>
          </cell>
          <cell r="BB502">
            <v>0</v>
          </cell>
          <cell r="BC502">
            <v>1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1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1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1</v>
          </cell>
          <cell r="BV502">
            <v>1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N502">
            <v>0</v>
          </cell>
          <cell r="EO502" t="str">
            <v xml:space="preserve">SILVER RIDGE 2 PANT                                         </v>
          </cell>
        </row>
        <row r="503">
          <cell r="A503" t="str">
            <v>CP1EL8628014</v>
          </cell>
          <cell r="B503" t="str">
            <v>CP1</v>
          </cell>
          <cell r="C503" t="str">
            <v>EL8628</v>
          </cell>
          <cell r="D503">
            <v>14</v>
          </cell>
          <cell r="E503" t="str">
            <v xml:space="preserve">   </v>
          </cell>
          <cell r="F503">
            <v>0</v>
          </cell>
          <cell r="G503">
            <v>0</v>
          </cell>
          <cell r="H503">
            <v>0</v>
          </cell>
          <cell r="I503">
            <v>606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6400572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 t="str">
            <v xml:space="preserve"> </v>
          </cell>
          <cell r="T503" t="str">
            <v xml:space="preserve"> 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10562</v>
          </cell>
          <cell r="AP503">
            <v>10562</v>
          </cell>
          <cell r="AQ503">
            <v>78000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1</v>
          </cell>
          <cell r="BH503">
            <v>1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T503">
            <v>0</v>
          </cell>
          <cell r="DU503">
            <v>0</v>
          </cell>
          <cell r="DV503">
            <v>0</v>
          </cell>
          <cell r="DW503">
            <v>0</v>
          </cell>
          <cell r="DX503">
            <v>0</v>
          </cell>
          <cell r="DY503">
            <v>0</v>
          </cell>
          <cell r="DZ503">
            <v>0</v>
          </cell>
          <cell r="EA503">
            <v>0</v>
          </cell>
          <cell r="EB503">
            <v>0</v>
          </cell>
          <cell r="EC503">
            <v>0</v>
          </cell>
          <cell r="ED503">
            <v>0</v>
          </cell>
          <cell r="EE503">
            <v>0</v>
          </cell>
          <cell r="EF503">
            <v>0</v>
          </cell>
          <cell r="EG503">
            <v>0</v>
          </cell>
          <cell r="EH503">
            <v>0</v>
          </cell>
          <cell r="EI503">
            <v>0</v>
          </cell>
          <cell r="EJ503">
            <v>0</v>
          </cell>
          <cell r="EK503">
            <v>0</v>
          </cell>
          <cell r="EL503">
            <v>0</v>
          </cell>
          <cell r="EM503">
            <v>0</v>
          </cell>
          <cell r="EN503">
            <v>0</v>
          </cell>
          <cell r="EO503" t="str">
            <v xml:space="preserve">OMNI DRY SILVER RIDGE CARGO PANT                            </v>
          </cell>
        </row>
        <row r="504">
          <cell r="A504" t="str">
            <v>CP1EL8628365</v>
          </cell>
          <cell r="B504" t="str">
            <v>CP1</v>
          </cell>
          <cell r="C504" t="str">
            <v>EL8628</v>
          </cell>
          <cell r="D504">
            <v>365</v>
          </cell>
          <cell r="E504" t="str">
            <v xml:space="preserve">   </v>
          </cell>
          <cell r="F504">
            <v>0</v>
          </cell>
          <cell r="G504">
            <v>0</v>
          </cell>
          <cell r="H504">
            <v>0</v>
          </cell>
          <cell r="I504">
            <v>606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6400572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 t="str">
            <v xml:space="preserve"> </v>
          </cell>
          <cell r="T504" t="str">
            <v xml:space="preserve"> 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10562</v>
          </cell>
          <cell r="AP504">
            <v>10562</v>
          </cell>
          <cell r="AQ504">
            <v>78000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1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  <cell r="DP504">
            <v>0</v>
          </cell>
          <cell r="DQ504">
            <v>0</v>
          </cell>
          <cell r="DR504">
            <v>0</v>
          </cell>
          <cell r="DS504">
            <v>0</v>
          </cell>
          <cell r="DT504">
            <v>0</v>
          </cell>
          <cell r="DU504">
            <v>0</v>
          </cell>
          <cell r="DV504">
            <v>0</v>
          </cell>
          <cell r="DW504">
            <v>0</v>
          </cell>
          <cell r="DX504">
            <v>0</v>
          </cell>
          <cell r="DY504">
            <v>0</v>
          </cell>
          <cell r="DZ504">
            <v>0</v>
          </cell>
          <cell r="EA504">
            <v>0</v>
          </cell>
          <cell r="EB504">
            <v>0</v>
          </cell>
          <cell r="EC504">
            <v>0</v>
          </cell>
          <cell r="ED504">
            <v>0</v>
          </cell>
          <cell r="EE504">
            <v>0</v>
          </cell>
          <cell r="EF504">
            <v>0</v>
          </cell>
          <cell r="EG504">
            <v>0</v>
          </cell>
          <cell r="EH504">
            <v>0</v>
          </cell>
          <cell r="EI504">
            <v>0</v>
          </cell>
          <cell r="EJ504">
            <v>0</v>
          </cell>
          <cell r="EK504">
            <v>0</v>
          </cell>
          <cell r="EL504">
            <v>0</v>
          </cell>
          <cell r="EM504">
            <v>0</v>
          </cell>
          <cell r="EN504">
            <v>0</v>
          </cell>
          <cell r="EO504" t="str">
            <v xml:space="preserve">OMNI DRY SILVER RIDGE CARGO PANT                            </v>
          </cell>
        </row>
        <row r="505">
          <cell r="A505" t="str">
            <v>CP1EM8631094</v>
          </cell>
          <cell r="B505" t="str">
            <v>CP1</v>
          </cell>
          <cell r="C505" t="str">
            <v>EM8631</v>
          </cell>
          <cell r="D505">
            <v>94</v>
          </cell>
          <cell r="E505" t="str">
            <v xml:space="preserve">   </v>
          </cell>
          <cell r="F505">
            <v>90216</v>
          </cell>
          <cell r="G505">
            <v>0</v>
          </cell>
          <cell r="H505">
            <v>0</v>
          </cell>
          <cell r="I505">
            <v>804</v>
          </cell>
          <cell r="J505">
            <v>804</v>
          </cell>
          <cell r="K505">
            <v>1</v>
          </cell>
          <cell r="L505">
            <v>0</v>
          </cell>
          <cell r="M505">
            <v>0</v>
          </cell>
          <cell r="N505">
            <v>10547676</v>
          </cell>
          <cell r="O505">
            <v>10547676</v>
          </cell>
          <cell r="P505">
            <v>13119</v>
          </cell>
          <cell r="Q505">
            <v>0</v>
          </cell>
          <cell r="R505">
            <v>0</v>
          </cell>
          <cell r="S505" t="str">
            <v xml:space="preserve"> </v>
          </cell>
          <cell r="T505" t="str">
            <v xml:space="preserve"> </v>
          </cell>
          <cell r="U505">
            <v>804</v>
          </cell>
          <cell r="V505">
            <v>10547676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803</v>
          </cell>
          <cell r="AD505">
            <v>10534557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</v>
          </cell>
          <cell r="AJ505">
            <v>13119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13119</v>
          </cell>
          <cell r="AP505">
            <v>13119</v>
          </cell>
          <cell r="AQ505">
            <v>89000</v>
          </cell>
          <cell r="AR505">
            <v>0</v>
          </cell>
          <cell r="AS505">
            <v>6.78</v>
          </cell>
          <cell r="AT505">
            <v>71556000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1</v>
          </cell>
          <cell r="BH505">
            <v>1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  <cell r="DP505">
            <v>0</v>
          </cell>
          <cell r="DQ505">
            <v>0</v>
          </cell>
          <cell r="DR505">
            <v>0</v>
          </cell>
          <cell r="DS505">
            <v>0</v>
          </cell>
          <cell r="DT505">
            <v>0</v>
          </cell>
          <cell r="DU505">
            <v>0</v>
          </cell>
          <cell r="DV505">
            <v>0</v>
          </cell>
          <cell r="DW505">
            <v>0</v>
          </cell>
          <cell r="DX505">
            <v>0</v>
          </cell>
          <cell r="DY505">
            <v>0</v>
          </cell>
          <cell r="DZ505">
            <v>0</v>
          </cell>
          <cell r="EA505">
            <v>0</v>
          </cell>
          <cell r="EB505">
            <v>0</v>
          </cell>
          <cell r="EC505">
            <v>0</v>
          </cell>
          <cell r="ED505">
            <v>0</v>
          </cell>
          <cell r="EE505">
            <v>0</v>
          </cell>
          <cell r="EF505">
            <v>0</v>
          </cell>
          <cell r="EG505">
            <v>0</v>
          </cell>
          <cell r="EH505">
            <v>0</v>
          </cell>
          <cell r="EI505">
            <v>0</v>
          </cell>
          <cell r="EJ505">
            <v>0</v>
          </cell>
          <cell r="EK505">
            <v>0</v>
          </cell>
          <cell r="EL505">
            <v>0</v>
          </cell>
          <cell r="EM505">
            <v>0</v>
          </cell>
          <cell r="EN505">
            <v>0</v>
          </cell>
          <cell r="EO505" t="str">
            <v xml:space="preserve">OMNI DRY SILVER RIDGE 2 CONVERTIBLE PANT                    </v>
          </cell>
        </row>
        <row r="506">
          <cell r="A506" t="str">
            <v>CP1EM8631255</v>
          </cell>
          <cell r="B506" t="str">
            <v>CP1</v>
          </cell>
          <cell r="C506" t="str">
            <v>EM8631</v>
          </cell>
          <cell r="D506">
            <v>255</v>
          </cell>
          <cell r="E506" t="str">
            <v xml:space="preserve">   </v>
          </cell>
          <cell r="F506">
            <v>90216</v>
          </cell>
          <cell r="G506">
            <v>0</v>
          </cell>
          <cell r="H506">
            <v>0</v>
          </cell>
          <cell r="I506">
            <v>600</v>
          </cell>
          <cell r="J506">
            <v>600</v>
          </cell>
          <cell r="K506">
            <v>1</v>
          </cell>
          <cell r="L506">
            <v>0</v>
          </cell>
          <cell r="M506">
            <v>0</v>
          </cell>
          <cell r="N506">
            <v>7871400</v>
          </cell>
          <cell r="O506">
            <v>7871400</v>
          </cell>
          <cell r="P506">
            <v>13119</v>
          </cell>
          <cell r="Q506">
            <v>0</v>
          </cell>
          <cell r="R506">
            <v>0</v>
          </cell>
          <cell r="S506" t="str">
            <v xml:space="preserve"> </v>
          </cell>
          <cell r="T506" t="str">
            <v xml:space="preserve"> </v>
          </cell>
          <cell r="U506">
            <v>600</v>
          </cell>
          <cell r="V506">
            <v>7871400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599</v>
          </cell>
          <cell r="AD506">
            <v>7858281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1</v>
          </cell>
          <cell r="AJ506">
            <v>13119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13119</v>
          </cell>
          <cell r="AP506">
            <v>13119</v>
          </cell>
          <cell r="AQ506">
            <v>89000</v>
          </cell>
          <cell r="AR506">
            <v>0</v>
          </cell>
          <cell r="AS506">
            <v>6.78</v>
          </cell>
          <cell r="AT506">
            <v>53400000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1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  <cell r="DP506">
            <v>0</v>
          </cell>
          <cell r="DQ506">
            <v>0</v>
          </cell>
          <cell r="DR506">
            <v>0</v>
          </cell>
          <cell r="DS506">
            <v>0</v>
          </cell>
          <cell r="DT506">
            <v>0</v>
          </cell>
          <cell r="DU506">
            <v>0</v>
          </cell>
          <cell r="DV506">
            <v>0</v>
          </cell>
          <cell r="DW506">
            <v>0</v>
          </cell>
          <cell r="DX506">
            <v>0</v>
          </cell>
          <cell r="DY506">
            <v>0</v>
          </cell>
          <cell r="DZ506">
            <v>0</v>
          </cell>
          <cell r="EA506">
            <v>0</v>
          </cell>
          <cell r="EB506">
            <v>0</v>
          </cell>
          <cell r="EC506">
            <v>0</v>
          </cell>
          <cell r="ED506">
            <v>0</v>
          </cell>
          <cell r="EE506">
            <v>0</v>
          </cell>
          <cell r="EF506">
            <v>0</v>
          </cell>
          <cell r="EG506">
            <v>0</v>
          </cell>
          <cell r="EH506">
            <v>0</v>
          </cell>
          <cell r="EI506">
            <v>0</v>
          </cell>
          <cell r="EJ506">
            <v>0</v>
          </cell>
          <cell r="EK506">
            <v>0</v>
          </cell>
          <cell r="EL506">
            <v>0</v>
          </cell>
          <cell r="EM506">
            <v>0</v>
          </cell>
          <cell r="EN506">
            <v>0</v>
          </cell>
          <cell r="EO506" t="str">
            <v xml:space="preserve">OMNI DRY SILVER RIDGE 2 CONVERTIBLE PANT                    </v>
          </cell>
        </row>
        <row r="507">
          <cell r="A507" t="str">
            <v>CP1EM8634094</v>
          </cell>
          <cell r="B507" t="str">
            <v>CP1</v>
          </cell>
          <cell r="C507" t="str">
            <v>EM8634</v>
          </cell>
          <cell r="D507">
            <v>94</v>
          </cell>
          <cell r="E507" t="str">
            <v xml:space="preserve">   </v>
          </cell>
          <cell r="F507">
            <v>90216</v>
          </cell>
          <cell r="G507">
            <v>0</v>
          </cell>
          <cell r="H507">
            <v>0</v>
          </cell>
          <cell r="I507">
            <v>822</v>
          </cell>
          <cell r="J507">
            <v>804</v>
          </cell>
          <cell r="K507">
            <v>1</v>
          </cell>
          <cell r="L507">
            <v>0</v>
          </cell>
          <cell r="M507">
            <v>0</v>
          </cell>
          <cell r="N507">
            <v>8848008</v>
          </cell>
          <cell r="O507">
            <v>8654256</v>
          </cell>
          <cell r="P507">
            <v>10764</v>
          </cell>
          <cell r="Q507">
            <v>0</v>
          </cell>
          <cell r="R507">
            <v>0</v>
          </cell>
          <cell r="S507" t="str">
            <v xml:space="preserve"> </v>
          </cell>
          <cell r="T507" t="str">
            <v xml:space="preserve"> </v>
          </cell>
          <cell r="U507">
            <v>804</v>
          </cell>
          <cell r="V507">
            <v>8654256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803</v>
          </cell>
          <cell r="AD507">
            <v>8643492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1</v>
          </cell>
          <cell r="AJ507">
            <v>10764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10764</v>
          </cell>
          <cell r="AP507">
            <v>10764</v>
          </cell>
          <cell r="AQ507">
            <v>78000</v>
          </cell>
          <cell r="AR507">
            <v>0</v>
          </cell>
          <cell r="AS507">
            <v>7.25</v>
          </cell>
          <cell r="AT507">
            <v>62712000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1</v>
          </cell>
          <cell r="BH507">
            <v>1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  <cell r="DP507">
            <v>0</v>
          </cell>
          <cell r="DQ507">
            <v>0</v>
          </cell>
          <cell r="DR507">
            <v>0</v>
          </cell>
          <cell r="DS507">
            <v>0</v>
          </cell>
          <cell r="DT507">
            <v>0</v>
          </cell>
          <cell r="DU507">
            <v>0</v>
          </cell>
          <cell r="DV507">
            <v>0</v>
          </cell>
          <cell r="DW507">
            <v>0</v>
          </cell>
          <cell r="DX507">
            <v>0</v>
          </cell>
          <cell r="DY507">
            <v>0</v>
          </cell>
          <cell r="DZ507">
            <v>0</v>
          </cell>
          <cell r="EA507">
            <v>0</v>
          </cell>
          <cell r="EB507">
            <v>0</v>
          </cell>
          <cell r="EC507">
            <v>0</v>
          </cell>
          <cell r="ED507">
            <v>0</v>
          </cell>
          <cell r="EE507">
            <v>0</v>
          </cell>
          <cell r="EF507">
            <v>0</v>
          </cell>
          <cell r="EG507">
            <v>0</v>
          </cell>
          <cell r="EH507">
            <v>0</v>
          </cell>
          <cell r="EI507">
            <v>0</v>
          </cell>
          <cell r="EJ507">
            <v>0</v>
          </cell>
          <cell r="EK507">
            <v>0</v>
          </cell>
          <cell r="EL507">
            <v>0</v>
          </cell>
          <cell r="EM507">
            <v>0</v>
          </cell>
          <cell r="EN507">
            <v>0</v>
          </cell>
          <cell r="EO507" t="str">
            <v xml:space="preserve">OMNI DRY SILVER RIDGE 2 CARGO PANT                          </v>
          </cell>
        </row>
        <row r="508">
          <cell r="A508" t="str">
            <v>CP1EM8634160</v>
          </cell>
          <cell r="B508" t="str">
            <v>CP1</v>
          </cell>
          <cell r="C508" t="str">
            <v>EM8634</v>
          </cell>
          <cell r="D508">
            <v>160</v>
          </cell>
          <cell r="E508" t="str">
            <v xml:space="preserve">   </v>
          </cell>
          <cell r="F508">
            <v>90216</v>
          </cell>
          <cell r="G508">
            <v>0</v>
          </cell>
          <cell r="H508">
            <v>0</v>
          </cell>
          <cell r="I508">
            <v>600</v>
          </cell>
          <cell r="J508">
            <v>600</v>
          </cell>
          <cell r="K508">
            <v>1</v>
          </cell>
          <cell r="L508">
            <v>0</v>
          </cell>
          <cell r="M508">
            <v>0</v>
          </cell>
          <cell r="N508">
            <v>6458400</v>
          </cell>
          <cell r="O508">
            <v>6458400</v>
          </cell>
          <cell r="P508">
            <v>10764</v>
          </cell>
          <cell r="Q508">
            <v>0</v>
          </cell>
          <cell r="R508">
            <v>0</v>
          </cell>
          <cell r="S508" t="str">
            <v xml:space="preserve"> </v>
          </cell>
          <cell r="T508" t="str">
            <v xml:space="preserve"> </v>
          </cell>
          <cell r="U508">
            <v>600</v>
          </cell>
          <cell r="V508">
            <v>6458400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599</v>
          </cell>
          <cell r="AD508">
            <v>6447636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</v>
          </cell>
          <cell r="AJ508">
            <v>10764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10764</v>
          </cell>
          <cell r="AP508">
            <v>10764</v>
          </cell>
          <cell r="AQ508">
            <v>78000</v>
          </cell>
          <cell r="AR508">
            <v>0</v>
          </cell>
          <cell r="AS508">
            <v>7.25</v>
          </cell>
          <cell r="AT508">
            <v>46800000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1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  <cell r="DP508">
            <v>0</v>
          </cell>
          <cell r="DQ508">
            <v>0</v>
          </cell>
          <cell r="DR508">
            <v>0</v>
          </cell>
          <cell r="DS508">
            <v>0</v>
          </cell>
          <cell r="DT508">
            <v>0</v>
          </cell>
          <cell r="DU508">
            <v>0</v>
          </cell>
          <cell r="DV508">
            <v>0</v>
          </cell>
          <cell r="DW508">
            <v>0</v>
          </cell>
          <cell r="DX508">
            <v>0</v>
          </cell>
          <cell r="DY508">
            <v>0</v>
          </cell>
          <cell r="DZ508">
            <v>0</v>
          </cell>
          <cell r="EA508">
            <v>0</v>
          </cell>
          <cell r="EB508">
            <v>0</v>
          </cell>
          <cell r="EC508">
            <v>0</v>
          </cell>
          <cell r="ED508">
            <v>0</v>
          </cell>
          <cell r="EE508">
            <v>0</v>
          </cell>
          <cell r="EF508">
            <v>0</v>
          </cell>
          <cell r="EG508">
            <v>0</v>
          </cell>
          <cell r="EH508">
            <v>0</v>
          </cell>
          <cell r="EI508">
            <v>0</v>
          </cell>
          <cell r="EJ508">
            <v>0</v>
          </cell>
          <cell r="EK508">
            <v>0</v>
          </cell>
          <cell r="EL508">
            <v>0</v>
          </cell>
          <cell r="EM508">
            <v>0</v>
          </cell>
          <cell r="EN508">
            <v>0</v>
          </cell>
          <cell r="EO508" t="str">
            <v xml:space="preserve">OMNI DRY SILVER RIDGE 2 CARGO PANT                          </v>
          </cell>
        </row>
        <row r="509">
          <cell r="A509" t="str">
            <v>CP1EM8634255</v>
          </cell>
          <cell r="B509" t="str">
            <v>CP1</v>
          </cell>
          <cell r="C509" t="str">
            <v>EM8634</v>
          </cell>
          <cell r="D509">
            <v>255</v>
          </cell>
          <cell r="E509" t="str">
            <v xml:space="preserve">   </v>
          </cell>
          <cell r="F509">
            <v>90216</v>
          </cell>
          <cell r="G509">
            <v>0</v>
          </cell>
          <cell r="H509">
            <v>0</v>
          </cell>
          <cell r="I509">
            <v>600</v>
          </cell>
          <cell r="J509">
            <v>600</v>
          </cell>
          <cell r="K509">
            <v>1</v>
          </cell>
          <cell r="L509">
            <v>0</v>
          </cell>
          <cell r="M509">
            <v>0</v>
          </cell>
          <cell r="N509">
            <v>6458400</v>
          </cell>
          <cell r="O509">
            <v>6458400</v>
          </cell>
          <cell r="P509">
            <v>10764</v>
          </cell>
          <cell r="Q509">
            <v>0</v>
          </cell>
          <cell r="R509">
            <v>0</v>
          </cell>
          <cell r="S509" t="str">
            <v xml:space="preserve"> </v>
          </cell>
          <cell r="T509" t="str">
            <v xml:space="preserve"> </v>
          </cell>
          <cell r="U509">
            <v>600</v>
          </cell>
          <cell r="V509">
            <v>6458400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599</v>
          </cell>
          <cell r="AD509">
            <v>6447636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1</v>
          </cell>
          <cell r="AJ509">
            <v>10764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10764</v>
          </cell>
          <cell r="AP509">
            <v>10764</v>
          </cell>
          <cell r="AQ509">
            <v>78000</v>
          </cell>
          <cell r="AR509">
            <v>0</v>
          </cell>
          <cell r="AS509">
            <v>7.25</v>
          </cell>
          <cell r="AT509">
            <v>46800000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1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  <cell r="DP509">
            <v>0</v>
          </cell>
          <cell r="DQ509">
            <v>0</v>
          </cell>
          <cell r="DR509">
            <v>0</v>
          </cell>
          <cell r="DS509">
            <v>0</v>
          </cell>
          <cell r="DT509">
            <v>0</v>
          </cell>
          <cell r="DU509">
            <v>0</v>
          </cell>
          <cell r="DV509">
            <v>0</v>
          </cell>
          <cell r="DW509">
            <v>0</v>
          </cell>
          <cell r="DX509">
            <v>0</v>
          </cell>
          <cell r="DY509">
            <v>0</v>
          </cell>
          <cell r="DZ509">
            <v>0</v>
          </cell>
          <cell r="EA509">
            <v>0</v>
          </cell>
          <cell r="EB509">
            <v>0</v>
          </cell>
          <cell r="EC509">
            <v>0</v>
          </cell>
          <cell r="ED509">
            <v>0</v>
          </cell>
          <cell r="EE509">
            <v>0</v>
          </cell>
          <cell r="EF509">
            <v>0</v>
          </cell>
          <cell r="EG509">
            <v>0</v>
          </cell>
          <cell r="EH509">
            <v>0</v>
          </cell>
          <cell r="EI509">
            <v>0</v>
          </cell>
          <cell r="EJ509">
            <v>0</v>
          </cell>
          <cell r="EK509">
            <v>0</v>
          </cell>
          <cell r="EL509">
            <v>0</v>
          </cell>
          <cell r="EM509">
            <v>0</v>
          </cell>
          <cell r="EN509">
            <v>0</v>
          </cell>
          <cell r="EO509" t="str">
            <v xml:space="preserve">OMNI DRY SILVER RIDGE 2 CARGO PANT                          </v>
          </cell>
        </row>
        <row r="510">
          <cell r="A510" t="str">
            <v>CP1EM8635094</v>
          </cell>
          <cell r="B510" t="str">
            <v>CP1</v>
          </cell>
          <cell r="C510" t="str">
            <v>EM8635</v>
          </cell>
          <cell r="D510">
            <v>94</v>
          </cell>
          <cell r="E510" t="str">
            <v xml:space="preserve">   </v>
          </cell>
          <cell r="F510">
            <v>90109</v>
          </cell>
          <cell r="G510">
            <v>0</v>
          </cell>
          <cell r="H510">
            <v>0</v>
          </cell>
          <cell r="I510">
            <v>600</v>
          </cell>
          <cell r="J510">
            <v>600</v>
          </cell>
          <cell r="K510">
            <v>1</v>
          </cell>
          <cell r="L510">
            <v>0</v>
          </cell>
          <cell r="M510">
            <v>0</v>
          </cell>
          <cell r="N510">
            <v>5853000</v>
          </cell>
          <cell r="O510">
            <v>7574400</v>
          </cell>
          <cell r="P510">
            <v>12624</v>
          </cell>
          <cell r="Q510">
            <v>0</v>
          </cell>
          <cell r="R510">
            <v>0</v>
          </cell>
          <cell r="S510" t="str">
            <v xml:space="preserve"> </v>
          </cell>
          <cell r="T510" t="str">
            <v xml:space="preserve"> </v>
          </cell>
          <cell r="U510">
            <v>600</v>
          </cell>
          <cell r="V510">
            <v>7574400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599</v>
          </cell>
          <cell r="AD510">
            <v>7561776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</v>
          </cell>
          <cell r="AJ510">
            <v>12624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9755</v>
          </cell>
          <cell r="AP510">
            <v>12624</v>
          </cell>
          <cell r="AQ510">
            <v>65000</v>
          </cell>
          <cell r="AR510">
            <v>0</v>
          </cell>
          <cell r="AS510">
            <v>5.15</v>
          </cell>
          <cell r="AT510">
            <v>39000000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1</v>
          </cell>
          <cell r="BH510">
            <v>1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  <cell r="DP510">
            <v>0</v>
          </cell>
          <cell r="DQ510">
            <v>0</v>
          </cell>
          <cell r="DR510">
            <v>0</v>
          </cell>
          <cell r="DS510">
            <v>0</v>
          </cell>
          <cell r="DT510">
            <v>0</v>
          </cell>
          <cell r="DU510">
            <v>0</v>
          </cell>
          <cell r="DV510">
            <v>0</v>
          </cell>
          <cell r="DW510">
            <v>0</v>
          </cell>
          <cell r="DX510">
            <v>0</v>
          </cell>
          <cell r="DY510">
            <v>0</v>
          </cell>
          <cell r="DZ510">
            <v>0</v>
          </cell>
          <cell r="EA510">
            <v>0</v>
          </cell>
          <cell r="EB510">
            <v>0</v>
          </cell>
          <cell r="EC510">
            <v>0</v>
          </cell>
          <cell r="ED510">
            <v>0</v>
          </cell>
          <cell r="EE510">
            <v>0</v>
          </cell>
          <cell r="EF510">
            <v>0</v>
          </cell>
          <cell r="EG510">
            <v>0</v>
          </cell>
          <cell r="EH510">
            <v>0</v>
          </cell>
          <cell r="EI510">
            <v>0</v>
          </cell>
          <cell r="EJ510">
            <v>0</v>
          </cell>
          <cell r="EK510">
            <v>0</v>
          </cell>
          <cell r="EL510">
            <v>0</v>
          </cell>
          <cell r="EM510">
            <v>0</v>
          </cell>
          <cell r="EN510">
            <v>0</v>
          </cell>
          <cell r="EO510" t="str">
            <v xml:space="preserve">OMNI DRY SILVER RIDGE 2 CAPRI                               </v>
          </cell>
        </row>
        <row r="511">
          <cell r="A511" t="str">
            <v>CP1EM8635255</v>
          </cell>
          <cell r="B511" t="str">
            <v>CP1</v>
          </cell>
          <cell r="C511" t="str">
            <v>EM8635</v>
          </cell>
          <cell r="D511">
            <v>255</v>
          </cell>
          <cell r="E511" t="str">
            <v xml:space="preserve">   </v>
          </cell>
          <cell r="F511">
            <v>90109</v>
          </cell>
          <cell r="G511">
            <v>0</v>
          </cell>
          <cell r="H511">
            <v>0</v>
          </cell>
          <cell r="I511">
            <v>498</v>
          </cell>
          <cell r="J511">
            <v>496</v>
          </cell>
          <cell r="K511">
            <v>1</v>
          </cell>
          <cell r="L511">
            <v>0</v>
          </cell>
          <cell r="M511">
            <v>0</v>
          </cell>
          <cell r="N511">
            <v>4857990</v>
          </cell>
          <cell r="O511">
            <v>6261504</v>
          </cell>
          <cell r="P511">
            <v>12624</v>
          </cell>
          <cell r="Q511">
            <v>0</v>
          </cell>
          <cell r="R511">
            <v>0</v>
          </cell>
          <cell r="S511" t="str">
            <v xml:space="preserve"> </v>
          </cell>
          <cell r="T511" t="str">
            <v xml:space="preserve"> </v>
          </cell>
          <cell r="U511">
            <v>496</v>
          </cell>
          <cell r="V511">
            <v>6261504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495</v>
          </cell>
          <cell r="AD511">
            <v>6248880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1</v>
          </cell>
          <cell r="AJ511">
            <v>12624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9755</v>
          </cell>
          <cell r="AP511">
            <v>12624</v>
          </cell>
          <cell r="AQ511">
            <v>65000</v>
          </cell>
          <cell r="AR511">
            <v>0</v>
          </cell>
          <cell r="AS511">
            <v>5.15</v>
          </cell>
          <cell r="AT511">
            <v>32240000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1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0</v>
          </cell>
          <cell r="DU511">
            <v>0</v>
          </cell>
          <cell r="DV511">
            <v>0</v>
          </cell>
          <cell r="DW511">
            <v>0</v>
          </cell>
          <cell r="DX511">
            <v>0</v>
          </cell>
          <cell r="DY511">
            <v>0</v>
          </cell>
          <cell r="DZ511">
            <v>0</v>
          </cell>
          <cell r="EA511">
            <v>0</v>
          </cell>
          <cell r="EB511">
            <v>0</v>
          </cell>
          <cell r="EC511">
            <v>0</v>
          </cell>
          <cell r="ED511">
            <v>0</v>
          </cell>
          <cell r="EE511">
            <v>0</v>
          </cell>
          <cell r="EF511">
            <v>0</v>
          </cell>
          <cell r="EG511">
            <v>0</v>
          </cell>
          <cell r="EH511">
            <v>0</v>
          </cell>
          <cell r="EI511">
            <v>0</v>
          </cell>
          <cell r="EJ511">
            <v>0</v>
          </cell>
          <cell r="EK511">
            <v>0</v>
          </cell>
          <cell r="EL511">
            <v>0</v>
          </cell>
          <cell r="EM511">
            <v>0</v>
          </cell>
          <cell r="EN511">
            <v>0</v>
          </cell>
          <cell r="EO511" t="str">
            <v xml:space="preserve">OMNI DRY SILVER RIDGE 2 CAPRI                               </v>
          </cell>
        </row>
        <row r="512">
          <cell r="A512" t="str">
            <v>CP1PL1701018</v>
          </cell>
          <cell r="B512" t="str">
            <v>CP1</v>
          </cell>
          <cell r="C512" t="str">
            <v>PL1701</v>
          </cell>
          <cell r="D512">
            <v>18</v>
          </cell>
          <cell r="E512" t="str">
            <v xml:space="preserve">   </v>
          </cell>
          <cell r="F512">
            <v>90109</v>
          </cell>
          <cell r="G512">
            <v>90220</v>
          </cell>
          <cell r="H512">
            <v>0</v>
          </cell>
          <cell r="I512">
            <v>600</v>
          </cell>
          <cell r="J512">
            <v>600</v>
          </cell>
          <cell r="K512">
            <v>516</v>
          </cell>
          <cell r="L512">
            <v>19</v>
          </cell>
          <cell r="M512">
            <v>19</v>
          </cell>
          <cell r="N512">
            <v>10188000</v>
          </cell>
          <cell r="O512">
            <v>11711400</v>
          </cell>
          <cell r="P512">
            <v>10071804</v>
          </cell>
          <cell r="Q512">
            <v>370861</v>
          </cell>
          <cell r="R512">
            <v>1722800</v>
          </cell>
          <cell r="S512" t="str">
            <v xml:space="preserve"> </v>
          </cell>
          <cell r="T512" t="str">
            <v xml:space="preserve"> </v>
          </cell>
          <cell r="U512">
            <v>600</v>
          </cell>
          <cell r="V512">
            <v>11711400</v>
          </cell>
          <cell r="W512">
            <v>19</v>
          </cell>
          <cell r="X512">
            <v>370861</v>
          </cell>
          <cell r="Y512">
            <v>3.17</v>
          </cell>
          <cell r="Z512">
            <v>3.17</v>
          </cell>
          <cell r="AA512">
            <v>370861</v>
          </cell>
          <cell r="AB512">
            <v>0</v>
          </cell>
          <cell r="AC512">
            <v>84</v>
          </cell>
          <cell r="AD512">
            <v>1639596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2</v>
          </cell>
          <cell r="AJ512">
            <v>39038</v>
          </cell>
          <cell r="AK512">
            <v>0</v>
          </cell>
          <cell r="AL512">
            <v>0</v>
          </cell>
          <cell r="AM512">
            <v>495</v>
          </cell>
          <cell r="AN512">
            <v>9661905</v>
          </cell>
          <cell r="AO512">
            <v>16980</v>
          </cell>
          <cell r="AP512">
            <v>19519</v>
          </cell>
          <cell r="AQ512">
            <v>98000</v>
          </cell>
          <cell r="AR512">
            <v>0</v>
          </cell>
          <cell r="AS512">
            <v>5.0199999999999996</v>
          </cell>
          <cell r="AT512">
            <v>58800000</v>
          </cell>
          <cell r="AU512">
            <v>4.6500000000000004</v>
          </cell>
          <cell r="AV512">
            <v>1722800</v>
          </cell>
          <cell r="AW512">
            <v>0</v>
          </cell>
          <cell r="AX512">
            <v>0</v>
          </cell>
          <cell r="AY512">
            <v>3.17</v>
          </cell>
          <cell r="AZ512">
            <v>0</v>
          </cell>
          <cell r="BA512">
            <v>19</v>
          </cell>
          <cell r="BB512">
            <v>0</v>
          </cell>
          <cell r="BC512">
            <v>19</v>
          </cell>
          <cell r="BD512">
            <v>0</v>
          </cell>
          <cell r="BE512">
            <v>0</v>
          </cell>
          <cell r="BF512">
            <v>0</v>
          </cell>
          <cell r="BG512">
            <v>1</v>
          </cell>
          <cell r="BH512">
            <v>1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17</v>
          </cell>
          <cell r="BQ512">
            <v>0</v>
          </cell>
          <cell r="BR512">
            <v>0</v>
          </cell>
          <cell r="BS512">
            <v>0</v>
          </cell>
          <cell r="BT512">
            <v>3</v>
          </cell>
          <cell r="BU512">
            <v>14</v>
          </cell>
          <cell r="BV512">
            <v>16</v>
          </cell>
          <cell r="BW512">
            <v>2</v>
          </cell>
          <cell r="BX512">
            <v>2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0</v>
          </cell>
          <cell r="DS512">
            <v>0</v>
          </cell>
          <cell r="DT512">
            <v>0</v>
          </cell>
          <cell r="DU512">
            <v>0</v>
          </cell>
          <cell r="DV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B512">
            <v>0</v>
          </cell>
          <cell r="EC512">
            <v>0</v>
          </cell>
          <cell r="ED512">
            <v>0</v>
          </cell>
          <cell r="EE512">
            <v>0</v>
          </cell>
          <cell r="EF512">
            <v>0</v>
          </cell>
          <cell r="EG512">
            <v>0</v>
          </cell>
          <cell r="EH512">
            <v>0</v>
          </cell>
          <cell r="EI512">
            <v>0</v>
          </cell>
          <cell r="EJ512">
            <v>0</v>
          </cell>
          <cell r="EK512">
            <v>0</v>
          </cell>
          <cell r="EL512">
            <v>0</v>
          </cell>
          <cell r="EM512">
            <v>0</v>
          </cell>
          <cell r="EN512">
            <v>0</v>
          </cell>
          <cell r="EO512" t="str">
            <v xml:space="preserve">WS PEARLAND VEST                                            </v>
          </cell>
        </row>
        <row r="513">
          <cell r="A513" t="str">
            <v>CP1PL1701554</v>
          </cell>
          <cell r="B513" t="str">
            <v>CP1</v>
          </cell>
          <cell r="C513" t="str">
            <v>PL1701</v>
          </cell>
          <cell r="D513">
            <v>554</v>
          </cell>
          <cell r="E513" t="str">
            <v xml:space="preserve">   </v>
          </cell>
          <cell r="F513">
            <v>90109</v>
          </cell>
          <cell r="G513">
            <v>90220</v>
          </cell>
          <cell r="H513">
            <v>0</v>
          </cell>
          <cell r="I513">
            <v>600</v>
          </cell>
          <cell r="J513">
            <v>600</v>
          </cell>
          <cell r="K513">
            <v>510</v>
          </cell>
          <cell r="L513">
            <v>13</v>
          </cell>
          <cell r="M513">
            <v>13</v>
          </cell>
          <cell r="N513">
            <v>10188000</v>
          </cell>
          <cell r="O513">
            <v>11711400</v>
          </cell>
          <cell r="P513">
            <v>9954690</v>
          </cell>
          <cell r="Q513">
            <v>253747</v>
          </cell>
          <cell r="R513">
            <v>1219900</v>
          </cell>
          <cell r="S513" t="str">
            <v xml:space="preserve"> </v>
          </cell>
          <cell r="T513" t="str">
            <v xml:space="preserve"> </v>
          </cell>
          <cell r="U513">
            <v>600</v>
          </cell>
          <cell r="V513">
            <v>11711400</v>
          </cell>
          <cell r="W513">
            <v>13</v>
          </cell>
          <cell r="X513">
            <v>253747</v>
          </cell>
          <cell r="Y513">
            <v>2.17</v>
          </cell>
          <cell r="Z513">
            <v>2.17</v>
          </cell>
          <cell r="AA513">
            <v>253747</v>
          </cell>
          <cell r="AB513">
            <v>0</v>
          </cell>
          <cell r="AC513">
            <v>90</v>
          </cell>
          <cell r="AD513">
            <v>1756710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</v>
          </cell>
          <cell r="AJ513">
            <v>39038</v>
          </cell>
          <cell r="AK513">
            <v>0</v>
          </cell>
          <cell r="AL513">
            <v>0</v>
          </cell>
          <cell r="AM513">
            <v>495</v>
          </cell>
          <cell r="AN513">
            <v>9661905</v>
          </cell>
          <cell r="AO513">
            <v>16980</v>
          </cell>
          <cell r="AP513">
            <v>19519</v>
          </cell>
          <cell r="AQ513">
            <v>98000</v>
          </cell>
          <cell r="AR513">
            <v>0</v>
          </cell>
          <cell r="AS513">
            <v>5.0199999999999996</v>
          </cell>
          <cell r="AT513">
            <v>58800000</v>
          </cell>
          <cell r="AU513">
            <v>4.8099999999999996</v>
          </cell>
          <cell r="AV513">
            <v>1219900</v>
          </cell>
          <cell r="AW513">
            <v>0</v>
          </cell>
          <cell r="AX513">
            <v>0</v>
          </cell>
          <cell r="AY513">
            <v>2.17</v>
          </cell>
          <cell r="AZ513">
            <v>0</v>
          </cell>
          <cell r="BA513">
            <v>13</v>
          </cell>
          <cell r="BB513">
            <v>0</v>
          </cell>
          <cell r="BC513">
            <v>13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1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12</v>
          </cell>
          <cell r="BQ513">
            <v>0</v>
          </cell>
          <cell r="BR513">
            <v>0</v>
          </cell>
          <cell r="BS513">
            <v>0</v>
          </cell>
          <cell r="BT513">
            <v>2</v>
          </cell>
          <cell r="BU513">
            <v>10</v>
          </cell>
          <cell r="BV513">
            <v>11</v>
          </cell>
          <cell r="BW513">
            <v>1</v>
          </cell>
          <cell r="BX513">
            <v>1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0</v>
          </cell>
          <cell r="DS513">
            <v>0</v>
          </cell>
          <cell r="DT513">
            <v>0</v>
          </cell>
          <cell r="DU513">
            <v>0</v>
          </cell>
          <cell r="DV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>
            <v>0</v>
          </cell>
          <cell r="EB513">
            <v>0</v>
          </cell>
          <cell r="EC513">
            <v>0</v>
          </cell>
          <cell r="ED513">
            <v>0</v>
          </cell>
          <cell r="EE513">
            <v>0</v>
          </cell>
          <cell r="EF513">
            <v>0</v>
          </cell>
          <cell r="EG513">
            <v>0</v>
          </cell>
          <cell r="EH513">
            <v>0</v>
          </cell>
          <cell r="EI513">
            <v>0</v>
          </cell>
          <cell r="EJ513">
            <v>0</v>
          </cell>
          <cell r="EK513">
            <v>0</v>
          </cell>
          <cell r="EL513">
            <v>0</v>
          </cell>
          <cell r="EM513">
            <v>0</v>
          </cell>
          <cell r="EN513">
            <v>0</v>
          </cell>
          <cell r="EO513" t="str">
            <v xml:space="preserve">WS PEARLAND VEST                                            </v>
          </cell>
        </row>
        <row r="514">
          <cell r="A514" t="str">
            <v>CP1PL1701670</v>
          </cell>
          <cell r="B514" t="str">
            <v>CP1</v>
          </cell>
          <cell r="C514" t="str">
            <v>PL1701</v>
          </cell>
          <cell r="D514">
            <v>670</v>
          </cell>
          <cell r="E514" t="str">
            <v xml:space="preserve">   </v>
          </cell>
          <cell r="F514">
            <v>90109</v>
          </cell>
          <cell r="G514">
            <v>90220</v>
          </cell>
          <cell r="H514">
            <v>0</v>
          </cell>
          <cell r="I514">
            <v>600</v>
          </cell>
          <cell r="J514">
            <v>598</v>
          </cell>
          <cell r="K514">
            <v>512</v>
          </cell>
          <cell r="L514">
            <v>20</v>
          </cell>
          <cell r="M514">
            <v>20</v>
          </cell>
          <cell r="N514">
            <v>10188000</v>
          </cell>
          <cell r="O514">
            <v>11672362</v>
          </cell>
          <cell r="P514">
            <v>9993728</v>
          </cell>
          <cell r="Q514">
            <v>390380</v>
          </cell>
          <cell r="R514">
            <v>1821000</v>
          </cell>
          <cell r="S514" t="str">
            <v xml:space="preserve"> </v>
          </cell>
          <cell r="T514" t="str">
            <v xml:space="preserve"> </v>
          </cell>
          <cell r="U514">
            <v>598</v>
          </cell>
          <cell r="V514">
            <v>11672362</v>
          </cell>
          <cell r="W514">
            <v>20</v>
          </cell>
          <cell r="X514">
            <v>390380</v>
          </cell>
          <cell r="Y514">
            <v>3.34</v>
          </cell>
          <cell r="Z514">
            <v>3.34</v>
          </cell>
          <cell r="AA514">
            <v>390380</v>
          </cell>
          <cell r="AB514">
            <v>0</v>
          </cell>
          <cell r="AC514">
            <v>86</v>
          </cell>
          <cell r="AD514">
            <v>1678634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1</v>
          </cell>
          <cell r="AJ514">
            <v>19519</v>
          </cell>
          <cell r="AK514">
            <v>0</v>
          </cell>
          <cell r="AL514">
            <v>0</v>
          </cell>
          <cell r="AM514">
            <v>491</v>
          </cell>
          <cell r="AN514">
            <v>9583829</v>
          </cell>
          <cell r="AO514">
            <v>16980</v>
          </cell>
          <cell r="AP514">
            <v>19519</v>
          </cell>
          <cell r="AQ514">
            <v>98000</v>
          </cell>
          <cell r="AR514">
            <v>0</v>
          </cell>
          <cell r="AS514">
            <v>5.0199999999999996</v>
          </cell>
          <cell r="AT514">
            <v>58604000</v>
          </cell>
          <cell r="AU514">
            <v>4.66</v>
          </cell>
          <cell r="AV514">
            <v>1821000</v>
          </cell>
          <cell r="AW514">
            <v>0</v>
          </cell>
          <cell r="AX514">
            <v>0</v>
          </cell>
          <cell r="AY514">
            <v>3.34</v>
          </cell>
          <cell r="AZ514">
            <v>0</v>
          </cell>
          <cell r="BA514">
            <v>20</v>
          </cell>
          <cell r="BB514">
            <v>0</v>
          </cell>
          <cell r="BC514">
            <v>20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1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14</v>
          </cell>
          <cell r="BQ514">
            <v>0</v>
          </cell>
          <cell r="BR514">
            <v>0</v>
          </cell>
          <cell r="BS514">
            <v>0</v>
          </cell>
          <cell r="BT514">
            <v>7</v>
          </cell>
          <cell r="BU514">
            <v>7</v>
          </cell>
          <cell r="BV514">
            <v>13</v>
          </cell>
          <cell r="BW514">
            <v>6</v>
          </cell>
          <cell r="BX514">
            <v>6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0</v>
          </cell>
          <cell r="DS514">
            <v>0</v>
          </cell>
          <cell r="DT514">
            <v>0</v>
          </cell>
          <cell r="DU514">
            <v>0</v>
          </cell>
          <cell r="DV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  <cell r="ED514">
            <v>0</v>
          </cell>
          <cell r="EE514">
            <v>0</v>
          </cell>
          <cell r="EF514">
            <v>0</v>
          </cell>
          <cell r="EG514">
            <v>0</v>
          </cell>
          <cell r="EH514">
            <v>0</v>
          </cell>
          <cell r="EI514">
            <v>0</v>
          </cell>
          <cell r="EJ514">
            <v>0</v>
          </cell>
          <cell r="EK514">
            <v>0</v>
          </cell>
          <cell r="EL514">
            <v>0</v>
          </cell>
          <cell r="EM514">
            <v>0</v>
          </cell>
          <cell r="EN514">
            <v>0</v>
          </cell>
          <cell r="EO514" t="str">
            <v xml:space="preserve">WS PEARLAND VEST                                            </v>
          </cell>
        </row>
        <row r="515">
          <cell r="A515" t="str">
            <v>CP1PL2191397</v>
          </cell>
          <cell r="B515" t="str">
            <v>CP1</v>
          </cell>
          <cell r="C515" t="str">
            <v>PL2191</v>
          </cell>
          <cell r="D515">
            <v>397</v>
          </cell>
          <cell r="E515" t="str">
            <v xml:space="preserve">   </v>
          </cell>
          <cell r="F515">
            <v>90109</v>
          </cell>
          <cell r="G515">
            <v>0</v>
          </cell>
          <cell r="H515">
            <v>0</v>
          </cell>
          <cell r="I515">
            <v>600</v>
          </cell>
          <cell r="J515">
            <v>600</v>
          </cell>
          <cell r="K515">
            <v>1</v>
          </cell>
          <cell r="L515">
            <v>0</v>
          </cell>
          <cell r="M515">
            <v>0</v>
          </cell>
          <cell r="N515">
            <v>13893600</v>
          </cell>
          <cell r="O515">
            <v>15975000</v>
          </cell>
          <cell r="P515">
            <v>26625</v>
          </cell>
          <cell r="Q515">
            <v>0</v>
          </cell>
          <cell r="R515">
            <v>0</v>
          </cell>
          <cell r="S515" t="str">
            <v xml:space="preserve"> </v>
          </cell>
          <cell r="T515" t="str">
            <v xml:space="preserve"> </v>
          </cell>
          <cell r="U515">
            <v>600</v>
          </cell>
          <cell r="V515">
            <v>15975000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599</v>
          </cell>
          <cell r="AD515">
            <v>15948375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</v>
          </cell>
          <cell r="AJ515">
            <v>26625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23156</v>
          </cell>
          <cell r="AP515">
            <v>26625</v>
          </cell>
          <cell r="AQ515">
            <v>145000</v>
          </cell>
          <cell r="AR515">
            <v>0</v>
          </cell>
          <cell r="AS515">
            <v>5.45</v>
          </cell>
          <cell r="AT515">
            <v>87000000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1</v>
          </cell>
          <cell r="BH515">
            <v>1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S515">
            <v>0</v>
          </cell>
          <cell r="DT515">
            <v>0</v>
          </cell>
          <cell r="DU515">
            <v>0</v>
          </cell>
          <cell r="DV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0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J515">
            <v>0</v>
          </cell>
          <cell r="EK515">
            <v>0</v>
          </cell>
          <cell r="EL515">
            <v>0</v>
          </cell>
          <cell r="EM515">
            <v>0</v>
          </cell>
          <cell r="EN515">
            <v>0</v>
          </cell>
          <cell r="EO515" t="str">
            <v xml:space="preserve">WS PEARLAND JACKET                                          </v>
          </cell>
        </row>
        <row r="516">
          <cell r="A516" t="str">
            <v>CP1PL2191670</v>
          </cell>
          <cell r="B516" t="str">
            <v>CP1</v>
          </cell>
          <cell r="C516" t="str">
            <v>PL2191</v>
          </cell>
          <cell r="D516">
            <v>670</v>
          </cell>
          <cell r="E516" t="str">
            <v xml:space="preserve">   </v>
          </cell>
          <cell r="F516">
            <v>90109</v>
          </cell>
          <cell r="G516">
            <v>0</v>
          </cell>
          <cell r="H516">
            <v>0</v>
          </cell>
          <cell r="I516">
            <v>600</v>
          </cell>
          <cell r="J516">
            <v>599</v>
          </cell>
          <cell r="K516">
            <v>1</v>
          </cell>
          <cell r="L516">
            <v>0</v>
          </cell>
          <cell r="M516">
            <v>0</v>
          </cell>
          <cell r="N516">
            <v>13893600</v>
          </cell>
          <cell r="O516">
            <v>15948375</v>
          </cell>
          <cell r="P516">
            <v>26625</v>
          </cell>
          <cell r="Q516">
            <v>0</v>
          </cell>
          <cell r="R516">
            <v>0</v>
          </cell>
          <cell r="S516" t="str">
            <v xml:space="preserve"> </v>
          </cell>
          <cell r="T516" t="str">
            <v xml:space="preserve"> </v>
          </cell>
          <cell r="U516">
            <v>599</v>
          </cell>
          <cell r="V516">
            <v>15948375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598</v>
          </cell>
          <cell r="AD516">
            <v>15921750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1</v>
          </cell>
          <cell r="AJ516">
            <v>26625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23156</v>
          </cell>
          <cell r="AP516">
            <v>26625</v>
          </cell>
          <cell r="AQ516">
            <v>145000</v>
          </cell>
          <cell r="AR516">
            <v>0</v>
          </cell>
          <cell r="AS516">
            <v>5.45</v>
          </cell>
          <cell r="AT516">
            <v>86855000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1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  <cell r="DP516">
            <v>0</v>
          </cell>
          <cell r="DQ516">
            <v>0</v>
          </cell>
          <cell r="DR516">
            <v>0</v>
          </cell>
          <cell r="DS516">
            <v>0</v>
          </cell>
          <cell r="DT516">
            <v>0</v>
          </cell>
          <cell r="DU516">
            <v>0</v>
          </cell>
          <cell r="DV516">
            <v>0</v>
          </cell>
          <cell r="DW516">
            <v>0</v>
          </cell>
          <cell r="DX516">
            <v>0</v>
          </cell>
          <cell r="DY516">
            <v>0</v>
          </cell>
          <cell r="DZ516">
            <v>0</v>
          </cell>
          <cell r="EA516">
            <v>0</v>
          </cell>
          <cell r="EB516">
            <v>0</v>
          </cell>
          <cell r="EC516">
            <v>0</v>
          </cell>
          <cell r="ED516">
            <v>0</v>
          </cell>
          <cell r="EE516">
            <v>0</v>
          </cell>
          <cell r="EF516">
            <v>0</v>
          </cell>
          <cell r="EG516">
            <v>0</v>
          </cell>
          <cell r="EH516">
            <v>0</v>
          </cell>
          <cell r="EI516">
            <v>0</v>
          </cell>
          <cell r="EJ516">
            <v>0</v>
          </cell>
          <cell r="EK516">
            <v>0</v>
          </cell>
          <cell r="EL516">
            <v>0</v>
          </cell>
          <cell r="EM516">
            <v>0</v>
          </cell>
          <cell r="EN516">
            <v>0</v>
          </cell>
          <cell r="EO516" t="str">
            <v xml:space="preserve">WS PEARLAND JACKET                                          </v>
          </cell>
        </row>
        <row r="517">
          <cell r="A517" t="str">
            <v>CP1PL2192554</v>
          </cell>
          <cell r="B517" t="str">
            <v>CP1</v>
          </cell>
          <cell r="C517" t="str">
            <v>PL2192</v>
          </cell>
          <cell r="D517">
            <v>554</v>
          </cell>
          <cell r="E517" t="str">
            <v xml:space="preserve">   </v>
          </cell>
          <cell r="F517">
            <v>90109</v>
          </cell>
          <cell r="G517">
            <v>0</v>
          </cell>
          <cell r="H517">
            <v>0</v>
          </cell>
          <cell r="I517">
            <v>600</v>
          </cell>
          <cell r="J517">
            <v>600</v>
          </cell>
          <cell r="K517">
            <v>1</v>
          </cell>
          <cell r="L517">
            <v>0</v>
          </cell>
          <cell r="M517">
            <v>0</v>
          </cell>
          <cell r="N517">
            <v>17154600</v>
          </cell>
          <cell r="O517">
            <v>19267800</v>
          </cell>
          <cell r="P517">
            <v>32113</v>
          </cell>
          <cell r="Q517">
            <v>0</v>
          </cell>
          <cell r="R517">
            <v>0</v>
          </cell>
          <cell r="S517" t="str">
            <v xml:space="preserve"> </v>
          </cell>
          <cell r="T517" t="str">
            <v xml:space="preserve"> </v>
          </cell>
          <cell r="U517">
            <v>600</v>
          </cell>
          <cell r="V517">
            <v>19267800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599</v>
          </cell>
          <cell r="AD517">
            <v>19235687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</v>
          </cell>
          <cell r="AJ517">
            <v>32113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28591</v>
          </cell>
          <cell r="AP517">
            <v>32113</v>
          </cell>
          <cell r="AQ517">
            <v>145000</v>
          </cell>
          <cell r="AR517">
            <v>0</v>
          </cell>
          <cell r="AS517">
            <v>4.5199999999999996</v>
          </cell>
          <cell r="AT517">
            <v>87000000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1</v>
          </cell>
          <cell r="BH517">
            <v>1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>
            <v>0</v>
          </cell>
          <cell r="DS517">
            <v>0</v>
          </cell>
          <cell r="DT517">
            <v>0</v>
          </cell>
          <cell r="DU517">
            <v>0</v>
          </cell>
          <cell r="DV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0</v>
          </cell>
          <cell r="EA517">
            <v>0</v>
          </cell>
          <cell r="EB517">
            <v>0</v>
          </cell>
          <cell r="EC517">
            <v>0</v>
          </cell>
          <cell r="ED517">
            <v>0</v>
          </cell>
          <cell r="EE517">
            <v>0</v>
          </cell>
          <cell r="EF517">
            <v>0</v>
          </cell>
          <cell r="EG517">
            <v>0</v>
          </cell>
          <cell r="EH517">
            <v>0</v>
          </cell>
          <cell r="EI517">
            <v>0</v>
          </cell>
          <cell r="EJ517">
            <v>0</v>
          </cell>
          <cell r="EK517">
            <v>0</v>
          </cell>
          <cell r="EL517">
            <v>0</v>
          </cell>
          <cell r="EM517">
            <v>0</v>
          </cell>
          <cell r="EN517">
            <v>0</v>
          </cell>
          <cell r="EO517" t="str">
            <v xml:space="preserve">WS PEARLAND JACKET WITH PATTERN                             </v>
          </cell>
        </row>
        <row r="518">
          <cell r="A518" t="str">
            <v>CP1PL2195018</v>
          </cell>
          <cell r="B518" t="str">
            <v>CP1</v>
          </cell>
          <cell r="C518" t="str">
            <v>PL2195</v>
          </cell>
          <cell r="D518">
            <v>18</v>
          </cell>
          <cell r="E518" t="str">
            <v xml:space="preserve">   </v>
          </cell>
          <cell r="F518">
            <v>90205</v>
          </cell>
          <cell r="G518">
            <v>90206</v>
          </cell>
          <cell r="H518">
            <v>0</v>
          </cell>
          <cell r="I518">
            <v>498</v>
          </cell>
          <cell r="J518">
            <v>518</v>
          </cell>
          <cell r="K518">
            <v>482</v>
          </cell>
          <cell r="L518">
            <v>81</v>
          </cell>
          <cell r="M518">
            <v>81</v>
          </cell>
          <cell r="N518">
            <v>20906040</v>
          </cell>
          <cell r="O518">
            <v>21745640</v>
          </cell>
          <cell r="P518">
            <v>20234360</v>
          </cell>
          <cell r="Q518">
            <v>3400380</v>
          </cell>
          <cell r="R518">
            <v>16309600</v>
          </cell>
          <cell r="S518" t="str">
            <v xml:space="preserve"> </v>
          </cell>
          <cell r="T518" t="str">
            <v xml:space="preserve"> </v>
          </cell>
          <cell r="U518">
            <v>518</v>
          </cell>
          <cell r="V518">
            <v>21745640</v>
          </cell>
          <cell r="W518">
            <v>81</v>
          </cell>
          <cell r="X518">
            <v>3400380</v>
          </cell>
          <cell r="Y518">
            <v>15.64</v>
          </cell>
          <cell r="Z518">
            <v>15.64</v>
          </cell>
          <cell r="AA518">
            <v>3400380</v>
          </cell>
          <cell r="AB518">
            <v>0</v>
          </cell>
          <cell r="AC518">
            <v>36</v>
          </cell>
          <cell r="AD518">
            <v>1511280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</v>
          </cell>
          <cell r="AJ518">
            <v>41980</v>
          </cell>
          <cell r="AK518">
            <v>0</v>
          </cell>
          <cell r="AL518">
            <v>0</v>
          </cell>
          <cell r="AM518">
            <v>400</v>
          </cell>
          <cell r="AN518">
            <v>16792000</v>
          </cell>
          <cell r="AO518">
            <v>41980</v>
          </cell>
          <cell r="AP518">
            <v>41980</v>
          </cell>
          <cell r="AQ518">
            <v>218000</v>
          </cell>
          <cell r="AR518">
            <v>0</v>
          </cell>
          <cell r="AS518">
            <v>5.19</v>
          </cell>
          <cell r="AT518">
            <v>112924000</v>
          </cell>
          <cell r="AU518">
            <v>4.8</v>
          </cell>
          <cell r="AV518">
            <v>16309600</v>
          </cell>
          <cell r="AW518">
            <v>0</v>
          </cell>
          <cell r="AX518">
            <v>0</v>
          </cell>
          <cell r="AY518">
            <v>15.64</v>
          </cell>
          <cell r="AZ518">
            <v>0</v>
          </cell>
          <cell r="BA518">
            <v>81</v>
          </cell>
          <cell r="BB518">
            <v>0</v>
          </cell>
          <cell r="BC518">
            <v>81</v>
          </cell>
          <cell r="BD518">
            <v>0</v>
          </cell>
          <cell r="BE518">
            <v>0</v>
          </cell>
          <cell r="BF518">
            <v>0</v>
          </cell>
          <cell r="BG518">
            <v>1</v>
          </cell>
          <cell r="BH518">
            <v>1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73</v>
          </cell>
          <cell r="BQ518">
            <v>0</v>
          </cell>
          <cell r="BR518">
            <v>3</v>
          </cell>
          <cell r="BS518">
            <v>27</v>
          </cell>
          <cell r="BT518">
            <v>17</v>
          </cell>
          <cell r="BU518">
            <v>26</v>
          </cell>
          <cell r="BV518">
            <v>34</v>
          </cell>
          <cell r="BW518">
            <v>8</v>
          </cell>
          <cell r="BX518">
            <v>8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0</v>
          </cell>
          <cell r="DS518">
            <v>0</v>
          </cell>
          <cell r="DT518">
            <v>0</v>
          </cell>
          <cell r="DU518">
            <v>0</v>
          </cell>
          <cell r="DV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0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J518">
            <v>0</v>
          </cell>
          <cell r="EK518">
            <v>0</v>
          </cell>
          <cell r="EL518">
            <v>0</v>
          </cell>
          <cell r="EM518">
            <v>0</v>
          </cell>
          <cell r="EN518">
            <v>0</v>
          </cell>
          <cell r="EO518" t="str">
            <v xml:space="preserve">WS KIPLING JACKET WITH PATTERN                              </v>
          </cell>
        </row>
        <row r="519">
          <cell r="A519" t="str">
            <v>CP1PL2195598</v>
          </cell>
          <cell r="B519" t="str">
            <v>CP1</v>
          </cell>
          <cell r="C519" t="str">
            <v>PL2195</v>
          </cell>
          <cell r="D519">
            <v>598</v>
          </cell>
          <cell r="E519" t="str">
            <v xml:space="preserve">   </v>
          </cell>
          <cell r="F519">
            <v>90205</v>
          </cell>
          <cell r="G519">
            <v>90216</v>
          </cell>
          <cell r="H519">
            <v>0</v>
          </cell>
          <cell r="I519">
            <v>402</v>
          </cell>
          <cell r="J519">
            <v>420</v>
          </cell>
          <cell r="K519">
            <v>355</v>
          </cell>
          <cell r="L519">
            <v>20</v>
          </cell>
          <cell r="M519">
            <v>20</v>
          </cell>
          <cell r="N519">
            <v>16875960</v>
          </cell>
          <cell r="O519">
            <v>17631600</v>
          </cell>
          <cell r="P519">
            <v>14902900</v>
          </cell>
          <cell r="Q519">
            <v>839600</v>
          </cell>
          <cell r="R519">
            <v>4046500</v>
          </cell>
          <cell r="S519" t="str">
            <v xml:space="preserve"> </v>
          </cell>
          <cell r="T519" t="str">
            <v xml:space="preserve"> </v>
          </cell>
          <cell r="U519">
            <v>420</v>
          </cell>
          <cell r="V519">
            <v>17631600</v>
          </cell>
          <cell r="W519">
            <v>20</v>
          </cell>
          <cell r="X519">
            <v>839600</v>
          </cell>
          <cell r="Y519">
            <v>4.76</v>
          </cell>
          <cell r="Z519">
            <v>4.76</v>
          </cell>
          <cell r="AA519">
            <v>839600</v>
          </cell>
          <cell r="AB519">
            <v>0</v>
          </cell>
          <cell r="AC519">
            <v>65</v>
          </cell>
          <cell r="AD519">
            <v>2728700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</v>
          </cell>
          <cell r="AJ519">
            <v>41980</v>
          </cell>
          <cell r="AK519">
            <v>0</v>
          </cell>
          <cell r="AL519">
            <v>0</v>
          </cell>
          <cell r="AM519">
            <v>334</v>
          </cell>
          <cell r="AN519">
            <v>14021320</v>
          </cell>
          <cell r="AO519">
            <v>41980</v>
          </cell>
          <cell r="AP519">
            <v>41980</v>
          </cell>
          <cell r="AQ519">
            <v>218000</v>
          </cell>
          <cell r="AR519">
            <v>0</v>
          </cell>
          <cell r="AS519">
            <v>5.19</v>
          </cell>
          <cell r="AT519">
            <v>91560000</v>
          </cell>
          <cell r="AU519">
            <v>4.82</v>
          </cell>
          <cell r="AV519">
            <v>4046500</v>
          </cell>
          <cell r="AW519">
            <v>0</v>
          </cell>
          <cell r="AX519">
            <v>0</v>
          </cell>
          <cell r="AY519">
            <v>4.76</v>
          </cell>
          <cell r="AZ519">
            <v>0</v>
          </cell>
          <cell r="BA519">
            <v>20</v>
          </cell>
          <cell r="BB519">
            <v>0</v>
          </cell>
          <cell r="BC519">
            <v>20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1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17</v>
          </cell>
          <cell r="BQ519">
            <v>0</v>
          </cell>
          <cell r="BR519">
            <v>0</v>
          </cell>
          <cell r="BS519">
            <v>0</v>
          </cell>
          <cell r="BT519">
            <v>7</v>
          </cell>
          <cell r="BU519">
            <v>10</v>
          </cell>
          <cell r="BV519">
            <v>13</v>
          </cell>
          <cell r="BW519">
            <v>3</v>
          </cell>
          <cell r="BX519">
            <v>3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>
            <v>0</v>
          </cell>
          <cell r="DS519">
            <v>0</v>
          </cell>
          <cell r="DT519">
            <v>0</v>
          </cell>
          <cell r="DU519">
            <v>0</v>
          </cell>
          <cell r="DV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0</v>
          </cell>
          <cell r="EA519">
            <v>0</v>
          </cell>
          <cell r="EB519">
            <v>0</v>
          </cell>
          <cell r="EC519">
            <v>0</v>
          </cell>
          <cell r="ED519">
            <v>0</v>
          </cell>
          <cell r="EE519">
            <v>0</v>
          </cell>
          <cell r="EF519">
            <v>0</v>
          </cell>
          <cell r="EG519">
            <v>0</v>
          </cell>
          <cell r="EH519">
            <v>0</v>
          </cell>
          <cell r="EI519">
            <v>0</v>
          </cell>
          <cell r="EJ519">
            <v>0</v>
          </cell>
          <cell r="EK519">
            <v>0</v>
          </cell>
          <cell r="EL519">
            <v>0</v>
          </cell>
          <cell r="EM519">
            <v>0</v>
          </cell>
          <cell r="EN519">
            <v>0</v>
          </cell>
          <cell r="EO519" t="str">
            <v xml:space="preserve">WS KIPLING JACKET WITH PATTERN                              </v>
          </cell>
        </row>
        <row r="520">
          <cell r="A520" t="str">
            <v>CP1PL8644010</v>
          </cell>
          <cell r="B520" t="str">
            <v>CP1</v>
          </cell>
          <cell r="C520" t="str">
            <v>PL8644</v>
          </cell>
          <cell r="D520">
            <v>10</v>
          </cell>
          <cell r="E520" t="str">
            <v xml:space="preserve">   </v>
          </cell>
          <cell r="F520">
            <v>90119</v>
          </cell>
          <cell r="G520">
            <v>90225</v>
          </cell>
          <cell r="H520">
            <v>0</v>
          </cell>
          <cell r="I520">
            <v>606</v>
          </cell>
          <cell r="J520">
            <v>606</v>
          </cell>
          <cell r="K520">
            <v>483</v>
          </cell>
          <cell r="L520">
            <v>14</v>
          </cell>
          <cell r="M520">
            <v>14</v>
          </cell>
          <cell r="N520">
            <v>8398554</v>
          </cell>
          <cell r="O520">
            <v>9545712</v>
          </cell>
          <cell r="P520">
            <v>7608216</v>
          </cell>
          <cell r="Q520">
            <v>220528</v>
          </cell>
          <cell r="R520">
            <v>1184850</v>
          </cell>
          <cell r="S520" t="str">
            <v xml:space="preserve"> </v>
          </cell>
          <cell r="T520" t="str">
            <v xml:space="preserve"> </v>
          </cell>
          <cell r="U520">
            <v>606</v>
          </cell>
          <cell r="V520">
            <v>9545712</v>
          </cell>
          <cell r="W520">
            <v>14</v>
          </cell>
          <cell r="X520">
            <v>220528</v>
          </cell>
          <cell r="Y520">
            <v>2.31</v>
          </cell>
          <cell r="Z520">
            <v>2.31</v>
          </cell>
          <cell r="AA520">
            <v>220528</v>
          </cell>
          <cell r="AB520">
            <v>0</v>
          </cell>
          <cell r="AC520">
            <v>123</v>
          </cell>
          <cell r="AD520">
            <v>1937496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1</v>
          </cell>
          <cell r="AJ520">
            <v>15752</v>
          </cell>
          <cell r="AK520">
            <v>0</v>
          </cell>
          <cell r="AL520">
            <v>0</v>
          </cell>
          <cell r="AM520">
            <v>468</v>
          </cell>
          <cell r="AN520">
            <v>7371936</v>
          </cell>
          <cell r="AO520">
            <v>13859</v>
          </cell>
          <cell r="AP520">
            <v>15752</v>
          </cell>
          <cell r="AQ520">
            <v>89000</v>
          </cell>
          <cell r="AR520">
            <v>0</v>
          </cell>
          <cell r="AS520">
            <v>5.65</v>
          </cell>
          <cell r="AT520">
            <v>53934000</v>
          </cell>
          <cell r="AU520">
            <v>5.37</v>
          </cell>
          <cell r="AV520">
            <v>1184850</v>
          </cell>
          <cell r="AW520">
            <v>0</v>
          </cell>
          <cell r="AX520">
            <v>0</v>
          </cell>
          <cell r="AY520">
            <v>2.31</v>
          </cell>
          <cell r="AZ520">
            <v>0</v>
          </cell>
          <cell r="BA520">
            <v>14</v>
          </cell>
          <cell r="BB520">
            <v>0</v>
          </cell>
          <cell r="BC520">
            <v>14</v>
          </cell>
          <cell r="BD520">
            <v>0</v>
          </cell>
          <cell r="BE520">
            <v>0</v>
          </cell>
          <cell r="BF520">
            <v>0</v>
          </cell>
          <cell r="BG520">
            <v>1</v>
          </cell>
          <cell r="BH520">
            <v>1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9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9</v>
          </cell>
          <cell r="BV520">
            <v>14</v>
          </cell>
          <cell r="BW520">
            <v>5</v>
          </cell>
          <cell r="BX520">
            <v>5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0</v>
          </cell>
          <cell r="DS520">
            <v>0</v>
          </cell>
          <cell r="DT520">
            <v>0</v>
          </cell>
          <cell r="DU520">
            <v>0</v>
          </cell>
          <cell r="DV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0</v>
          </cell>
          <cell r="EA520">
            <v>0</v>
          </cell>
          <cell r="EB520">
            <v>0</v>
          </cell>
          <cell r="EC520">
            <v>0</v>
          </cell>
          <cell r="ED520">
            <v>0</v>
          </cell>
          <cell r="EE520">
            <v>0</v>
          </cell>
          <cell r="EF520">
            <v>0</v>
          </cell>
          <cell r="EG520">
            <v>0</v>
          </cell>
          <cell r="EH520">
            <v>0</v>
          </cell>
          <cell r="EI520">
            <v>0</v>
          </cell>
          <cell r="EJ520">
            <v>0</v>
          </cell>
          <cell r="EK520">
            <v>0</v>
          </cell>
          <cell r="EL520">
            <v>0</v>
          </cell>
          <cell r="EM520">
            <v>0</v>
          </cell>
          <cell r="EN520">
            <v>0</v>
          </cell>
          <cell r="EO520" t="str">
            <v xml:space="preserve">CAPE CORAL PANT                                             </v>
          </cell>
        </row>
        <row r="521">
          <cell r="A521" t="str">
            <v>CP1PL8644265</v>
          </cell>
          <cell r="B521" t="str">
            <v>CP1</v>
          </cell>
          <cell r="C521" t="str">
            <v>PL8644</v>
          </cell>
          <cell r="D521">
            <v>265</v>
          </cell>
          <cell r="E521" t="str">
            <v xml:space="preserve">   </v>
          </cell>
          <cell r="F521">
            <v>90119</v>
          </cell>
          <cell r="G521">
            <v>90225</v>
          </cell>
          <cell r="H521">
            <v>0</v>
          </cell>
          <cell r="I521">
            <v>504</v>
          </cell>
          <cell r="J521">
            <v>504</v>
          </cell>
          <cell r="K521">
            <v>329</v>
          </cell>
          <cell r="L521">
            <v>5</v>
          </cell>
          <cell r="M521">
            <v>5</v>
          </cell>
          <cell r="N521">
            <v>6984936</v>
          </cell>
          <cell r="O521">
            <v>7939008</v>
          </cell>
          <cell r="P521">
            <v>5182408</v>
          </cell>
          <cell r="Q521">
            <v>78760</v>
          </cell>
          <cell r="R521">
            <v>436100</v>
          </cell>
          <cell r="S521" t="str">
            <v xml:space="preserve"> </v>
          </cell>
          <cell r="T521" t="str">
            <v xml:space="preserve"> </v>
          </cell>
          <cell r="U521">
            <v>504</v>
          </cell>
          <cell r="V521">
            <v>7939008</v>
          </cell>
          <cell r="W521">
            <v>5</v>
          </cell>
          <cell r="X521">
            <v>78760</v>
          </cell>
          <cell r="Y521">
            <v>0.99</v>
          </cell>
          <cell r="Z521">
            <v>0.99</v>
          </cell>
          <cell r="AA521">
            <v>78760</v>
          </cell>
          <cell r="AB521">
            <v>0</v>
          </cell>
          <cell r="AC521">
            <v>175</v>
          </cell>
          <cell r="AD521">
            <v>2756600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1</v>
          </cell>
          <cell r="AJ521">
            <v>15752</v>
          </cell>
          <cell r="AK521">
            <v>0</v>
          </cell>
          <cell r="AL521">
            <v>0</v>
          </cell>
          <cell r="AM521">
            <v>323</v>
          </cell>
          <cell r="AN521">
            <v>5087896</v>
          </cell>
          <cell r="AO521">
            <v>13859</v>
          </cell>
          <cell r="AP521">
            <v>15752</v>
          </cell>
          <cell r="AQ521">
            <v>89000</v>
          </cell>
          <cell r="AR521">
            <v>0</v>
          </cell>
          <cell r="AS521">
            <v>5.65</v>
          </cell>
          <cell r="AT521">
            <v>44856000</v>
          </cell>
          <cell r="AU521">
            <v>5.54</v>
          </cell>
          <cell r="AV521">
            <v>436100</v>
          </cell>
          <cell r="AW521">
            <v>0</v>
          </cell>
          <cell r="AX521">
            <v>0</v>
          </cell>
          <cell r="AY521">
            <v>0.99</v>
          </cell>
          <cell r="AZ521">
            <v>0</v>
          </cell>
          <cell r="BA521">
            <v>5</v>
          </cell>
          <cell r="BB521">
            <v>0</v>
          </cell>
          <cell r="BC521">
            <v>5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1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2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2</v>
          </cell>
          <cell r="BV521">
            <v>5</v>
          </cell>
          <cell r="BW521">
            <v>3</v>
          </cell>
          <cell r="BX521">
            <v>3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0</v>
          </cell>
          <cell r="DS521">
            <v>0</v>
          </cell>
          <cell r="DT521">
            <v>0</v>
          </cell>
          <cell r="DU521">
            <v>0</v>
          </cell>
          <cell r="DV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>
            <v>0</v>
          </cell>
          <cell r="EB521">
            <v>0</v>
          </cell>
          <cell r="EC521">
            <v>0</v>
          </cell>
          <cell r="ED521">
            <v>0</v>
          </cell>
          <cell r="EE521">
            <v>0</v>
          </cell>
          <cell r="EF521">
            <v>0</v>
          </cell>
          <cell r="EG521">
            <v>0</v>
          </cell>
          <cell r="EH521">
            <v>0</v>
          </cell>
          <cell r="EI521">
            <v>0</v>
          </cell>
          <cell r="EJ521">
            <v>0</v>
          </cell>
          <cell r="EK521">
            <v>0</v>
          </cell>
          <cell r="EL521">
            <v>0</v>
          </cell>
          <cell r="EM521">
            <v>0</v>
          </cell>
          <cell r="EN521">
            <v>0</v>
          </cell>
          <cell r="EO521" t="str">
            <v xml:space="preserve">CAPE CORAL PANT                                             </v>
          </cell>
        </row>
        <row r="522">
          <cell r="A522" t="str">
            <v>CP1PL8646010</v>
          </cell>
          <cell r="B522" t="str">
            <v>CP1</v>
          </cell>
          <cell r="C522" t="str">
            <v>PL8646</v>
          </cell>
          <cell r="D522">
            <v>10</v>
          </cell>
          <cell r="E522" t="str">
            <v xml:space="preserve">   </v>
          </cell>
          <cell r="F522">
            <v>90205</v>
          </cell>
          <cell r="G522">
            <v>0</v>
          </cell>
          <cell r="H522">
            <v>0</v>
          </cell>
          <cell r="I522">
            <v>606</v>
          </cell>
          <cell r="J522">
            <v>606</v>
          </cell>
          <cell r="K522">
            <v>1</v>
          </cell>
          <cell r="L522">
            <v>0</v>
          </cell>
          <cell r="M522">
            <v>0</v>
          </cell>
          <cell r="N522">
            <v>8724582</v>
          </cell>
          <cell r="O522">
            <v>8724582</v>
          </cell>
          <cell r="P522">
            <v>14397</v>
          </cell>
          <cell r="Q522">
            <v>0</v>
          </cell>
          <cell r="R522">
            <v>0</v>
          </cell>
          <cell r="S522" t="str">
            <v xml:space="preserve"> </v>
          </cell>
          <cell r="T522" t="str">
            <v xml:space="preserve"> </v>
          </cell>
          <cell r="U522">
            <v>606</v>
          </cell>
          <cell r="V522">
            <v>8724582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605</v>
          </cell>
          <cell r="AD522">
            <v>8710185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1</v>
          </cell>
          <cell r="AJ522">
            <v>14397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14397</v>
          </cell>
          <cell r="AP522">
            <v>14397</v>
          </cell>
          <cell r="AQ522">
            <v>98000</v>
          </cell>
          <cell r="AR522">
            <v>0</v>
          </cell>
          <cell r="AS522">
            <v>6.81</v>
          </cell>
          <cell r="AT522">
            <v>59388000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1</v>
          </cell>
          <cell r="BH522">
            <v>1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0</v>
          </cell>
          <cell r="DS522">
            <v>0</v>
          </cell>
          <cell r="DT522">
            <v>0</v>
          </cell>
          <cell r="DU522">
            <v>0</v>
          </cell>
          <cell r="DV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0</v>
          </cell>
          <cell r="EF522">
            <v>0</v>
          </cell>
          <cell r="EG522">
            <v>0</v>
          </cell>
          <cell r="EH522">
            <v>0</v>
          </cell>
          <cell r="EI522">
            <v>0</v>
          </cell>
          <cell r="EJ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 t="str">
            <v xml:space="preserve">PALM BAY CONVERTIBLE PANT                                   </v>
          </cell>
        </row>
        <row r="523">
          <cell r="A523" t="str">
            <v>CP1PL8646213</v>
          </cell>
          <cell r="B523" t="str">
            <v>CP1</v>
          </cell>
          <cell r="C523" t="str">
            <v>PL8646</v>
          </cell>
          <cell r="D523">
            <v>213</v>
          </cell>
          <cell r="E523" t="str">
            <v xml:space="preserve">   </v>
          </cell>
          <cell r="F523">
            <v>90205</v>
          </cell>
          <cell r="G523">
            <v>0</v>
          </cell>
          <cell r="H523">
            <v>0</v>
          </cell>
          <cell r="I523">
            <v>504</v>
          </cell>
          <cell r="J523">
            <v>504</v>
          </cell>
          <cell r="K523">
            <v>1</v>
          </cell>
          <cell r="L523">
            <v>0</v>
          </cell>
          <cell r="M523">
            <v>0</v>
          </cell>
          <cell r="N523">
            <v>7256088</v>
          </cell>
          <cell r="O523">
            <v>7256088</v>
          </cell>
          <cell r="P523">
            <v>14397</v>
          </cell>
          <cell r="Q523">
            <v>0</v>
          </cell>
          <cell r="R523">
            <v>0</v>
          </cell>
          <cell r="S523" t="str">
            <v xml:space="preserve"> </v>
          </cell>
          <cell r="T523" t="str">
            <v xml:space="preserve"> </v>
          </cell>
          <cell r="U523">
            <v>504</v>
          </cell>
          <cell r="V523">
            <v>7256088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503</v>
          </cell>
          <cell r="AD523">
            <v>7241691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1</v>
          </cell>
          <cell r="AJ523">
            <v>14397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14397</v>
          </cell>
          <cell r="AP523">
            <v>14397</v>
          </cell>
          <cell r="AQ523">
            <v>98000</v>
          </cell>
          <cell r="AR523">
            <v>0</v>
          </cell>
          <cell r="AS523">
            <v>6.81</v>
          </cell>
          <cell r="AT523">
            <v>49392000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1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N523">
            <v>0</v>
          </cell>
          <cell r="EO523" t="str">
            <v xml:space="preserve">PALM BAY CONVERTIBLE PANT                                   </v>
          </cell>
        </row>
        <row r="524">
          <cell r="A524" t="str">
            <v>CP1PL8659228</v>
          </cell>
          <cell r="B524" t="str">
            <v>CP1</v>
          </cell>
          <cell r="C524" t="str">
            <v>PL8659</v>
          </cell>
          <cell r="D524">
            <v>228</v>
          </cell>
          <cell r="E524" t="str">
            <v xml:space="preserve">   </v>
          </cell>
          <cell r="F524">
            <v>0</v>
          </cell>
          <cell r="G524">
            <v>0</v>
          </cell>
          <cell r="H524">
            <v>0</v>
          </cell>
          <cell r="I524">
            <v>606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10681356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 t="str">
            <v xml:space="preserve"> </v>
          </cell>
          <cell r="T524" t="str">
            <v xml:space="preserve"> 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17626</v>
          </cell>
          <cell r="AP524">
            <v>17626</v>
          </cell>
          <cell r="AQ524">
            <v>78000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1</v>
          </cell>
          <cell r="BH524">
            <v>1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0</v>
          </cell>
          <cell r="DS524">
            <v>0</v>
          </cell>
          <cell r="DT524">
            <v>0</v>
          </cell>
          <cell r="DU524">
            <v>0</v>
          </cell>
          <cell r="DV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B524">
            <v>0</v>
          </cell>
          <cell r="EC524">
            <v>0</v>
          </cell>
          <cell r="ED524">
            <v>0</v>
          </cell>
          <cell r="EE524">
            <v>0</v>
          </cell>
          <cell r="EF524">
            <v>0</v>
          </cell>
          <cell r="EG524">
            <v>0</v>
          </cell>
          <cell r="EH524">
            <v>0</v>
          </cell>
          <cell r="EI524">
            <v>0</v>
          </cell>
          <cell r="EJ524">
            <v>0</v>
          </cell>
          <cell r="EK524">
            <v>0</v>
          </cell>
          <cell r="EL524">
            <v>0</v>
          </cell>
          <cell r="EM524">
            <v>0</v>
          </cell>
          <cell r="EN524">
            <v>0</v>
          </cell>
          <cell r="EO524" t="str">
            <v xml:space="preserve">WS ELLERY PANT                                              </v>
          </cell>
        </row>
        <row r="525">
          <cell r="A525" t="str">
            <v>CP1PL8659255</v>
          </cell>
          <cell r="B525" t="str">
            <v>CP1</v>
          </cell>
          <cell r="C525" t="str">
            <v>PL8659</v>
          </cell>
          <cell r="D525">
            <v>255</v>
          </cell>
          <cell r="E525" t="str">
            <v xml:space="preserve">   </v>
          </cell>
          <cell r="F525">
            <v>0</v>
          </cell>
          <cell r="G525">
            <v>0</v>
          </cell>
          <cell r="H525">
            <v>0</v>
          </cell>
          <cell r="I525">
            <v>504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8883504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 t="str">
            <v xml:space="preserve"> </v>
          </cell>
          <cell r="T525" t="str">
            <v xml:space="preserve"> 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17626</v>
          </cell>
          <cell r="AP525">
            <v>17626</v>
          </cell>
          <cell r="AQ525">
            <v>78000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1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0</v>
          </cell>
          <cell r="DS525">
            <v>0</v>
          </cell>
          <cell r="DT525">
            <v>0</v>
          </cell>
          <cell r="DU525">
            <v>0</v>
          </cell>
          <cell r="DV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0</v>
          </cell>
          <cell r="EF525">
            <v>0</v>
          </cell>
          <cell r="EG525">
            <v>0</v>
          </cell>
          <cell r="EH525">
            <v>0</v>
          </cell>
          <cell r="EI525">
            <v>0</v>
          </cell>
          <cell r="EJ525">
            <v>0</v>
          </cell>
          <cell r="EK525">
            <v>0</v>
          </cell>
          <cell r="EL525">
            <v>0</v>
          </cell>
          <cell r="EM525">
            <v>0</v>
          </cell>
          <cell r="EN525">
            <v>0</v>
          </cell>
          <cell r="EO525" t="str">
            <v xml:space="preserve">WS ELLERY PANT                                              </v>
          </cell>
        </row>
        <row r="526">
          <cell r="A526" t="str">
            <v>CP1PL8659906</v>
          </cell>
          <cell r="B526" t="str">
            <v>CP1</v>
          </cell>
          <cell r="C526" t="str">
            <v>PL8659</v>
          </cell>
          <cell r="D526">
            <v>906</v>
          </cell>
          <cell r="E526" t="str">
            <v xml:space="preserve">   </v>
          </cell>
          <cell r="F526">
            <v>0</v>
          </cell>
          <cell r="G526">
            <v>0</v>
          </cell>
          <cell r="H526">
            <v>0</v>
          </cell>
          <cell r="I526">
            <v>504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8883504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 t="str">
            <v xml:space="preserve"> </v>
          </cell>
          <cell r="T526" t="str">
            <v xml:space="preserve"> 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17626</v>
          </cell>
          <cell r="AP526">
            <v>17626</v>
          </cell>
          <cell r="AQ526">
            <v>78000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1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0</v>
          </cell>
          <cell r="DS526">
            <v>0</v>
          </cell>
          <cell r="DT526">
            <v>0</v>
          </cell>
          <cell r="DU526">
            <v>0</v>
          </cell>
          <cell r="DV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0</v>
          </cell>
          <cell r="EF526">
            <v>0</v>
          </cell>
          <cell r="EG526">
            <v>0</v>
          </cell>
          <cell r="EH526">
            <v>0</v>
          </cell>
          <cell r="EI526">
            <v>0</v>
          </cell>
          <cell r="EJ526">
            <v>0</v>
          </cell>
          <cell r="EK526">
            <v>0</v>
          </cell>
          <cell r="EL526">
            <v>0</v>
          </cell>
          <cell r="EM526">
            <v>0</v>
          </cell>
          <cell r="EN526">
            <v>0</v>
          </cell>
          <cell r="EO526" t="str">
            <v xml:space="preserve">WS ELLERY PANT                                              </v>
          </cell>
        </row>
        <row r="527">
          <cell r="A527" t="str">
            <v>CP1PM1700010</v>
          </cell>
          <cell r="B527" t="str">
            <v>CP1</v>
          </cell>
          <cell r="C527" t="str">
            <v>PM1700</v>
          </cell>
          <cell r="D527">
            <v>10</v>
          </cell>
          <cell r="E527" t="str">
            <v xml:space="preserve">   </v>
          </cell>
          <cell r="F527">
            <v>90203</v>
          </cell>
          <cell r="G527">
            <v>90223</v>
          </cell>
          <cell r="H527">
            <v>0</v>
          </cell>
          <cell r="I527">
            <v>702</v>
          </cell>
          <cell r="J527">
            <v>708</v>
          </cell>
          <cell r="K527">
            <v>548</v>
          </cell>
          <cell r="L527">
            <v>13</v>
          </cell>
          <cell r="M527">
            <v>13</v>
          </cell>
          <cell r="N527">
            <v>10390302</v>
          </cell>
          <cell r="O527">
            <v>10479108</v>
          </cell>
          <cell r="P527">
            <v>8110948</v>
          </cell>
          <cell r="Q527">
            <v>192413</v>
          </cell>
          <cell r="R527">
            <v>1219700</v>
          </cell>
          <cell r="S527" t="str">
            <v xml:space="preserve"> </v>
          </cell>
          <cell r="T527" t="str">
            <v xml:space="preserve"> </v>
          </cell>
          <cell r="U527">
            <v>708</v>
          </cell>
          <cell r="V527">
            <v>10479108</v>
          </cell>
          <cell r="W527">
            <v>13</v>
          </cell>
          <cell r="X527">
            <v>192413</v>
          </cell>
          <cell r="Y527">
            <v>1.84</v>
          </cell>
          <cell r="Z527">
            <v>1.84</v>
          </cell>
          <cell r="AA527">
            <v>192413</v>
          </cell>
          <cell r="AB527">
            <v>0</v>
          </cell>
          <cell r="AC527">
            <v>160</v>
          </cell>
          <cell r="AD527">
            <v>2368160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1</v>
          </cell>
          <cell r="AJ527">
            <v>14801</v>
          </cell>
          <cell r="AK527">
            <v>0</v>
          </cell>
          <cell r="AL527">
            <v>0</v>
          </cell>
          <cell r="AM527">
            <v>534</v>
          </cell>
          <cell r="AN527">
            <v>7903734</v>
          </cell>
          <cell r="AO527">
            <v>14801</v>
          </cell>
          <cell r="AP527">
            <v>14801</v>
          </cell>
          <cell r="AQ527">
            <v>98000</v>
          </cell>
          <cell r="AR527">
            <v>0</v>
          </cell>
          <cell r="AS527">
            <v>6.62</v>
          </cell>
          <cell r="AT527">
            <v>69384000</v>
          </cell>
          <cell r="AU527">
            <v>6.34</v>
          </cell>
          <cell r="AV527">
            <v>1219700</v>
          </cell>
          <cell r="AW527">
            <v>0</v>
          </cell>
          <cell r="AX527">
            <v>0</v>
          </cell>
          <cell r="AY527">
            <v>1.84</v>
          </cell>
          <cell r="AZ527">
            <v>0</v>
          </cell>
          <cell r="BA527">
            <v>13</v>
          </cell>
          <cell r="BB527">
            <v>0</v>
          </cell>
          <cell r="BC527">
            <v>13</v>
          </cell>
          <cell r="BD527">
            <v>0</v>
          </cell>
          <cell r="BE527">
            <v>0</v>
          </cell>
          <cell r="BF527">
            <v>0</v>
          </cell>
          <cell r="BG527">
            <v>1</v>
          </cell>
          <cell r="BH527">
            <v>1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10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10</v>
          </cell>
          <cell r="BV527">
            <v>13</v>
          </cell>
          <cell r="BW527">
            <v>3</v>
          </cell>
          <cell r="BX527">
            <v>3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V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J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 t="str">
            <v xml:space="preserve">VIDORA VEST                                                 </v>
          </cell>
        </row>
        <row r="528">
          <cell r="A528" t="str">
            <v>CP1PM1700265</v>
          </cell>
          <cell r="B528" t="str">
            <v>CP1</v>
          </cell>
          <cell r="C528" t="str">
            <v>PM1700</v>
          </cell>
          <cell r="D528">
            <v>265</v>
          </cell>
          <cell r="E528" t="str">
            <v xml:space="preserve">   </v>
          </cell>
          <cell r="F528">
            <v>90203</v>
          </cell>
          <cell r="G528">
            <v>90223</v>
          </cell>
          <cell r="H528">
            <v>0</v>
          </cell>
          <cell r="I528">
            <v>600</v>
          </cell>
          <cell r="J528">
            <v>605</v>
          </cell>
          <cell r="K528">
            <v>486</v>
          </cell>
          <cell r="L528">
            <v>14</v>
          </cell>
          <cell r="M528">
            <v>14</v>
          </cell>
          <cell r="N528">
            <v>8880600</v>
          </cell>
          <cell r="O528">
            <v>8954605</v>
          </cell>
          <cell r="P528">
            <v>7193286</v>
          </cell>
          <cell r="Q528">
            <v>207214</v>
          </cell>
          <cell r="R528">
            <v>1287700</v>
          </cell>
          <cell r="S528" t="str">
            <v xml:space="preserve"> </v>
          </cell>
          <cell r="T528" t="str">
            <v xml:space="preserve"> </v>
          </cell>
          <cell r="U528">
            <v>605</v>
          </cell>
          <cell r="V528">
            <v>8954605</v>
          </cell>
          <cell r="W528">
            <v>14</v>
          </cell>
          <cell r="X528">
            <v>207214</v>
          </cell>
          <cell r="Y528">
            <v>2.31</v>
          </cell>
          <cell r="Z528">
            <v>2.31</v>
          </cell>
          <cell r="AA528">
            <v>207214</v>
          </cell>
          <cell r="AB528">
            <v>0</v>
          </cell>
          <cell r="AC528">
            <v>119</v>
          </cell>
          <cell r="AD528">
            <v>1761319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2</v>
          </cell>
          <cell r="AJ528">
            <v>29602</v>
          </cell>
          <cell r="AK528">
            <v>0</v>
          </cell>
          <cell r="AL528">
            <v>0</v>
          </cell>
          <cell r="AM528">
            <v>470</v>
          </cell>
          <cell r="AN528">
            <v>6956470</v>
          </cell>
          <cell r="AO528">
            <v>14801</v>
          </cell>
          <cell r="AP528">
            <v>14801</v>
          </cell>
          <cell r="AQ528">
            <v>98000</v>
          </cell>
          <cell r="AR528">
            <v>0</v>
          </cell>
          <cell r="AS528">
            <v>6.62</v>
          </cell>
          <cell r="AT528">
            <v>59290000</v>
          </cell>
          <cell r="AU528">
            <v>6.21</v>
          </cell>
          <cell r="AV528">
            <v>1287700</v>
          </cell>
          <cell r="AW528">
            <v>0</v>
          </cell>
          <cell r="AX528">
            <v>0</v>
          </cell>
          <cell r="AY528">
            <v>2.31</v>
          </cell>
          <cell r="AZ528">
            <v>0</v>
          </cell>
          <cell r="BA528">
            <v>14</v>
          </cell>
          <cell r="BB528">
            <v>0</v>
          </cell>
          <cell r="BC528">
            <v>14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1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9</v>
          </cell>
          <cell r="BV528">
            <v>14</v>
          </cell>
          <cell r="BW528">
            <v>5</v>
          </cell>
          <cell r="BX528">
            <v>5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0</v>
          </cell>
          <cell r="DS528">
            <v>0</v>
          </cell>
          <cell r="DT528">
            <v>0</v>
          </cell>
          <cell r="DU528">
            <v>0</v>
          </cell>
          <cell r="DV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>
            <v>0</v>
          </cell>
          <cell r="EB528">
            <v>0</v>
          </cell>
          <cell r="EC528">
            <v>0</v>
          </cell>
          <cell r="ED528">
            <v>0</v>
          </cell>
          <cell r="EE528">
            <v>0</v>
          </cell>
          <cell r="EF528">
            <v>0</v>
          </cell>
          <cell r="EG528">
            <v>0</v>
          </cell>
          <cell r="EH528">
            <v>0</v>
          </cell>
          <cell r="EI528">
            <v>0</v>
          </cell>
          <cell r="EJ528">
            <v>0</v>
          </cell>
          <cell r="EK528">
            <v>0</v>
          </cell>
          <cell r="EL528">
            <v>0</v>
          </cell>
          <cell r="EM528">
            <v>0</v>
          </cell>
          <cell r="EN528">
            <v>0</v>
          </cell>
          <cell r="EO528" t="str">
            <v xml:space="preserve">VIDORA VEST                                                 </v>
          </cell>
        </row>
        <row r="529">
          <cell r="A529" t="str">
            <v>CP1PM1771010</v>
          </cell>
          <cell r="B529" t="str">
            <v>CP1</v>
          </cell>
          <cell r="C529" t="str">
            <v>PM1771</v>
          </cell>
          <cell r="D529">
            <v>10</v>
          </cell>
          <cell r="E529" t="str">
            <v xml:space="preserve">   </v>
          </cell>
          <cell r="F529">
            <v>90216</v>
          </cell>
          <cell r="G529">
            <v>90220</v>
          </cell>
          <cell r="H529">
            <v>0</v>
          </cell>
          <cell r="I529">
            <v>402</v>
          </cell>
          <cell r="J529">
            <v>402</v>
          </cell>
          <cell r="K529">
            <v>343</v>
          </cell>
          <cell r="L529">
            <v>3</v>
          </cell>
          <cell r="M529">
            <v>3</v>
          </cell>
          <cell r="N529">
            <v>16443006</v>
          </cell>
          <cell r="O529">
            <v>16443006</v>
          </cell>
          <cell r="P529">
            <v>14029729</v>
          </cell>
          <cell r="Q529">
            <v>122709</v>
          </cell>
          <cell r="R529">
            <v>294000</v>
          </cell>
          <cell r="S529" t="str">
            <v xml:space="preserve"> </v>
          </cell>
          <cell r="T529" t="str">
            <v xml:space="preserve"> </v>
          </cell>
          <cell r="U529">
            <v>402</v>
          </cell>
          <cell r="V529">
            <v>16443006</v>
          </cell>
          <cell r="W529">
            <v>3</v>
          </cell>
          <cell r="X529">
            <v>122709</v>
          </cell>
          <cell r="Y529">
            <v>0.75</v>
          </cell>
          <cell r="Z529">
            <v>0.75</v>
          </cell>
          <cell r="AA529">
            <v>122709</v>
          </cell>
          <cell r="AB529">
            <v>0</v>
          </cell>
          <cell r="AC529">
            <v>59</v>
          </cell>
          <cell r="AD529">
            <v>2413277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1</v>
          </cell>
          <cell r="AJ529">
            <v>40903</v>
          </cell>
          <cell r="AK529">
            <v>0</v>
          </cell>
          <cell r="AL529">
            <v>0</v>
          </cell>
          <cell r="AM529">
            <v>339</v>
          </cell>
          <cell r="AN529">
            <v>13866117</v>
          </cell>
          <cell r="AO529">
            <v>40903</v>
          </cell>
          <cell r="AP529">
            <v>40903</v>
          </cell>
          <cell r="AQ529">
            <v>128000</v>
          </cell>
          <cell r="AR529">
            <v>0</v>
          </cell>
          <cell r="AS529">
            <v>3.13</v>
          </cell>
          <cell r="AT529">
            <v>51456000</v>
          </cell>
          <cell r="AU529">
            <v>2.4</v>
          </cell>
          <cell r="AV529">
            <v>294000</v>
          </cell>
          <cell r="AW529">
            <v>0</v>
          </cell>
          <cell r="AX529">
            <v>0</v>
          </cell>
          <cell r="AY529">
            <v>0.75</v>
          </cell>
          <cell r="AZ529">
            <v>0</v>
          </cell>
          <cell r="BA529">
            <v>3</v>
          </cell>
          <cell r="BB529">
            <v>0</v>
          </cell>
          <cell r="BC529">
            <v>3</v>
          </cell>
          <cell r="BD529">
            <v>0</v>
          </cell>
          <cell r="BE529">
            <v>0</v>
          </cell>
          <cell r="BF529">
            <v>0</v>
          </cell>
          <cell r="BG529">
            <v>1</v>
          </cell>
          <cell r="BH529">
            <v>1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3</v>
          </cell>
          <cell r="BQ529">
            <v>0</v>
          </cell>
          <cell r="BR529">
            <v>0</v>
          </cell>
          <cell r="BS529">
            <v>0</v>
          </cell>
          <cell r="BT529">
            <v>1</v>
          </cell>
          <cell r="BU529">
            <v>2</v>
          </cell>
          <cell r="BV529">
            <v>2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0</v>
          </cell>
          <cell r="DS529">
            <v>0</v>
          </cell>
          <cell r="DT529">
            <v>0</v>
          </cell>
          <cell r="DU529">
            <v>0</v>
          </cell>
          <cell r="DV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  <cell r="ED529">
            <v>0</v>
          </cell>
          <cell r="EE529">
            <v>0</v>
          </cell>
          <cell r="EF529">
            <v>0</v>
          </cell>
          <cell r="EG529">
            <v>0</v>
          </cell>
          <cell r="EH529">
            <v>0</v>
          </cell>
          <cell r="EI529">
            <v>0</v>
          </cell>
          <cell r="EJ529">
            <v>0</v>
          </cell>
          <cell r="EK529">
            <v>0</v>
          </cell>
          <cell r="EL529">
            <v>0</v>
          </cell>
          <cell r="EM529">
            <v>0</v>
          </cell>
          <cell r="EN529">
            <v>0</v>
          </cell>
          <cell r="EO529" t="str">
            <v xml:space="preserve">WILDWOOD TRAIL VEST                                         </v>
          </cell>
        </row>
        <row r="530">
          <cell r="A530" t="str">
            <v>CP1PM1771015</v>
          </cell>
          <cell r="B530" t="str">
            <v>CP1</v>
          </cell>
          <cell r="C530" t="str">
            <v>PM1771</v>
          </cell>
          <cell r="D530">
            <v>15</v>
          </cell>
          <cell r="E530" t="str">
            <v xml:space="preserve">   </v>
          </cell>
          <cell r="F530">
            <v>90216</v>
          </cell>
          <cell r="G530">
            <v>90220</v>
          </cell>
          <cell r="H530">
            <v>0</v>
          </cell>
          <cell r="I530">
            <v>402</v>
          </cell>
          <cell r="J530">
            <v>402</v>
          </cell>
          <cell r="K530">
            <v>348</v>
          </cell>
          <cell r="L530">
            <v>1</v>
          </cell>
          <cell r="M530">
            <v>1</v>
          </cell>
          <cell r="N530">
            <v>16443006</v>
          </cell>
          <cell r="O530">
            <v>16443006</v>
          </cell>
          <cell r="P530">
            <v>14234244</v>
          </cell>
          <cell r="Q530">
            <v>40903</v>
          </cell>
          <cell r="R530">
            <v>121600</v>
          </cell>
          <cell r="S530" t="str">
            <v xml:space="preserve"> </v>
          </cell>
          <cell r="T530" t="str">
            <v xml:space="preserve"> </v>
          </cell>
          <cell r="U530">
            <v>402</v>
          </cell>
          <cell r="V530">
            <v>16443006</v>
          </cell>
          <cell r="W530">
            <v>1</v>
          </cell>
          <cell r="X530">
            <v>40903</v>
          </cell>
          <cell r="Y530">
            <v>0.25</v>
          </cell>
          <cell r="Z530">
            <v>0.25</v>
          </cell>
          <cell r="AA530">
            <v>40903</v>
          </cell>
          <cell r="AB530">
            <v>0</v>
          </cell>
          <cell r="AC530">
            <v>54</v>
          </cell>
          <cell r="AD530">
            <v>2208762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347</v>
          </cell>
          <cell r="AN530">
            <v>14193341</v>
          </cell>
          <cell r="AO530">
            <v>40903</v>
          </cell>
          <cell r="AP530">
            <v>40903</v>
          </cell>
          <cell r="AQ530">
            <v>128000</v>
          </cell>
          <cell r="AR530">
            <v>0</v>
          </cell>
          <cell r="AS530">
            <v>3.13</v>
          </cell>
          <cell r="AT530">
            <v>51456000</v>
          </cell>
          <cell r="AU530">
            <v>2.97</v>
          </cell>
          <cell r="AV530">
            <v>121600</v>
          </cell>
          <cell r="AW530">
            <v>0</v>
          </cell>
          <cell r="AX530">
            <v>0</v>
          </cell>
          <cell r="AY530">
            <v>0.25</v>
          </cell>
          <cell r="AZ530">
            <v>0</v>
          </cell>
          <cell r="BA530">
            <v>1</v>
          </cell>
          <cell r="BB530">
            <v>0</v>
          </cell>
          <cell r="BC530">
            <v>1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1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1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1</v>
          </cell>
          <cell r="BV530">
            <v>1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0</v>
          </cell>
          <cell r="DV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0</v>
          </cell>
          <cell r="EH530">
            <v>0</v>
          </cell>
          <cell r="EI530">
            <v>0</v>
          </cell>
          <cell r="EJ530">
            <v>0</v>
          </cell>
          <cell r="EK530">
            <v>0</v>
          </cell>
          <cell r="EL530">
            <v>0</v>
          </cell>
          <cell r="EM530">
            <v>0</v>
          </cell>
          <cell r="EN530">
            <v>0</v>
          </cell>
          <cell r="EO530" t="str">
            <v xml:space="preserve">WILDWOOD TRAIL VEST                                         </v>
          </cell>
        </row>
        <row r="531">
          <cell r="A531" t="str">
            <v>CP1PM1771996</v>
          </cell>
          <cell r="B531" t="str">
            <v>CP1</v>
          </cell>
          <cell r="C531" t="str">
            <v>PM1771</v>
          </cell>
          <cell r="D531">
            <v>996</v>
          </cell>
          <cell r="E531" t="str">
            <v xml:space="preserve">   </v>
          </cell>
          <cell r="F531">
            <v>90216</v>
          </cell>
          <cell r="G531">
            <v>90220</v>
          </cell>
          <cell r="H531">
            <v>0</v>
          </cell>
          <cell r="I531">
            <v>300</v>
          </cell>
          <cell r="J531">
            <v>300</v>
          </cell>
          <cell r="K531">
            <v>226</v>
          </cell>
          <cell r="L531">
            <v>0</v>
          </cell>
          <cell r="M531">
            <v>0</v>
          </cell>
          <cell r="N531">
            <v>12270900</v>
          </cell>
          <cell r="O531">
            <v>12270900</v>
          </cell>
          <cell r="P531">
            <v>9244078</v>
          </cell>
          <cell r="Q531">
            <v>0</v>
          </cell>
          <cell r="R531">
            <v>0</v>
          </cell>
          <cell r="S531" t="str">
            <v xml:space="preserve"> </v>
          </cell>
          <cell r="T531" t="str">
            <v xml:space="preserve"> </v>
          </cell>
          <cell r="U531">
            <v>300</v>
          </cell>
          <cell r="V531">
            <v>12270900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74</v>
          </cell>
          <cell r="AD531">
            <v>3026822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</v>
          </cell>
          <cell r="AJ531">
            <v>40903</v>
          </cell>
          <cell r="AK531">
            <v>0</v>
          </cell>
          <cell r="AL531">
            <v>0</v>
          </cell>
          <cell r="AM531">
            <v>225</v>
          </cell>
          <cell r="AN531">
            <v>9203175</v>
          </cell>
          <cell r="AO531">
            <v>40903</v>
          </cell>
          <cell r="AP531">
            <v>40903</v>
          </cell>
          <cell r="AQ531">
            <v>128000</v>
          </cell>
          <cell r="AR531">
            <v>0</v>
          </cell>
          <cell r="AS531">
            <v>3.13</v>
          </cell>
          <cell r="AT531">
            <v>38400000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1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-1</v>
          </cell>
          <cell r="BU531">
            <v>1</v>
          </cell>
          <cell r="BV531">
            <v>1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0</v>
          </cell>
          <cell r="DS531">
            <v>0</v>
          </cell>
          <cell r="DT531">
            <v>0</v>
          </cell>
          <cell r="DU531">
            <v>0</v>
          </cell>
          <cell r="DV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0</v>
          </cell>
          <cell r="EF531">
            <v>0</v>
          </cell>
          <cell r="EG531">
            <v>0</v>
          </cell>
          <cell r="EH531">
            <v>0</v>
          </cell>
          <cell r="EI531">
            <v>0</v>
          </cell>
          <cell r="EJ531">
            <v>0</v>
          </cell>
          <cell r="EK531">
            <v>0</v>
          </cell>
          <cell r="EL531">
            <v>0</v>
          </cell>
          <cell r="EM531">
            <v>0</v>
          </cell>
          <cell r="EN531">
            <v>0</v>
          </cell>
          <cell r="EO531" t="str">
            <v xml:space="preserve">WILDWOOD TRAIL VEST                                         </v>
          </cell>
        </row>
        <row r="532">
          <cell r="A532" t="str">
            <v>CP1PM2198425</v>
          </cell>
          <cell r="B532" t="str">
            <v>CP1</v>
          </cell>
          <cell r="C532" t="str">
            <v>PM2198</v>
          </cell>
          <cell r="D532">
            <v>425</v>
          </cell>
          <cell r="E532" t="str">
            <v xml:space="preserve">   </v>
          </cell>
          <cell r="F532">
            <v>90203</v>
          </cell>
          <cell r="G532">
            <v>90206</v>
          </cell>
          <cell r="H532">
            <v>0</v>
          </cell>
          <cell r="I532">
            <v>606</v>
          </cell>
          <cell r="J532">
            <v>606</v>
          </cell>
          <cell r="K532">
            <v>572</v>
          </cell>
          <cell r="L532">
            <v>57</v>
          </cell>
          <cell r="M532">
            <v>57</v>
          </cell>
          <cell r="N532">
            <v>19919826</v>
          </cell>
          <cell r="O532">
            <v>19919826</v>
          </cell>
          <cell r="P532">
            <v>18802212</v>
          </cell>
          <cell r="Q532">
            <v>1873647</v>
          </cell>
          <cell r="R532">
            <v>8460600</v>
          </cell>
          <cell r="S532" t="str">
            <v xml:space="preserve"> </v>
          </cell>
          <cell r="T532" t="str">
            <v xml:space="preserve"> </v>
          </cell>
          <cell r="U532">
            <v>606</v>
          </cell>
          <cell r="V532">
            <v>19919826</v>
          </cell>
          <cell r="W532">
            <v>57</v>
          </cell>
          <cell r="X532">
            <v>1873647</v>
          </cell>
          <cell r="Y532">
            <v>9.41</v>
          </cell>
          <cell r="Z532">
            <v>9.41</v>
          </cell>
          <cell r="AA532">
            <v>1873647</v>
          </cell>
          <cell r="AB532">
            <v>0</v>
          </cell>
          <cell r="AC532">
            <v>34</v>
          </cell>
          <cell r="AD532">
            <v>1117614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2</v>
          </cell>
          <cell r="AJ532">
            <v>65742</v>
          </cell>
          <cell r="AK532">
            <v>0</v>
          </cell>
          <cell r="AL532">
            <v>0</v>
          </cell>
          <cell r="AM532">
            <v>513</v>
          </cell>
          <cell r="AN532">
            <v>16862823</v>
          </cell>
          <cell r="AO532">
            <v>32871</v>
          </cell>
          <cell r="AP532">
            <v>32871</v>
          </cell>
          <cell r="AQ532">
            <v>158000</v>
          </cell>
          <cell r="AR532">
            <v>0</v>
          </cell>
          <cell r="AS532">
            <v>4.8099999999999996</v>
          </cell>
          <cell r="AT532">
            <v>95748000</v>
          </cell>
          <cell r="AU532">
            <v>4.5199999999999996</v>
          </cell>
          <cell r="AV532">
            <v>8460600</v>
          </cell>
          <cell r="AW532">
            <v>0</v>
          </cell>
          <cell r="AX532">
            <v>0</v>
          </cell>
          <cell r="AY532">
            <v>9.41</v>
          </cell>
          <cell r="AZ532">
            <v>0</v>
          </cell>
          <cell r="BA532">
            <v>57</v>
          </cell>
          <cell r="BB532">
            <v>0</v>
          </cell>
          <cell r="BC532">
            <v>57</v>
          </cell>
          <cell r="BD532">
            <v>0</v>
          </cell>
          <cell r="BE532">
            <v>0</v>
          </cell>
          <cell r="BF532">
            <v>0</v>
          </cell>
          <cell r="BG532">
            <v>1</v>
          </cell>
          <cell r="BH532">
            <v>1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54</v>
          </cell>
          <cell r="BQ532">
            <v>0</v>
          </cell>
          <cell r="BR532">
            <v>6</v>
          </cell>
          <cell r="BS532">
            <v>11</v>
          </cell>
          <cell r="BT532">
            <v>15</v>
          </cell>
          <cell r="BU532">
            <v>22</v>
          </cell>
          <cell r="BV532">
            <v>25</v>
          </cell>
          <cell r="BW532">
            <v>3</v>
          </cell>
          <cell r="BX532">
            <v>3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0</v>
          </cell>
          <cell r="DS532">
            <v>0</v>
          </cell>
          <cell r="DT532">
            <v>0</v>
          </cell>
          <cell r="DU532">
            <v>0</v>
          </cell>
          <cell r="DV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>
            <v>0</v>
          </cell>
          <cell r="EB532">
            <v>0</v>
          </cell>
          <cell r="EC532">
            <v>0</v>
          </cell>
          <cell r="ED532">
            <v>0</v>
          </cell>
          <cell r="EE532">
            <v>0</v>
          </cell>
          <cell r="EF532">
            <v>0</v>
          </cell>
          <cell r="EG532">
            <v>0</v>
          </cell>
          <cell r="EH532">
            <v>0</v>
          </cell>
          <cell r="EI532">
            <v>0</v>
          </cell>
          <cell r="EJ532">
            <v>0</v>
          </cell>
          <cell r="EK532">
            <v>0</v>
          </cell>
          <cell r="EL532">
            <v>0</v>
          </cell>
          <cell r="EM532">
            <v>0</v>
          </cell>
          <cell r="EN532">
            <v>0</v>
          </cell>
          <cell r="EO532" t="str">
            <v xml:space="preserve">TAG RIDGE 2 JACKET WITH PATTERN                             </v>
          </cell>
        </row>
        <row r="533">
          <cell r="A533" t="str">
            <v>CP1PM2203370</v>
          </cell>
          <cell r="B533" t="str">
            <v>CP1</v>
          </cell>
          <cell r="C533" t="str">
            <v>PM2203</v>
          </cell>
          <cell r="D533">
            <v>370</v>
          </cell>
          <cell r="E533" t="str">
            <v xml:space="preserve">   </v>
          </cell>
          <cell r="F533">
            <v>90216</v>
          </cell>
          <cell r="G533">
            <v>0</v>
          </cell>
          <cell r="H533">
            <v>0</v>
          </cell>
          <cell r="I533">
            <v>600</v>
          </cell>
          <cell r="J533">
            <v>618</v>
          </cell>
          <cell r="K533">
            <v>1</v>
          </cell>
          <cell r="L533">
            <v>0</v>
          </cell>
          <cell r="M533">
            <v>0</v>
          </cell>
          <cell r="N533">
            <v>17356800</v>
          </cell>
          <cell r="O533">
            <v>17877504</v>
          </cell>
          <cell r="P533">
            <v>28928</v>
          </cell>
          <cell r="Q533">
            <v>0</v>
          </cell>
          <cell r="R533">
            <v>0</v>
          </cell>
          <cell r="S533" t="str">
            <v xml:space="preserve"> </v>
          </cell>
          <cell r="T533" t="str">
            <v xml:space="preserve"> </v>
          </cell>
          <cell r="U533">
            <v>618</v>
          </cell>
          <cell r="V533">
            <v>17877504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617</v>
          </cell>
          <cell r="AD533">
            <v>17848576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1</v>
          </cell>
          <cell r="AJ533">
            <v>28928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28928</v>
          </cell>
          <cell r="AP533">
            <v>28928</v>
          </cell>
          <cell r="AQ533">
            <v>158000</v>
          </cell>
          <cell r="AR533">
            <v>0</v>
          </cell>
          <cell r="AS533">
            <v>5.46</v>
          </cell>
          <cell r="AT533">
            <v>97644000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1</v>
          </cell>
          <cell r="BH533">
            <v>1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0</v>
          </cell>
          <cell r="DS533">
            <v>0</v>
          </cell>
          <cell r="DT533">
            <v>0</v>
          </cell>
          <cell r="DU533">
            <v>0</v>
          </cell>
          <cell r="DV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0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J533">
            <v>0</v>
          </cell>
          <cell r="EK533">
            <v>0</v>
          </cell>
          <cell r="EL533">
            <v>0</v>
          </cell>
          <cell r="EM533">
            <v>0</v>
          </cell>
          <cell r="EN533">
            <v>0</v>
          </cell>
          <cell r="EO533" t="str">
            <v xml:space="preserve">EVERGREEN JACKET                                            </v>
          </cell>
        </row>
        <row r="534">
          <cell r="A534" t="str">
            <v>CP1PM2203465</v>
          </cell>
          <cell r="B534" t="str">
            <v>CP1</v>
          </cell>
          <cell r="C534" t="str">
            <v>PM2203</v>
          </cell>
          <cell r="D534">
            <v>465</v>
          </cell>
          <cell r="E534" t="str">
            <v xml:space="preserve">   </v>
          </cell>
          <cell r="F534">
            <v>90216</v>
          </cell>
          <cell r="G534">
            <v>0</v>
          </cell>
          <cell r="H534">
            <v>0</v>
          </cell>
          <cell r="I534">
            <v>696</v>
          </cell>
          <cell r="J534">
            <v>717</v>
          </cell>
          <cell r="K534">
            <v>1</v>
          </cell>
          <cell r="L534">
            <v>0</v>
          </cell>
          <cell r="M534">
            <v>0</v>
          </cell>
          <cell r="N534">
            <v>20133888</v>
          </cell>
          <cell r="O534">
            <v>20741376</v>
          </cell>
          <cell r="P534">
            <v>28928</v>
          </cell>
          <cell r="Q534">
            <v>0</v>
          </cell>
          <cell r="R534">
            <v>0</v>
          </cell>
          <cell r="S534" t="str">
            <v xml:space="preserve"> </v>
          </cell>
          <cell r="T534" t="str">
            <v xml:space="preserve"> </v>
          </cell>
          <cell r="U534">
            <v>717</v>
          </cell>
          <cell r="V534">
            <v>20741376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716</v>
          </cell>
          <cell r="AD534">
            <v>20712448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1</v>
          </cell>
          <cell r="AJ534">
            <v>28928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28928</v>
          </cell>
          <cell r="AP534">
            <v>28928</v>
          </cell>
          <cell r="AQ534">
            <v>158000</v>
          </cell>
          <cell r="AR534">
            <v>0</v>
          </cell>
          <cell r="AS534">
            <v>5.46</v>
          </cell>
          <cell r="AT534">
            <v>113286000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1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  <cell r="DP534">
            <v>0</v>
          </cell>
          <cell r="DQ534">
            <v>0</v>
          </cell>
          <cell r="DR534">
            <v>0</v>
          </cell>
          <cell r="DS534">
            <v>0</v>
          </cell>
          <cell r="DT534">
            <v>0</v>
          </cell>
          <cell r="DU534">
            <v>0</v>
          </cell>
          <cell r="DV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0</v>
          </cell>
          <cell r="EF534">
            <v>0</v>
          </cell>
          <cell r="EG534">
            <v>0</v>
          </cell>
          <cell r="EH534">
            <v>0</v>
          </cell>
          <cell r="EI534">
            <v>0</v>
          </cell>
          <cell r="EJ534">
            <v>0</v>
          </cell>
          <cell r="EK534">
            <v>0</v>
          </cell>
          <cell r="EL534">
            <v>0</v>
          </cell>
          <cell r="EM534">
            <v>0</v>
          </cell>
          <cell r="EN534">
            <v>0</v>
          </cell>
          <cell r="EO534" t="str">
            <v xml:space="preserve">EVERGREEN JACKET                                            </v>
          </cell>
        </row>
        <row r="535">
          <cell r="A535" t="str">
            <v>CP1PM2203816</v>
          </cell>
          <cell r="B535" t="str">
            <v>CP1</v>
          </cell>
          <cell r="C535" t="str">
            <v>PM2203</v>
          </cell>
          <cell r="D535">
            <v>816</v>
          </cell>
          <cell r="E535" t="str">
            <v xml:space="preserve">   </v>
          </cell>
          <cell r="F535">
            <v>90216</v>
          </cell>
          <cell r="G535">
            <v>0</v>
          </cell>
          <cell r="H535">
            <v>0</v>
          </cell>
          <cell r="I535">
            <v>600</v>
          </cell>
          <cell r="J535">
            <v>616</v>
          </cell>
          <cell r="K535">
            <v>1</v>
          </cell>
          <cell r="L535">
            <v>0</v>
          </cell>
          <cell r="M535">
            <v>0</v>
          </cell>
          <cell r="N535">
            <v>17356800</v>
          </cell>
          <cell r="O535">
            <v>17819648</v>
          </cell>
          <cell r="P535">
            <v>28928</v>
          </cell>
          <cell r="Q535">
            <v>0</v>
          </cell>
          <cell r="R535">
            <v>0</v>
          </cell>
          <cell r="S535" t="str">
            <v xml:space="preserve"> </v>
          </cell>
          <cell r="T535" t="str">
            <v xml:space="preserve"> </v>
          </cell>
          <cell r="U535">
            <v>616</v>
          </cell>
          <cell r="V535">
            <v>17819648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615</v>
          </cell>
          <cell r="AD535">
            <v>17790720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1</v>
          </cell>
          <cell r="AJ535">
            <v>28928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28928</v>
          </cell>
          <cell r="AP535">
            <v>28928</v>
          </cell>
          <cell r="AQ535">
            <v>158000</v>
          </cell>
          <cell r="AR535">
            <v>0</v>
          </cell>
          <cell r="AS535">
            <v>5.46</v>
          </cell>
          <cell r="AT535">
            <v>97328000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0</v>
          </cell>
          <cell r="DS535">
            <v>0</v>
          </cell>
          <cell r="DT535">
            <v>0</v>
          </cell>
          <cell r="DU535">
            <v>0</v>
          </cell>
          <cell r="DV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0</v>
          </cell>
          <cell r="EF535">
            <v>0</v>
          </cell>
          <cell r="EG535">
            <v>0</v>
          </cell>
          <cell r="EH535">
            <v>0</v>
          </cell>
          <cell r="EI535">
            <v>0</v>
          </cell>
          <cell r="EJ535">
            <v>0</v>
          </cell>
          <cell r="EK535">
            <v>0</v>
          </cell>
          <cell r="EL535">
            <v>0</v>
          </cell>
          <cell r="EM535">
            <v>0</v>
          </cell>
          <cell r="EN535">
            <v>0</v>
          </cell>
          <cell r="EO535" t="str">
            <v xml:space="preserve">EVERGREEN JACKET                                            </v>
          </cell>
        </row>
        <row r="536">
          <cell r="A536" t="str">
            <v>CP1PM2205631</v>
          </cell>
          <cell r="B536" t="str">
            <v>CP1</v>
          </cell>
          <cell r="C536" t="str">
            <v>PM2205</v>
          </cell>
          <cell r="D536">
            <v>631</v>
          </cell>
          <cell r="E536" t="str">
            <v xml:space="preserve">   </v>
          </cell>
          <cell r="F536">
            <v>90205</v>
          </cell>
          <cell r="G536">
            <v>0</v>
          </cell>
          <cell r="H536">
            <v>0</v>
          </cell>
          <cell r="I536">
            <v>804</v>
          </cell>
          <cell r="J536">
            <v>836</v>
          </cell>
          <cell r="K536">
            <v>1</v>
          </cell>
          <cell r="L536">
            <v>0</v>
          </cell>
          <cell r="M536">
            <v>0</v>
          </cell>
          <cell r="N536">
            <v>14279844</v>
          </cell>
          <cell r="O536">
            <v>14848196</v>
          </cell>
          <cell r="P536">
            <v>17761</v>
          </cell>
          <cell r="Q536">
            <v>0</v>
          </cell>
          <cell r="R536">
            <v>0</v>
          </cell>
          <cell r="S536" t="str">
            <v xml:space="preserve"> </v>
          </cell>
          <cell r="T536" t="str">
            <v xml:space="preserve"> </v>
          </cell>
          <cell r="U536">
            <v>836</v>
          </cell>
          <cell r="V536">
            <v>14848196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835</v>
          </cell>
          <cell r="AD536">
            <v>14830435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1</v>
          </cell>
          <cell r="AJ536">
            <v>17761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17761</v>
          </cell>
          <cell r="AP536">
            <v>17761</v>
          </cell>
          <cell r="AQ536">
            <v>145000</v>
          </cell>
          <cell r="AR536">
            <v>0</v>
          </cell>
          <cell r="AS536">
            <v>8.16</v>
          </cell>
          <cell r="AT536">
            <v>121220000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1</v>
          </cell>
          <cell r="BH536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0</v>
          </cell>
          <cell r="DS536">
            <v>0</v>
          </cell>
          <cell r="DT536">
            <v>0</v>
          </cell>
          <cell r="DU536">
            <v>0</v>
          </cell>
          <cell r="DV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B536">
            <v>0</v>
          </cell>
          <cell r="EC536">
            <v>0</v>
          </cell>
          <cell r="ED536">
            <v>0</v>
          </cell>
          <cell r="EE536">
            <v>0</v>
          </cell>
          <cell r="EF536">
            <v>0</v>
          </cell>
          <cell r="EG536">
            <v>0</v>
          </cell>
          <cell r="EH536">
            <v>0</v>
          </cell>
          <cell r="EI536">
            <v>0</v>
          </cell>
          <cell r="EJ536">
            <v>0</v>
          </cell>
          <cell r="EK536">
            <v>0</v>
          </cell>
          <cell r="EL536">
            <v>0</v>
          </cell>
          <cell r="EM536">
            <v>0</v>
          </cell>
          <cell r="EN536">
            <v>0</v>
          </cell>
          <cell r="EO536" t="str">
            <v xml:space="preserve">ROLLING HILLS JACKET                                        </v>
          </cell>
        </row>
        <row r="537">
          <cell r="A537" t="str">
            <v>CP1PM2205996</v>
          </cell>
          <cell r="B537" t="str">
            <v>CP1</v>
          </cell>
          <cell r="C537" t="str">
            <v>PM2205</v>
          </cell>
          <cell r="D537">
            <v>996</v>
          </cell>
          <cell r="E537" t="str">
            <v xml:space="preserve">   </v>
          </cell>
          <cell r="F537">
            <v>90205</v>
          </cell>
          <cell r="G537">
            <v>0</v>
          </cell>
          <cell r="H537">
            <v>0</v>
          </cell>
          <cell r="I537">
            <v>804</v>
          </cell>
          <cell r="J537">
            <v>837</v>
          </cell>
          <cell r="K537">
            <v>1</v>
          </cell>
          <cell r="L537">
            <v>1</v>
          </cell>
          <cell r="M537">
            <v>1</v>
          </cell>
          <cell r="N537">
            <v>14279844</v>
          </cell>
          <cell r="O537">
            <v>14865957</v>
          </cell>
          <cell r="P537">
            <v>17761</v>
          </cell>
          <cell r="Q537">
            <v>17761</v>
          </cell>
          <cell r="R537">
            <v>145000</v>
          </cell>
          <cell r="S537" t="str">
            <v xml:space="preserve"> </v>
          </cell>
          <cell r="T537" t="str">
            <v xml:space="preserve"> </v>
          </cell>
          <cell r="U537">
            <v>837</v>
          </cell>
          <cell r="V537">
            <v>14865957</v>
          </cell>
          <cell r="W537">
            <v>1</v>
          </cell>
          <cell r="X537">
            <v>17761</v>
          </cell>
          <cell r="Y537">
            <v>0.12</v>
          </cell>
          <cell r="Z537">
            <v>0.12</v>
          </cell>
          <cell r="AA537">
            <v>17761</v>
          </cell>
          <cell r="AB537">
            <v>0</v>
          </cell>
          <cell r="AC537">
            <v>836</v>
          </cell>
          <cell r="AD537">
            <v>14848196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1</v>
          </cell>
          <cell r="AJ537">
            <v>17761</v>
          </cell>
          <cell r="AK537">
            <v>0</v>
          </cell>
          <cell r="AL537">
            <v>0</v>
          </cell>
          <cell r="AM537">
            <v>-1</v>
          </cell>
          <cell r="AN537">
            <v>-17761</v>
          </cell>
          <cell r="AO537">
            <v>17761</v>
          </cell>
          <cell r="AP537">
            <v>17761</v>
          </cell>
          <cell r="AQ537">
            <v>145000</v>
          </cell>
          <cell r="AR537">
            <v>0</v>
          </cell>
          <cell r="AS537">
            <v>8.16</v>
          </cell>
          <cell r="AT537">
            <v>121365000</v>
          </cell>
          <cell r="AU537">
            <v>8.16</v>
          </cell>
          <cell r="AV537">
            <v>145000</v>
          </cell>
          <cell r="AW537">
            <v>0</v>
          </cell>
          <cell r="AX537">
            <v>0</v>
          </cell>
          <cell r="AY537">
            <v>0.12</v>
          </cell>
          <cell r="AZ537">
            <v>0</v>
          </cell>
          <cell r="BA537">
            <v>1</v>
          </cell>
          <cell r="BB537">
            <v>0</v>
          </cell>
          <cell r="BC537">
            <v>1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1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1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1</v>
          </cell>
          <cell r="BV537">
            <v>1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>
            <v>0</v>
          </cell>
          <cell r="DS537">
            <v>0</v>
          </cell>
          <cell r="DT537">
            <v>0</v>
          </cell>
          <cell r="DU537">
            <v>0</v>
          </cell>
          <cell r="DV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0</v>
          </cell>
          <cell r="EA537">
            <v>0</v>
          </cell>
          <cell r="EB537">
            <v>0</v>
          </cell>
          <cell r="EC537">
            <v>0</v>
          </cell>
          <cell r="ED537">
            <v>0</v>
          </cell>
          <cell r="EE537">
            <v>0</v>
          </cell>
          <cell r="EF537">
            <v>0</v>
          </cell>
          <cell r="EG537">
            <v>0</v>
          </cell>
          <cell r="EH537">
            <v>0</v>
          </cell>
          <cell r="EI537">
            <v>0</v>
          </cell>
          <cell r="EJ537">
            <v>0</v>
          </cell>
          <cell r="EK537">
            <v>0</v>
          </cell>
          <cell r="EL537">
            <v>0</v>
          </cell>
          <cell r="EM537">
            <v>0</v>
          </cell>
          <cell r="EN537">
            <v>0</v>
          </cell>
          <cell r="EO537" t="str">
            <v xml:space="preserve">ROLLING HILLS JACKET                                        </v>
          </cell>
        </row>
        <row r="538">
          <cell r="A538" t="str">
            <v>CP1PM2727010</v>
          </cell>
          <cell r="B538" t="str">
            <v>CP1</v>
          </cell>
          <cell r="C538" t="str">
            <v>PM2727</v>
          </cell>
          <cell r="D538">
            <v>10</v>
          </cell>
          <cell r="E538" t="str">
            <v xml:space="preserve">   </v>
          </cell>
          <cell r="F538">
            <v>90216</v>
          </cell>
          <cell r="G538">
            <v>0</v>
          </cell>
          <cell r="H538">
            <v>0</v>
          </cell>
          <cell r="I538">
            <v>504</v>
          </cell>
          <cell r="J538">
            <v>402</v>
          </cell>
          <cell r="K538">
            <v>0</v>
          </cell>
          <cell r="L538">
            <v>0</v>
          </cell>
          <cell r="M538">
            <v>0</v>
          </cell>
          <cell r="N538">
            <v>26650512</v>
          </cell>
          <cell r="O538">
            <v>21256956</v>
          </cell>
          <cell r="P538">
            <v>0</v>
          </cell>
          <cell r="Q538">
            <v>0</v>
          </cell>
          <cell r="R538">
            <v>0</v>
          </cell>
          <cell r="S538" t="str">
            <v xml:space="preserve"> </v>
          </cell>
          <cell r="T538" t="str">
            <v xml:space="preserve"> </v>
          </cell>
          <cell r="U538">
            <v>402</v>
          </cell>
          <cell r="V538">
            <v>21256956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402</v>
          </cell>
          <cell r="AD538">
            <v>21256956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52878</v>
          </cell>
          <cell r="AP538">
            <v>52878</v>
          </cell>
          <cell r="AQ538">
            <v>178000</v>
          </cell>
          <cell r="AR538">
            <v>0</v>
          </cell>
          <cell r="AS538">
            <v>3.37</v>
          </cell>
          <cell r="AT538">
            <v>71556000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1</v>
          </cell>
          <cell r="BH538">
            <v>1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>
            <v>0</v>
          </cell>
          <cell r="DS538">
            <v>0</v>
          </cell>
          <cell r="DT538">
            <v>0</v>
          </cell>
          <cell r="DU538">
            <v>0</v>
          </cell>
          <cell r="DV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0</v>
          </cell>
          <cell r="EA538">
            <v>0</v>
          </cell>
          <cell r="EB538">
            <v>0</v>
          </cell>
          <cell r="EC538">
            <v>0</v>
          </cell>
          <cell r="ED538">
            <v>0</v>
          </cell>
          <cell r="EE538">
            <v>0</v>
          </cell>
          <cell r="EF538">
            <v>0</v>
          </cell>
          <cell r="EG538">
            <v>0</v>
          </cell>
          <cell r="EH538">
            <v>0</v>
          </cell>
          <cell r="EI538">
            <v>0</v>
          </cell>
          <cell r="EJ538">
            <v>0</v>
          </cell>
          <cell r="EK538">
            <v>0</v>
          </cell>
          <cell r="EL538">
            <v>0</v>
          </cell>
          <cell r="EM538">
            <v>0</v>
          </cell>
          <cell r="EN538">
            <v>0</v>
          </cell>
          <cell r="EO538" t="str">
            <v xml:space="preserve">WILDWOOD TRAIL JACKET                                       </v>
          </cell>
        </row>
        <row r="539">
          <cell r="A539" t="str">
            <v>CP1PM2727015</v>
          </cell>
          <cell r="B539" t="str">
            <v>CP1</v>
          </cell>
          <cell r="C539" t="str">
            <v>PM2727</v>
          </cell>
          <cell r="D539">
            <v>15</v>
          </cell>
          <cell r="E539" t="str">
            <v xml:space="preserve">   </v>
          </cell>
          <cell r="F539">
            <v>90216</v>
          </cell>
          <cell r="G539">
            <v>0</v>
          </cell>
          <cell r="H539">
            <v>0</v>
          </cell>
          <cell r="I539">
            <v>504</v>
          </cell>
          <cell r="J539">
            <v>402</v>
          </cell>
          <cell r="K539">
            <v>0</v>
          </cell>
          <cell r="L539">
            <v>0</v>
          </cell>
          <cell r="M539">
            <v>0</v>
          </cell>
          <cell r="N539">
            <v>26650512</v>
          </cell>
          <cell r="O539">
            <v>21256956</v>
          </cell>
          <cell r="P539">
            <v>0</v>
          </cell>
          <cell r="Q539">
            <v>0</v>
          </cell>
          <cell r="R539">
            <v>0</v>
          </cell>
          <cell r="S539" t="str">
            <v xml:space="preserve"> </v>
          </cell>
          <cell r="T539" t="str">
            <v xml:space="preserve"> </v>
          </cell>
          <cell r="U539">
            <v>402</v>
          </cell>
          <cell r="V539">
            <v>21256956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402</v>
          </cell>
          <cell r="AD539">
            <v>21256956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52878</v>
          </cell>
          <cell r="AP539">
            <v>52878</v>
          </cell>
          <cell r="AQ539">
            <v>178000</v>
          </cell>
          <cell r="AR539">
            <v>0</v>
          </cell>
          <cell r="AS539">
            <v>3.37</v>
          </cell>
          <cell r="AT539">
            <v>71556000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1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0</v>
          </cell>
          <cell r="DS539">
            <v>0</v>
          </cell>
          <cell r="DT539">
            <v>0</v>
          </cell>
          <cell r="DU539">
            <v>0</v>
          </cell>
          <cell r="DV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>
            <v>0</v>
          </cell>
          <cell r="EB539">
            <v>0</v>
          </cell>
          <cell r="EC539">
            <v>0</v>
          </cell>
          <cell r="ED539">
            <v>0</v>
          </cell>
          <cell r="EE539">
            <v>0</v>
          </cell>
          <cell r="EF539">
            <v>0</v>
          </cell>
          <cell r="EG539">
            <v>0</v>
          </cell>
          <cell r="EH539">
            <v>0</v>
          </cell>
          <cell r="EI539">
            <v>0</v>
          </cell>
          <cell r="EJ539">
            <v>0</v>
          </cell>
          <cell r="EK539">
            <v>0</v>
          </cell>
          <cell r="EL539">
            <v>0</v>
          </cell>
          <cell r="EM539">
            <v>0</v>
          </cell>
          <cell r="EN539">
            <v>0</v>
          </cell>
          <cell r="EO539" t="str">
            <v xml:space="preserve">WILDWOOD TRAIL JACKET                                       </v>
          </cell>
        </row>
        <row r="540">
          <cell r="A540" t="str">
            <v>CP1PM2727996</v>
          </cell>
          <cell r="B540" t="str">
            <v>CP1</v>
          </cell>
          <cell r="C540" t="str">
            <v>PM2727</v>
          </cell>
          <cell r="D540">
            <v>996</v>
          </cell>
          <cell r="E540" t="str">
            <v xml:space="preserve">   </v>
          </cell>
          <cell r="F540">
            <v>90216</v>
          </cell>
          <cell r="G540">
            <v>0</v>
          </cell>
          <cell r="H540">
            <v>0</v>
          </cell>
          <cell r="I540">
            <v>300</v>
          </cell>
          <cell r="J540">
            <v>300</v>
          </cell>
          <cell r="K540">
            <v>1</v>
          </cell>
          <cell r="L540">
            <v>0</v>
          </cell>
          <cell r="M540">
            <v>0</v>
          </cell>
          <cell r="N540">
            <v>15863400</v>
          </cell>
          <cell r="O540">
            <v>15863400</v>
          </cell>
          <cell r="P540">
            <v>52878</v>
          </cell>
          <cell r="Q540">
            <v>0</v>
          </cell>
          <cell r="R540">
            <v>0</v>
          </cell>
          <cell r="S540" t="str">
            <v xml:space="preserve"> </v>
          </cell>
          <cell r="T540" t="str">
            <v xml:space="preserve"> </v>
          </cell>
          <cell r="U540">
            <v>300</v>
          </cell>
          <cell r="V540">
            <v>15863400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299</v>
          </cell>
          <cell r="AD540">
            <v>15810522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1</v>
          </cell>
          <cell r="AJ540">
            <v>52878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52878</v>
          </cell>
          <cell r="AP540">
            <v>52878</v>
          </cell>
          <cell r="AQ540">
            <v>178000</v>
          </cell>
          <cell r="AR540">
            <v>0</v>
          </cell>
          <cell r="AS540">
            <v>3.37</v>
          </cell>
          <cell r="AT540">
            <v>53400000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1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0</v>
          </cell>
          <cell r="EA540">
            <v>0</v>
          </cell>
          <cell r="EB540">
            <v>0</v>
          </cell>
          <cell r="EC540">
            <v>0</v>
          </cell>
          <cell r="ED540">
            <v>0</v>
          </cell>
          <cell r="EE540">
            <v>0</v>
          </cell>
          <cell r="EF540">
            <v>0</v>
          </cell>
          <cell r="EG540">
            <v>0</v>
          </cell>
          <cell r="EH540">
            <v>0</v>
          </cell>
          <cell r="EI540">
            <v>0</v>
          </cell>
          <cell r="EJ540">
            <v>0</v>
          </cell>
          <cell r="EK540">
            <v>0</v>
          </cell>
          <cell r="EL540">
            <v>0</v>
          </cell>
          <cell r="EM540">
            <v>0</v>
          </cell>
          <cell r="EN540">
            <v>0</v>
          </cell>
          <cell r="EO540" t="str">
            <v xml:space="preserve">WILDWOOD TRAIL JACKET                                       </v>
          </cell>
        </row>
        <row r="541">
          <cell r="A541" t="str">
            <v>CP1PM8674010</v>
          </cell>
          <cell r="B541" t="str">
            <v>CP1</v>
          </cell>
          <cell r="C541" t="str">
            <v>PM8674</v>
          </cell>
          <cell r="D541">
            <v>10</v>
          </cell>
          <cell r="E541" t="str">
            <v xml:space="preserve">   </v>
          </cell>
          <cell r="F541">
            <v>90119</v>
          </cell>
          <cell r="G541">
            <v>90225</v>
          </cell>
          <cell r="H541">
            <v>0</v>
          </cell>
          <cell r="I541">
            <v>906</v>
          </cell>
          <cell r="J541">
            <v>906</v>
          </cell>
          <cell r="K541">
            <v>624</v>
          </cell>
          <cell r="L541">
            <v>17</v>
          </cell>
          <cell r="M541">
            <v>17</v>
          </cell>
          <cell r="N541">
            <v>20723844</v>
          </cell>
          <cell r="O541">
            <v>21933354</v>
          </cell>
          <cell r="P541">
            <v>15106416</v>
          </cell>
          <cell r="Q541">
            <v>411553</v>
          </cell>
          <cell r="R541">
            <v>1556800</v>
          </cell>
          <cell r="S541" t="str">
            <v xml:space="preserve"> </v>
          </cell>
          <cell r="T541" t="str">
            <v xml:space="preserve"> </v>
          </cell>
          <cell r="U541">
            <v>906</v>
          </cell>
          <cell r="V541">
            <v>21933354</v>
          </cell>
          <cell r="W541">
            <v>17</v>
          </cell>
          <cell r="X541">
            <v>411553</v>
          </cell>
          <cell r="Y541">
            <v>1.88</v>
          </cell>
          <cell r="Z541">
            <v>1.88</v>
          </cell>
          <cell r="AA541">
            <v>411553</v>
          </cell>
          <cell r="AB541">
            <v>0</v>
          </cell>
          <cell r="AC541">
            <v>282</v>
          </cell>
          <cell r="AD541">
            <v>6826938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</v>
          </cell>
          <cell r="AJ541">
            <v>24209</v>
          </cell>
          <cell r="AK541">
            <v>0</v>
          </cell>
          <cell r="AL541">
            <v>0</v>
          </cell>
          <cell r="AM541">
            <v>606</v>
          </cell>
          <cell r="AN541">
            <v>14670654</v>
          </cell>
          <cell r="AO541">
            <v>22874</v>
          </cell>
          <cell r="AP541">
            <v>24209</v>
          </cell>
          <cell r="AQ541">
            <v>98000</v>
          </cell>
          <cell r="AR541">
            <v>0</v>
          </cell>
          <cell r="AS541">
            <v>4.05</v>
          </cell>
          <cell r="AT541">
            <v>88788000</v>
          </cell>
          <cell r="AU541">
            <v>3.78</v>
          </cell>
          <cell r="AV541">
            <v>1556800</v>
          </cell>
          <cell r="AW541">
            <v>0</v>
          </cell>
          <cell r="AX541">
            <v>0</v>
          </cell>
          <cell r="AY541">
            <v>1.88</v>
          </cell>
          <cell r="AZ541">
            <v>0</v>
          </cell>
          <cell r="BA541">
            <v>17</v>
          </cell>
          <cell r="BB541">
            <v>0</v>
          </cell>
          <cell r="BC541">
            <v>17</v>
          </cell>
          <cell r="BD541">
            <v>0</v>
          </cell>
          <cell r="BE541">
            <v>0</v>
          </cell>
          <cell r="BF541">
            <v>0</v>
          </cell>
          <cell r="BG541">
            <v>1</v>
          </cell>
          <cell r="BH541">
            <v>1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15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15</v>
          </cell>
          <cell r="BV541">
            <v>17</v>
          </cell>
          <cell r="BW541">
            <v>2</v>
          </cell>
          <cell r="BX541">
            <v>2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  <cell r="ED541">
            <v>0</v>
          </cell>
          <cell r="EE541">
            <v>0</v>
          </cell>
          <cell r="EF541">
            <v>0</v>
          </cell>
          <cell r="EG541">
            <v>0</v>
          </cell>
          <cell r="EH541">
            <v>0</v>
          </cell>
          <cell r="EI541">
            <v>0</v>
          </cell>
          <cell r="EJ541">
            <v>0</v>
          </cell>
          <cell r="EK541">
            <v>0</v>
          </cell>
          <cell r="EL541">
            <v>0</v>
          </cell>
          <cell r="EM541">
            <v>0</v>
          </cell>
          <cell r="EN541">
            <v>0</v>
          </cell>
          <cell r="EO541" t="str">
            <v xml:space="preserve">WOODBRIDGE PANT                                             </v>
          </cell>
        </row>
        <row r="542">
          <cell r="A542" t="str">
            <v>CP1PM8674347</v>
          </cell>
          <cell r="B542" t="str">
            <v>CP1</v>
          </cell>
          <cell r="C542" t="str">
            <v>PM8674</v>
          </cell>
          <cell r="D542">
            <v>347</v>
          </cell>
          <cell r="E542" t="str">
            <v xml:space="preserve">   </v>
          </cell>
          <cell r="F542">
            <v>90119</v>
          </cell>
          <cell r="G542">
            <v>90225</v>
          </cell>
          <cell r="H542">
            <v>0</v>
          </cell>
          <cell r="I542">
            <v>600</v>
          </cell>
          <cell r="J542">
            <v>600</v>
          </cell>
          <cell r="K542">
            <v>445</v>
          </cell>
          <cell r="L542">
            <v>0</v>
          </cell>
          <cell r="M542">
            <v>0</v>
          </cell>
          <cell r="N542">
            <v>13724400</v>
          </cell>
          <cell r="O542">
            <v>14525400</v>
          </cell>
          <cell r="P542">
            <v>10773005</v>
          </cell>
          <cell r="Q542">
            <v>0</v>
          </cell>
          <cell r="R542">
            <v>0</v>
          </cell>
          <cell r="S542" t="str">
            <v xml:space="preserve"> </v>
          </cell>
          <cell r="T542" t="str">
            <v xml:space="preserve"> </v>
          </cell>
          <cell r="U542">
            <v>600</v>
          </cell>
          <cell r="V542">
            <v>14525400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155</v>
          </cell>
          <cell r="AD542">
            <v>3752395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</v>
          </cell>
          <cell r="AJ542">
            <v>24209</v>
          </cell>
          <cell r="AK542">
            <v>0</v>
          </cell>
          <cell r="AL542">
            <v>0</v>
          </cell>
          <cell r="AM542">
            <v>444</v>
          </cell>
          <cell r="AN542">
            <v>10748796</v>
          </cell>
          <cell r="AO542">
            <v>22874</v>
          </cell>
          <cell r="AP542">
            <v>24209</v>
          </cell>
          <cell r="AQ542">
            <v>98000</v>
          </cell>
          <cell r="AR542">
            <v>0</v>
          </cell>
          <cell r="AS542">
            <v>4.05</v>
          </cell>
          <cell r="AT542">
            <v>58800000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1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H542">
            <v>0</v>
          </cell>
          <cell r="EI542">
            <v>0</v>
          </cell>
          <cell r="EJ542">
            <v>0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 t="str">
            <v xml:space="preserve">WOODBRIDGE PANT                                             </v>
          </cell>
        </row>
        <row r="543">
          <cell r="A543" t="str">
            <v>CP1PM8678364</v>
          </cell>
          <cell r="B543" t="str">
            <v>CP1</v>
          </cell>
          <cell r="C543" t="str">
            <v>PM8678</v>
          </cell>
          <cell r="D543">
            <v>364</v>
          </cell>
          <cell r="E543" t="str">
            <v xml:space="preserve">   </v>
          </cell>
          <cell r="F543">
            <v>90211</v>
          </cell>
          <cell r="G543">
            <v>0</v>
          </cell>
          <cell r="H543">
            <v>0</v>
          </cell>
          <cell r="I543">
            <v>600</v>
          </cell>
          <cell r="J543">
            <v>604</v>
          </cell>
          <cell r="K543">
            <v>1</v>
          </cell>
          <cell r="L543">
            <v>0</v>
          </cell>
          <cell r="M543">
            <v>0</v>
          </cell>
          <cell r="N543">
            <v>10495200</v>
          </cell>
          <cell r="O543">
            <v>10565168</v>
          </cell>
          <cell r="P543">
            <v>17492</v>
          </cell>
          <cell r="Q543">
            <v>0</v>
          </cell>
          <cell r="R543">
            <v>0</v>
          </cell>
          <cell r="S543" t="str">
            <v xml:space="preserve"> </v>
          </cell>
          <cell r="T543" t="str">
            <v xml:space="preserve"> </v>
          </cell>
          <cell r="U543">
            <v>604</v>
          </cell>
          <cell r="V543">
            <v>10565168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603</v>
          </cell>
          <cell r="AD543">
            <v>10547676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1</v>
          </cell>
          <cell r="AJ543">
            <v>17492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17492</v>
          </cell>
          <cell r="AP543">
            <v>17492</v>
          </cell>
          <cell r="AQ543">
            <v>78000</v>
          </cell>
          <cell r="AR543">
            <v>0</v>
          </cell>
          <cell r="AS543">
            <v>4.46</v>
          </cell>
          <cell r="AT543">
            <v>47112000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1</v>
          </cell>
          <cell r="BH543">
            <v>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0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J543">
            <v>0</v>
          </cell>
          <cell r="EK543">
            <v>0</v>
          </cell>
          <cell r="EL543">
            <v>0</v>
          </cell>
          <cell r="EM543">
            <v>0</v>
          </cell>
          <cell r="EN543">
            <v>0</v>
          </cell>
          <cell r="EO543" t="str">
            <v xml:space="preserve">BLUESTEAM 3/4 PANT                                          </v>
          </cell>
        </row>
        <row r="544">
          <cell r="A544" t="str">
            <v>CP1PM8678465</v>
          </cell>
          <cell r="B544" t="str">
            <v>CP1</v>
          </cell>
          <cell r="C544" t="str">
            <v>PM8678</v>
          </cell>
          <cell r="D544">
            <v>465</v>
          </cell>
          <cell r="E544" t="str">
            <v xml:space="preserve">   </v>
          </cell>
          <cell r="F544">
            <v>90211</v>
          </cell>
          <cell r="G544">
            <v>0</v>
          </cell>
          <cell r="H544">
            <v>0</v>
          </cell>
          <cell r="I544">
            <v>600</v>
          </cell>
          <cell r="J544">
            <v>605</v>
          </cell>
          <cell r="K544">
            <v>1</v>
          </cell>
          <cell r="L544">
            <v>0</v>
          </cell>
          <cell r="M544">
            <v>0</v>
          </cell>
          <cell r="N544">
            <v>10495200</v>
          </cell>
          <cell r="O544">
            <v>10582660</v>
          </cell>
          <cell r="P544">
            <v>17492</v>
          </cell>
          <cell r="Q544">
            <v>0</v>
          </cell>
          <cell r="R544">
            <v>0</v>
          </cell>
          <cell r="S544" t="str">
            <v xml:space="preserve"> </v>
          </cell>
          <cell r="T544" t="str">
            <v xml:space="preserve"> </v>
          </cell>
          <cell r="U544">
            <v>605</v>
          </cell>
          <cell r="V544">
            <v>10582660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604</v>
          </cell>
          <cell r="AD544">
            <v>10565168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1</v>
          </cell>
          <cell r="AJ544">
            <v>17492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17492</v>
          </cell>
          <cell r="AP544">
            <v>17492</v>
          </cell>
          <cell r="AQ544">
            <v>78000</v>
          </cell>
          <cell r="AR544">
            <v>0</v>
          </cell>
          <cell r="AS544">
            <v>4.46</v>
          </cell>
          <cell r="AT544">
            <v>47190000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1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0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J544">
            <v>0</v>
          </cell>
          <cell r="EK544">
            <v>0</v>
          </cell>
          <cell r="EL544">
            <v>0</v>
          </cell>
          <cell r="EM544">
            <v>0</v>
          </cell>
          <cell r="EN544">
            <v>0</v>
          </cell>
          <cell r="EO544" t="str">
            <v xml:space="preserve">BLUESTEAM 3/4 PANT                                          </v>
          </cell>
        </row>
        <row r="545">
          <cell r="A545" t="str">
            <v>CP1PM8678810</v>
          </cell>
          <cell r="B545" t="str">
            <v>CP1</v>
          </cell>
          <cell r="C545" t="str">
            <v>PM8678</v>
          </cell>
          <cell r="D545">
            <v>810</v>
          </cell>
          <cell r="E545" t="str">
            <v xml:space="preserve">   </v>
          </cell>
          <cell r="F545">
            <v>90211</v>
          </cell>
          <cell r="G545">
            <v>0</v>
          </cell>
          <cell r="H545">
            <v>0</v>
          </cell>
          <cell r="I545">
            <v>504</v>
          </cell>
          <cell r="J545">
            <v>508</v>
          </cell>
          <cell r="K545">
            <v>1</v>
          </cell>
          <cell r="L545">
            <v>0</v>
          </cell>
          <cell r="M545">
            <v>0</v>
          </cell>
          <cell r="N545">
            <v>8815968</v>
          </cell>
          <cell r="O545">
            <v>8885936</v>
          </cell>
          <cell r="P545">
            <v>17492</v>
          </cell>
          <cell r="Q545">
            <v>0</v>
          </cell>
          <cell r="R545">
            <v>0</v>
          </cell>
          <cell r="S545" t="str">
            <v xml:space="preserve"> </v>
          </cell>
          <cell r="T545" t="str">
            <v xml:space="preserve"> </v>
          </cell>
          <cell r="U545">
            <v>508</v>
          </cell>
          <cell r="V545">
            <v>8885936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507</v>
          </cell>
          <cell r="AD545">
            <v>8868444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1</v>
          </cell>
          <cell r="AJ545">
            <v>17492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17492</v>
          </cell>
          <cell r="AP545">
            <v>17492</v>
          </cell>
          <cell r="AQ545">
            <v>78000</v>
          </cell>
          <cell r="AR545">
            <v>0</v>
          </cell>
          <cell r="AS545">
            <v>4.46</v>
          </cell>
          <cell r="AT545">
            <v>39624000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1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0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J545">
            <v>0</v>
          </cell>
          <cell r="EK545">
            <v>0</v>
          </cell>
          <cell r="EL545">
            <v>0</v>
          </cell>
          <cell r="EM545">
            <v>0</v>
          </cell>
          <cell r="EN545">
            <v>0</v>
          </cell>
          <cell r="EO545" t="str">
            <v xml:space="preserve">BLUESTEAM 3/4 PANT                                          </v>
          </cell>
        </row>
        <row r="546">
          <cell r="A546" t="str">
            <v>CP1PM8679010</v>
          </cell>
          <cell r="B546" t="str">
            <v>CP1</v>
          </cell>
          <cell r="C546" t="str">
            <v>PM8679</v>
          </cell>
          <cell r="D546">
            <v>10</v>
          </cell>
          <cell r="E546" t="str">
            <v xml:space="preserve">   </v>
          </cell>
          <cell r="F546">
            <v>90211</v>
          </cell>
          <cell r="G546">
            <v>0</v>
          </cell>
          <cell r="H546">
            <v>0</v>
          </cell>
          <cell r="I546">
            <v>906</v>
          </cell>
          <cell r="J546">
            <v>910</v>
          </cell>
          <cell r="K546">
            <v>1</v>
          </cell>
          <cell r="L546">
            <v>0</v>
          </cell>
          <cell r="M546">
            <v>0</v>
          </cell>
          <cell r="N546">
            <v>9081744</v>
          </cell>
          <cell r="O546">
            <v>9121840</v>
          </cell>
          <cell r="P546">
            <v>10024</v>
          </cell>
          <cell r="Q546">
            <v>0</v>
          </cell>
          <cell r="R546">
            <v>0</v>
          </cell>
          <cell r="S546" t="str">
            <v xml:space="preserve"> </v>
          </cell>
          <cell r="T546" t="str">
            <v xml:space="preserve"> </v>
          </cell>
          <cell r="U546">
            <v>910</v>
          </cell>
          <cell r="V546">
            <v>9121840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909</v>
          </cell>
          <cell r="AD546">
            <v>9111816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1</v>
          </cell>
          <cell r="AJ546">
            <v>10024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10024</v>
          </cell>
          <cell r="AP546">
            <v>10024</v>
          </cell>
          <cell r="AQ546">
            <v>73000</v>
          </cell>
          <cell r="AR546">
            <v>0</v>
          </cell>
          <cell r="AS546">
            <v>7.28</v>
          </cell>
          <cell r="AT546">
            <v>66430000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1</v>
          </cell>
          <cell r="BH546">
            <v>1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0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J546">
            <v>0</v>
          </cell>
          <cell r="EK546">
            <v>0</v>
          </cell>
          <cell r="EL546">
            <v>0</v>
          </cell>
          <cell r="EM546">
            <v>0</v>
          </cell>
          <cell r="EN546">
            <v>0</v>
          </cell>
          <cell r="EO546" t="str">
            <v xml:space="preserve">CAMP HILL 3/4 PANT                                          </v>
          </cell>
        </row>
        <row r="547">
          <cell r="A547" t="str">
            <v>CP1PM8679053</v>
          </cell>
          <cell r="B547" t="str">
            <v>CP1</v>
          </cell>
          <cell r="C547" t="str">
            <v>PM8679</v>
          </cell>
          <cell r="D547">
            <v>53</v>
          </cell>
          <cell r="E547" t="str">
            <v xml:space="preserve">   </v>
          </cell>
          <cell r="F547">
            <v>90211</v>
          </cell>
          <cell r="G547">
            <v>0</v>
          </cell>
          <cell r="H547">
            <v>0</v>
          </cell>
          <cell r="I547">
            <v>600</v>
          </cell>
          <cell r="J547">
            <v>600</v>
          </cell>
          <cell r="K547">
            <v>1</v>
          </cell>
          <cell r="L547">
            <v>0</v>
          </cell>
          <cell r="M547">
            <v>0</v>
          </cell>
          <cell r="N547">
            <v>6014400</v>
          </cell>
          <cell r="O547">
            <v>6014400</v>
          </cell>
          <cell r="P547">
            <v>10024</v>
          </cell>
          <cell r="Q547">
            <v>0</v>
          </cell>
          <cell r="R547">
            <v>0</v>
          </cell>
          <cell r="S547" t="str">
            <v xml:space="preserve"> </v>
          </cell>
          <cell r="T547" t="str">
            <v xml:space="preserve"> </v>
          </cell>
          <cell r="U547">
            <v>600</v>
          </cell>
          <cell r="V547">
            <v>6014400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599</v>
          </cell>
          <cell r="AD547">
            <v>6004376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</v>
          </cell>
          <cell r="AJ547">
            <v>10024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10024</v>
          </cell>
          <cell r="AP547">
            <v>10024</v>
          </cell>
          <cell r="AQ547">
            <v>73000</v>
          </cell>
          <cell r="AR547">
            <v>0</v>
          </cell>
          <cell r="AS547">
            <v>7.28</v>
          </cell>
          <cell r="AT547">
            <v>43800000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0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J547">
            <v>0</v>
          </cell>
          <cell r="EK547">
            <v>0</v>
          </cell>
          <cell r="EL547">
            <v>0</v>
          </cell>
          <cell r="EM547">
            <v>0</v>
          </cell>
          <cell r="EN547">
            <v>0</v>
          </cell>
          <cell r="EO547" t="str">
            <v xml:space="preserve">CAMP HILL 3/4 PANT                                          </v>
          </cell>
        </row>
        <row r="548">
          <cell r="A548" t="str">
            <v>CP1PM8679275</v>
          </cell>
          <cell r="B548" t="str">
            <v>CP1</v>
          </cell>
          <cell r="C548" t="str">
            <v>PM8679</v>
          </cell>
          <cell r="D548">
            <v>275</v>
          </cell>
          <cell r="E548" t="str">
            <v xml:space="preserve">   </v>
          </cell>
          <cell r="F548">
            <v>90211</v>
          </cell>
          <cell r="G548">
            <v>0</v>
          </cell>
          <cell r="H548">
            <v>0</v>
          </cell>
          <cell r="I548">
            <v>600</v>
          </cell>
          <cell r="J548">
            <v>606</v>
          </cell>
          <cell r="K548">
            <v>1</v>
          </cell>
          <cell r="L548">
            <v>0</v>
          </cell>
          <cell r="M548">
            <v>0</v>
          </cell>
          <cell r="N548">
            <v>6014400</v>
          </cell>
          <cell r="O548">
            <v>6074544</v>
          </cell>
          <cell r="P548">
            <v>10024</v>
          </cell>
          <cell r="Q548">
            <v>0</v>
          </cell>
          <cell r="R548">
            <v>0</v>
          </cell>
          <cell r="S548" t="str">
            <v xml:space="preserve"> </v>
          </cell>
          <cell r="T548" t="str">
            <v xml:space="preserve"> </v>
          </cell>
          <cell r="U548">
            <v>606</v>
          </cell>
          <cell r="V548">
            <v>6074544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605</v>
          </cell>
          <cell r="AD548">
            <v>6064520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1</v>
          </cell>
          <cell r="AJ548">
            <v>10024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10024</v>
          </cell>
          <cell r="AP548">
            <v>10024</v>
          </cell>
          <cell r="AQ548">
            <v>73000</v>
          </cell>
          <cell r="AR548">
            <v>0</v>
          </cell>
          <cell r="AS548">
            <v>7.28</v>
          </cell>
          <cell r="AT548">
            <v>44238000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1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J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 t="str">
            <v xml:space="preserve">CAMP HILL 3/4 PANT                                          </v>
          </cell>
        </row>
        <row r="549">
          <cell r="A549" t="str">
            <v>CP1RB2102010</v>
          </cell>
          <cell r="B549" t="str">
            <v>CP1</v>
          </cell>
          <cell r="C549" t="str">
            <v>RB2102</v>
          </cell>
          <cell r="D549">
            <v>10</v>
          </cell>
          <cell r="E549" t="str">
            <v xml:space="preserve">   </v>
          </cell>
          <cell r="F549">
            <v>90119</v>
          </cell>
          <cell r="G549">
            <v>90225</v>
          </cell>
          <cell r="H549">
            <v>0</v>
          </cell>
          <cell r="I549">
            <v>402</v>
          </cell>
          <cell r="J549">
            <v>398</v>
          </cell>
          <cell r="K549">
            <v>324</v>
          </cell>
          <cell r="L549">
            <v>9</v>
          </cell>
          <cell r="M549">
            <v>9</v>
          </cell>
          <cell r="N549">
            <v>7296702</v>
          </cell>
          <cell r="O549">
            <v>8201586</v>
          </cell>
          <cell r="P549">
            <v>6676668</v>
          </cell>
          <cell r="Q549">
            <v>185463</v>
          </cell>
          <cell r="R549">
            <v>955300</v>
          </cell>
          <cell r="S549" t="str">
            <v xml:space="preserve"> </v>
          </cell>
          <cell r="T549" t="str">
            <v xml:space="preserve"> </v>
          </cell>
          <cell r="U549">
            <v>398</v>
          </cell>
          <cell r="V549">
            <v>8201586</v>
          </cell>
          <cell r="W549">
            <v>9</v>
          </cell>
          <cell r="X549">
            <v>185463</v>
          </cell>
          <cell r="Y549">
            <v>2.2599999999999998</v>
          </cell>
          <cell r="Z549">
            <v>2.2599999999999998</v>
          </cell>
          <cell r="AA549">
            <v>185463</v>
          </cell>
          <cell r="AB549">
            <v>0</v>
          </cell>
          <cell r="AC549">
            <v>74</v>
          </cell>
          <cell r="AD549">
            <v>1524918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20607</v>
          </cell>
          <cell r="AK549">
            <v>0</v>
          </cell>
          <cell r="AL549">
            <v>0</v>
          </cell>
          <cell r="AM549">
            <v>314</v>
          </cell>
          <cell r="AN549">
            <v>6470598</v>
          </cell>
          <cell r="AO549">
            <v>18151</v>
          </cell>
          <cell r="AP549">
            <v>20607</v>
          </cell>
          <cell r="AQ549">
            <v>118000</v>
          </cell>
          <cell r="AR549">
            <v>0</v>
          </cell>
          <cell r="AS549">
            <v>5.73</v>
          </cell>
          <cell r="AT549">
            <v>46964000</v>
          </cell>
          <cell r="AU549">
            <v>5.15</v>
          </cell>
          <cell r="AV549">
            <v>955300</v>
          </cell>
          <cell r="AW549">
            <v>0</v>
          </cell>
          <cell r="AX549">
            <v>0</v>
          </cell>
          <cell r="AY549">
            <v>2.2599999999999998</v>
          </cell>
          <cell r="AZ549">
            <v>0</v>
          </cell>
          <cell r="BA549">
            <v>9</v>
          </cell>
          <cell r="BB549">
            <v>0</v>
          </cell>
          <cell r="BC549">
            <v>9</v>
          </cell>
          <cell r="BD549">
            <v>0</v>
          </cell>
          <cell r="BE549">
            <v>0</v>
          </cell>
          <cell r="BF549">
            <v>0</v>
          </cell>
          <cell r="BG549">
            <v>1</v>
          </cell>
          <cell r="BH549">
            <v>1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8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8</v>
          </cell>
          <cell r="BV549">
            <v>9</v>
          </cell>
          <cell r="BW549">
            <v>1</v>
          </cell>
          <cell r="BX549">
            <v>1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 t="str">
            <v xml:space="preserve">WILD RIVER JACKET                                           </v>
          </cell>
        </row>
        <row r="550">
          <cell r="A550" t="str">
            <v>CP1RB2102431</v>
          </cell>
          <cell r="B550" t="str">
            <v>CP1</v>
          </cell>
          <cell r="C550" t="str">
            <v>RB2102</v>
          </cell>
          <cell r="D550">
            <v>431</v>
          </cell>
          <cell r="E550" t="str">
            <v xml:space="preserve">   </v>
          </cell>
          <cell r="F550">
            <v>90119</v>
          </cell>
          <cell r="G550">
            <v>90225</v>
          </cell>
          <cell r="H550">
            <v>0</v>
          </cell>
          <cell r="I550">
            <v>402</v>
          </cell>
          <cell r="J550">
            <v>399</v>
          </cell>
          <cell r="K550">
            <v>325</v>
          </cell>
          <cell r="L550">
            <v>19</v>
          </cell>
          <cell r="M550">
            <v>19</v>
          </cell>
          <cell r="N550">
            <v>7296702</v>
          </cell>
          <cell r="O550">
            <v>8222193</v>
          </cell>
          <cell r="P550">
            <v>6697275</v>
          </cell>
          <cell r="Q550">
            <v>391533</v>
          </cell>
          <cell r="R550">
            <v>2050700</v>
          </cell>
          <cell r="S550" t="str">
            <v xml:space="preserve"> </v>
          </cell>
          <cell r="T550" t="str">
            <v xml:space="preserve"> </v>
          </cell>
          <cell r="U550">
            <v>399</v>
          </cell>
          <cell r="V550">
            <v>8222193</v>
          </cell>
          <cell r="W550">
            <v>19</v>
          </cell>
          <cell r="X550">
            <v>391533</v>
          </cell>
          <cell r="Y550">
            <v>4.76</v>
          </cell>
          <cell r="Z550">
            <v>4.76</v>
          </cell>
          <cell r="AA550">
            <v>391533</v>
          </cell>
          <cell r="AB550">
            <v>0</v>
          </cell>
          <cell r="AC550">
            <v>74</v>
          </cell>
          <cell r="AD550">
            <v>1524918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1</v>
          </cell>
          <cell r="AJ550">
            <v>20607</v>
          </cell>
          <cell r="AK550">
            <v>0</v>
          </cell>
          <cell r="AL550">
            <v>0</v>
          </cell>
          <cell r="AM550">
            <v>305</v>
          </cell>
          <cell r="AN550">
            <v>6285135</v>
          </cell>
          <cell r="AO550">
            <v>18151</v>
          </cell>
          <cell r="AP550">
            <v>20607</v>
          </cell>
          <cell r="AQ550">
            <v>118000</v>
          </cell>
          <cell r="AR550">
            <v>0</v>
          </cell>
          <cell r="AS550">
            <v>5.73</v>
          </cell>
          <cell r="AT550">
            <v>47082000</v>
          </cell>
          <cell r="AU550">
            <v>5.24</v>
          </cell>
          <cell r="AV550">
            <v>2050700</v>
          </cell>
          <cell r="AW550">
            <v>0</v>
          </cell>
          <cell r="AX550">
            <v>0</v>
          </cell>
          <cell r="AY550">
            <v>4.76</v>
          </cell>
          <cell r="AZ550">
            <v>0</v>
          </cell>
          <cell r="BA550">
            <v>19</v>
          </cell>
          <cell r="BB550">
            <v>0</v>
          </cell>
          <cell r="BC550">
            <v>19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1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10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10</v>
          </cell>
          <cell r="BV550">
            <v>19</v>
          </cell>
          <cell r="BW550">
            <v>9</v>
          </cell>
          <cell r="BX550">
            <v>9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0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0</v>
          </cell>
          <cell r="EF550">
            <v>0</v>
          </cell>
          <cell r="EG550">
            <v>0</v>
          </cell>
          <cell r="EH550">
            <v>0</v>
          </cell>
          <cell r="EI550">
            <v>0</v>
          </cell>
          <cell r="EJ550">
            <v>0</v>
          </cell>
          <cell r="EK550">
            <v>0</v>
          </cell>
          <cell r="EL550">
            <v>0</v>
          </cell>
          <cell r="EM550">
            <v>0</v>
          </cell>
          <cell r="EN550">
            <v>0</v>
          </cell>
          <cell r="EO550" t="str">
            <v xml:space="preserve">WILD RIVER JACKET                                           </v>
          </cell>
        </row>
        <row r="551">
          <cell r="A551" t="str">
            <v>CP1RG2101481</v>
          </cell>
          <cell r="B551" t="str">
            <v>CP1</v>
          </cell>
          <cell r="C551" t="str">
            <v>RG2101</v>
          </cell>
          <cell r="D551">
            <v>481</v>
          </cell>
          <cell r="E551" t="str">
            <v xml:space="preserve">   </v>
          </cell>
          <cell r="F551">
            <v>90119</v>
          </cell>
          <cell r="G551">
            <v>90225</v>
          </cell>
          <cell r="H551">
            <v>0</v>
          </cell>
          <cell r="I551">
            <v>402</v>
          </cell>
          <cell r="J551">
            <v>384</v>
          </cell>
          <cell r="K551">
            <v>319</v>
          </cell>
          <cell r="L551">
            <v>2</v>
          </cell>
          <cell r="M551">
            <v>2</v>
          </cell>
          <cell r="N551">
            <v>6863748</v>
          </cell>
          <cell r="O551">
            <v>7445376</v>
          </cell>
          <cell r="P551">
            <v>6185091</v>
          </cell>
          <cell r="Q551">
            <v>38778</v>
          </cell>
          <cell r="R551">
            <v>200100</v>
          </cell>
          <cell r="S551" t="str">
            <v xml:space="preserve"> </v>
          </cell>
          <cell r="T551" t="str">
            <v xml:space="preserve"> </v>
          </cell>
          <cell r="U551">
            <v>384</v>
          </cell>
          <cell r="V551">
            <v>7445376</v>
          </cell>
          <cell r="W551">
            <v>2</v>
          </cell>
          <cell r="X551">
            <v>38778</v>
          </cell>
          <cell r="Y551">
            <v>0.52</v>
          </cell>
          <cell r="Z551">
            <v>0.52</v>
          </cell>
          <cell r="AA551">
            <v>38778</v>
          </cell>
          <cell r="AB551">
            <v>0</v>
          </cell>
          <cell r="AC551">
            <v>65</v>
          </cell>
          <cell r="AD551">
            <v>1260285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1</v>
          </cell>
          <cell r="AJ551">
            <v>19389</v>
          </cell>
          <cell r="AK551">
            <v>0</v>
          </cell>
          <cell r="AL551">
            <v>0</v>
          </cell>
          <cell r="AM551">
            <v>316</v>
          </cell>
          <cell r="AN551">
            <v>6126924</v>
          </cell>
          <cell r="AO551">
            <v>17074</v>
          </cell>
          <cell r="AP551">
            <v>19389</v>
          </cell>
          <cell r="AQ551">
            <v>118000</v>
          </cell>
          <cell r="AR551">
            <v>0</v>
          </cell>
          <cell r="AS551">
            <v>6.09</v>
          </cell>
          <cell r="AT551">
            <v>45312000</v>
          </cell>
          <cell r="AU551">
            <v>5.16</v>
          </cell>
          <cell r="AV551">
            <v>200100</v>
          </cell>
          <cell r="AW551">
            <v>0</v>
          </cell>
          <cell r="AX551">
            <v>0</v>
          </cell>
          <cell r="AY551">
            <v>0.52</v>
          </cell>
          <cell r="AZ551">
            <v>0</v>
          </cell>
          <cell r="BA551">
            <v>2</v>
          </cell>
          <cell r="BB551">
            <v>0</v>
          </cell>
          <cell r="BC551">
            <v>2</v>
          </cell>
          <cell r="BD551">
            <v>0</v>
          </cell>
          <cell r="BE551">
            <v>0</v>
          </cell>
          <cell r="BF551">
            <v>0</v>
          </cell>
          <cell r="BG551">
            <v>1</v>
          </cell>
          <cell r="BH551">
            <v>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1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1</v>
          </cell>
          <cell r="BV551">
            <v>2</v>
          </cell>
          <cell r="BW551">
            <v>1</v>
          </cell>
          <cell r="BX551">
            <v>1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0</v>
          </cell>
          <cell r="DW551">
            <v>0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  <cell r="ED551">
            <v>0</v>
          </cell>
          <cell r="EE551">
            <v>0</v>
          </cell>
          <cell r="EF551">
            <v>0</v>
          </cell>
          <cell r="EG551">
            <v>0</v>
          </cell>
          <cell r="EH551">
            <v>0</v>
          </cell>
          <cell r="EI551">
            <v>0</v>
          </cell>
          <cell r="EJ551">
            <v>0</v>
          </cell>
          <cell r="EK551">
            <v>0</v>
          </cell>
          <cell r="EL551">
            <v>0</v>
          </cell>
          <cell r="EM551">
            <v>0</v>
          </cell>
          <cell r="EN551">
            <v>0</v>
          </cell>
          <cell r="EO551" t="str">
            <v xml:space="preserve">WILDWOOD WOW JACKET                                         </v>
          </cell>
        </row>
        <row r="552">
          <cell r="A552" t="str">
            <v>CP1RG2101683</v>
          </cell>
          <cell r="B552" t="str">
            <v>CP1</v>
          </cell>
          <cell r="C552" t="str">
            <v>RG2101</v>
          </cell>
          <cell r="D552">
            <v>683</v>
          </cell>
          <cell r="E552" t="str">
            <v xml:space="preserve">   </v>
          </cell>
          <cell r="F552">
            <v>90119</v>
          </cell>
          <cell r="G552">
            <v>90225</v>
          </cell>
          <cell r="H552">
            <v>0</v>
          </cell>
          <cell r="I552">
            <v>402</v>
          </cell>
          <cell r="J552">
            <v>395</v>
          </cell>
          <cell r="K552">
            <v>319</v>
          </cell>
          <cell r="L552">
            <v>1</v>
          </cell>
          <cell r="M552">
            <v>1</v>
          </cell>
          <cell r="N552">
            <v>6863748</v>
          </cell>
          <cell r="O552">
            <v>7658655</v>
          </cell>
          <cell r="P552">
            <v>6185091</v>
          </cell>
          <cell r="Q552">
            <v>19389</v>
          </cell>
          <cell r="R552">
            <v>112100</v>
          </cell>
          <cell r="S552" t="str">
            <v xml:space="preserve"> </v>
          </cell>
          <cell r="T552" t="str">
            <v xml:space="preserve"> </v>
          </cell>
          <cell r="U552">
            <v>395</v>
          </cell>
          <cell r="V552">
            <v>7658655</v>
          </cell>
          <cell r="W552">
            <v>1</v>
          </cell>
          <cell r="X552">
            <v>19389</v>
          </cell>
          <cell r="Y552">
            <v>0.25</v>
          </cell>
          <cell r="Z552">
            <v>0.25</v>
          </cell>
          <cell r="AA552">
            <v>19389</v>
          </cell>
          <cell r="AB552">
            <v>0</v>
          </cell>
          <cell r="AC552">
            <v>76</v>
          </cell>
          <cell r="AD552">
            <v>1473564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</v>
          </cell>
          <cell r="AJ552">
            <v>19389</v>
          </cell>
          <cell r="AK552">
            <v>0</v>
          </cell>
          <cell r="AL552">
            <v>0</v>
          </cell>
          <cell r="AM552">
            <v>317</v>
          </cell>
          <cell r="AN552">
            <v>6146313</v>
          </cell>
          <cell r="AO552">
            <v>17074</v>
          </cell>
          <cell r="AP552">
            <v>19389</v>
          </cell>
          <cell r="AQ552">
            <v>118000</v>
          </cell>
          <cell r="AR552">
            <v>0</v>
          </cell>
          <cell r="AS552">
            <v>6.09</v>
          </cell>
          <cell r="AT552">
            <v>46610000</v>
          </cell>
          <cell r="AU552">
            <v>5.78</v>
          </cell>
          <cell r="AV552">
            <v>112100</v>
          </cell>
          <cell r="AW552">
            <v>0</v>
          </cell>
          <cell r="AX552">
            <v>0</v>
          </cell>
          <cell r="AY552">
            <v>0.25</v>
          </cell>
          <cell r="AZ552">
            <v>0</v>
          </cell>
          <cell r="BA552">
            <v>1</v>
          </cell>
          <cell r="BB552">
            <v>0</v>
          </cell>
          <cell r="BC552">
            <v>1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1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1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1</v>
          </cell>
          <cell r="BV552">
            <v>1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H552">
            <v>0</v>
          </cell>
          <cell r="EI552">
            <v>0</v>
          </cell>
          <cell r="EJ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 t="str">
            <v xml:space="preserve">WILDWOOD WOW JACKET                                         </v>
          </cell>
        </row>
        <row r="553">
          <cell r="A553" t="str">
            <v>CP1SL2276481</v>
          </cell>
          <cell r="B553" t="str">
            <v>CP1</v>
          </cell>
          <cell r="C553" t="str">
            <v>SL2276</v>
          </cell>
          <cell r="D553">
            <v>481</v>
          </cell>
          <cell r="E553" t="str">
            <v xml:space="preserve">   </v>
          </cell>
          <cell r="F553">
            <v>90209</v>
          </cell>
          <cell r="G553">
            <v>90211</v>
          </cell>
          <cell r="H553">
            <v>0</v>
          </cell>
          <cell r="I553">
            <v>600</v>
          </cell>
          <cell r="J553">
            <v>598</v>
          </cell>
          <cell r="K553">
            <v>487</v>
          </cell>
          <cell r="L553">
            <v>23</v>
          </cell>
          <cell r="M553">
            <v>23</v>
          </cell>
          <cell r="N553">
            <v>17244000</v>
          </cell>
          <cell r="O553">
            <v>17186520</v>
          </cell>
          <cell r="P553">
            <v>13996380</v>
          </cell>
          <cell r="Q553">
            <v>661020</v>
          </cell>
          <cell r="R553">
            <v>3971000</v>
          </cell>
          <cell r="S553" t="str">
            <v xml:space="preserve"> </v>
          </cell>
          <cell r="T553" t="str">
            <v xml:space="preserve"> </v>
          </cell>
          <cell r="U553">
            <v>598</v>
          </cell>
          <cell r="V553">
            <v>17186520</v>
          </cell>
          <cell r="W553">
            <v>23</v>
          </cell>
          <cell r="X553">
            <v>661020</v>
          </cell>
          <cell r="Y553">
            <v>3.85</v>
          </cell>
          <cell r="Z553">
            <v>3.85</v>
          </cell>
          <cell r="AA553">
            <v>661020</v>
          </cell>
          <cell r="AB553">
            <v>0</v>
          </cell>
          <cell r="AC553">
            <v>111</v>
          </cell>
          <cell r="AD553">
            <v>3190140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1</v>
          </cell>
          <cell r="AJ553">
            <v>28740</v>
          </cell>
          <cell r="AK553">
            <v>0</v>
          </cell>
          <cell r="AL553">
            <v>0</v>
          </cell>
          <cell r="AM553">
            <v>463</v>
          </cell>
          <cell r="AN553">
            <v>13306620</v>
          </cell>
          <cell r="AO553">
            <v>28740</v>
          </cell>
          <cell r="AP553">
            <v>28740</v>
          </cell>
          <cell r="AQ553">
            <v>185000</v>
          </cell>
          <cell r="AR553">
            <v>0</v>
          </cell>
          <cell r="AS553">
            <v>6.44</v>
          </cell>
          <cell r="AT553">
            <v>110630000</v>
          </cell>
          <cell r="AU553">
            <v>6.01</v>
          </cell>
          <cell r="AV553">
            <v>3971000</v>
          </cell>
          <cell r="AW553">
            <v>0</v>
          </cell>
          <cell r="AX553">
            <v>0</v>
          </cell>
          <cell r="AY553">
            <v>3.85</v>
          </cell>
          <cell r="AZ553">
            <v>0</v>
          </cell>
          <cell r="BA553">
            <v>23</v>
          </cell>
          <cell r="BB553">
            <v>0</v>
          </cell>
          <cell r="BC553">
            <v>23</v>
          </cell>
          <cell r="BD553">
            <v>0</v>
          </cell>
          <cell r="BE553">
            <v>0</v>
          </cell>
          <cell r="BF553">
            <v>0</v>
          </cell>
          <cell r="BG553">
            <v>1</v>
          </cell>
          <cell r="BH553">
            <v>1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19</v>
          </cell>
          <cell r="BQ553">
            <v>0</v>
          </cell>
          <cell r="BR553">
            <v>0</v>
          </cell>
          <cell r="BS553">
            <v>4</v>
          </cell>
          <cell r="BT553">
            <v>6</v>
          </cell>
          <cell r="BU553">
            <v>9</v>
          </cell>
          <cell r="BV553">
            <v>13</v>
          </cell>
          <cell r="BW553">
            <v>4</v>
          </cell>
          <cell r="BX553">
            <v>4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0</v>
          </cell>
          <cell r="EG553">
            <v>0</v>
          </cell>
          <cell r="EH553">
            <v>0</v>
          </cell>
          <cell r="EI553">
            <v>0</v>
          </cell>
          <cell r="EJ553">
            <v>0</v>
          </cell>
          <cell r="EK553">
            <v>0</v>
          </cell>
          <cell r="EL553">
            <v>0</v>
          </cell>
          <cell r="EM553">
            <v>0</v>
          </cell>
          <cell r="EN553">
            <v>0</v>
          </cell>
          <cell r="EO553" t="str">
            <v xml:space="preserve">ROCK BEAUTY RAIN JACKET                                     </v>
          </cell>
        </row>
        <row r="554">
          <cell r="A554" t="str">
            <v>CP1SL2276610</v>
          </cell>
          <cell r="B554" t="str">
            <v>CP1</v>
          </cell>
          <cell r="C554" t="str">
            <v>SL2276</v>
          </cell>
          <cell r="D554">
            <v>610</v>
          </cell>
          <cell r="E554" t="str">
            <v xml:space="preserve">   </v>
          </cell>
          <cell r="F554">
            <v>90209</v>
          </cell>
          <cell r="G554">
            <v>90211</v>
          </cell>
          <cell r="H554">
            <v>0</v>
          </cell>
          <cell r="I554">
            <v>600</v>
          </cell>
          <cell r="J554">
            <v>599</v>
          </cell>
          <cell r="K554">
            <v>538</v>
          </cell>
          <cell r="L554">
            <v>89</v>
          </cell>
          <cell r="M554">
            <v>89</v>
          </cell>
          <cell r="N554">
            <v>17244000</v>
          </cell>
          <cell r="O554">
            <v>17215260</v>
          </cell>
          <cell r="P554">
            <v>15462120</v>
          </cell>
          <cell r="Q554">
            <v>2557860</v>
          </cell>
          <cell r="R554">
            <v>15407000</v>
          </cell>
          <cell r="S554" t="str">
            <v xml:space="preserve"> </v>
          </cell>
          <cell r="T554" t="str">
            <v xml:space="preserve"> </v>
          </cell>
          <cell r="U554">
            <v>599</v>
          </cell>
          <cell r="V554">
            <v>17215260</v>
          </cell>
          <cell r="W554">
            <v>89</v>
          </cell>
          <cell r="X554">
            <v>2557860</v>
          </cell>
          <cell r="Y554">
            <v>14.86</v>
          </cell>
          <cell r="Z554">
            <v>14.86</v>
          </cell>
          <cell r="AA554">
            <v>2557860</v>
          </cell>
          <cell r="AB554">
            <v>0</v>
          </cell>
          <cell r="AC554">
            <v>61</v>
          </cell>
          <cell r="AD554">
            <v>1753140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</v>
          </cell>
          <cell r="AJ554">
            <v>28740</v>
          </cell>
          <cell r="AK554">
            <v>0</v>
          </cell>
          <cell r="AL554">
            <v>0</v>
          </cell>
          <cell r="AM554">
            <v>448</v>
          </cell>
          <cell r="AN554">
            <v>12875520</v>
          </cell>
          <cell r="AO554">
            <v>28740</v>
          </cell>
          <cell r="AP554">
            <v>28740</v>
          </cell>
          <cell r="AQ554">
            <v>185000</v>
          </cell>
          <cell r="AR554">
            <v>0</v>
          </cell>
          <cell r="AS554">
            <v>6.44</v>
          </cell>
          <cell r="AT554">
            <v>110815000</v>
          </cell>
          <cell r="AU554">
            <v>6.02</v>
          </cell>
          <cell r="AV554">
            <v>15407000</v>
          </cell>
          <cell r="AW554">
            <v>0</v>
          </cell>
          <cell r="AX554">
            <v>0</v>
          </cell>
          <cell r="AY554">
            <v>14.86</v>
          </cell>
          <cell r="AZ554">
            <v>0</v>
          </cell>
          <cell r="BA554">
            <v>89</v>
          </cell>
          <cell r="BB554">
            <v>0</v>
          </cell>
          <cell r="BC554">
            <v>89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1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80</v>
          </cell>
          <cell r="BQ554">
            <v>0</v>
          </cell>
          <cell r="BR554">
            <v>0</v>
          </cell>
          <cell r="BS554">
            <v>21</v>
          </cell>
          <cell r="BT554">
            <v>39</v>
          </cell>
          <cell r="BU554">
            <v>20</v>
          </cell>
          <cell r="BV554">
            <v>29</v>
          </cell>
          <cell r="BW554">
            <v>9</v>
          </cell>
          <cell r="BX554">
            <v>9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0</v>
          </cell>
          <cell r="EG554">
            <v>0</v>
          </cell>
          <cell r="EH554">
            <v>0</v>
          </cell>
          <cell r="EI554">
            <v>0</v>
          </cell>
          <cell r="EJ554">
            <v>0</v>
          </cell>
          <cell r="EK554">
            <v>0</v>
          </cell>
          <cell r="EL554">
            <v>0</v>
          </cell>
          <cell r="EM554">
            <v>0</v>
          </cell>
          <cell r="EN554">
            <v>0</v>
          </cell>
          <cell r="EO554" t="str">
            <v xml:space="preserve">ROCK BEAUTY RAIN JACKET                                     </v>
          </cell>
        </row>
        <row r="555">
          <cell r="A555" t="str">
            <v>CP1SL2277100</v>
          </cell>
          <cell r="B555" t="str">
            <v>CP1</v>
          </cell>
          <cell r="C555" t="str">
            <v>SL2277</v>
          </cell>
          <cell r="D555">
            <v>100</v>
          </cell>
          <cell r="E555" t="str">
            <v xml:space="preserve">   </v>
          </cell>
          <cell r="F555">
            <v>90209</v>
          </cell>
          <cell r="G555">
            <v>90211</v>
          </cell>
          <cell r="H555">
            <v>0</v>
          </cell>
          <cell r="I555">
            <v>402</v>
          </cell>
          <cell r="J555">
            <v>402</v>
          </cell>
          <cell r="K555">
            <v>366</v>
          </cell>
          <cell r="L555">
            <v>16</v>
          </cell>
          <cell r="M555">
            <v>16</v>
          </cell>
          <cell r="N555">
            <v>10817820</v>
          </cell>
          <cell r="O555">
            <v>10817820</v>
          </cell>
          <cell r="P555">
            <v>9849060</v>
          </cell>
          <cell r="Q555">
            <v>430560</v>
          </cell>
          <cell r="R555">
            <v>2814500</v>
          </cell>
          <cell r="S555" t="str">
            <v xml:space="preserve"> </v>
          </cell>
          <cell r="T555" t="str">
            <v xml:space="preserve"> </v>
          </cell>
          <cell r="U555">
            <v>402</v>
          </cell>
          <cell r="V555">
            <v>10817820</v>
          </cell>
          <cell r="W555">
            <v>16</v>
          </cell>
          <cell r="X555">
            <v>430560</v>
          </cell>
          <cell r="Y555">
            <v>3.98</v>
          </cell>
          <cell r="Z555">
            <v>3.98</v>
          </cell>
          <cell r="AA555">
            <v>430560</v>
          </cell>
          <cell r="AB555">
            <v>0</v>
          </cell>
          <cell r="AC555">
            <v>36</v>
          </cell>
          <cell r="AD555">
            <v>968760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1</v>
          </cell>
          <cell r="AJ555">
            <v>26910</v>
          </cell>
          <cell r="AK555">
            <v>0</v>
          </cell>
          <cell r="AL555">
            <v>0</v>
          </cell>
          <cell r="AM555">
            <v>349</v>
          </cell>
          <cell r="AN555">
            <v>9391590</v>
          </cell>
          <cell r="AO555">
            <v>26910</v>
          </cell>
          <cell r="AP555">
            <v>26910</v>
          </cell>
          <cell r="AQ555">
            <v>185000</v>
          </cell>
          <cell r="AR555">
            <v>0</v>
          </cell>
          <cell r="AS555">
            <v>6.87</v>
          </cell>
          <cell r="AT555">
            <v>74370000</v>
          </cell>
          <cell r="AU555">
            <v>6.54</v>
          </cell>
          <cell r="AV555">
            <v>2814500</v>
          </cell>
          <cell r="AW555">
            <v>0</v>
          </cell>
          <cell r="AX555">
            <v>0</v>
          </cell>
          <cell r="AY555">
            <v>3.98</v>
          </cell>
          <cell r="AZ555">
            <v>0</v>
          </cell>
          <cell r="BA555">
            <v>16</v>
          </cell>
          <cell r="BB555">
            <v>0</v>
          </cell>
          <cell r="BC555">
            <v>16</v>
          </cell>
          <cell r="BD555">
            <v>0</v>
          </cell>
          <cell r="BE555">
            <v>0</v>
          </cell>
          <cell r="BF555">
            <v>0</v>
          </cell>
          <cell r="BG555">
            <v>1</v>
          </cell>
          <cell r="BH555">
            <v>1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12</v>
          </cell>
          <cell r="BQ555">
            <v>0</v>
          </cell>
          <cell r="BR555">
            <v>0</v>
          </cell>
          <cell r="BS555">
            <v>7</v>
          </cell>
          <cell r="BT555">
            <v>3</v>
          </cell>
          <cell r="BU555">
            <v>2</v>
          </cell>
          <cell r="BV555">
            <v>6</v>
          </cell>
          <cell r="BW555">
            <v>4</v>
          </cell>
          <cell r="BX555">
            <v>4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0</v>
          </cell>
          <cell r="EG555">
            <v>0</v>
          </cell>
          <cell r="EH555">
            <v>0</v>
          </cell>
          <cell r="EI555">
            <v>0</v>
          </cell>
          <cell r="EJ555">
            <v>0</v>
          </cell>
          <cell r="EK555">
            <v>0</v>
          </cell>
          <cell r="EL555">
            <v>0</v>
          </cell>
          <cell r="EM555">
            <v>0</v>
          </cell>
          <cell r="EN555">
            <v>0</v>
          </cell>
          <cell r="EO555" t="str">
            <v xml:space="preserve">FOREST FLIP RAIN JACKET                                     </v>
          </cell>
        </row>
        <row r="556">
          <cell r="A556" t="str">
            <v>CP1SL2277465</v>
          </cell>
          <cell r="B556" t="str">
            <v>CP1</v>
          </cell>
          <cell r="C556" t="str">
            <v>SL2277</v>
          </cell>
          <cell r="D556">
            <v>465</v>
          </cell>
          <cell r="E556" t="str">
            <v xml:space="preserve">   </v>
          </cell>
          <cell r="F556">
            <v>90209</v>
          </cell>
          <cell r="G556">
            <v>90211</v>
          </cell>
          <cell r="H556">
            <v>0</v>
          </cell>
          <cell r="I556">
            <v>600</v>
          </cell>
          <cell r="J556">
            <v>599</v>
          </cell>
          <cell r="K556">
            <v>477</v>
          </cell>
          <cell r="L556">
            <v>13</v>
          </cell>
          <cell r="M556">
            <v>13</v>
          </cell>
          <cell r="N556">
            <v>16146000</v>
          </cell>
          <cell r="O556">
            <v>16119090</v>
          </cell>
          <cell r="P556">
            <v>12836070</v>
          </cell>
          <cell r="Q556">
            <v>349830</v>
          </cell>
          <cell r="R556">
            <v>2321750</v>
          </cell>
          <cell r="S556" t="str">
            <v xml:space="preserve"> </v>
          </cell>
          <cell r="T556" t="str">
            <v xml:space="preserve"> </v>
          </cell>
          <cell r="U556">
            <v>599</v>
          </cell>
          <cell r="V556">
            <v>16119090</v>
          </cell>
          <cell r="W556">
            <v>13</v>
          </cell>
          <cell r="X556">
            <v>349830</v>
          </cell>
          <cell r="Y556">
            <v>2.17</v>
          </cell>
          <cell r="Z556">
            <v>2.17</v>
          </cell>
          <cell r="AA556">
            <v>349830</v>
          </cell>
          <cell r="AB556">
            <v>0</v>
          </cell>
          <cell r="AC556">
            <v>122</v>
          </cell>
          <cell r="AD556">
            <v>3283020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</v>
          </cell>
          <cell r="AJ556">
            <v>26910</v>
          </cell>
          <cell r="AK556">
            <v>0</v>
          </cell>
          <cell r="AL556">
            <v>0</v>
          </cell>
          <cell r="AM556">
            <v>463</v>
          </cell>
          <cell r="AN556">
            <v>12459330</v>
          </cell>
          <cell r="AO556">
            <v>26910</v>
          </cell>
          <cell r="AP556">
            <v>26910</v>
          </cell>
          <cell r="AQ556">
            <v>185000</v>
          </cell>
          <cell r="AR556">
            <v>0</v>
          </cell>
          <cell r="AS556">
            <v>6.87</v>
          </cell>
          <cell r="AT556">
            <v>110815000</v>
          </cell>
          <cell r="AU556">
            <v>6.64</v>
          </cell>
          <cell r="AV556">
            <v>2321750</v>
          </cell>
          <cell r="AW556">
            <v>0</v>
          </cell>
          <cell r="AX556">
            <v>0</v>
          </cell>
          <cell r="AY556">
            <v>2.17</v>
          </cell>
          <cell r="AZ556">
            <v>0</v>
          </cell>
          <cell r="BA556">
            <v>13</v>
          </cell>
          <cell r="BB556">
            <v>0</v>
          </cell>
          <cell r="BC556">
            <v>13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1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12</v>
          </cell>
          <cell r="BQ556">
            <v>0</v>
          </cell>
          <cell r="BR556">
            <v>0</v>
          </cell>
          <cell r="BS556">
            <v>2</v>
          </cell>
          <cell r="BT556">
            <v>5</v>
          </cell>
          <cell r="BU556">
            <v>5</v>
          </cell>
          <cell r="BV556">
            <v>6</v>
          </cell>
          <cell r="BW556">
            <v>1</v>
          </cell>
          <cell r="BX556">
            <v>1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0</v>
          </cell>
          <cell r="EG556">
            <v>0</v>
          </cell>
          <cell r="EH556">
            <v>0</v>
          </cell>
          <cell r="EI556">
            <v>0</v>
          </cell>
          <cell r="EJ556">
            <v>0</v>
          </cell>
          <cell r="EK556">
            <v>0</v>
          </cell>
          <cell r="EL556">
            <v>0</v>
          </cell>
          <cell r="EM556">
            <v>0</v>
          </cell>
          <cell r="EN556">
            <v>0</v>
          </cell>
          <cell r="EO556" t="str">
            <v xml:space="preserve">FOREST FLIP RAIN JACKET                                     </v>
          </cell>
        </row>
        <row r="557">
          <cell r="A557" t="str">
            <v>CP1SL6514010</v>
          </cell>
          <cell r="B557" t="str">
            <v>CP1</v>
          </cell>
          <cell r="C557" t="str">
            <v>SL6514</v>
          </cell>
          <cell r="D557">
            <v>10</v>
          </cell>
          <cell r="E557" t="str">
            <v xml:space="preserve">   </v>
          </cell>
          <cell r="F557">
            <v>90203</v>
          </cell>
          <cell r="G557">
            <v>90204</v>
          </cell>
          <cell r="H557">
            <v>0</v>
          </cell>
          <cell r="I557">
            <v>804</v>
          </cell>
          <cell r="J557">
            <v>804</v>
          </cell>
          <cell r="K557">
            <v>644</v>
          </cell>
          <cell r="L557">
            <v>125</v>
          </cell>
          <cell r="M557">
            <v>125</v>
          </cell>
          <cell r="N557">
            <v>13738752</v>
          </cell>
          <cell r="O557">
            <v>13738752</v>
          </cell>
          <cell r="P557">
            <v>11004672</v>
          </cell>
          <cell r="Q557">
            <v>2136000</v>
          </cell>
          <cell r="R557">
            <v>12480600</v>
          </cell>
          <cell r="S557" t="str">
            <v xml:space="preserve"> </v>
          </cell>
          <cell r="T557" t="str">
            <v xml:space="preserve"> </v>
          </cell>
          <cell r="U557">
            <v>804</v>
          </cell>
          <cell r="V557">
            <v>13738752</v>
          </cell>
          <cell r="W557">
            <v>125</v>
          </cell>
          <cell r="X557">
            <v>2136000</v>
          </cell>
          <cell r="Y557">
            <v>15.55</v>
          </cell>
          <cell r="Z557">
            <v>15.55</v>
          </cell>
          <cell r="AA557">
            <v>2136000</v>
          </cell>
          <cell r="AB557">
            <v>0</v>
          </cell>
          <cell r="AC557">
            <v>160</v>
          </cell>
          <cell r="AD557">
            <v>2734080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1</v>
          </cell>
          <cell r="AJ557">
            <v>17088</v>
          </cell>
          <cell r="AK557">
            <v>0</v>
          </cell>
          <cell r="AL557">
            <v>0</v>
          </cell>
          <cell r="AM557">
            <v>518</v>
          </cell>
          <cell r="AN557">
            <v>8851584</v>
          </cell>
          <cell r="AO557">
            <v>17088</v>
          </cell>
          <cell r="AP557">
            <v>17088</v>
          </cell>
          <cell r="AQ557">
            <v>108000</v>
          </cell>
          <cell r="AR557">
            <v>0</v>
          </cell>
          <cell r="AS557">
            <v>6.32</v>
          </cell>
          <cell r="AT557">
            <v>86832000</v>
          </cell>
          <cell r="AU557">
            <v>5.84</v>
          </cell>
          <cell r="AV557">
            <v>12480600</v>
          </cell>
          <cell r="AW557">
            <v>0</v>
          </cell>
          <cell r="AX557">
            <v>0</v>
          </cell>
          <cell r="AY557">
            <v>15.55</v>
          </cell>
          <cell r="AZ557">
            <v>0</v>
          </cell>
          <cell r="BA557">
            <v>125</v>
          </cell>
          <cell r="BB557">
            <v>0</v>
          </cell>
          <cell r="BC557">
            <v>125</v>
          </cell>
          <cell r="BD557">
            <v>0</v>
          </cell>
          <cell r="BE557">
            <v>0</v>
          </cell>
          <cell r="BF557">
            <v>0</v>
          </cell>
          <cell r="BG557">
            <v>1</v>
          </cell>
          <cell r="BH557">
            <v>1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117</v>
          </cell>
          <cell r="BQ557">
            <v>0</v>
          </cell>
          <cell r="BR557">
            <v>24</v>
          </cell>
          <cell r="BS557">
            <v>25</v>
          </cell>
          <cell r="BT557">
            <v>32</v>
          </cell>
          <cell r="BU557">
            <v>36</v>
          </cell>
          <cell r="BV557">
            <v>44</v>
          </cell>
          <cell r="BW557">
            <v>8</v>
          </cell>
          <cell r="BX557">
            <v>8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  <cell r="ED557">
            <v>0</v>
          </cell>
          <cell r="EE557">
            <v>0</v>
          </cell>
          <cell r="EF557">
            <v>0</v>
          </cell>
          <cell r="EG557">
            <v>0</v>
          </cell>
          <cell r="EH557">
            <v>0</v>
          </cell>
          <cell r="EI557">
            <v>0</v>
          </cell>
          <cell r="EJ557">
            <v>0</v>
          </cell>
          <cell r="EK557">
            <v>0</v>
          </cell>
          <cell r="EL557">
            <v>0</v>
          </cell>
          <cell r="EM557">
            <v>0</v>
          </cell>
          <cell r="EN557">
            <v>0</v>
          </cell>
          <cell r="EO557" t="str">
            <v xml:space="preserve">SUREFIRE SOFTSHELL JACKET                                   </v>
          </cell>
        </row>
        <row r="558">
          <cell r="A558" t="str">
            <v>CP1SL6514671</v>
          </cell>
          <cell r="B558" t="str">
            <v>CP1</v>
          </cell>
          <cell r="C558" t="str">
            <v>SL6514</v>
          </cell>
          <cell r="D558">
            <v>671</v>
          </cell>
          <cell r="E558" t="str">
            <v xml:space="preserve">   </v>
          </cell>
          <cell r="F558">
            <v>90203</v>
          </cell>
          <cell r="G558">
            <v>90204</v>
          </cell>
          <cell r="H558">
            <v>0</v>
          </cell>
          <cell r="I558">
            <v>804</v>
          </cell>
          <cell r="J558">
            <v>804</v>
          </cell>
          <cell r="K558">
            <v>619</v>
          </cell>
          <cell r="L558">
            <v>106</v>
          </cell>
          <cell r="M558">
            <v>106</v>
          </cell>
          <cell r="N558">
            <v>13738752</v>
          </cell>
          <cell r="O558">
            <v>13738752</v>
          </cell>
          <cell r="P558">
            <v>10577472</v>
          </cell>
          <cell r="Q558">
            <v>1811328</v>
          </cell>
          <cell r="R558">
            <v>10547800</v>
          </cell>
          <cell r="S558" t="str">
            <v xml:space="preserve"> </v>
          </cell>
          <cell r="T558" t="str">
            <v xml:space="preserve"> </v>
          </cell>
          <cell r="U558">
            <v>804</v>
          </cell>
          <cell r="V558">
            <v>13738752</v>
          </cell>
          <cell r="W558">
            <v>106</v>
          </cell>
          <cell r="X558">
            <v>1811328</v>
          </cell>
          <cell r="Y558">
            <v>13.18</v>
          </cell>
          <cell r="Z558">
            <v>13.18</v>
          </cell>
          <cell r="AA558">
            <v>1811328</v>
          </cell>
          <cell r="AB558">
            <v>0</v>
          </cell>
          <cell r="AC558">
            <v>185</v>
          </cell>
          <cell r="AD558">
            <v>3161280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</v>
          </cell>
          <cell r="AJ558">
            <v>17088</v>
          </cell>
          <cell r="AK558">
            <v>0</v>
          </cell>
          <cell r="AL558">
            <v>0</v>
          </cell>
          <cell r="AM558">
            <v>512</v>
          </cell>
          <cell r="AN558">
            <v>8749056</v>
          </cell>
          <cell r="AO558">
            <v>17088</v>
          </cell>
          <cell r="AP558">
            <v>17088</v>
          </cell>
          <cell r="AQ558">
            <v>108000</v>
          </cell>
          <cell r="AR558">
            <v>0</v>
          </cell>
          <cell r="AS558">
            <v>6.32</v>
          </cell>
          <cell r="AT558">
            <v>86832000</v>
          </cell>
          <cell r="AU558">
            <v>5.82</v>
          </cell>
          <cell r="AV558">
            <v>10547800</v>
          </cell>
          <cell r="AW558">
            <v>0</v>
          </cell>
          <cell r="AX558">
            <v>0</v>
          </cell>
          <cell r="AY558">
            <v>13.18</v>
          </cell>
          <cell r="AZ558">
            <v>0</v>
          </cell>
          <cell r="BA558">
            <v>106</v>
          </cell>
          <cell r="BB558">
            <v>0</v>
          </cell>
          <cell r="BC558">
            <v>106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1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97</v>
          </cell>
          <cell r="BQ558">
            <v>0</v>
          </cell>
          <cell r="BR558">
            <v>18</v>
          </cell>
          <cell r="BS558">
            <v>31</v>
          </cell>
          <cell r="BT558">
            <v>19</v>
          </cell>
          <cell r="BU558">
            <v>29</v>
          </cell>
          <cell r="BV558">
            <v>38</v>
          </cell>
          <cell r="BW558">
            <v>9</v>
          </cell>
          <cell r="BX558">
            <v>9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  <cell r="ED558">
            <v>0</v>
          </cell>
          <cell r="EE558">
            <v>0</v>
          </cell>
          <cell r="EF558">
            <v>0</v>
          </cell>
          <cell r="EG558">
            <v>0</v>
          </cell>
          <cell r="EH558">
            <v>0</v>
          </cell>
          <cell r="EI558">
            <v>0</v>
          </cell>
          <cell r="EJ558">
            <v>0</v>
          </cell>
          <cell r="EK558">
            <v>0</v>
          </cell>
          <cell r="EL558">
            <v>0</v>
          </cell>
          <cell r="EM558">
            <v>0</v>
          </cell>
          <cell r="EN558">
            <v>0</v>
          </cell>
          <cell r="EO558" t="str">
            <v xml:space="preserve">SUREFIRE SOFTSHELL JACKET                                   </v>
          </cell>
        </row>
        <row r="559">
          <cell r="A559" t="str">
            <v>CP1SM2233011</v>
          </cell>
          <cell r="B559" t="str">
            <v>CP1</v>
          </cell>
          <cell r="C559" t="str">
            <v>SM2233</v>
          </cell>
          <cell r="D559">
            <v>11</v>
          </cell>
          <cell r="E559" t="str">
            <v xml:space="preserve">   </v>
          </cell>
          <cell r="F559">
            <v>0</v>
          </cell>
          <cell r="G559">
            <v>0</v>
          </cell>
          <cell r="H559">
            <v>0</v>
          </cell>
          <cell r="I559">
            <v>600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23040600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 t="str">
            <v xml:space="preserve"> </v>
          </cell>
          <cell r="T559" t="str">
            <v xml:space="preserve"> 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38401</v>
          </cell>
          <cell r="AP559">
            <v>38401</v>
          </cell>
          <cell r="AQ559">
            <v>278000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1</v>
          </cell>
          <cell r="BH559">
            <v>1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0</v>
          </cell>
          <cell r="EA559">
            <v>0</v>
          </cell>
          <cell r="EB559">
            <v>0</v>
          </cell>
          <cell r="EC559">
            <v>0</v>
          </cell>
          <cell r="ED559">
            <v>0</v>
          </cell>
          <cell r="EE559">
            <v>0</v>
          </cell>
          <cell r="EF559">
            <v>0</v>
          </cell>
          <cell r="EG559">
            <v>0</v>
          </cell>
          <cell r="EH559">
            <v>0</v>
          </cell>
          <cell r="EI559">
            <v>0</v>
          </cell>
          <cell r="EJ559">
            <v>0</v>
          </cell>
          <cell r="EK559">
            <v>0</v>
          </cell>
          <cell r="EL559">
            <v>0</v>
          </cell>
          <cell r="EM559">
            <v>0</v>
          </cell>
          <cell r="EN559">
            <v>0</v>
          </cell>
          <cell r="EO559" t="str">
            <v xml:space="preserve">MATCH PLAY SHELL                                            </v>
          </cell>
        </row>
        <row r="560">
          <cell r="A560" t="str">
            <v>CP1SM2233425</v>
          </cell>
          <cell r="B560" t="str">
            <v>CP1</v>
          </cell>
          <cell r="C560" t="str">
            <v>SM2233</v>
          </cell>
          <cell r="D560">
            <v>425</v>
          </cell>
          <cell r="E560" t="str">
            <v xml:space="preserve">   </v>
          </cell>
          <cell r="F560">
            <v>0</v>
          </cell>
          <cell r="G560">
            <v>0</v>
          </cell>
          <cell r="H560">
            <v>0</v>
          </cell>
          <cell r="I560">
            <v>600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23040600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 t="str">
            <v xml:space="preserve"> </v>
          </cell>
          <cell r="T560" t="str">
            <v xml:space="preserve"> 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38401</v>
          </cell>
          <cell r="AP560">
            <v>38401</v>
          </cell>
          <cell r="AQ560">
            <v>278000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1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0</v>
          </cell>
          <cell r="EG560">
            <v>0</v>
          </cell>
          <cell r="EH560">
            <v>0</v>
          </cell>
          <cell r="EI560">
            <v>0</v>
          </cell>
          <cell r="EJ560">
            <v>0</v>
          </cell>
          <cell r="EK560">
            <v>0</v>
          </cell>
          <cell r="EL560">
            <v>0</v>
          </cell>
          <cell r="EM560">
            <v>0</v>
          </cell>
          <cell r="EN560">
            <v>0</v>
          </cell>
          <cell r="EO560" t="str">
            <v xml:space="preserve">MATCH PLAY SHELL                                            </v>
          </cell>
        </row>
        <row r="561">
          <cell r="A561" t="str">
            <v>CP1TE7228077</v>
          </cell>
          <cell r="B561" t="str">
            <v>CP1</v>
          </cell>
          <cell r="C561" t="str">
            <v>TE7228</v>
          </cell>
          <cell r="D561">
            <v>77</v>
          </cell>
          <cell r="E561" t="str">
            <v xml:space="preserve">   </v>
          </cell>
          <cell r="F561">
            <v>90203</v>
          </cell>
          <cell r="G561">
            <v>90225</v>
          </cell>
          <cell r="H561">
            <v>0</v>
          </cell>
          <cell r="I561">
            <v>600</v>
          </cell>
          <cell r="J561">
            <v>600</v>
          </cell>
          <cell r="K561">
            <v>580</v>
          </cell>
          <cell r="L561">
            <v>7</v>
          </cell>
          <cell r="M561">
            <v>7</v>
          </cell>
          <cell r="N561">
            <v>6063000</v>
          </cell>
          <cell r="O561">
            <v>6063000</v>
          </cell>
          <cell r="P561">
            <v>5860900</v>
          </cell>
          <cell r="Q561">
            <v>70735</v>
          </cell>
          <cell r="R561">
            <v>545200</v>
          </cell>
          <cell r="S561" t="str">
            <v xml:space="preserve"> </v>
          </cell>
          <cell r="T561" t="str">
            <v xml:space="preserve"> </v>
          </cell>
          <cell r="U561">
            <v>600</v>
          </cell>
          <cell r="V561">
            <v>6063000</v>
          </cell>
          <cell r="W561">
            <v>7</v>
          </cell>
          <cell r="X561">
            <v>70735</v>
          </cell>
          <cell r="Y561">
            <v>1.17</v>
          </cell>
          <cell r="Z561">
            <v>1.17</v>
          </cell>
          <cell r="AA561">
            <v>70735</v>
          </cell>
          <cell r="AB561">
            <v>0</v>
          </cell>
          <cell r="AC561">
            <v>20</v>
          </cell>
          <cell r="AD561">
            <v>202100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1</v>
          </cell>
          <cell r="AJ561">
            <v>10105</v>
          </cell>
          <cell r="AK561">
            <v>0</v>
          </cell>
          <cell r="AL561">
            <v>0</v>
          </cell>
          <cell r="AM561">
            <v>572</v>
          </cell>
          <cell r="AN561">
            <v>5780060</v>
          </cell>
          <cell r="AO561">
            <v>10105</v>
          </cell>
          <cell r="AP561">
            <v>10105</v>
          </cell>
          <cell r="AQ561">
            <v>89000</v>
          </cell>
          <cell r="AR561">
            <v>0</v>
          </cell>
          <cell r="AS561">
            <v>8.81</v>
          </cell>
          <cell r="AT561">
            <v>53400000</v>
          </cell>
          <cell r="AU561">
            <v>7.71</v>
          </cell>
          <cell r="AV561">
            <v>545200</v>
          </cell>
          <cell r="AW561">
            <v>0</v>
          </cell>
          <cell r="AX561">
            <v>0</v>
          </cell>
          <cell r="AY561">
            <v>1.17</v>
          </cell>
          <cell r="AZ561">
            <v>0</v>
          </cell>
          <cell r="BA561">
            <v>7</v>
          </cell>
          <cell r="BB561">
            <v>0</v>
          </cell>
          <cell r="BC561">
            <v>7</v>
          </cell>
          <cell r="BD561">
            <v>0</v>
          </cell>
          <cell r="BE561">
            <v>0</v>
          </cell>
          <cell r="BF561">
            <v>0</v>
          </cell>
          <cell r="BG561">
            <v>1</v>
          </cell>
          <cell r="BH561">
            <v>1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6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6</v>
          </cell>
          <cell r="BV561">
            <v>7</v>
          </cell>
          <cell r="BW561">
            <v>1</v>
          </cell>
          <cell r="BX561">
            <v>1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0</v>
          </cell>
          <cell r="EG561">
            <v>0</v>
          </cell>
          <cell r="EH561">
            <v>0</v>
          </cell>
          <cell r="EI561">
            <v>0</v>
          </cell>
          <cell r="EJ561">
            <v>0</v>
          </cell>
          <cell r="EK561">
            <v>0</v>
          </cell>
          <cell r="EL561">
            <v>0</v>
          </cell>
          <cell r="EM561">
            <v>0</v>
          </cell>
          <cell r="EN561">
            <v>0</v>
          </cell>
          <cell r="EO561" t="str">
            <v xml:space="preserve">OMNI DRY SILVER 2 PLAID L/S SHIRT                           </v>
          </cell>
        </row>
        <row r="562">
          <cell r="A562" t="str">
            <v>CP1TE7228160</v>
          </cell>
          <cell r="B562" t="str">
            <v>CP1</v>
          </cell>
          <cell r="C562" t="str">
            <v>TE7228</v>
          </cell>
          <cell r="D562">
            <v>160</v>
          </cell>
          <cell r="E562" t="str">
            <v xml:space="preserve">   </v>
          </cell>
          <cell r="F562">
            <v>90203</v>
          </cell>
          <cell r="G562">
            <v>90225</v>
          </cell>
          <cell r="H562">
            <v>0</v>
          </cell>
          <cell r="I562">
            <v>804</v>
          </cell>
          <cell r="J562">
            <v>804</v>
          </cell>
          <cell r="K562">
            <v>696</v>
          </cell>
          <cell r="L562">
            <v>13</v>
          </cell>
          <cell r="M562">
            <v>13</v>
          </cell>
          <cell r="N562">
            <v>8124420</v>
          </cell>
          <cell r="O562">
            <v>8124420</v>
          </cell>
          <cell r="P562">
            <v>7033080</v>
          </cell>
          <cell r="Q562">
            <v>131365</v>
          </cell>
          <cell r="R562">
            <v>1100300</v>
          </cell>
          <cell r="S562" t="str">
            <v xml:space="preserve"> </v>
          </cell>
          <cell r="T562" t="str">
            <v xml:space="preserve"> </v>
          </cell>
          <cell r="U562">
            <v>804</v>
          </cell>
          <cell r="V562">
            <v>8124420</v>
          </cell>
          <cell r="W562">
            <v>13</v>
          </cell>
          <cell r="X562">
            <v>131365</v>
          </cell>
          <cell r="Y562">
            <v>1.62</v>
          </cell>
          <cell r="Z562">
            <v>1.62</v>
          </cell>
          <cell r="AA562">
            <v>131365</v>
          </cell>
          <cell r="AB562">
            <v>0</v>
          </cell>
          <cell r="AC562">
            <v>108</v>
          </cell>
          <cell r="AD562">
            <v>1091340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1</v>
          </cell>
          <cell r="AJ562">
            <v>10105</v>
          </cell>
          <cell r="AK562">
            <v>0</v>
          </cell>
          <cell r="AL562">
            <v>0</v>
          </cell>
          <cell r="AM562">
            <v>682</v>
          </cell>
          <cell r="AN562">
            <v>6891610</v>
          </cell>
          <cell r="AO562">
            <v>10105</v>
          </cell>
          <cell r="AP562">
            <v>10105</v>
          </cell>
          <cell r="AQ562">
            <v>89000</v>
          </cell>
          <cell r="AR562">
            <v>0</v>
          </cell>
          <cell r="AS562">
            <v>8.81</v>
          </cell>
          <cell r="AT562">
            <v>71556000</v>
          </cell>
          <cell r="AU562">
            <v>8.3800000000000008</v>
          </cell>
          <cell r="AV562">
            <v>1100300</v>
          </cell>
          <cell r="AW562">
            <v>0</v>
          </cell>
          <cell r="AX562">
            <v>0</v>
          </cell>
          <cell r="AY562">
            <v>1.62</v>
          </cell>
          <cell r="AZ562">
            <v>0</v>
          </cell>
          <cell r="BA562">
            <v>13</v>
          </cell>
          <cell r="BB562">
            <v>0</v>
          </cell>
          <cell r="BC562">
            <v>13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1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6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6</v>
          </cell>
          <cell r="BV562">
            <v>13</v>
          </cell>
          <cell r="BW562">
            <v>7</v>
          </cell>
          <cell r="BX562">
            <v>7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>
            <v>0</v>
          </cell>
          <cell r="EI562">
            <v>0</v>
          </cell>
          <cell r="EJ562">
            <v>0</v>
          </cell>
          <cell r="EK562">
            <v>0</v>
          </cell>
          <cell r="EL562">
            <v>0</v>
          </cell>
          <cell r="EM562">
            <v>0</v>
          </cell>
          <cell r="EN562">
            <v>0</v>
          </cell>
          <cell r="EO562" t="str">
            <v xml:space="preserve">OMNI DRY SILVER 2 PLAID L/S SHIRT                           </v>
          </cell>
        </row>
        <row r="563">
          <cell r="A563" t="str">
            <v>CP1TE7231077</v>
          </cell>
          <cell r="B563" t="str">
            <v>CP1</v>
          </cell>
          <cell r="C563" t="str">
            <v>TE7231</v>
          </cell>
          <cell r="D563">
            <v>77</v>
          </cell>
          <cell r="E563" t="str">
            <v xml:space="preserve">   </v>
          </cell>
          <cell r="F563">
            <v>90219</v>
          </cell>
          <cell r="G563">
            <v>90225</v>
          </cell>
          <cell r="H563">
            <v>0</v>
          </cell>
          <cell r="I563">
            <v>600</v>
          </cell>
          <cell r="J563">
            <v>600</v>
          </cell>
          <cell r="K563">
            <v>538</v>
          </cell>
          <cell r="L563">
            <v>5</v>
          </cell>
          <cell r="M563">
            <v>5</v>
          </cell>
          <cell r="N563">
            <v>7919400</v>
          </cell>
          <cell r="O563">
            <v>7919400</v>
          </cell>
          <cell r="P563">
            <v>7101062</v>
          </cell>
          <cell r="Q563">
            <v>65995</v>
          </cell>
          <cell r="R563">
            <v>396100</v>
          </cell>
          <cell r="S563" t="str">
            <v xml:space="preserve"> </v>
          </cell>
          <cell r="T563" t="str">
            <v xml:space="preserve"> </v>
          </cell>
          <cell r="U563">
            <v>600</v>
          </cell>
          <cell r="V563">
            <v>7919400</v>
          </cell>
          <cell r="W563">
            <v>5</v>
          </cell>
          <cell r="X563">
            <v>65995</v>
          </cell>
          <cell r="Y563">
            <v>0.83</v>
          </cell>
          <cell r="Z563">
            <v>0.83</v>
          </cell>
          <cell r="AA563">
            <v>65995</v>
          </cell>
          <cell r="AB563">
            <v>0</v>
          </cell>
          <cell r="AC563">
            <v>62</v>
          </cell>
          <cell r="AD563">
            <v>818338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533</v>
          </cell>
          <cell r="AN563">
            <v>7035067</v>
          </cell>
          <cell r="AO563">
            <v>13199</v>
          </cell>
          <cell r="AP563">
            <v>13199</v>
          </cell>
          <cell r="AQ563">
            <v>89000</v>
          </cell>
          <cell r="AR563">
            <v>0</v>
          </cell>
          <cell r="AS563">
            <v>6.74</v>
          </cell>
          <cell r="AT563">
            <v>53400000</v>
          </cell>
          <cell r="AU563">
            <v>6</v>
          </cell>
          <cell r="AV563">
            <v>396100</v>
          </cell>
          <cell r="AW563">
            <v>0</v>
          </cell>
          <cell r="AX563">
            <v>0</v>
          </cell>
          <cell r="AY563">
            <v>0.83</v>
          </cell>
          <cell r="AZ563">
            <v>0</v>
          </cell>
          <cell r="BA563">
            <v>5</v>
          </cell>
          <cell r="BB563">
            <v>0</v>
          </cell>
          <cell r="BC563">
            <v>5</v>
          </cell>
          <cell r="BD563">
            <v>0</v>
          </cell>
          <cell r="BE563">
            <v>0</v>
          </cell>
          <cell r="BF563">
            <v>0</v>
          </cell>
          <cell r="BG563">
            <v>1</v>
          </cell>
          <cell r="BH563">
            <v>1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4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4</v>
          </cell>
          <cell r="BV563">
            <v>5</v>
          </cell>
          <cell r="BW563">
            <v>1</v>
          </cell>
          <cell r="BX563">
            <v>1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  <cell r="ED563">
            <v>0</v>
          </cell>
          <cell r="EE563">
            <v>0</v>
          </cell>
          <cell r="EF563">
            <v>0</v>
          </cell>
          <cell r="EG563">
            <v>0</v>
          </cell>
          <cell r="EH563">
            <v>0</v>
          </cell>
          <cell r="EI563">
            <v>0</v>
          </cell>
          <cell r="EJ563">
            <v>0</v>
          </cell>
          <cell r="EK563">
            <v>0</v>
          </cell>
          <cell r="EL563">
            <v>0</v>
          </cell>
          <cell r="EM563">
            <v>0</v>
          </cell>
          <cell r="EN563">
            <v>0</v>
          </cell>
          <cell r="EO563" t="str">
            <v xml:space="preserve">OMNI DRY SILVER RIDGE 2 PLAID L/S SHIRT                     </v>
          </cell>
        </row>
        <row r="564">
          <cell r="A564" t="str">
            <v>CP1TE7231221</v>
          </cell>
          <cell r="B564" t="str">
            <v>CP1</v>
          </cell>
          <cell r="C564" t="str">
            <v>TE7231</v>
          </cell>
          <cell r="D564">
            <v>221</v>
          </cell>
          <cell r="E564" t="str">
            <v xml:space="preserve">   </v>
          </cell>
          <cell r="F564">
            <v>90219</v>
          </cell>
          <cell r="G564">
            <v>90225</v>
          </cell>
          <cell r="H564">
            <v>0</v>
          </cell>
          <cell r="I564">
            <v>804</v>
          </cell>
          <cell r="J564">
            <v>804</v>
          </cell>
          <cell r="K564">
            <v>683</v>
          </cell>
          <cell r="L564">
            <v>6</v>
          </cell>
          <cell r="M564">
            <v>6</v>
          </cell>
          <cell r="N564">
            <v>10611996</v>
          </cell>
          <cell r="O564">
            <v>10611996</v>
          </cell>
          <cell r="P564">
            <v>9014917</v>
          </cell>
          <cell r="Q564">
            <v>79194</v>
          </cell>
          <cell r="R564">
            <v>516200</v>
          </cell>
          <cell r="S564" t="str">
            <v xml:space="preserve"> </v>
          </cell>
          <cell r="T564" t="str">
            <v xml:space="preserve"> </v>
          </cell>
          <cell r="U564">
            <v>804</v>
          </cell>
          <cell r="V564">
            <v>10611996</v>
          </cell>
          <cell r="W564">
            <v>6</v>
          </cell>
          <cell r="X564">
            <v>79194</v>
          </cell>
          <cell r="Y564">
            <v>0.75</v>
          </cell>
          <cell r="Z564">
            <v>0.75</v>
          </cell>
          <cell r="AA564">
            <v>79194</v>
          </cell>
          <cell r="AB564">
            <v>0</v>
          </cell>
          <cell r="AC564">
            <v>121</v>
          </cell>
          <cell r="AD564">
            <v>1597079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677</v>
          </cell>
          <cell r="AN564">
            <v>8935723</v>
          </cell>
          <cell r="AO564">
            <v>13199</v>
          </cell>
          <cell r="AP564">
            <v>13199</v>
          </cell>
          <cell r="AQ564">
            <v>89000</v>
          </cell>
          <cell r="AR564">
            <v>0</v>
          </cell>
          <cell r="AS564">
            <v>6.74</v>
          </cell>
          <cell r="AT564">
            <v>71556000</v>
          </cell>
          <cell r="AU564">
            <v>6.52</v>
          </cell>
          <cell r="AV564">
            <v>516200</v>
          </cell>
          <cell r="AW564">
            <v>0</v>
          </cell>
          <cell r="AX564">
            <v>0</v>
          </cell>
          <cell r="AY564">
            <v>0.75</v>
          </cell>
          <cell r="AZ564">
            <v>0</v>
          </cell>
          <cell r="BA564">
            <v>6</v>
          </cell>
          <cell r="BB564">
            <v>0</v>
          </cell>
          <cell r="BC564">
            <v>6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1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3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3</v>
          </cell>
          <cell r="BV564">
            <v>6</v>
          </cell>
          <cell r="BW564">
            <v>3</v>
          </cell>
          <cell r="BX564">
            <v>3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  <cell r="ED564">
            <v>0</v>
          </cell>
          <cell r="EE564">
            <v>0</v>
          </cell>
          <cell r="EF564">
            <v>0</v>
          </cell>
          <cell r="EG564">
            <v>0</v>
          </cell>
          <cell r="EH564">
            <v>0</v>
          </cell>
          <cell r="EI564">
            <v>0</v>
          </cell>
          <cell r="EJ564">
            <v>0</v>
          </cell>
          <cell r="EK564">
            <v>0</v>
          </cell>
          <cell r="EL564">
            <v>0</v>
          </cell>
          <cell r="EM564">
            <v>0</v>
          </cell>
          <cell r="EN564">
            <v>0</v>
          </cell>
          <cell r="EO564" t="str">
            <v xml:space="preserve">OMNI DRY SILVER RIDGE 2 PLAID L/S SHIRT                     </v>
          </cell>
        </row>
        <row r="565">
          <cell r="A565" t="str">
            <v>CP1TE7231872</v>
          </cell>
          <cell r="B565" t="str">
            <v>CP1</v>
          </cell>
          <cell r="C565" t="str">
            <v>TE7231</v>
          </cell>
          <cell r="D565">
            <v>872</v>
          </cell>
          <cell r="E565" t="str">
            <v xml:space="preserve">   </v>
          </cell>
          <cell r="F565">
            <v>90219</v>
          </cell>
          <cell r="G565">
            <v>90225</v>
          </cell>
          <cell r="H565">
            <v>0</v>
          </cell>
          <cell r="I565">
            <v>600</v>
          </cell>
          <cell r="J565">
            <v>600</v>
          </cell>
          <cell r="K565">
            <v>540</v>
          </cell>
          <cell r="L565">
            <v>4</v>
          </cell>
          <cell r="M565">
            <v>4</v>
          </cell>
          <cell r="N565">
            <v>7919400</v>
          </cell>
          <cell r="O565">
            <v>7919400</v>
          </cell>
          <cell r="P565">
            <v>7127460</v>
          </cell>
          <cell r="Q565">
            <v>52796</v>
          </cell>
          <cell r="R565">
            <v>296000</v>
          </cell>
          <cell r="S565" t="str">
            <v xml:space="preserve"> </v>
          </cell>
          <cell r="T565" t="str">
            <v xml:space="preserve"> </v>
          </cell>
          <cell r="U565">
            <v>600</v>
          </cell>
          <cell r="V565">
            <v>7919400</v>
          </cell>
          <cell r="W565">
            <v>4</v>
          </cell>
          <cell r="X565">
            <v>52796</v>
          </cell>
          <cell r="Y565">
            <v>0.67</v>
          </cell>
          <cell r="Z565">
            <v>0.67</v>
          </cell>
          <cell r="AA565">
            <v>52796</v>
          </cell>
          <cell r="AB565">
            <v>0</v>
          </cell>
          <cell r="AC565">
            <v>60</v>
          </cell>
          <cell r="AD565">
            <v>791940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536</v>
          </cell>
          <cell r="AN565">
            <v>7074664</v>
          </cell>
          <cell r="AO565">
            <v>13199</v>
          </cell>
          <cell r="AP565">
            <v>13199</v>
          </cell>
          <cell r="AQ565">
            <v>89000</v>
          </cell>
          <cell r="AR565">
            <v>0</v>
          </cell>
          <cell r="AS565">
            <v>6.74</v>
          </cell>
          <cell r="AT565">
            <v>53400000</v>
          </cell>
          <cell r="AU565">
            <v>5.61</v>
          </cell>
          <cell r="AV565">
            <v>296000</v>
          </cell>
          <cell r="AW565">
            <v>0</v>
          </cell>
          <cell r="AX565">
            <v>0</v>
          </cell>
          <cell r="AY565">
            <v>0.67</v>
          </cell>
          <cell r="AZ565">
            <v>0</v>
          </cell>
          <cell r="BA565">
            <v>4</v>
          </cell>
          <cell r="BB565">
            <v>0</v>
          </cell>
          <cell r="BC565">
            <v>4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1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3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3</v>
          </cell>
          <cell r="BV565">
            <v>4</v>
          </cell>
          <cell r="BW565">
            <v>1</v>
          </cell>
          <cell r="BX565">
            <v>1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0</v>
          </cell>
          <cell r="EG565">
            <v>0</v>
          </cell>
          <cell r="EH565">
            <v>0</v>
          </cell>
          <cell r="EI565">
            <v>0</v>
          </cell>
          <cell r="EJ565">
            <v>0</v>
          </cell>
          <cell r="EK565">
            <v>0</v>
          </cell>
          <cell r="EL565">
            <v>0</v>
          </cell>
          <cell r="EM565">
            <v>0</v>
          </cell>
          <cell r="EN565">
            <v>0</v>
          </cell>
          <cell r="EO565" t="str">
            <v xml:space="preserve">OMNI DRY SILVER RIDGE 2 PLAID L/S SHIRT                     </v>
          </cell>
        </row>
        <row r="566">
          <cell r="A566" t="str">
            <v>CP1TL1025010</v>
          </cell>
          <cell r="B566" t="str">
            <v>CP1</v>
          </cell>
          <cell r="C566" t="str">
            <v>TL1025</v>
          </cell>
          <cell r="D566">
            <v>10</v>
          </cell>
          <cell r="E566" t="str">
            <v xml:space="preserve">   </v>
          </cell>
          <cell r="F566">
            <v>90209</v>
          </cell>
          <cell r="G566">
            <v>90223</v>
          </cell>
          <cell r="H566">
            <v>0</v>
          </cell>
          <cell r="I566">
            <v>600</v>
          </cell>
          <cell r="J566">
            <v>599</v>
          </cell>
          <cell r="K566">
            <v>507</v>
          </cell>
          <cell r="L566">
            <v>8</v>
          </cell>
          <cell r="M566">
            <v>8</v>
          </cell>
          <cell r="N566">
            <v>4965000</v>
          </cell>
          <cell r="O566">
            <v>4956725</v>
          </cell>
          <cell r="P566">
            <v>4195425</v>
          </cell>
          <cell r="Q566">
            <v>66200</v>
          </cell>
          <cell r="R566">
            <v>685300</v>
          </cell>
          <cell r="S566" t="str">
            <v xml:space="preserve"> </v>
          </cell>
          <cell r="T566" t="str">
            <v xml:space="preserve"> </v>
          </cell>
          <cell r="U566">
            <v>599</v>
          </cell>
          <cell r="V566">
            <v>4956725</v>
          </cell>
          <cell r="W566">
            <v>8</v>
          </cell>
          <cell r="X566">
            <v>66200</v>
          </cell>
          <cell r="Y566">
            <v>1.34</v>
          </cell>
          <cell r="Z566">
            <v>1.34</v>
          </cell>
          <cell r="AA566">
            <v>66200</v>
          </cell>
          <cell r="AB566">
            <v>0</v>
          </cell>
          <cell r="AC566">
            <v>92</v>
          </cell>
          <cell r="AD566">
            <v>761300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1</v>
          </cell>
          <cell r="AJ566">
            <v>8275</v>
          </cell>
          <cell r="AK566">
            <v>0</v>
          </cell>
          <cell r="AL566">
            <v>0</v>
          </cell>
          <cell r="AM566">
            <v>498</v>
          </cell>
          <cell r="AN566">
            <v>4120950</v>
          </cell>
          <cell r="AO566">
            <v>8275</v>
          </cell>
          <cell r="AP566">
            <v>8275</v>
          </cell>
          <cell r="AQ566">
            <v>89000</v>
          </cell>
          <cell r="AR566">
            <v>0</v>
          </cell>
          <cell r="AS566">
            <v>10.76</v>
          </cell>
          <cell r="AT566">
            <v>53311000</v>
          </cell>
          <cell r="AU566">
            <v>10.35</v>
          </cell>
          <cell r="AV566">
            <v>685300</v>
          </cell>
          <cell r="AW566">
            <v>0</v>
          </cell>
          <cell r="AX566">
            <v>0</v>
          </cell>
          <cell r="AY566">
            <v>1.34</v>
          </cell>
          <cell r="AZ566">
            <v>0</v>
          </cell>
          <cell r="BA566">
            <v>8</v>
          </cell>
          <cell r="BB566">
            <v>0</v>
          </cell>
          <cell r="BC566">
            <v>8</v>
          </cell>
          <cell r="BD566">
            <v>0</v>
          </cell>
          <cell r="BE566">
            <v>0</v>
          </cell>
          <cell r="BF566">
            <v>0</v>
          </cell>
          <cell r="BG566">
            <v>1</v>
          </cell>
          <cell r="BH566">
            <v>1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5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5</v>
          </cell>
          <cell r="BV566">
            <v>8</v>
          </cell>
          <cell r="BW566">
            <v>3</v>
          </cell>
          <cell r="BX566">
            <v>3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0</v>
          </cell>
          <cell r="EG566">
            <v>0</v>
          </cell>
          <cell r="EH566">
            <v>0</v>
          </cell>
          <cell r="EI566">
            <v>0</v>
          </cell>
          <cell r="EJ566">
            <v>0</v>
          </cell>
          <cell r="EK566">
            <v>0</v>
          </cell>
          <cell r="EL566">
            <v>0</v>
          </cell>
          <cell r="EM566">
            <v>0</v>
          </cell>
          <cell r="EN566">
            <v>0</v>
          </cell>
          <cell r="EO566" t="str">
            <v xml:space="preserve">FOREST FLIP VEST                                            </v>
          </cell>
        </row>
        <row r="567">
          <cell r="A567" t="str">
            <v>CP1TL1025100</v>
          </cell>
          <cell r="B567" t="str">
            <v>CP1</v>
          </cell>
          <cell r="C567" t="str">
            <v>TL1025</v>
          </cell>
          <cell r="D567">
            <v>100</v>
          </cell>
          <cell r="E567" t="str">
            <v xml:space="preserve">   </v>
          </cell>
          <cell r="F567">
            <v>90209</v>
          </cell>
          <cell r="G567">
            <v>90223</v>
          </cell>
          <cell r="H567">
            <v>0</v>
          </cell>
          <cell r="I567">
            <v>402</v>
          </cell>
          <cell r="J567">
            <v>390</v>
          </cell>
          <cell r="K567">
            <v>341</v>
          </cell>
          <cell r="L567">
            <v>11</v>
          </cell>
          <cell r="M567">
            <v>11</v>
          </cell>
          <cell r="N567">
            <v>3326550</v>
          </cell>
          <cell r="O567">
            <v>3227250</v>
          </cell>
          <cell r="P567">
            <v>2821775</v>
          </cell>
          <cell r="Q567">
            <v>91025</v>
          </cell>
          <cell r="R567">
            <v>955650</v>
          </cell>
          <cell r="S567" t="str">
            <v xml:space="preserve"> </v>
          </cell>
          <cell r="T567" t="str">
            <v xml:space="preserve"> </v>
          </cell>
          <cell r="U567">
            <v>390</v>
          </cell>
          <cell r="V567">
            <v>3227250</v>
          </cell>
          <cell r="W567">
            <v>11</v>
          </cell>
          <cell r="X567">
            <v>91025</v>
          </cell>
          <cell r="Y567">
            <v>2.82</v>
          </cell>
          <cell r="Z567">
            <v>2.82</v>
          </cell>
          <cell r="AA567">
            <v>91025</v>
          </cell>
          <cell r="AB567">
            <v>0</v>
          </cell>
          <cell r="AC567">
            <v>49</v>
          </cell>
          <cell r="AD567">
            <v>405475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</v>
          </cell>
          <cell r="AJ567">
            <v>16550</v>
          </cell>
          <cell r="AK567">
            <v>0</v>
          </cell>
          <cell r="AL567">
            <v>0</v>
          </cell>
          <cell r="AM567">
            <v>328</v>
          </cell>
          <cell r="AN567">
            <v>2714200</v>
          </cell>
          <cell r="AO567">
            <v>8275</v>
          </cell>
          <cell r="AP567">
            <v>8275</v>
          </cell>
          <cell r="AQ567">
            <v>89000</v>
          </cell>
          <cell r="AR567">
            <v>0</v>
          </cell>
          <cell r="AS567">
            <v>10.76</v>
          </cell>
          <cell r="AT567">
            <v>34710000</v>
          </cell>
          <cell r="AU567">
            <v>10.5</v>
          </cell>
          <cell r="AV567">
            <v>955650</v>
          </cell>
          <cell r="AW567">
            <v>0</v>
          </cell>
          <cell r="AX567">
            <v>0</v>
          </cell>
          <cell r="AY567">
            <v>2.82</v>
          </cell>
          <cell r="AZ567">
            <v>0</v>
          </cell>
          <cell r="BA567">
            <v>11</v>
          </cell>
          <cell r="BB567">
            <v>0</v>
          </cell>
          <cell r="BC567">
            <v>11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1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9</v>
          </cell>
          <cell r="BV567">
            <v>11</v>
          </cell>
          <cell r="BW567">
            <v>2</v>
          </cell>
          <cell r="BX567">
            <v>2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0</v>
          </cell>
          <cell r="DW567">
            <v>0</v>
          </cell>
          <cell r="DX567">
            <v>0</v>
          </cell>
          <cell r="DY567">
            <v>0</v>
          </cell>
          <cell r="DZ567">
            <v>0</v>
          </cell>
          <cell r="EA567">
            <v>0</v>
          </cell>
          <cell r="EB567">
            <v>0</v>
          </cell>
          <cell r="EC567">
            <v>0</v>
          </cell>
          <cell r="ED567">
            <v>0</v>
          </cell>
          <cell r="EE567">
            <v>0</v>
          </cell>
          <cell r="EF567">
            <v>0</v>
          </cell>
          <cell r="EG567">
            <v>0</v>
          </cell>
          <cell r="EH567">
            <v>0</v>
          </cell>
          <cell r="EI567">
            <v>0</v>
          </cell>
          <cell r="EJ567">
            <v>0</v>
          </cell>
          <cell r="EK567">
            <v>0</v>
          </cell>
          <cell r="EL567">
            <v>0</v>
          </cell>
          <cell r="EM567">
            <v>0</v>
          </cell>
          <cell r="EN567">
            <v>0</v>
          </cell>
          <cell r="EO567" t="str">
            <v xml:space="preserve">FOREST FLIP VEST                                            </v>
          </cell>
        </row>
        <row r="568">
          <cell r="A568" t="str">
            <v>CP1TR6636160</v>
          </cell>
          <cell r="B568" t="str">
            <v>CP1</v>
          </cell>
          <cell r="C568" t="str">
            <v>TR6636</v>
          </cell>
          <cell r="D568">
            <v>160</v>
          </cell>
          <cell r="E568" t="str">
            <v xml:space="preserve">   </v>
          </cell>
          <cell r="F568">
            <v>90203</v>
          </cell>
          <cell r="G568">
            <v>90225</v>
          </cell>
          <cell r="H568">
            <v>0</v>
          </cell>
          <cell r="I568">
            <v>600</v>
          </cell>
          <cell r="J568">
            <v>600</v>
          </cell>
          <cell r="K568">
            <v>524</v>
          </cell>
          <cell r="L568">
            <v>6</v>
          </cell>
          <cell r="M568">
            <v>6</v>
          </cell>
          <cell r="N568">
            <v>5691600</v>
          </cell>
          <cell r="O568">
            <v>5691600</v>
          </cell>
          <cell r="P568">
            <v>4970664</v>
          </cell>
          <cell r="Q568">
            <v>56916</v>
          </cell>
          <cell r="R568">
            <v>464100</v>
          </cell>
          <cell r="S568" t="str">
            <v xml:space="preserve"> </v>
          </cell>
          <cell r="T568" t="str">
            <v xml:space="preserve"> </v>
          </cell>
          <cell r="U568">
            <v>600</v>
          </cell>
          <cell r="V568">
            <v>5691600</v>
          </cell>
          <cell r="W568">
            <v>6</v>
          </cell>
          <cell r="X568">
            <v>56916</v>
          </cell>
          <cell r="Y568">
            <v>1</v>
          </cell>
          <cell r="Z568">
            <v>1</v>
          </cell>
          <cell r="AA568">
            <v>56916</v>
          </cell>
          <cell r="AB568">
            <v>0</v>
          </cell>
          <cell r="AC568">
            <v>76</v>
          </cell>
          <cell r="AD568">
            <v>720936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</v>
          </cell>
          <cell r="AJ568">
            <v>9486</v>
          </cell>
          <cell r="AK568">
            <v>0</v>
          </cell>
          <cell r="AL568">
            <v>0</v>
          </cell>
          <cell r="AM568">
            <v>517</v>
          </cell>
          <cell r="AN568">
            <v>4904262</v>
          </cell>
          <cell r="AO568">
            <v>9486</v>
          </cell>
          <cell r="AP568">
            <v>9486</v>
          </cell>
          <cell r="AQ568">
            <v>78000</v>
          </cell>
          <cell r="AR568">
            <v>0</v>
          </cell>
          <cell r="AS568">
            <v>8.2200000000000006</v>
          </cell>
          <cell r="AT568">
            <v>46800000</v>
          </cell>
          <cell r="AU568">
            <v>8.15</v>
          </cell>
          <cell r="AV568">
            <v>464100</v>
          </cell>
          <cell r="AW568">
            <v>0</v>
          </cell>
          <cell r="AX568">
            <v>0</v>
          </cell>
          <cell r="AY568">
            <v>1</v>
          </cell>
          <cell r="AZ568">
            <v>0</v>
          </cell>
          <cell r="BA568">
            <v>6</v>
          </cell>
          <cell r="BB568">
            <v>0</v>
          </cell>
          <cell r="BC568">
            <v>6</v>
          </cell>
          <cell r="BD568">
            <v>0</v>
          </cell>
          <cell r="BE568">
            <v>0</v>
          </cell>
          <cell r="BF568">
            <v>0</v>
          </cell>
          <cell r="BG568">
            <v>1</v>
          </cell>
          <cell r="BH568">
            <v>1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4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4</v>
          </cell>
          <cell r="BV568">
            <v>6</v>
          </cell>
          <cell r="BW568">
            <v>2</v>
          </cell>
          <cell r="BX568">
            <v>2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0</v>
          </cell>
          <cell r="EG568">
            <v>0</v>
          </cell>
          <cell r="EH568">
            <v>0</v>
          </cell>
          <cell r="EI568">
            <v>0</v>
          </cell>
          <cell r="EJ568">
            <v>0</v>
          </cell>
          <cell r="EK568">
            <v>0</v>
          </cell>
          <cell r="EL568">
            <v>0</v>
          </cell>
          <cell r="EM568">
            <v>0</v>
          </cell>
          <cell r="EN568">
            <v>0</v>
          </cell>
          <cell r="EO568" t="str">
            <v xml:space="preserve">OMNI DRY SILVER RIDGE 3 L/S SHIRT                           </v>
          </cell>
        </row>
        <row r="569">
          <cell r="A569" t="str">
            <v>CP1TR6636670</v>
          </cell>
          <cell r="B569" t="str">
            <v>CP1</v>
          </cell>
          <cell r="C569" t="str">
            <v>TR6636</v>
          </cell>
          <cell r="D569">
            <v>670</v>
          </cell>
          <cell r="E569" t="str">
            <v xml:space="preserve">   </v>
          </cell>
          <cell r="F569">
            <v>90203</v>
          </cell>
          <cell r="G569">
            <v>90225</v>
          </cell>
          <cell r="H569">
            <v>0</v>
          </cell>
          <cell r="I569">
            <v>702</v>
          </cell>
          <cell r="J569">
            <v>702</v>
          </cell>
          <cell r="K569">
            <v>582</v>
          </cell>
          <cell r="L569">
            <v>8</v>
          </cell>
          <cell r="M569">
            <v>8</v>
          </cell>
          <cell r="N569">
            <v>6659172</v>
          </cell>
          <cell r="O569">
            <v>6659172</v>
          </cell>
          <cell r="P569">
            <v>5520852</v>
          </cell>
          <cell r="Q569">
            <v>75888</v>
          </cell>
          <cell r="R569">
            <v>574500</v>
          </cell>
          <cell r="S569" t="str">
            <v xml:space="preserve"> </v>
          </cell>
          <cell r="T569" t="str">
            <v xml:space="preserve"> </v>
          </cell>
          <cell r="U569">
            <v>702</v>
          </cell>
          <cell r="V569">
            <v>6659172</v>
          </cell>
          <cell r="W569">
            <v>8</v>
          </cell>
          <cell r="X569">
            <v>75888</v>
          </cell>
          <cell r="Y569">
            <v>1.1399999999999999</v>
          </cell>
          <cell r="Z569">
            <v>1.1399999999999999</v>
          </cell>
          <cell r="AA569">
            <v>75888</v>
          </cell>
          <cell r="AB569">
            <v>0</v>
          </cell>
          <cell r="AC569">
            <v>120</v>
          </cell>
          <cell r="AD569">
            <v>1138320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</v>
          </cell>
          <cell r="AJ569">
            <v>9486</v>
          </cell>
          <cell r="AK569">
            <v>0</v>
          </cell>
          <cell r="AL569">
            <v>0</v>
          </cell>
          <cell r="AM569">
            <v>573</v>
          </cell>
          <cell r="AN569">
            <v>5435478</v>
          </cell>
          <cell r="AO569">
            <v>9486</v>
          </cell>
          <cell r="AP569">
            <v>9486</v>
          </cell>
          <cell r="AQ569">
            <v>78000</v>
          </cell>
          <cell r="AR569">
            <v>0</v>
          </cell>
          <cell r="AS569">
            <v>8.2200000000000006</v>
          </cell>
          <cell r="AT569">
            <v>54756000</v>
          </cell>
          <cell r="AU569">
            <v>7.57</v>
          </cell>
          <cell r="AV569">
            <v>574500</v>
          </cell>
          <cell r="AW569">
            <v>0</v>
          </cell>
          <cell r="AX569">
            <v>0</v>
          </cell>
          <cell r="AY569">
            <v>1.1399999999999999</v>
          </cell>
          <cell r="AZ569">
            <v>0</v>
          </cell>
          <cell r="BA569">
            <v>8</v>
          </cell>
          <cell r="BB569">
            <v>0</v>
          </cell>
          <cell r="BC569">
            <v>8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6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6</v>
          </cell>
          <cell r="BV569">
            <v>8</v>
          </cell>
          <cell r="BW569">
            <v>2</v>
          </cell>
          <cell r="BX569">
            <v>2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>
            <v>0</v>
          </cell>
          <cell r="EI569">
            <v>0</v>
          </cell>
          <cell r="EJ569">
            <v>0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 t="str">
            <v xml:space="preserve">OMNI DRY SILVER RIDGE 3 L/S SHIRT                           </v>
          </cell>
        </row>
        <row r="570">
          <cell r="A570" t="str">
            <v>CP1WL3134010</v>
          </cell>
          <cell r="B570" t="str">
            <v>CP1</v>
          </cell>
          <cell r="C570" t="str">
            <v>WL3134</v>
          </cell>
          <cell r="D570">
            <v>10</v>
          </cell>
          <cell r="E570" t="str">
            <v xml:space="preserve">   </v>
          </cell>
          <cell r="F570">
            <v>90203</v>
          </cell>
          <cell r="G570">
            <v>0</v>
          </cell>
          <cell r="H570">
            <v>0</v>
          </cell>
          <cell r="I570">
            <v>1002</v>
          </cell>
          <cell r="J570">
            <v>1002</v>
          </cell>
          <cell r="K570">
            <v>1</v>
          </cell>
          <cell r="L570">
            <v>0</v>
          </cell>
          <cell r="M570">
            <v>0</v>
          </cell>
          <cell r="N570">
            <v>18335598</v>
          </cell>
          <cell r="O570">
            <v>18335598</v>
          </cell>
          <cell r="P570">
            <v>18299</v>
          </cell>
          <cell r="Q570">
            <v>0</v>
          </cell>
          <cell r="R570">
            <v>0</v>
          </cell>
          <cell r="S570" t="str">
            <v xml:space="preserve"> </v>
          </cell>
          <cell r="T570" t="str">
            <v xml:space="preserve"> </v>
          </cell>
          <cell r="U570">
            <v>1002</v>
          </cell>
          <cell r="V570">
            <v>18335598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1001</v>
          </cell>
          <cell r="AD570">
            <v>18317299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</v>
          </cell>
          <cell r="AJ570">
            <v>18299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18299</v>
          </cell>
          <cell r="AP570">
            <v>18299</v>
          </cell>
          <cell r="AQ570">
            <v>118000</v>
          </cell>
          <cell r="AR570">
            <v>0</v>
          </cell>
          <cell r="AS570">
            <v>6.45</v>
          </cell>
          <cell r="AT570">
            <v>118236000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1</v>
          </cell>
          <cell r="BH570">
            <v>1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0</v>
          </cell>
          <cell r="EG570">
            <v>0</v>
          </cell>
          <cell r="EH570">
            <v>0</v>
          </cell>
          <cell r="EI570">
            <v>0</v>
          </cell>
          <cell r="EJ570">
            <v>0</v>
          </cell>
          <cell r="EK570">
            <v>0</v>
          </cell>
          <cell r="EL570">
            <v>0</v>
          </cell>
          <cell r="EM570">
            <v>0</v>
          </cell>
          <cell r="EN570">
            <v>0</v>
          </cell>
          <cell r="EO570" t="str">
            <v xml:space="preserve">TERWILLIGER TREKIN JACKET                                   </v>
          </cell>
        </row>
        <row r="571">
          <cell r="A571" t="str">
            <v>CP1WL3134100</v>
          </cell>
          <cell r="B571" t="str">
            <v>CP1</v>
          </cell>
          <cell r="C571" t="str">
            <v>WL3134</v>
          </cell>
          <cell r="D571">
            <v>100</v>
          </cell>
          <cell r="E571" t="str">
            <v xml:space="preserve">   </v>
          </cell>
          <cell r="F571">
            <v>90203</v>
          </cell>
          <cell r="G571">
            <v>0</v>
          </cell>
          <cell r="H571">
            <v>0</v>
          </cell>
          <cell r="I571">
            <v>804</v>
          </cell>
          <cell r="J571">
            <v>804</v>
          </cell>
          <cell r="K571">
            <v>1</v>
          </cell>
          <cell r="L571">
            <v>0</v>
          </cell>
          <cell r="M571">
            <v>0</v>
          </cell>
          <cell r="N571">
            <v>14712396</v>
          </cell>
          <cell r="O571">
            <v>14712396</v>
          </cell>
          <cell r="P571">
            <v>18299</v>
          </cell>
          <cell r="Q571">
            <v>0</v>
          </cell>
          <cell r="R571">
            <v>0</v>
          </cell>
          <cell r="S571" t="str">
            <v xml:space="preserve"> </v>
          </cell>
          <cell r="T571" t="str">
            <v xml:space="preserve"> </v>
          </cell>
          <cell r="U571">
            <v>804</v>
          </cell>
          <cell r="V571">
            <v>14712396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803</v>
          </cell>
          <cell r="AD571">
            <v>14694097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1</v>
          </cell>
          <cell r="AJ571">
            <v>18299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18299</v>
          </cell>
          <cell r="AP571">
            <v>18299</v>
          </cell>
          <cell r="AQ571">
            <v>118000</v>
          </cell>
          <cell r="AR571">
            <v>0</v>
          </cell>
          <cell r="AS571">
            <v>6.45</v>
          </cell>
          <cell r="AT571">
            <v>94872000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1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  <cell r="ED571">
            <v>0</v>
          </cell>
          <cell r="EE571">
            <v>0</v>
          </cell>
          <cell r="EF571">
            <v>0</v>
          </cell>
          <cell r="EG571">
            <v>0</v>
          </cell>
          <cell r="EH571">
            <v>0</v>
          </cell>
          <cell r="EI571">
            <v>0</v>
          </cell>
          <cell r="EJ571">
            <v>0</v>
          </cell>
          <cell r="EK571">
            <v>0</v>
          </cell>
          <cell r="EL571">
            <v>0</v>
          </cell>
          <cell r="EM571">
            <v>0</v>
          </cell>
          <cell r="EN571">
            <v>0</v>
          </cell>
          <cell r="EO571" t="str">
            <v xml:space="preserve">TERWILLIGER TREKIN JACKET                                   </v>
          </cell>
        </row>
        <row r="572">
          <cell r="A572" t="str">
            <v>CP1XM1372491</v>
          </cell>
          <cell r="B572" t="str">
            <v>CP1</v>
          </cell>
          <cell r="C572" t="str">
            <v>XM1372</v>
          </cell>
          <cell r="D572">
            <v>491</v>
          </cell>
          <cell r="E572" t="str">
            <v xml:space="preserve">   </v>
          </cell>
          <cell r="F572">
            <v>81210</v>
          </cell>
          <cell r="G572">
            <v>0</v>
          </cell>
          <cell r="H572">
            <v>0</v>
          </cell>
          <cell r="I572">
            <v>450</v>
          </cell>
          <cell r="J572">
            <v>448</v>
          </cell>
          <cell r="K572">
            <v>2</v>
          </cell>
          <cell r="L572">
            <v>0</v>
          </cell>
          <cell r="M572">
            <v>0</v>
          </cell>
          <cell r="N572">
            <v>8688600</v>
          </cell>
          <cell r="O572">
            <v>11501056</v>
          </cell>
          <cell r="P572">
            <v>51344</v>
          </cell>
          <cell r="Q572">
            <v>0</v>
          </cell>
          <cell r="R572">
            <v>0</v>
          </cell>
          <cell r="S572" t="str">
            <v xml:space="preserve"> </v>
          </cell>
          <cell r="T572" t="str">
            <v xml:space="preserve"> </v>
          </cell>
          <cell r="U572">
            <v>448</v>
          </cell>
          <cell r="V572">
            <v>11501056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446</v>
          </cell>
          <cell r="AD572">
            <v>11449712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2</v>
          </cell>
          <cell r="AJ572">
            <v>51344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19308</v>
          </cell>
          <cell r="AP572">
            <v>25672</v>
          </cell>
          <cell r="AQ572">
            <v>98000</v>
          </cell>
          <cell r="AR572">
            <v>0</v>
          </cell>
          <cell r="AS572">
            <v>3.82</v>
          </cell>
          <cell r="AT572">
            <v>43904000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1</v>
          </cell>
          <cell r="BH572">
            <v>1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>
            <v>0</v>
          </cell>
          <cell r="EO572" t="str">
            <v xml:space="preserve">TEAM COLUMBIA WARM UP VEST                                  </v>
          </cell>
        </row>
        <row r="573">
          <cell r="A573" t="str">
            <v>CP1YL1851527</v>
          </cell>
          <cell r="B573" t="str">
            <v>CP1</v>
          </cell>
          <cell r="C573" t="str">
            <v>YL1851</v>
          </cell>
          <cell r="D573">
            <v>527</v>
          </cell>
          <cell r="E573" t="str">
            <v xml:space="preserve">   </v>
          </cell>
          <cell r="F573">
            <v>90216</v>
          </cell>
          <cell r="G573">
            <v>90218</v>
          </cell>
          <cell r="H573">
            <v>0</v>
          </cell>
          <cell r="I573">
            <v>600</v>
          </cell>
          <cell r="J573">
            <v>601</v>
          </cell>
          <cell r="K573">
            <v>479</v>
          </cell>
          <cell r="L573">
            <v>9</v>
          </cell>
          <cell r="M573">
            <v>9</v>
          </cell>
          <cell r="N573">
            <v>13530000</v>
          </cell>
          <cell r="O573">
            <v>13552550</v>
          </cell>
          <cell r="P573">
            <v>10801450</v>
          </cell>
          <cell r="Q573">
            <v>202950</v>
          </cell>
          <cell r="R573">
            <v>860400</v>
          </cell>
          <cell r="S573" t="str">
            <v xml:space="preserve"> </v>
          </cell>
          <cell r="T573" t="str">
            <v>C</v>
          </cell>
          <cell r="U573">
            <v>601</v>
          </cell>
          <cell r="V573">
            <v>13552550</v>
          </cell>
          <cell r="W573">
            <v>9</v>
          </cell>
          <cell r="X573">
            <v>202950</v>
          </cell>
          <cell r="Y573">
            <v>1.5</v>
          </cell>
          <cell r="Z573">
            <v>1.5</v>
          </cell>
          <cell r="AA573">
            <v>202950</v>
          </cell>
          <cell r="AB573">
            <v>0</v>
          </cell>
          <cell r="AC573">
            <v>122</v>
          </cell>
          <cell r="AD573">
            <v>2751100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470</v>
          </cell>
          <cell r="AN573">
            <v>10598500</v>
          </cell>
          <cell r="AO573">
            <v>22550</v>
          </cell>
          <cell r="AP573">
            <v>22550</v>
          </cell>
          <cell r="AQ573">
            <v>108000</v>
          </cell>
          <cell r="AR573">
            <v>0</v>
          </cell>
          <cell r="AS573">
            <v>4.79</v>
          </cell>
          <cell r="AT573">
            <v>64908000</v>
          </cell>
          <cell r="AU573">
            <v>4.24</v>
          </cell>
          <cell r="AV573">
            <v>860400</v>
          </cell>
          <cell r="AW573">
            <v>0</v>
          </cell>
          <cell r="AX573">
            <v>0</v>
          </cell>
          <cell r="AY573">
            <v>1.5</v>
          </cell>
          <cell r="AZ573">
            <v>0</v>
          </cell>
          <cell r="BA573">
            <v>9</v>
          </cell>
          <cell r="BB573">
            <v>0</v>
          </cell>
          <cell r="BC573">
            <v>9</v>
          </cell>
          <cell r="BD573">
            <v>0</v>
          </cell>
          <cell r="BE573">
            <v>0</v>
          </cell>
          <cell r="BF573">
            <v>0</v>
          </cell>
          <cell r="BG573">
            <v>1</v>
          </cell>
          <cell r="BH573">
            <v>1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8</v>
          </cell>
          <cell r="BQ573">
            <v>0</v>
          </cell>
          <cell r="BR573">
            <v>0</v>
          </cell>
          <cell r="BS573">
            <v>0</v>
          </cell>
          <cell r="BT573">
            <v>5</v>
          </cell>
          <cell r="BU573">
            <v>3</v>
          </cell>
          <cell r="BV573">
            <v>4</v>
          </cell>
          <cell r="BW573">
            <v>1</v>
          </cell>
          <cell r="BX573">
            <v>1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  <cell r="ED573">
            <v>0</v>
          </cell>
          <cell r="EE573">
            <v>0</v>
          </cell>
          <cell r="EF573">
            <v>0</v>
          </cell>
          <cell r="EG573">
            <v>0</v>
          </cell>
          <cell r="EH573">
            <v>0</v>
          </cell>
          <cell r="EI573">
            <v>0</v>
          </cell>
          <cell r="EJ573">
            <v>0</v>
          </cell>
          <cell r="EK573">
            <v>0</v>
          </cell>
          <cell r="EL573">
            <v>0</v>
          </cell>
          <cell r="EM573">
            <v>0</v>
          </cell>
          <cell r="EN573">
            <v>0</v>
          </cell>
          <cell r="EO573" t="str">
            <v xml:space="preserve">Womans Dexter Vest                                          </v>
          </cell>
        </row>
        <row r="574">
          <cell r="A574" t="str">
            <v>CP1YL1851969</v>
          </cell>
          <cell r="B574" t="str">
            <v>CP1</v>
          </cell>
          <cell r="C574" t="str">
            <v>YL1851</v>
          </cell>
          <cell r="D574">
            <v>969</v>
          </cell>
          <cell r="E574" t="str">
            <v xml:space="preserve">   </v>
          </cell>
          <cell r="F574">
            <v>90216</v>
          </cell>
          <cell r="G574">
            <v>90218</v>
          </cell>
          <cell r="H574">
            <v>0</v>
          </cell>
          <cell r="I574">
            <v>400</v>
          </cell>
          <cell r="J574">
            <v>401</v>
          </cell>
          <cell r="K574">
            <v>286</v>
          </cell>
          <cell r="L574">
            <v>5</v>
          </cell>
          <cell r="M574">
            <v>5</v>
          </cell>
          <cell r="N574">
            <v>9020000</v>
          </cell>
          <cell r="O574">
            <v>9042550</v>
          </cell>
          <cell r="P574">
            <v>6449300</v>
          </cell>
          <cell r="Q574">
            <v>112750</v>
          </cell>
          <cell r="R574">
            <v>489200</v>
          </cell>
          <cell r="S574" t="str">
            <v xml:space="preserve"> </v>
          </cell>
          <cell r="T574" t="str">
            <v>C</v>
          </cell>
          <cell r="U574">
            <v>401</v>
          </cell>
          <cell r="V574">
            <v>9042550</v>
          </cell>
          <cell r="W574">
            <v>5</v>
          </cell>
          <cell r="X574">
            <v>112750</v>
          </cell>
          <cell r="Y574">
            <v>1.25</v>
          </cell>
          <cell r="Z574">
            <v>1.25</v>
          </cell>
          <cell r="AA574">
            <v>112750</v>
          </cell>
          <cell r="AB574">
            <v>0</v>
          </cell>
          <cell r="AC574">
            <v>115</v>
          </cell>
          <cell r="AD574">
            <v>2593250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281</v>
          </cell>
          <cell r="AN574">
            <v>6336550</v>
          </cell>
          <cell r="AO574">
            <v>22550</v>
          </cell>
          <cell r="AP574">
            <v>22550</v>
          </cell>
          <cell r="AQ574">
            <v>108000</v>
          </cell>
          <cell r="AR574">
            <v>0</v>
          </cell>
          <cell r="AS574">
            <v>4.79</v>
          </cell>
          <cell r="AT574">
            <v>43308000</v>
          </cell>
          <cell r="AU574">
            <v>4.34</v>
          </cell>
          <cell r="AV574">
            <v>489200</v>
          </cell>
          <cell r="AW574">
            <v>0</v>
          </cell>
          <cell r="AX574">
            <v>0</v>
          </cell>
          <cell r="AY574">
            <v>1.25</v>
          </cell>
          <cell r="AZ574">
            <v>0</v>
          </cell>
          <cell r="BA574">
            <v>5</v>
          </cell>
          <cell r="BB574">
            <v>0</v>
          </cell>
          <cell r="BC574">
            <v>5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1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5</v>
          </cell>
          <cell r="BQ574">
            <v>0</v>
          </cell>
          <cell r="BR574">
            <v>0</v>
          </cell>
          <cell r="BS574">
            <v>0</v>
          </cell>
          <cell r="BT574">
            <v>1</v>
          </cell>
          <cell r="BU574">
            <v>4</v>
          </cell>
          <cell r="BV574">
            <v>4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0</v>
          </cell>
          <cell r="EG574">
            <v>0</v>
          </cell>
          <cell r="EH574">
            <v>0</v>
          </cell>
          <cell r="EI574">
            <v>0</v>
          </cell>
          <cell r="EJ574">
            <v>0</v>
          </cell>
          <cell r="EK574">
            <v>0</v>
          </cell>
          <cell r="EL574">
            <v>0</v>
          </cell>
          <cell r="EM574">
            <v>0</v>
          </cell>
          <cell r="EN574">
            <v>0</v>
          </cell>
          <cell r="EO574" t="str">
            <v xml:space="preserve">Womans Dexter Vest                                          </v>
          </cell>
        </row>
        <row r="575">
          <cell r="A575" t="str">
            <v>CP1YL1852254</v>
          </cell>
          <cell r="B575" t="str">
            <v>CP1</v>
          </cell>
          <cell r="C575" t="str">
            <v>YL1852</v>
          </cell>
          <cell r="D575">
            <v>254</v>
          </cell>
          <cell r="E575" t="str">
            <v xml:space="preserve">   </v>
          </cell>
          <cell r="F575">
            <v>81118</v>
          </cell>
          <cell r="G575">
            <v>90123</v>
          </cell>
          <cell r="H575">
            <v>0</v>
          </cell>
          <cell r="I575">
            <v>400</v>
          </cell>
          <cell r="J575">
            <v>327</v>
          </cell>
          <cell r="K575">
            <v>327</v>
          </cell>
          <cell r="L575">
            <v>69</v>
          </cell>
          <cell r="M575">
            <v>69</v>
          </cell>
          <cell r="N575">
            <v>8612000</v>
          </cell>
          <cell r="O575">
            <v>7155087</v>
          </cell>
          <cell r="P575">
            <v>7155087</v>
          </cell>
          <cell r="Q575">
            <v>1509789</v>
          </cell>
          <cell r="R575">
            <v>6460900</v>
          </cell>
          <cell r="S575" t="str">
            <v xml:space="preserve"> </v>
          </cell>
          <cell r="T575" t="str">
            <v xml:space="preserve"> </v>
          </cell>
          <cell r="U575">
            <v>327</v>
          </cell>
          <cell r="V575">
            <v>7155087</v>
          </cell>
          <cell r="W575">
            <v>69</v>
          </cell>
          <cell r="X575">
            <v>1509789</v>
          </cell>
          <cell r="Y575">
            <v>21.1</v>
          </cell>
          <cell r="Z575">
            <v>21.1</v>
          </cell>
          <cell r="AA575">
            <v>1509789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258</v>
          </cell>
          <cell r="AN575">
            <v>5645298</v>
          </cell>
          <cell r="AO575">
            <v>21530</v>
          </cell>
          <cell r="AP575">
            <v>21881</v>
          </cell>
          <cell r="AQ575">
            <v>98000</v>
          </cell>
          <cell r="AR575">
            <v>0</v>
          </cell>
          <cell r="AS575">
            <v>4.4800000000000004</v>
          </cell>
          <cell r="AT575">
            <v>32046000</v>
          </cell>
          <cell r="AU575">
            <v>4.28</v>
          </cell>
          <cell r="AV575">
            <v>6460900</v>
          </cell>
          <cell r="AW575">
            <v>0</v>
          </cell>
          <cell r="AX575">
            <v>0</v>
          </cell>
          <cell r="AY575">
            <v>21.1</v>
          </cell>
          <cell r="AZ575">
            <v>0</v>
          </cell>
          <cell r="BA575">
            <v>69</v>
          </cell>
          <cell r="BB575">
            <v>0</v>
          </cell>
          <cell r="BC575">
            <v>69</v>
          </cell>
          <cell r="BD575">
            <v>0</v>
          </cell>
          <cell r="BE575">
            <v>0</v>
          </cell>
          <cell r="BF575">
            <v>0</v>
          </cell>
          <cell r="BG575">
            <v>1</v>
          </cell>
          <cell r="BH575">
            <v>1</v>
          </cell>
          <cell r="BI575">
            <v>6</v>
          </cell>
          <cell r="BJ575">
            <v>0</v>
          </cell>
          <cell r="BK575">
            <v>0</v>
          </cell>
          <cell r="BL575">
            <v>0</v>
          </cell>
          <cell r="BM575">
            <v>3</v>
          </cell>
          <cell r="BN575">
            <v>3</v>
          </cell>
          <cell r="BO575">
            <v>0</v>
          </cell>
          <cell r="BP575">
            <v>60</v>
          </cell>
          <cell r="BQ575">
            <v>0</v>
          </cell>
          <cell r="BR575">
            <v>13</v>
          </cell>
          <cell r="BS575">
            <v>19</v>
          </cell>
          <cell r="BT575">
            <v>13</v>
          </cell>
          <cell r="BU575">
            <v>15</v>
          </cell>
          <cell r="BV575">
            <v>18</v>
          </cell>
          <cell r="BW575">
            <v>3</v>
          </cell>
          <cell r="BX575">
            <v>3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0</v>
          </cell>
          <cell r="EG575">
            <v>0</v>
          </cell>
          <cell r="EH575">
            <v>0</v>
          </cell>
          <cell r="EI575">
            <v>0</v>
          </cell>
          <cell r="EJ575">
            <v>0</v>
          </cell>
          <cell r="EK575">
            <v>0</v>
          </cell>
          <cell r="EL575">
            <v>0</v>
          </cell>
          <cell r="EM575">
            <v>0</v>
          </cell>
          <cell r="EN575">
            <v>0</v>
          </cell>
          <cell r="EO575" t="str">
            <v xml:space="preserve"> Womans Newport Vest                                        </v>
          </cell>
        </row>
        <row r="576">
          <cell r="A576" t="str">
            <v>CP1YL1852529</v>
          </cell>
          <cell r="B576" t="str">
            <v>CP1</v>
          </cell>
          <cell r="C576" t="str">
            <v>YL1852</v>
          </cell>
          <cell r="D576">
            <v>529</v>
          </cell>
          <cell r="E576" t="str">
            <v xml:space="preserve">   </v>
          </cell>
          <cell r="F576">
            <v>81118</v>
          </cell>
          <cell r="G576">
            <v>90123</v>
          </cell>
          <cell r="H576">
            <v>0</v>
          </cell>
          <cell r="I576">
            <v>600</v>
          </cell>
          <cell r="J576">
            <v>542</v>
          </cell>
          <cell r="K576">
            <v>539</v>
          </cell>
          <cell r="L576">
            <v>116</v>
          </cell>
          <cell r="M576">
            <v>116</v>
          </cell>
          <cell r="N576">
            <v>12918000</v>
          </cell>
          <cell r="O576">
            <v>11859502</v>
          </cell>
          <cell r="P576">
            <v>11793859</v>
          </cell>
          <cell r="Q576">
            <v>2538196</v>
          </cell>
          <cell r="R576">
            <v>10714600</v>
          </cell>
          <cell r="S576" t="str">
            <v xml:space="preserve"> </v>
          </cell>
          <cell r="T576" t="str">
            <v xml:space="preserve"> </v>
          </cell>
          <cell r="U576">
            <v>542</v>
          </cell>
          <cell r="V576">
            <v>11859502</v>
          </cell>
          <cell r="W576">
            <v>116</v>
          </cell>
          <cell r="X576">
            <v>2538196</v>
          </cell>
          <cell r="Y576">
            <v>21.4</v>
          </cell>
          <cell r="Z576">
            <v>21.4</v>
          </cell>
          <cell r="AA576">
            <v>2538196</v>
          </cell>
          <cell r="AB576">
            <v>0</v>
          </cell>
          <cell r="AC576">
            <v>3</v>
          </cell>
          <cell r="AD576">
            <v>65643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423</v>
          </cell>
          <cell r="AN576">
            <v>9255663</v>
          </cell>
          <cell r="AO576">
            <v>21530</v>
          </cell>
          <cell r="AP576">
            <v>21881</v>
          </cell>
          <cell r="AQ576">
            <v>98000</v>
          </cell>
          <cell r="AR576">
            <v>0</v>
          </cell>
          <cell r="AS576">
            <v>4.4800000000000004</v>
          </cell>
          <cell r="AT576">
            <v>53116000</v>
          </cell>
          <cell r="AU576">
            <v>4.22</v>
          </cell>
          <cell r="AV576">
            <v>10714600</v>
          </cell>
          <cell r="AW576">
            <v>0</v>
          </cell>
          <cell r="AX576">
            <v>0</v>
          </cell>
          <cell r="AY576">
            <v>21.4</v>
          </cell>
          <cell r="AZ576">
            <v>0</v>
          </cell>
          <cell r="BA576">
            <v>116</v>
          </cell>
          <cell r="BB576">
            <v>0</v>
          </cell>
          <cell r="BC576">
            <v>116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1</v>
          </cell>
          <cell r="BI576">
            <v>4</v>
          </cell>
          <cell r="BJ576">
            <v>0</v>
          </cell>
          <cell r="BK576">
            <v>0</v>
          </cell>
          <cell r="BL576">
            <v>0</v>
          </cell>
          <cell r="BM576">
            <v>2</v>
          </cell>
          <cell r="BN576">
            <v>2</v>
          </cell>
          <cell r="BO576">
            <v>0</v>
          </cell>
          <cell r="BP576">
            <v>109</v>
          </cell>
          <cell r="BQ576">
            <v>2</v>
          </cell>
          <cell r="BR576">
            <v>19</v>
          </cell>
          <cell r="BS576">
            <v>36</v>
          </cell>
          <cell r="BT576">
            <v>24</v>
          </cell>
          <cell r="BU576">
            <v>28</v>
          </cell>
          <cell r="BV576">
            <v>31</v>
          </cell>
          <cell r="BW576">
            <v>3</v>
          </cell>
          <cell r="BX576">
            <v>3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0</v>
          </cell>
          <cell r="EG576">
            <v>0</v>
          </cell>
          <cell r="EH576">
            <v>0</v>
          </cell>
          <cell r="EI576">
            <v>0</v>
          </cell>
          <cell r="EJ576">
            <v>0</v>
          </cell>
          <cell r="EK576">
            <v>0</v>
          </cell>
          <cell r="EL576">
            <v>0</v>
          </cell>
          <cell r="EM576">
            <v>0</v>
          </cell>
          <cell r="EN576">
            <v>0</v>
          </cell>
          <cell r="EO576" t="str">
            <v xml:space="preserve"> Womans Newport Vest                                        </v>
          </cell>
        </row>
        <row r="577">
          <cell r="A577" t="str">
            <v>CP1YL1902557</v>
          </cell>
          <cell r="B577" t="str">
            <v>CP1</v>
          </cell>
          <cell r="C577" t="str">
            <v>YL1902</v>
          </cell>
          <cell r="D577">
            <v>557</v>
          </cell>
          <cell r="E577" t="str">
            <v xml:space="preserve">   </v>
          </cell>
          <cell r="F577">
            <v>0</v>
          </cell>
          <cell r="G577">
            <v>0</v>
          </cell>
          <cell r="H577">
            <v>0</v>
          </cell>
          <cell r="I577">
            <v>600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13191000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 t="str">
            <v xml:space="preserve"> </v>
          </cell>
          <cell r="T577" t="str">
            <v xml:space="preserve"> 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21985</v>
          </cell>
          <cell r="AP577">
            <v>21985</v>
          </cell>
          <cell r="AQ577">
            <v>98000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1</v>
          </cell>
          <cell r="BH577">
            <v>1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  <cell r="ED577">
            <v>0</v>
          </cell>
          <cell r="EE577">
            <v>0</v>
          </cell>
          <cell r="EF577">
            <v>0</v>
          </cell>
          <cell r="EG577">
            <v>0</v>
          </cell>
          <cell r="EH577">
            <v>0</v>
          </cell>
          <cell r="EI577">
            <v>0</v>
          </cell>
          <cell r="EJ577">
            <v>0</v>
          </cell>
          <cell r="EK577">
            <v>0</v>
          </cell>
          <cell r="EL577">
            <v>0</v>
          </cell>
          <cell r="EM577">
            <v>0</v>
          </cell>
          <cell r="EN577">
            <v>0</v>
          </cell>
          <cell r="EO577" t="str">
            <v xml:space="preserve"> Womens North Bluff Vest                                    </v>
          </cell>
        </row>
        <row r="578">
          <cell r="A578" t="str">
            <v>CP1YL1902608</v>
          </cell>
          <cell r="B578" t="str">
            <v>CP1</v>
          </cell>
          <cell r="C578" t="str">
            <v>YL1902</v>
          </cell>
          <cell r="D578">
            <v>608</v>
          </cell>
          <cell r="E578" t="str">
            <v xml:space="preserve">   </v>
          </cell>
          <cell r="F578">
            <v>0</v>
          </cell>
          <cell r="G578">
            <v>0</v>
          </cell>
          <cell r="H578">
            <v>0</v>
          </cell>
          <cell r="I578">
            <v>600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13191000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 t="str">
            <v xml:space="preserve"> </v>
          </cell>
          <cell r="T578" t="str">
            <v xml:space="preserve"> 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21985</v>
          </cell>
          <cell r="AP578">
            <v>21985</v>
          </cell>
          <cell r="AQ578">
            <v>98000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1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  <cell r="ED578">
            <v>0</v>
          </cell>
          <cell r="EE578">
            <v>0</v>
          </cell>
          <cell r="EF578">
            <v>0</v>
          </cell>
          <cell r="EG578">
            <v>0</v>
          </cell>
          <cell r="EH578">
            <v>0</v>
          </cell>
          <cell r="EI578">
            <v>0</v>
          </cell>
          <cell r="EJ578">
            <v>0</v>
          </cell>
          <cell r="EK578">
            <v>0</v>
          </cell>
          <cell r="EL578">
            <v>0</v>
          </cell>
          <cell r="EM578">
            <v>0</v>
          </cell>
          <cell r="EN578">
            <v>0</v>
          </cell>
          <cell r="EO578" t="str">
            <v xml:space="preserve"> Womens North Bluff Vest                                    </v>
          </cell>
        </row>
        <row r="579">
          <cell r="A579" t="str">
            <v>CP1YL1903100</v>
          </cell>
          <cell r="B579" t="str">
            <v>CP1</v>
          </cell>
          <cell r="C579" t="str">
            <v>YL1903</v>
          </cell>
          <cell r="D579">
            <v>100</v>
          </cell>
          <cell r="E579" t="str">
            <v xml:space="preserve">   </v>
          </cell>
          <cell r="F579">
            <v>0</v>
          </cell>
          <cell r="G579">
            <v>0</v>
          </cell>
          <cell r="H579">
            <v>0</v>
          </cell>
          <cell r="I579">
            <v>600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19890000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 t="str">
            <v xml:space="preserve"> </v>
          </cell>
          <cell r="T579" t="str">
            <v xml:space="preserve"> 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33150</v>
          </cell>
          <cell r="AP579">
            <v>33150</v>
          </cell>
          <cell r="AQ579">
            <v>128000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1</v>
          </cell>
          <cell r="BH579">
            <v>1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  <cell r="ED579">
            <v>0</v>
          </cell>
          <cell r="EE579">
            <v>0</v>
          </cell>
          <cell r="EF579">
            <v>0</v>
          </cell>
          <cell r="EG579">
            <v>0</v>
          </cell>
          <cell r="EH579">
            <v>0</v>
          </cell>
          <cell r="EI579">
            <v>0</v>
          </cell>
          <cell r="EJ579">
            <v>0</v>
          </cell>
          <cell r="EK579">
            <v>0</v>
          </cell>
          <cell r="EL579">
            <v>0</v>
          </cell>
          <cell r="EM579">
            <v>0</v>
          </cell>
          <cell r="EN579">
            <v>0</v>
          </cell>
          <cell r="EO579" t="str">
            <v xml:space="preserve"> Womens North Pines Vest                                    </v>
          </cell>
        </row>
        <row r="580">
          <cell r="A580" t="str">
            <v>CP1YL1903441</v>
          </cell>
          <cell r="B580" t="str">
            <v>CP1</v>
          </cell>
          <cell r="C580" t="str">
            <v>YL1903</v>
          </cell>
          <cell r="D580">
            <v>441</v>
          </cell>
          <cell r="E580" t="str">
            <v xml:space="preserve">   </v>
          </cell>
          <cell r="F580">
            <v>0</v>
          </cell>
          <cell r="G580">
            <v>0</v>
          </cell>
          <cell r="H580">
            <v>0</v>
          </cell>
          <cell r="I580">
            <v>800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26520000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 t="str">
            <v xml:space="preserve"> </v>
          </cell>
          <cell r="T580" t="str">
            <v xml:space="preserve"> 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33150</v>
          </cell>
          <cell r="AP580">
            <v>33150</v>
          </cell>
          <cell r="AQ580">
            <v>128000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1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0</v>
          </cell>
          <cell r="EH580">
            <v>0</v>
          </cell>
          <cell r="EI580">
            <v>0</v>
          </cell>
          <cell r="EJ580">
            <v>0</v>
          </cell>
          <cell r="EK580">
            <v>0</v>
          </cell>
          <cell r="EL580">
            <v>0</v>
          </cell>
          <cell r="EM580">
            <v>0</v>
          </cell>
          <cell r="EN580">
            <v>0</v>
          </cell>
          <cell r="EO580" t="str">
            <v xml:space="preserve"> Womens North Pines Vest                                    </v>
          </cell>
        </row>
        <row r="581">
          <cell r="A581" t="str">
            <v>CP1YL1903631</v>
          </cell>
          <cell r="B581" t="str">
            <v>CP1</v>
          </cell>
          <cell r="C581" t="str">
            <v>YL1903</v>
          </cell>
          <cell r="D581">
            <v>631</v>
          </cell>
          <cell r="E581" t="str">
            <v xml:space="preserve">   </v>
          </cell>
          <cell r="F581">
            <v>0</v>
          </cell>
          <cell r="G581">
            <v>0</v>
          </cell>
          <cell r="H581">
            <v>0</v>
          </cell>
          <cell r="I581">
            <v>1000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33150000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 t="str">
            <v xml:space="preserve"> </v>
          </cell>
          <cell r="T581" t="str">
            <v xml:space="preserve"> 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33150</v>
          </cell>
          <cell r="AP581">
            <v>33150</v>
          </cell>
          <cell r="AQ581">
            <v>128000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1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0</v>
          </cell>
          <cell r="EG581">
            <v>0</v>
          </cell>
          <cell r="EH581">
            <v>0</v>
          </cell>
          <cell r="EI581">
            <v>0</v>
          </cell>
          <cell r="EJ581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 t="str">
            <v xml:space="preserve"> Womens North Pines Vest                                    </v>
          </cell>
        </row>
        <row r="582">
          <cell r="A582" t="str">
            <v>CP1YL3813139</v>
          </cell>
          <cell r="B582" t="str">
            <v>CP1</v>
          </cell>
          <cell r="C582" t="str">
            <v>YL3813</v>
          </cell>
          <cell r="D582">
            <v>139</v>
          </cell>
          <cell r="E582" t="str">
            <v xml:space="preserve">   </v>
          </cell>
          <cell r="F582">
            <v>81124</v>
          </cell>
          <cell r="G582">
            <v>0</v>
          </cell>
          <cell r="H582">
            <v>0</v>
          </cell>
          <cell r="I582">
            <v>0</v>
          </cell>
          <cell r="J582">
            <v>280</v>
          </cell>
          <cell r="K582">
            <v>-10</v>
          </cell>
          <cell r="L582">
            <v>-13</v>
          </cell>
          <cell r="M582">
            <v>-13</v>
          </cell>
          <cell r="N582">
            <v>0</v>
          </cell>
          <cell r="O582">
            <v>7662480</v>
          </cell>
          <cell r="P582">
            <v>-273660</v>
          </cell>
          <cell r="Q582">
            <v>-355758</v>
          </cell>
          <cell r="R582">
            <v>-1132887</v>
          </cell>
          <cell r="S582" t="str">
            <v xml:space="preserve"> </v>
          </cell>
          <cell r="T582" t="str">
            <v>C</v>
          </cell>
          <cell r="U582">
            <v>280</v>
          </cell>
          <cell r="V582">
            <v>7662480</v>
          </cell>
          <cell r="W582">
            <v>-13</v>
          </cell>
          <cell r="X582">
            <v>-355758</v>
          </cell>
          <cell r="Y582">
            <v>-4.6399999999999997</v>
          </cell>
          <cell r="Z582">
            <v>-4.6399999999999997</v>
          </cell>
          <cell r="AA582">
            <v>-355758</v>
          </cell>
          <cell r="AB582">
            <v>0</v>
          </cell>
          <cell r="AC582">
            <v>290</v>
          </cell>
          <cell r="AD582">
            <v>7936140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3</v>
          </cell>
          <cell r="AN582">
            <v>82098</v>
          </cell>
          <cell r="AO582">
            <v>27800</v>
          </cell>
          <cell r="AP582">
            <v>27366</v>
          </cell>
          <cell r="AQ582">
            <v>118000</v>
          </cell>
          <cell r="AR582">
            <v>0</v>
          </cell>
          <cell r="AS582">
            <v>4.3099999999999996</v>
          </cell>
          <cell r="AT582">
            <v>33040000</v>
          </cell>
          <cell r="AU582">
            <v>3.18</v>
          </cell>
          <cell r="AV582">
            <v>-1132887</v>
          </cell>
          <cell r="AW582">
            <v>0</v>
          </cell>
          <cell r="AX582">
            <v>0</v>
          </cell>
          <cell r="AY582">
            <v>-4.6399999999999997</v>
          </cell>
          <cell r="AZ582">
            <v>0</v>
          </cell>
          <cell r="BA582">
            <v>-13</v>
          </cell>
          <cell r="BB582">
            <v>0</v>
          </cell>
          <cell r="BC582">
            <v>-13</v>
          </cell>
          <cell r="BD582">
            <v>0</v>
          </cell>
          <cell r="BE582">
            <v>0</v>
          </cell>
          <cell r="BF582">
            <v>0</v>
          </cell>
          <cell r="BG582">
            <v>1</v>
          </cell>
          <cell r="BH582">
            <v>1</v>
          </cell>
          <cell r="BI582">
            <v>1</v>
          </cell>
          <cell r="BJ582">
            <v>0</v>
          </cell>
          <cell r="BK582">
            <v>0</v>
          </cell>
          <cell r="BL582">
            <v>0</v>
          </cell>
          <cell r="BM582">
            <v>1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-1</v>
          </cell>
          <cell r="BU582">
            <v>1</v>
          </cell>
          <cell r="BV582">
            <v>1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-15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-15</v>
          </cell>
          <cell r="EG582">
            <v>0</v>
          </cell>
          <cell r="EH582">
            <v>1</v>
          </cell>
          <cell r="EI582">
            <v>4</v>
          </cell>
          <cell r="EJ582">
            <v>-4</v>
          </cell>
          <cell r="EK582">
            <v>0</v>
          </cell>
          <cell r="EL582">
            <v>0</v>
          </cell>
          <cell r="EM582">
            <v>1</v>
          </cell>
          <cell r="EN582">
            <v>0</v>
          </cell>
          <cell r="EO582" t="str">
            <v xml:space="preserve">HIDDEN CANYON JACKET                                        </v>
          </cell>
        </row>
        <row r="583">
          <cell r="A583" t="str">
            <v>CP1YL3813425</v>
          </cell>
          <cell r="B583" t="str">
            <v>CP1</v>
          </cell>
          <cell r="C583" t="str">
            <v>YL3813</v>
          </cell>
          <cell r="D583">
            <v>425</v>
          </cell>
          <cell r="E583" t="str">
            <v xml:space="preserve">   </v>
          </cell>
          <cell r="F583">
            <v>81124</v>
          </cell>
          <cell r="G583">
            <v>90226</v>
          </cell>
          <cell r="H583">
            <v>0</v>
          </cell>
          <cell r="I583">
            <v>0</v>
          </cell>
          <cell r="J583">
            <v>272</v>
          </cell>
          <cell r="K583">
            <v>-16</v>
          </cell>
          <cell r="L583">
            <v>-32</v>
          </cell>
          <cell r="M583">
            <v>-32</v>
          </cell>
          <cell r="N583">
            <v>0</v>
          </cell>
          <cell r="O583">
            <v>7443552</v>
          </cell>
          <cell r="P583">
            <v>-437856</v>
          </cell>
          <cell r="Q583">
            <v>-875712</v>
          </cell>
          <cell r="R583">
            <v>-3653846</v>
          </cell>
          <cell r="S583" t="str">
            <v xml:space="preserve"> </v>
          </cell>
          <cell r="T583" t="str">
            <v>C</v>
          </cell>
          <cell r="U583">
            <v>272</v>
          </cell>
          <cell r="V583">
            <v>7443552</v>
          </cell>
          <cell r="W583">
            <v>-32</v>
          </cell>
          <cell r="X583">
            <v>-875712</v>
          </cell>
          <cell r="Y583">
            <v>-12.13</v>
          </cell>
          <cell r="Z583">
            <v>-12.13</v>
          </cell>
          <cell r="AA583">
            <v>-875712</v>
          </cell>
          <cell r="AB583">
            <v>0</v>
          </cell>
          <cell r="AC583">
            <v>288</v>
          </cell>
          <cell r="AD583">
            <v>7881408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-1</v>
          </cell>
          <cell r="AL583">
            <v>-27366</v>
          </cell>
          <cell r="AM583">
            <v>17</v>
          </cell>
          <cell r="AN583">
            <v>465222</v>
          </cell>
          <cell r="AO583">
            <v>27800</v>
          </cell>
          <cell r="AP583">
            <v>27366</v>
          </cell>
          <cell r="AQ583">
            <v>118000</v>
          </cell>
          <cell r="AR583">
            <v>0</v>
          </cell>
          <cell r="AS583">
            <v>4.3099999999999996</v>
          </cell>
          <cell r="AT583">
            <v>32096000</v>
          </cell>
          <cell r="AU583">
            <v>4.17</v>
          </cell>
          <cell r="AV583">
            <v>-3653846</v>
          </cell>
          <cell r="AW583">
            <v>0</v>
          </cell>
          <cell r="AX583">
            <v>0</v>
          </cell>
          <cell r="AY583">
            <v>-12.13</v>
          </cell>
          <cell r="AZ583">
            <v>0</v>
          </cell>
          <cell r="BA583">
            <v>-32</v>
          </cell>
          <cell r="BB583">
            <v>0</v>
          </cell>
          <cell r="BC583">
            <v>-32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1</v>
          </cell>
          <cell r="BI583">
            <v>2</v>
          </cell>
          <cell r="BJ583">
            <v>0</v>
          </cell>
          <cell r="BK583">
            <v>0</v>
          </cell>
          <cell r="BL583">
            <v>0</v>
          </cell>
          <cell r="BM583">
            <v>2</v>
          </cell>
          <cell r="BN583">
            <v>0</v>
          </cell>
          <cell r="BO583">
            <v>0</v>
          </cell>
          <cell r="BP583">
            <v>5</v>
          </cell>
          <cell r="BQ583">
            <v>4</v>
          </cell>
          <cell r="BR583">
            <v>0</v>
          </cell>
          <cell r="BS583">
            <v>0</v>
          </cell>
          <cell r="BT583">
            <v>0</v>
          </cell>
          <cell r="BU583">
            <v>1</v>
          </cell>
          <cell r="BV583">
            <v>1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-38</v>
          </cell>
          <cell r="EB583">
            <v>0</v>
          </cell>
          <cell r="EC583">
            <v>0</v>
          </cell>
          <cell r="ED583">
            <v>-1</v>
          </cell>
          <cell r="EE583">
            <v>0</v>
          </cell>
          <cell r="EF583">
            <v>-37</v>
          </cell>
          <cell r="EG583">
            <v>0</v>
          </cell>
          <cell r="EH583">
            <v>-1</v>
          </cell>
          <cell r="EI583">
            <v>0</v>
          </cell>
          <cell r="EJ583">
            <v>-1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 t="str">
            <v xml:space="preserve">HIDDEN CANYON JACKET                                        </v>
          </cell>
        </row>
        <row r="584">
          <cell r="A584" t="str">
            <v>CP1YL3813465</v>
          </cell>
          <cell r="B584" t="str">
            <v>CP1</v>
          </cell>
          <cell r="C584" t="str">
            <v>YL3813</v>
          </cell>
          <cell r="D584">
            <v>465</v>
          </cell>
          <cell r="E584" t="str">
            <v xml:space="preserve">   </v>
          </cell>
          <cell r="F584">
            <v>81124</v>
          </cell>
          <cell r="G584">
            <v>0</v>
          </cell>
          <cell r="H584">
            <v>0</v>
          </cell>
          <cell r="I584">
            <v>0</v>
          </cell>
          <cell r="J584">
            <v>368</v>
          </cell>
          <cell r="K584">
            <v>-15</v>
          </cell>
          <cell r="L584">
            <v>-36</v>
          </cell>
          <cell r="M584">
            <v>-36</v>
          </cell>
          <cell r="N584">
            <v>0</v>
          </cell>
          <cell r="O584">
            <v>10070688</v>
          </cell>
          <cell r="P584">
            <v>-410490</v>
          </cell>
          <cell r="Q584">
            <v>-985176</v>
          </cell>
          <cell r="R584">
            <v>-3666730</v>
          </cell>
          <cell r="S584" t="str">
            <v xml:space="preserve"> </v>
          </cell>
          <cell r="T584" t="str">
            <v>C</v>
          </cell>
          <cell r="U584">
            <v>368</v>
          </cell>
          <cell r="V584">
            <v>10070688</v>
          </cell>
          <cell r="W584">
            <v>-36</v>
          </cell>
          <cell r="X584">
            <v>-985176</v>
          </cell>
          <cell r="Y584">
            <v>-9.51</v>
          </cell>
          <cell r="Z584">
            <v>-9.51</v>
          </cell>
          <cell r="AA584">
            <v>-985176</v>
          </cell>
          <cell r="AB584">
            <v>0</v>
          </cell>
          <cell r="AC584">
            <v>383</v>
          </cell>
          <cell r="AD584">
            <v>10481178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>
            <v>27366</v>
          </cell>
          <cell r="AM584">
            <v>20</v>
          </cell>
          <cell r="AN584">
            <v>547320</v>
          </cell>
          <cell r="AO584">
            <v>27800</v>
          </cell>
          <cell r="AP584">
            <v>27366</v>
          </cell>
          <cell r="AQ584">
            <v>118000</v>
          </cell>
          <cell r="AR584">
            <v>0</v>
          </cell>
          <cell r="AS584">
            <v>4.3099999999999996</v>
          </cell>
          <cell r="AT584">
            <v>43424000</v>
          </cell>
          <cell r="AU584">
            <v>3.72</v>
          </cell>
          <cell r="AV584">
            <v>-3666730</v>
          </cell>
          <cell r="AW584">
            <v>0</v>
          </cell>
          <cell r="AX584">
            <v>0</v>
          </cell>
          <cell r="AY584">
            <v>-9.51</v>
          </cell>
          <cell r="AZ584">
            <v>0</v>
          </cell>
          <cell r="BA584">
            <v>-36</v>
          </cell>
          <cell r="BB584">
            <v>0</v>
          </cell>
          <cell r="BC584">
            <v>-36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1</v>
          </cell>
          <cell r="BI584">
            <v>-5</v>
          </cell>
          <cell r="BJ584">
            <v>0</v>
          </cell>
          <cell r="BK584">
            <v>0</v>
          </cell>
          <cell r="BL584">
            <v>0</v>
          </cell>
          <cell r="BM584">
            <v>-5</v>
          </cell>
          <cell r="BN584">
            <v>0</v>
          </cell>
          <cell r="BO584">
            <v>0</v>
          </cell>
          <cell r="BP584">
            <v>1</v>
          </cell>
          <cell r="BQ584">
            <v>0</v>
          </cell>
          <cell r="BR584">
            <v>0</v>
          </cell>
          <cell r="BS584">
            <v>1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-32</v>
          </cell>
          <cell r="EB584">
            <v>0</v>
          </cell>
          <cell r="EC584">
            <v>0</v>
          </cell>
          <cell r="ED584">
            <v>0</v>
          </cell>
          <cell r="EE584">
            <v>0</v>
          </cell>
          <cell r="EF584">
            <v>-32</v>
          </cell>
          <cell r="EG584">
            <v>0</v>
          </cell>
          <cell r="EH584">
            <v>0</v>
          </cell>
          <cell r="EI584">
            <v>5</v>
          </cell>
          <cell r="EJ584">
            <v>-5</v>
          </cell>
          <cell r="EK584">
            <v>0</v>
          </cell>
          <cell r="EL584">
            <v>0</v>
          </cell>
          <cell r="EM584">
            <v>0</v>
          </cell>
          <cell r="EN584">
            <v>0</v>
          </cell>
          <cell r="EO584" t="str">
            <v xml:space="preserve">HIDDEN CANYON JACKET                                        </v>
          </cell>
        </row>
        <row r="585">
          <cell r="A585" t="str">
            <v>CP1YL3813696</v>
          </cell>
          <cell r="B585" t="str">
            <v>CP1</v>
          </cell>
          <cell r="C585" t="str">
            <v>YL3813</v>
          </cell>
          <cell r="D585">
            <v>696</v>
          </cell>
          <cell r="E585" t="str">
            <v xml:space="preserve">   </v>
          </cell>
          <cell r="F585">
            <v>81124</v>
          </cell>
          <cell r="G585">
            <v>90216</v>
          </cell>
          <cell r="H585">
            <v>0</v>
          </cell>
          <cell r="I585">
            <v>0</v>
          </cell>
          <cell r="J585">
            <v>312</v>
          </cell>
          <cell r="K585">
            <v>-9</v>
          </cell>
          <cell r="L585">
            <v>-17</v>
          </cell>
          <cell r="M585">
            <v>-17</v>
          </cell>
          <cell r="N585">
            <v>0</v>
          </cell>
          <cell r="O585">
            <v>8538192</v>
          </cell>
          <cell r="P585">
            <v>-246294</v>
          </cell>
          <cell r="Q585">
            <v>-465222</v>
          </cell>
          <cell r="R585">
            <v>-1991792</v>
          </cell>
          <cell r="S585" t="str">
            <v xml:space="preserve"> </v>
          </cell>
          <cell r="T585" t="str">
            <v>C</v>
          </cell>
          <cell r="U585">
            <v>312</v>
          </cell>
          <cell r="V585">
            <v>8538192</v>
          </cell>
          <cell r="W585">
            <v>-17</v>
          </cell>
          <cell r="X585">
            <v>-465222</v>
          </cell>
          <cell r="Y585">
            <v>-5.45</v>
          </cell>
          <cell r="Z585">
            <v>-5.45</v>
          </cell>
          <cell r="AA585">
            <v>-465222</v>
          </cell>
          <cell r="AB585">
            <v>0</v>
          </cell>
          <cell r="AC585">
            <v>321</v>
          </cell>
          <cell r="AD585">
            <v>8784486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8</v>
          </cell>
          <cell r="AN585">
            <v>218928</v>
          </cell>
          <cell r="AO585">
            <v>27800</v>
          </cell>
          <cell r="AP585">
            <v>27366</v>
          </cell>
          <cell r="AQ585">
            <v>118000</v>
          </cell>
          <cell r="AR585">
            <v>0</v>
          </cell>
          <cell r="AS585">
            <v>4.3099999999999996</v>
          </cell>
          <cell r="AT585">
            <v>36816000</v>
          </cell>
          <cell r="AU585">
            <v>4.28</v>
          </cell>
          <cell r="AV585">
            <v>-1991792</v>
          </cell>
          <cell r="AW585">
            <v>0</v>
          </cell>
          <cell r="AX585">
            <v>0</v>
          </cell>
          <cell r="AY585">
            <v>-5.45</v>
          </cell>
          <cell r="AZ585">
            <v>0</v>
          </cell>
          <cell r="BA585">
            <v>-17</v>
          </cell>
          <cell r="BB585">
            <v>0</v>
          </cell>
          <cell r="BC585">
            <v>-17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1</v>
          </cell>
          <cell r="BI585">
            <v>2</v>
          </cell>
          <cell r="BJ585">
            <v>0</v>
          </cell>
          <cell r="BK585">
            <v>0</v>
          </cell>
          <cell r="BL585">
            <v>0</v>
          </cell>
          <cell r="BM585">
            <v>2</v>
          </cell>
          <cell r="BN585">
            <v>0</v>
          </cell>
          <cell r="BO585">
            <v>0</v>
          </cell>
          <cell r="BP585">
            <v>1</v>
          </cell>
          <cell r="BQ585">
            <v>0</v>
          </cell>
          <cell r="BR585">
            <v>0</v>
          </cell>
          <cell r="BS585">
            <v>0</v>
          </cell>
          <cell r="BT585">
            <v>1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-20</v>
          </cell>
          <cell r="EB585">
            <v>0</v>
          </cell>
          <cell r="EC585">
            <v>0</v>
          </cell>
          <cell r="ED585">
            <v>0</v>
          </cell>
          <cell r="EE585">
            <v>0</v>
          </cell>
          <cell r="EF585">
            <v>-20</v>
          </cell>
          <cell r="EG585">
            <v>0</v>
          </cell>
          <cell r="EH585">
            <v>0</v>
          </cell>
          <cell r="EI585">
            <v>2</v>
          </cell>
          <cell r="EJ585">
            <v>-2</v>
          </cell>
          <cell r="EK585">
            <v>0</v>
          </cell>
          <cell r="EL585">
            <v>0</v>
          </cell>
          <cell r="EM585">
            <v>0</v>
          </cell>
          <cell r="EN585">
            <v>0</v>
          </cell>
          <cell r="EO585" t="str">
            <v xml:space="preserve">HIDDEN CANYON JACKET                                        </v>
          </cell>
        </row>
        <row r="586">
          <cell r="A586" t="str">
            <v>CP1YL3824589</v>
          </cell>
          <cell r="B586" t="str">
            <v>CP1</v>
          </cell>
          <cell r="C586" t="str">
            <v>YL3824</v>
          </cell>
          <cell r="D586">
            <v>589</v>
          </cell>
          <cell r="E586" t="str">
            <v xml:space="preserve">   </v>
          </cell>
          <cell r="F586">
            <v>81124</v>
          </cell>
          <cell r="G586">
            <v>0</v>
          </cell>
          <cell r="H586">
            <v>0</v>
          </cell>
          <cell r="I586">
            <v>0</v>
          </cell>
          <cell r="J586">
            <v>353</v>
          </cell>
          <cell r="K586">
            <v>-11</v>
          </cell>
          <cell r="L586">
            <v>-16</v>
          </cell>
          <cell r="M586">
            <v>-16</v>
          </cell>
          <cell r="N586">
            <v>0</v>
          </cell>
          <cell r="O586">
            <v>12968161</v>
          </cell>
          <cell r="P586">
            <v>-404107</v>
          </cell>
          <cell r="Q586">
            <v>-587792</v>
          </cell>
          <cell r="R586">
            <v>-2528000</v>
          </cell>
          <cell r="S586" t="str">
            <v xml:space="preserve"> </v>
          </cell>
          <cell r="T586" t="str">
            <v>C</v>
          </cell>
          <cell r="U586">
            <v>353</v>
          </cell>
          <cell r="V586">
            <v>12968161</v>
          </cell>
          <cell r="W586">
            <v>-16</v>
          </cell>
          <cell r="X586">
            <v>-587792</v>
          </cell>
          <cell r="Y586">
            <v>-5.0999999999999996</v>
          </cell>
          <cell r="Z586">
            <v>-5.0999999999999996</v>
          </cell>
          <cell r="AA586">
            <v>-587792</v>
          </cell>
          <cell r="AB586">
            <v>0</v>
          </cell>
          <cell r="AC586">
            <v>364</v>
          </cell>
          <cell r="AD586">
            <v>13372268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-2</v>
          </cell>
          <cell r="AL586">
            <v>-73474</v>
          </cell>
          <cell r="AM586">
            <v>7</v>
          </cell>
          <cell r="AN586">
            <v>257159</v>
          </cell>
          <cell r="AO586">
            <v>36650</v>
          </cell>
          <cell r="AP586">
            <v>36737</v>
          </cell>
          <cell r="AQ586">
            <v>158000</v>
          </cell>
          <cell r="AR586">
            <v>0</v>
          </cell>
          <cell r="AS586">
            <v>4.3</v>
          </cell>
          <cell r="AT586">
            <v>55774000</v>
          </cell>
          <cell r="AU586">
            <v>4.3</v>
          </cell>
          <cell r="AV586">
            <v>-2528000</v>
          </cell>
          <cell r="AW586">
            <v>0</v>
          </cell>
          <cell r="AX586">
            <v>0</v>
          </cell>
          <cell r="AY586">
            <v>-5.0999999999999996</v>
          </cell>
          <cell r="AZ586">
            <v>0</v>
          </cell>
          <cell r="BA586">
            <v>-16</v>
          </cell>
          <cell r="BB586">
            <v>0</v>
          </cell>
          <cell r="BC586">
            <v>-16</v>
          </cell>
          <cell r="BD586">
            <v>0</v>
          </cell>
          <cell r="BE586">
            <v>0</v>
          </cell>
          <cell r="BF586">
            <v>0</v>
          </cell>
          <cell r="BG586">
            <v>1</v>
          </cell>
          <cell r="BH586">
            <v>1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-16</v>
          </cell>
          <cell r="EB586">
            <v>0</v>
          </cell>
          <cell r="EC586">
            <v>0</v>
          </cell>
          <cell r="ED586">
            <v>0</v>
          </cell>
          <cell r="EE586">
            <v>0</v>
          </cell>
          <cell r="EF586">
            <v>-16</v>
          </cell>
          <cell r="EG586">
            <v>0</v>
          </cell>
          <cell r="EH586">
            <v>0</v>
          </cell>
          <cell r="EI586">
            <v>0</v>
          </cell>
          <cell r="EJ586">
            <v>0</v>
          </cell>
          <cell r="EK586">
            <v>0</v>
          </cell>
          <cell r="EL586">
            <v>0</v>
          </cell>
          <cell r="EM586">
            <v>0</v>
          </cell>
          <cell r="EN586">
            <v>0</v>
          </cell>
          <cell r="EO586" t="str">
            <v xml:space="preserve"> JACKET                                                     </v>
          </cell>
        </row>
        <row r="587">
          <cell r="A587" t="str">
            <v>CP1YL3825415</v>
          </cell>
          <cell r="B587" t="str">
            <v>CP1</v>
          </cell>
          <cell r="C587" t="str">
            <v>YL3825</v>
          </cell>
          <cell r="D587">
            <v>415</v>
          </cell>
          <cell r="E587" t="str">
            <v xml:space="preserve">   </v>
          </cell>
          <cell r="F587">
            <v>81124</v>
          </cell>
          <cell r="G587">
            <v>0</v>
          </cell>
          <cell r="H587">
            <v>0</v>
          </cell>
          <cell r="I587">
            <v>0</v>
          </cell>
          <cell r="J587">
            <v>593</v>
          </cell>
          <cell r="K587">
            <v>-11</v>
          </cell>
          <cell r="L587">
            <v>-37</v>
          </cell>
          <cell r="M587">
            <v>-37</v>
          </cell>
          <cell r="N587">
            <v>0</v>
          </cell>
          <cell r="O587">
            <v>18091837</v>
          </cell>
          <cell r="P587">
            <v>-335599</v>
          </cell>
          <cell r="Q587">
            <v>-1128833</v>
          </cell>
          <cell r="R587">
            <v>-4650730</v>
          </cell>
          <cell r="S587" t="str">
            <v xml:space="preserve"> </v>
          </cell>
          <cell r="T587" t="str">
            <v>C</v>
          </cell>
          <cell r="U587">
            <v>593</v>
          </cell>
          <cell r="V587">
            <v>18091837</v>
          </cell>
          <cell r="W587">
            <v>-37</v>
          </cell>
          <cell r="X587">
            <v>-1128833</v>
          </cell>
          <cell r="Y587">
            <v>-5.9</v>
          </cell>
          <cell r="Z587">
            <v>-5.9</v>
          </cell>
          <cell r="AA587">
            <v>-1128833</v>
          </cell>
          <cell r="AB587">
            <v>0</v>
          </cell>
          <cell r="AC587">
            <v>604</v>
          </cell>
          <cell r="AD587">
            <v>18427436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2</v>
          </cell>
          <cell r="AL587">
            <v>61018</v>
          </cell>
          <cell r="AM587">
            <v>24</v>
          </cell>
          <cell r="AN587">
            <v>732216</v>
          </cell>
          <cell r="AO587">
            <v>30638</v>
          </cell>
          <cell r="AP587">
            <v>30509</v>
          </cell>
          <cell r="AQ587">
            <v>145000</v>
          </cell>
          <cell r="AR587">
            <v>0</v>
          </cell>
          <cell r="AS587">
            <v>4.75</v>
          </cell>
          <cell r="AT587">
            <v>85985000</v>
          </cell>
          <cell r="AU587">
            <v>4.12</v>
          </cell>
          <cell r="AV587">
            <v>-4650730</v>
          </cell>
          <cell r="AW587">
            <v>0</v>
          </cell>
          <cell r="AX587">
            <v>0</v>
          </cell>
          <cell r="AY587">
            <v>-5.9</v>
          </cell>
          <cell r="AZ587">
            <v>0</v>
          </cell>
          <cell r="BA587">
            <v>-37</v>
          </cell>
          <cell r="BB587">
            <v>0</v>
          </cell>
          <cell r="BC587">
            <v>-37</v>
          </cell>
          <cell r="BD587">
            <v>0</v>
          </cell>
          <cell r="BE587">
            <v>0</v>
          </cell>
          <cell r="BF587">
            <v>0</v>
          </cell>
          <cell r="BG587">
            <v>1</v>
          </cell>
          <cell r="BH587">
            <v>1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-1</v>
          </cell>
          <cell r="BQ587">
            <v>0</v>
          </cell>
          <cell r="BR587">
            <v>0</v>
          </cell>
          <cell r="BS587">
            <v>0</v>
          </cell>
          <cell r="BT587">
            <v>-1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  <cell r="DP587">
            <v>0</v>
          </cell>
          <cell r="DQ587">
            <v>0</v>
          </cell>
          <cell r="DR587">
            <v>0</v>
          </cell>
          <cell r="DS587">
            <v>0</v>
          </cell>
          <cell r="DT587">
            <v>0</v>
          </cell>
          <cell r="DU587">
            <v>0</v>
          </cell>
          <cell r="DV587">
            <v>0</v>
          </cell>
          <cell r="DW587">
            <v>0</v>
          </cell>
          <cell r="DX587">
            <v>0</v>
          </cell>
          <cell r="DY587">
            <v>0</v>
          </cell>
          <cell r="DZ587">
            <v>0</v>
          </cell>
          <cell r="EA587">
            <v>-36</v>
          </cell>
          <cell r="EB587">
            <v>0</v>
          </cell>
          <cell r="EC587">
            <v>0</v>
          </cell>
          <cell r="ED587">
            <v>0</v>
          </cell>
          <cell r="EE587">
            <v>0</v>
          </cell>
          <cell r="EF587">
            <v>-36</v>
          </cell>
          <cell r="EG587">
            <v>0</v>
          </cell>
          <cell r="EH587">
            <v>0</v>
          </cell>
          <cell r="EI587">
            <v>5</v>
          </cell>
          <cell r="EJ587">
            <v>-5</v>
          </cell>
          <cell r="EK587">
            <v>0</v>
          </cell>
          <cell r="EL587">
            <v>0</v>
          </cell>
          <cell r="EM587">
            <v>0</v>
          </cell>
          <cell r="EN587">
            <v>0</v>
          </cell>
          <cell r="EO587" t="str">
            <v xml:space="preserve">WOMENS SWOPE PARK JACEKT                                    </v>
          </cell>
        </row>
        <row r="588">
          <cell r="A588" t="str">
            <v>CP1YL3858663</v>
          </cell>
          <cell r="B588" t="str">
            <v>CP1</v>
          </cell>
          <cell r="C588" t="str">
            <v>YL3858</v>
          </cell>
          <cell r="D588">
            <v>663</v>
          </cell>
          <cell r="E588" t="str">
            <v xml:space="preserve">   </v>
          </cell>
          <cell r="F588">
            <v>81017</v>
          </cell>
          <cell r="G588">
            <v>81017</v>
          </cell>
          <cell r="H588">
            <v>0</v>
          </cell>
          <cell r="I588">
            <v>500</v>
          </cell>
          <cell r="J588">
            <v>509</v>
          </cell>
          <cell r="K588">
            <v>509</v>
          </cell>
          <cell r="L588">
            <v>151</v>
          </cell>
          <cell r="M588">
            <v>151</v>
          </cell>
          <cell r="N588">
            <v>72575000</v>
          </cell>
          <cell r="O588">
            <v>73904255</v>
          </cell>
          <cell r="P588">
            <v>73904255</v>
          </cell>
          <cell r="Q588">
            <v>21924445</v>
          </cell>
          <cell r="R588">
            <v>78917300</v>
          </cell>
          <cell r="S588" t="str">
            <v xml:space="preserve"> </v>
          </cell>
          <cell r="T588" t="str">
            <v xml:space="preserve"> </v>
          </cell>
          <cell r="U588">
            <v>509</v>
          </cell>
          <cell r="V588">
            <v>73904255</v>
          </cell>
          <cell r="W588">
            <v>151</v>
          </cell>
          <cell r="X588">
            <v>21924445</v>
          </cell>
          <cell r="Y588">
            <v>29.67</v>
          </cell>
          <cell r="Z588">
            <v>29.67</v>
          </cell>
          <cell r="AA588">
            <v>21924445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358</v>
          </cell>
          <cell r="AN588">
            <v>51979810</v>
          </cell>
          <cell r="AO588">
            <v>145150</v>
          </cell>
          <cell r="AP588">
            <v>145195</v>
          </cell>
          <cell r="AQ588">
            <v>618000</v>
          </cell>
          <cell r="AR588">
            <v>0</v>
          </cell>
          <cell r="AS588">
            <v>4.26</v>
          </cell>
          <cell r="AT588">
            <v>314562000</v>
          </cell>
          <cell r="AU588">
            <v>3.6</v>
          </cell>
          <cell r="AV588">
            <v>78917300</v>
          </cell>
          <cell r="AW588">
            <v>0</v>
          </cell>
          <cell r="AX588">
            <v>0</v>
          </cell>
          <cell r="AY588">
            <v>29.67</v>
          </cell>
          <cell r="AZ588">
            <v>0</v>
          </cell>
          <cell r="BA588">
            <v>151</v>
          </cell>
          <cell r="BB588">
            <v>0</v>
          </cell>
          <cell r="BC588">
            <v>151</v>
          </cell>
          <cell r="BD588">
            <v>0</v>
          </cell>
          <cell r="BE588">
            <v>0</v>
          </cell>
          <cell r="BF588">
            <v>0</v>
          </cell>
          <cell r="BG588">
            <v>1</v>
          </cell>
          <cell r="BH588">
            <v>1</v>
          </cell>
          <cell r="BI588">
            <v>23</v>
          </cell>
          <cell r="BJ588">
            <v>5</v>
          </cell>
          <cell r="BK588">
            <v>6</v>
          </cell>
          <cell r="BL588">
            <v>5</v>
          </cell>
          <cell r="BM588">
            <v>6</v>
          </cell>
          <cell r="BN588">
            <v>1</v>
          </cell>
          <cell r="BO588">
            <v>0</v>
          </cell>
          <cell r="BP588">
            <v>9</v>
          </cell>
          <cell r="BQ588">
            <v>1</v>
          </cell>
          <cell r="BR588">
            <v>3</v>
          </cell>
          <cell r="BS588">
            <v>1</v>
          </cell>
          <cell r="BT588">
            <v>4</v>
          </cell>
          <cell r="BU588">
            <v>0</v>
          </cell>
          <cell r="BV588">
            <v>1</v>
          </cell>
          <cell r="BW588">
            <v>1</v>
          </cell>
          <cell r="BX588">
            <v>1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32</v>
          </cell>
          <cell r="DU588">
            <v>0</v>
          </cell>
          <cell r="DV588">
            <v>0</v>
          </cell>
          <cell r="DW588">
            <v>3</v>
          </cell>
          <cell r="DX588">
            <v>16</v>
          </cell>
          <cell r="DY588">
            <v>13</v>
          </cell>
          <cell r="DZ588">
            <v>0</v>
          </cell>
          <cell r="EA588">
            <v>58</v>
          </cell>
          <cell r="EB588">
            <v>10</v>
          </cell>
          <cell r="EC588">
            <v>13</v>
          </cell>
          <cell r="ED588">
            <v>13</v>
          </cell>
          <cell r="EE588">
            <v>11</v>
          </cell>
          <cell r="EF588">
            <v>11</v>
          </cell>
          <cell r="EG588">
            <v>0</v>
          </cell>
          <cell r="EH588">
            <v>28</v>
          </cell>
          <cell r="EI588">
            <v>6</v>
          </cell>
          <cell r="EJ588">
            <v>4</v>
          </cell>
          <cell r="EK588">
            <v>6</v>
          </cell>
          <cell r="EL588">
            <v>4</v>
          </cell>
          <cell r="EM588">
            <v>8</v>
          </cell>
          <cell r="EN588">
            <v>0</v>
          </cell>
          <cell r="EO588" t="str">
            <v xml:space="preserve">WOMNAS GUM SPRING JACKET                                    </v>
          </cell>
        </row>
        <row r="589">
          <cell r="A589" t="str">
            <v>CP1YL3858759</v>
          </cell>
          <cell r="B589" t="str">
            <v>CP1</v>
          </cell>
          <cell r="C589" t="str">
            <v>YL3858</v>
          </cell>
          <cell r="D589">
            <v>759</v>
          </cell>
          <cell r="E589" t="str">
            <v xml:space="preserve">   </v>
          </cell>
          <cell r="F589">
            <v>81010</v>
          </cell>
          <cell r="G589">
            <v>81010</v>
          </cell>
          <cell r="H589">
            <v>0</v>
          </cell>
          <cell r="I589">
            <v>350</v>
          </cell>
          <cell r="J589">
            <v>425</v>
          </cell>
          <cell r="K589">
            <v>425</v>
          </cell>
          <cell r="L589">
            <v>134</v>
          </cell>
          <cell r="M589">
            <v>134</v>
          </cell>
          <cell r="N589">
            <v>50802500</v>
          </cell>
          <cell r="O589">
            <v>61707875</v>
          </cell>
          <cell r="P589">
            <v>61707875</v>
          </cell>
          <cell r="Q589">
            <v>19456130</v>
          </cell>
          <cell r="R589">
            <v>70549900</v>
          </cell>
          <cell r="S589" t="str">
            <v xml:space="preserve"> </v>
          </cell>
          <cell r="T589" t="str">
            <v xml:space="preserve"> </v>
          </cell>
          <cell r="U589">
            <v>425</v>
          </cell>
          <cell r="V589">
            <v>61707875</v>
          </cell>
          <cell r="W589">
            <v>134</v>
          </cell>
          <cell r="X589">
            <v>19456130</v>
          </cell>
          <cell r="Y589">
            <v>31.53</v>
          </cell>
          <cell r="Z589">
            <v>31.53</v>
          </cell>
          <cell r="AA589">
            <v>19456130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291</v>
          </cell>
          <cell r="AN589">
            <v>42251745</v>
          </cell>
          <cell r="AO589">
            <v>145150</v>
          </cell>
          <cell r="AP589">
            <v>145195</v>
          </cell>
          <cell r="AQ589">
            <v>618000</v>
          </cell>
          <cell r="AR589">
            <v>0</v>
          </cell>
          <cell r="AS589">
            <v>4.26</v>
          </cell>
          <cell r="AT589">
            <v>262650000</v>
          </cell>
          <cell r="AU589">
            <v>3.63</v>
          </cell>
          <cell r="AV589">
            <v>70549900</v>
          </cell>
          <cell r="AW589">
            <v>0</v>
          </cell>
          <cell r="AX589">
            <v>0</v>
          </cell>
          <cell r="AY589">
            <v>31.53</v>
          </cell>
          <cell r="AZ589">
            <v>0</v>
          </cell>
          <cell r="BA589">
            <v>134</v>
          </cell>
          <cell r="BB589">
            <v>0</v>
          </cell>
          <cell r="BC589">
            <v>134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1</v>
          </cell>
          <cell r="BI589">
            <v>14</v>
          </cell>
          <cell r="BJ589">
            <v>3</v>
          </cell>
          <cell r="BK589">
            <v>2</v>
          </cell>
          <cell r="BL589">
            <v>2</v>
          </cell>
          <cell r="BM589">
            <v>3</v>
          </cell>
          <cell r="BN589">
            <v>4</v>
          </cell>
          <cell r="BO589">
            <v>0</v>
          </cell>
          <cell r="BP589">
            <v>12</v>
          </cell>
          <cell r="BQ589">
            <v>1</v>
          </cell>
          <cell r="BR589">
            <v>2</v>
          </cell>
          <cell r="BS589">
            <v>2</v>
          </cell>
          <cell r="BT589">
            <v>6</v>
          </cell>
          <cell r="BU589">
            <v>1</v>
          </cell>
          <cell r="BV589">
            <v>2</v>
          </cell>
          <cell r="BW589">
            <v>1</v>
          </cell>
          <cell r="BX589">
            <v>1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45</v>
          </cell>
          <cell r="DU589">
            <v>0</v>
          </cell>
          <cell r="DV589">
            <v>7</v>
          </cell>
          <cell r="DW589">
            <v>17</v>
          </cell>
          <cell r="DX589">
            <v>14</v>
          </cell>
          <cell r="DY589">
            <v>7</v>
          </cell>
          <cell r="DZ589">
            <v>0</v>
          </cell>
          <cell r="EA589">
            <v>42</v>
          </cell>
          <cell r="EB589">
            <v>9</v>
          </cell>
          <cell r="EC589">
            <v>11</v>
          </cell>
          <cell r="ED589">
            <v>11</v>
          </cell>
          <cell r="EE589">
            <v>6</v>
          </cell>
          <cell r="EF589">
            <v>5</v>
          </cell>
          <cell r="EG589">
            <v>0</v>
          </cell>
          <cell r="EH589">
            <v>20</v>
          </cell>
          <cell r="EI589">
            <v>4</v>
          </cell>
          <cell r="EJ589">
            <v>7</v>
          </cell>
          <cell r="EK589">
            <v>6</v>
          </cell>
          <cell r="EL589">
            <v>2</v>
          </cell>
          <cell r="EM589">
            <v>1</v>
          </cell>
          <cell r="EN589">
            <v>0</v>
          </cell>
          <cell r="EO589" t="str">
            <v xml:space="preserve">WOMNAS GUM SPRING JACKET                                    </v>
          </cell>
        </row>
        <row r="590">
          <cell r="A590" t="str">
            <v>CP1YL3862007</v>
          </cell>
          <cell r="B590" t="str">
            <v>CP1</v>
          </cell>
          <cell r="C590" t="str">
            <v>YL3862</v>
          </cell>
          <cell r="D590">
            <v>7</v>
          </cell>
          <cell r="E590" t="str">
            <v xml:space="preserve">   </v>
          </cell>
          <cell r="F590">
            <v>81029</v>
          </cell>
          <cell r="G590">
            <v>81029</v>
          </cell>
          <cell r="H590">
            <v>0</v>
          </cell>
          <cell r="I590">
            <v>180</v>
          </cell>
          <cell r="J590">
            <v>173</v>
          </cell>
          <cell r="K590">
            <v>171</v>
          </cell>
          <cell r="L590">
            <v>-75</v>
          </cell>
          <cell r="M590">
            <v>-75</v>
          </cell>
          <cell r="N590">
            <v>5523300</v>
          </cell>
          <cell r="O590">
            <v>5229292</v>
          </cell>
          <cell r="P590">
            <v>5168838</v>
          </cell>
          <cell r="Q590">
            <v>-2267746</v>
          </cell>
          <cell r="R590">
            <v>-11666513</v>
          </cell>
          <cell r="S590" t="str">
            <v xml:space="preserve"> </v>
          </cell>
          <cell r="T590" t="str">
            <v>C</v>
          </cell>
          <cell r="U590">
            <v>173</v>
          </cell>
          <cell r="V590">
            <v>5229292</v>
          </cell>
          <cell r="W590">
            <v>-75</v>
          </cell>
          <cell r="X590">
            <v>-2267746</v>
          </cell>
          <cell r="Y590">
            <v>-43.35</v>
          </cell>
          <cell r="Z590">
            <v>-43.37</v>
          </cell>
          <cell r="AA590">
            <v>-2267746</v>
          </cell>
          <cell r="AB590">
            <v>0</v>
          </cell>
          <cell r="AC590">
            <v>2</v>
          </cell>
          <cell r="AD590">
            <v>60468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246</v>
          </cell>
          <cell r="AN590">
            <v>7437564</v>
          </cell>
          <cell r="AO590">
            <v>30685</v>
          </cell>
          <cell r="AP590">
            <v>30234</v>
          </cell>
          <cell r="AQ590">
            <v>138000</v>
          </cell>
          <cell r="AR590">
            <v>0</v>
          </cell>
          <cell r="AS590">
            <v>4.57</v>
          </cell>
          <cell r="AT590">
            <v>23874000</v>
          </cell>
          <cell r="AU590">
            <v>5.14</v>
          </cell>
          <cell r="AV590">
            <v>-11666513</v>
          </cell>
          <cell r="AW590">
            <v>0</v>
          </cell>
          <cell r="AX590">
            <v>0</v>
          </cell>
          <cell r="AY590">
            <v>-43.35</v>
          </cell>
          <cell r="AZ590">
            <v>0</v>
          </cell>
          <cell r="BA590">
            <v>-75</v>
          </cell>
          <cell r="BB590">
            <v>0</v>
          </cell>
          <cell r="BC590">
            <v>-75</v>
          </cell>
          <cell r="BD590">
            <v>0</v>
          </cell>
          <cell r="BE590">
            <v>0</v>
          </cell>
          <cell r="BF590">
            <v>0</v>
          </cell>
          <cell r="BG590">
            <v>1</v>
          </cell>
          <cell r="BH590">
            <v>1</v>
          </cell>
          <cell r="BI590">
            <v>16</v>
          </cell>
          <cell r="BJ590">
            <v>2</v>
          </cell>
          <cell r="BK590">
            <v>1</v>
          </cell>
          <cell r="BL590">
            <v>4</v>
          </cell>
          <cell r="BM590">
            <v>4</v>
          </cell>
          <cell r="BN590">
            <v>5</v>
          </cell>
          <cell r="BO590">
            <v>0</v>
          </cell>
          <cell r="BP590">
            <v>38</v>
          </cell>
          <cell r="BQ590">
            <v>2</v>
          </cell>
          <cell r="BR590">
            <v>7</v>
          </cell>
          <cell r="BS590">
            <v>5</v>
          </cell>
          <cell r="BT590">
            <v>15</v>
          </cell>
          <cell r="BU590">
            <v>9</v>
          </cell>
          <cell r="BV590">
            <v>10</v>
          </cell>
          <cell r="BW590">
            <v>1</v>
          </cell>
          <cell r="BX590">
            <v>1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2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2</v>
          </cell>
          <cell r="DZ590">
            <v>0</v>
          </cell>
          <cell r="EA590">
            <v>26</v>
          </cell>
          <cell r="EB590">
            <v>4</v>
          </cell>
          <cell r="EC590">
            <v>15</v>
          </cell>
          <cell r="ED590">
            <v>3</v>
          </cell>
          <cell r="EE590">
            <v>2</v>
          </cell>
          <cell r="EF590">
            <v>2</v>
          </cell>
          <cell r="EG590">
            <v>0</v>
          </cell>
          <cell r="EH590">
            <v>-158</v>
          </cell>
          <cell r="EI590">
            <v>1</v>
          </cell>
          <cell r="EJ590">
            <v>-157</v>
          </cell>
          <cell r="EK590">
            <v>0</v>
          </cell>
          <cell r="EL590">
            <v>0</v>
          </cell>
          <cell r="EM590">
            <v>-2</v>
          </cell>
          <cell r="EN590">
            <v>0</v>
          </cell>
          <cell r="EO590" t="str">
            <v xml:space="preserve">WOMNS PILOT STATION JACKET                                  </v>
          </cell>
        </row>
        <row r="591">
          <cell r="A591" t="str">
            <v>CP1YL3862529</v>
          </cell>
          <cell r="B591" t="str">
            <v>CP1</v>
          </cell>
          <cell r="C591" t="str">
            <v>YL3862</v>
          </cell>
          <cell r="D591">
            <v>529</v>
          </cell>
          <cell r="E591" t="str">
            <v xml:space="preserve">   </v>
          </cell>
          <cell r="F591">
            <v>81029</v>
          </cell>
          <cell r="G591">
            <v>81029</v>
          </cell>
          <cell r="H591">
            <v>0</v>
          </cell>
          <cell r="I591">
            <v>300</v>
          </cell>
          <cell r="J591">
            <v>298</v>
          </cell>
          <cell r="K591">
            <v>298</v>
          </cell>
          <cell r="L591">
            <v>53</v>
          </cell>
          <cell r="M591">
            <v>53</v>
          </cell>
          <cell r="N591">
            <v>9205500</v>
          </cell>
          <cell r="O591">
            <v>9007660</v>
          </cell>
          <cell r="P591">
            <v>9007709</v>
          </cell>
          <cell r="Q591">
            <v>1602150</v>
          </cell>
          <cell r="R591">
            <v>5814218</v>
          </cell>
          <cell r="S591" t="str">
            <v xml:space="preserve"> </v>
          </cell>
          <cell r="T591" t="str">
            <v>C</v>
          </cell>
          <cell r="U591">
            <v>298</v>
          </cell>
          <cell r="V591">
            <v>9007660</v>
          </cell>
          <cell r="W591">
            <v>53</v>
          </cell>
          <cell r="X591">
            <v>1602150</v>
          </cell>
          <cell r="Y591">
            <v>17.79</v>
          </cell>
          <cell r="Z591">
            <v>17.79</v>
          </cell>
          <cell r="AA591">
            <v>1602150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245</v>
          </cell>
          <cell r="AN591">
            <v>7407330</v>
          </cell>
          <cell r="AO591">
            <v>30685</v>
          </cell>
          <cell r="AP591">
            <v>30234</v>
          </cell>
          <cell r="AQ591">
            <v>138000</v>
          </cell>
          <cell r="AR591">
            <v>0</v>
          </cell>
          <cell r="AS591">
            <v>4.57</v>
          </cell>
          <cell r="AT591">
            <v>41124000</v>
          </cell>
          <cell r="AU591">
            <v>3.63</v>
          </cell>
          <cell r="AV591">
            <v>5814218</v>
          </cell>
          <cell r="AW591">
            <v>0</v>
          </cell>
          <cell r="AX591">
            <v>0</v>
          </cell>
          <cell r="AY591">
            <v>17.79</v>
          </cell>
          <cell r="AZ591">
            <v>0</v>
          </cell>
          <cell r="BA591">
            <v>53</v>
          </cell>
          <cell r="BB591">
            <v>0</v>
          </cell>
          <cell r="BC591">
            <v>53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1</v>
          </cell>
          <cell r="BI591">
            <v>18</v>
          </cell>
          <cell r="BJ591">
            <v>2</v>
          </cell>
          <cell r="BK591">
            <v>3</v>
          </cell>
          <cell r="BL591">
            <v>3</v>
          </cell>
          <cell r="BM591">
            <v>5</v>
          </cell>
          <cell r="BN591">
            <v>5</v>
          </cell>
          <cell r="BO591">
            <v>0</v>
          </cell>
          <cell r="BP591">
            <v>74</v>
          </cell>
          <cell r="BQ591">
            <v>3</v>
          </cell>
          <cell r="BR591">
            <v>15</v>
          </cell>
          <cell r="BS591">
            <v>28</v>
          </cell>
          <cell r="BT591">
            <v>17</v>
          </cell>
          <cell r="BU591">
            <v>11</v>
          </cell>
          <cell r="BV591">
            <v>14</v>
          </cell>
          <cell r="BW591">
            <v>3</v>
          </cell>
          <cell r="BX591">
            <v>3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3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3</v>
          </cell>
          <cell r="DZ591">
            <v>0</v>
          </cell>
          <cell r="EA591">
            <v>33</v>
          </cell>
          <cell r="EB591">
            <v>3</v>
          </cell>
          <cell r="EC591">
            <v>12</v>
          </cell>
          <cell r="ED591">
            <v>13</v>
          </cell>
          <cell r="EE591">
            <v>3</v>
          </cell>
          <cell r="EF591">
            <v>2</v>
          </cell>
          <cell r="EG591">
            <v>0</v>
          </cell>
          <cell r="EH591">
            <v>-78</v>
          </cell>
          <cell r="EI591">
            <v>-84</v>
          </cell>
          <cell r="EJ591">
            <v>-1</v>
          </cell>
          <cell r="EK591">
            <v>2</v>
          </cell>
          <cell r="EL591">
            <v>3</v>
          </cell>
          <cell r="EM591">
            <v>2</v>
          </cell>
          <cell r="EN591">
            <v>0</v>
          </cell>
          <cell r="EO591" t="str">
            <v xml:space="preserve">WOMNS PILOT STATION JACKET                                  </v>
          </cell>
        </row>
        <row r="592">
          <cell r="A592" t="str">
            <v>CP1YL3901348</v>
          </cell>
          <cell r="B592" t="str">
            <v>CP1</v>
          </cell>
          <cell r="C592" t="str">
            <v>YL3901</v>
          </cell>
          <cell r="D592">
            <v>348</v>
          </cell>
          <cell r="E592" t="str">
            <v xml:space="preserve">   </v>
          </cell>
          <cell r="F592">
            <v>90105</v>
          </cell>
          <cell r="G592">
            <v>90106</v>
          </cell>
          <cell r="H592">
            <v>0</v>
          </cell>
          <cell r="I592">
            <v>600</v>
          </cell>
          <cell r="J592">
            <v>601</v>
          </cell>
          <cell r="K592">
            <v>590</v>
          </cell>
          <cell r="L592">
            <v>62</v>
          </cell>
          <cell r="M592">
            <v>62</v>
          </cell>
          <cell r="N592">
            <v>49590000</v>
          </cell>
          <cell r="O592">
            <v>49679862</v>
          </cell>
          <cell r="P592">
            <v>48770580</v>
          </cell>
          <cell r="Q592">
            <v>5125044</v>
          </cell>
          <cell r="R592">
            <v>17479200</v>
          </cell>
          <cell r="S592" t="str">
            <v xml:space="preserve"> </v>
          </cell>
          <cell r="T592" t="str">
            <v xml:space="preserve"> </v>
          </cell>
          <cell r="U592">
            <v>601</v>
          </cell>
          <cell r="V592">
            <v>49679862</v>
          </cell>
          <cell r="W592">
            <v>62</v>
          </cell>
          <cell r="X592">
            <v>5125044</v>
          </cell>
          <cell r="Y592">
            <v>10.48</v>
          </cell>
          <cell r="Z592">
            <v>10.48</v>
          </cell>
          <cell r="AA592">
            <v>5125044</v>
          </cell>
          <cell r="AB592">
            <v>0</v>
          </cell>
          <cell r="AC592">
            <v>11</v>
          </cell>
          <cell r="AD592">
            <v>909282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82662</v>
          </cell>
          <cell r="AM592">
            <v>527</v>
          </cell>
          <cell r="AN592">
            <v>43562874</v>
          </cell>
          <cell r="AO592">
            <v>82650</v>
          </cell>
          <cell r="AP592">
            <v>82662</v>
          </cell>
          <cell r="AQ592">
            <v>298000</v>
          </cell>
          <cell r="AR592">
            <v>0</v>
          </cell>
          <cell r="AS592">
            <v>3.61</v>
          </cell>
          <cell r="AT592">
            <v>179098000</v>
          </cell>
          <cell r="AU592">
            <v>3.41</v>
          </cell>
          <cell r="AV592">
            <v>17479200</v>
          </cell>
          <cell r="AW592">
            <v>0</v>
          </cell>
          <cell r="AX592">
            <v>0</v>
          </cell>
          <cell r="AY592">
            <v>10.48</v>
          </cell>
          <cell r="AZ592">
            <v>0</v>
          </cell>
          <cell r="BA592">
            <v>62</v>
          </cell>
          <cell r="BB592">
            <v>0</v>
          </cell>
          <cell r="BC592">
            <v>62</v>
          </cell>
          <cell r="BD592">
            <v>0</v>
          </cell>
          <cell r="BE592">
            <v>0</v>
          </cell>
          <cell r="BF592">
            <v>0</v>
          </cell>
          <cell r="BG592">
            <v>1</v>
          </cell>
          <cell r="BH592">
            <v>1</v>
          </cell>
          <cell r="BI592">
            <v>19</v>
          </cell>
          <cell r="BJ592">
            <v>0</v>
          </cell>
          <cell r="BK592">
            <v>4</v>
          </cell>
          <cell r="BL592">
            <v>7</v>
          </cell>
          <cell r="BM592">
            <v>2</v>
          </cell>
          <cell r="BN592">
            <v>6</v>
          </cell>
          <cell r="BO592">
            <v>0</v>
          </cell>
          <cell r="BP592">
            <v>41</v>
          </cell>
          <cell r="BQ592">
            <v>1</v>
          </cell>
          <cell r="BR592">
            <v>11</v>
          </cell>
          <cell r="BS592">
            <v>6</v>
          </cell>
          <cell r="BT592">
            <v>10</v>
          </cell>
          <cell r="BU592">
            <v>13</v>
          </cell>
          <cell r="BV592">
            <v>15</v>
          </cell>
          <cell r="BW592">
            <v>2</v>
          </cell>
          <cell r="BX592">
            <v>2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  <cell r="DZ592">
            <v>0</v>
          </cell>
          <cell r="EA592">
            <v>0</v>
          </cell>
          <cell r="EB592">
            <v>0</v>
          </cell>
          <cell r="EC592">
            <v>0</v>
          </cell>
          <cell r="ED592">
            <v>0</v>
          </cell>
          <cell r="EE592">
            <v>0</v>
          </cell>
          <cell r="EF592">
            <v>0</v>
          </cell>
          <cell r="EG592">
            <v>0</v>
          </cell>
          <cell r="EH592">
            <v>0</v>
          </cell>
          <cell r="EI592">
            <v>0</v>
          </cell>
          <cell r="EJ592">
            <v>0</v>
          </cell>
          <cell r="EK592">
            <v>0</v>
          </cell>
          <cell r="EL592">
            <v>0</v>
          </cell>
          <cell r="EM592">
            <v>0</v>
          </cell>
          <cell r="EN592">
            <v>0</v>
          </cell>
          <cell r="EO592" t="str">
            <v xml:space="preserve">Womens Stoney Flats Jacket                                  </v>
          </cell>
        </row>
        <row r="593">
          <cell r="A593" t="str">
            <v>CP1YL3901557</v>
          </cell>
          <cell r="B593" t="str">
            <v>CP1</v>
          </cell>
          <cell r="C593" t="str">
            <v>YL3901</v>
          </cell>
          <cell r="D593">
            <v>557</v>
          </cell>
          <cell r="E593" t="str">
            <v xml:space="preserve">   </v>
          </cell>
          <cell r="F593">
            <v>90120</v>
          </cell>
          <cell r="G593">
            <v>90121</v>
          </cell>
          <cell r="H593">
            <v>0</v>
          </cell>
          <cell r="I593">
            <v>800</v>
          </cell>
          <cell r="J593">
            <v>803</v>
          </cell>
          <cell r="K593">
            <v>651</v>
          </cell>
          <cell r="L593">
            <v>38</v>
          </cell>
          <cell r="M593">
            <v>38</v>
          </cell>
          <cell r="N593">
            <v>66120000</v>
          </cell>
          <cell r="O593">
            <v>66377586</v>
          </cell>
          <cell r="P593">
            <v>53812962</v>
          </cell>
          <cell r="Q593">
            <v>3141156</v>
          </cell>
          <cell r="R593">
            <v>10786600</v>
          </cell>
          <cell r="S593" t="str">
            <v xml:space="preserve"> </v>
          </cell>
          <cell r="T593" t="str">
            <v xml:space="preserve"> </v>
          </cell>
          <cell r="U593">
            <v>803</v>
          </cell>
          <cell r="V593">
            <v>66377586</v>
          </cell>
          <cell r="W593">
            <v>38</v>
          </cell>
          <cell r="X593">
            <v>3141156</v>
          </cell>
          <cell r="Y593">
            <v>4.7300000000000004</v>
          </cell>
          <cell r="Z593">
            <v>4.7300000000000004</v>
          </cell>
          <cell r="AA593">
            <v>3141156</v>
          </cell>
          <cell r="AB593">
            <v>0</v>
          </cell>
          <cell r="AC593">
            <v>152</v>
          </cell>
          <cell r="AD593">
            <v>12564624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613</v>
          </cell>
          <cell r="AN593">
            <v>50671806</v>
          </cell>
          <cell r="AO593">
            <v>82650</v>
          </cell>
          <cell r="AP593">
            <v>82662</v>
          </cell>
          <cell r="AQ593">
            <v>298000</v>
          </cell>
          <cell r="AR593">
            <v>0</v>
          </cell>
          <cell r="AS593">
            <v>3.61</v>
          </cell>
          <cell r="AT593">
            <v>239294000</v>
          </cell>
          <cell r="AU593">
            <v>3.43</v>
          </cell>
          <cell r="AV593">
            <v>10786600</v>
          </cell>
          <cell r="AW593">
            <v>0</v>
          </cell>
          <cell r="AX593">
            <v>0</v>
          </cell>
          <cell r="AY593">
            <v>4.7300000000000004</v>
          </cell>
          <cell r="AZ593">
            <v>0</v>
          </cell>
          <cell r="BA593">
            <v>38</v>
          </cell>
          <cell r="BB593">
            <v>0</v>
          </cell>
          <cell r="BC593">
            <v>38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1</v>
          </cell>
          <cell r="BI593">
            <v>7</v>
          </cell>
          <cell r="BJ593">
            <v>0</v>
          </cell>
          <cell r="BK593">
            <v>0</v>
          </cell>
          <cell r="BL593">
            <v>0</v>
          </cell>
          <cell r="BM593">
            <v>2</v>
          </cell>
          <cell r="BN593">
            <v>5</v>
          </cell>
          <cell r="BO593">
            <v>0</v>
          </cell>
          <cell r="BP593">
            <v>31</v>
          </cell>
          <cell r="BQ593">
            <v>0</v>
          </cell>
          <cell r="BR593">
            <v>14</v>
          </cell>
          <cell r="BS593">
            <v>6</v>
          </cell>
          <cell r="BT593">
            <v>9</v>
          </cell>
          <cell r="BU593">
            <v>2</v>
          </cell>
          <cell r="BV593">
            <v>2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  <cell r="DZ593">
            <v>0</v>
          </cell>
          <cell r="EA593">
            <v>0</v>
          </cell>
          <cell r="EB593">
            <v>0</v>
          </cell>
          <cell r="EC593">
            <v>0</v>
          </cell>
          <cell r="ED593">
            <v>0</v>
          </cell>
          <cell r="EE593">
            <v>0</v>
          </cell>
          <cell r="EF593">
            <v>0</v>
          </cell>
          <cell r="EG593">
            <v>0</v>
          </cell>
          <cell r="EH593">
            <v>0</v>
          </cell>
          <cell r="EI593">
            <v>0</v>
          </cell>
          <cell r="EJ593">
            <v>0</v>
          </cell>
          <cell r="EK593">
            <v>0</v>
          </cell>
          <cell r="EL593">
            <v>0</v>
          </cell>
          <cell r="EM593">
            <v>0</v>
          </cell>
          <cell r="EN593">
            <v>0</v>
          </cell>
          <cell r="EO593" t="str">
            <v xml:space="preserve">Womens Stoney Flats Jacket                                  </v>
          </cell>
        </row>
        <row r="594">
          <cell r="A594" t="str">
            <v>CP1YL3901631</v>
          </cell>
          <cell r="B594" t="str">
            <v>CP1</v>
          </cell>
          <cell r="C594" t="str">
            <v>YL3901</v>
          </cell>
          <cell r="D594">
            <v>631</v>
          </cell>
          <cell r="E594" t="str">
            <v xml:space="preserve">   </v>
          </cell>
          <cell r="F594">
            <v>90105</v>
          </cell>
          <cell r="G594">
            <v>90106</v>
          </cell>
          <cell r="H594">
            <v>0</v>
          </cell>
          <cell r="I594">
            <v>1100</v>
          </cell>
          <cell r="J594">
            <v>1103</v>
          </cell>
          <cell r="K594">
            <v>897</v>
          </cell>
          <cell r="L594">
            <v>81</v>
          </cell>
          <cell r="M594">
            <v>81</v>
          </cell>
          <cell r="N594">
            <v>90915000</v>
          </cell>
          <cell r="O594">
            <v>91176186</v>
          </cell>
          <cell r="P594">
            <v>74147814</v>
          </cell>
          <cell r="Q594">
            <v>6695622</v>
          </cell>
          <cell r="R594">
            <v>23003800</v>
          </cell>
          <cell r="S594" t="str">
            <v xml:space="preserve"> </v>
          </cell>
          <cell r="T594" t="str">
            <v xml:space="preserve"> </v>
          </cell>
          <cell r="U594">
            <v>1103</v>
          </cell>
          <cell r="V594">
            <v>91176186</v>
          </cell>
          <cell r="W594">
            <v>81</v>
          </cell>
          <cell r="X594">
            <v>6695622</v>
          </cell>
          <cell r="Y594">
            <v>7.25</v>
          </cell>
          <cell r="Z594">
            <v>7.25</v>
          </cell>
          <cell r="AA594">
            <v>6695622</v>
          </cell>
          <cell r="AB594">
            <v>0</v>
          </cell>
          <cell r="AC594">
            <v>206</v>
          </cell>
          <cell r="AD594">
            <v>17028372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-1</v>
          </cell>
          <cell r="AL594">
            <v>-82662</v>
          </cell>
          <cell r="AM594">
            <v>817</v>
          </cell>
          <cell r="AN594">
            <v>67534854</v>
          </cell>
          <cell r="AO594">
            <v>82650</v>
          </cell>
          <cell r="AP594">
            <v>82662</v>
          </cell>
          <cell r="AQ594">
            <v>298000</v>
          </cell>
          <cell r="AR594">
            <v>0</v>
          </cell>
          <cell r="AS594">
            <v>3.61</v>
          </cell>
          <cell r="AT594">
            <v>328694000</v>
          </cell>
          <cell r="AU594">
            <v>3.44</v>
          </cell>
          <cell r="AV594">
            <v>23003800</v>
          </cell>
          <cell r="AW594">
            <v>0</v>
          </cell>
          <cell r="AX594">
            <v>0</v>
          </cell>
          <cell r="AY594">
            <v>7.25</v>
          </cell>
          <cell r="AZ594">
            <v>0</v>
          </cell>
          <cell r="BA594">
            <v>81</v>
          </cell>
          <cell r="BB594">
            <v>0</v>
          </cell>
          <cell r="BC594">
            <v>81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1</v>
          </cell>
          <cell r="BI594">
            <v>34</v>
          </cell>
          <cell r="BJ594">
            <v>0</v>
          </cell>
          <cell r="BK594">
            <v>6</v>
          </cell>
          <cell r="BL594">
            <v>8</v>
          </cell>
          <cell r="BM594">
            <v>9</v>
          </cell>
          <cell r="BN594">
            <v>11</v>
          </cell>
          <cell r="BO594">
            <v>0</v>
          </cell>
          <cell r="BP594">
            <v>43</v>
          </cell>
          <cell r="BQ594">
            <v>2</v>
          </cell>
          <cell r="BR594">
            <v>11</v>
          </cell>
          <cell r="BS594">
            <v>12</v>
          </cell>
          <cell r="BT594">
            <v>12</v>
          </cell>
          <cell r="BU594">
            <v>6</v>
          </cell>
          <cell r="BV594">
            <v>10</v>
          </cell>
          <cell r="BW594">
            <v>4</v>
          </cell>
          <cell r="BX594">
            <v>4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  <cell r="DZ594">
            <v>0</v>
          </cell>
          <cell r="EA594">
            <v>0</v>
          </cell>
          <cell r="EB594">
            <v>0</v>
          </cell>
          <cell r="EC594">
            <v>0</v>
          </cell>
          <cell r="ED594">
            <v>0</v>
          </cell>
          <cell r="EE594">
            <v>0</v>
          </cell>
          <cell r="EF594">
            <v>0</v>
          </cell>
          <cell r="EG594">
            <v>0</v>
          </cell>
          <cell r="EH594">
            <v>0</v>
          </cell>
          <cell r="EI594">
            <v>0</v>
          </cell>
          <cell r="EJ594">
            <v>0</v>
          </cell>
          <cell r="EK594">
            <v>0</v>
          </cell>
          <cell r="EL594">
            <v>0</v>
          </cell>
          <cell r="EM594">
            <v>0</v>
          </cell>
          <cell r="EN594">
            <v>0</v>
          </cell>
          <cell r="EO594" t="str">
            <v xml:space="preserve">Womens Stoney Flats Jacket                                  </v>
          </cell>
        </row>
        <row r="595">
          <cell r="A595" t="str">
            <v>CP1YL3902139</v>
          </cell>
          <cell r="B595" t="str">
            <v>CP1</v>
          </cell>
          <cell r="C595" t="str">
            <v>YL3902</v>
          </cell>
          <cell r="D595">
            <v>139</v>
          </cell>
          <cell r="E595" t="str">
            <v xml:space="preserve">   </v>
          </cell>
          <cell r="F595">
            <v>90105</v>
          </cell>
          <cell r="G595">
            <v>90106</v>
          </cell>
          <cell r="H595">
            <v>0</v>
          </cell>
          <cell r="I595">
            <v>600</v>
          </cell>
          <cell r="J595">
            <v>594</v>
          </cell>
          <cell r="K595">
            <v>522</v>
          </cell>
          <cell r="L595">
            <v>37</v>
          </cell>
          <cell r="M595">
            <v>37</v>
          </cell>
          <cell r="N595">
            <v>52590000</v>
          </cell>
          <cell r="O595">
            <v>52071228</v>
          </cell>
          <cell r="P595">
            <v>45759564</v>
          </cell>
          <cell r="Q595">
            <v>3243494</v>
          </cell>
          <cell r="R595">
            <v>11882800</v>
          </cell>
          <cell r="S595" t="str">
            <v xml:space="preserve"> </v>
          </cell>
          <cell r="T595" t="str">
            <v xml:space="preserve"> </v>
          </cell>
          <cell r="U595">
            <v>594</v>
          </cell>
          <cell r="V595">
            <v>52071228</v>
          </cell>
          <cell r="W595">
            <v>37</v>
          </cell>
          <cell r="X595">
            <v>3243494</v>
          </cell>
          <cell r="Y595">
            <v>6.23</v>
          </cell>
          <cell r="Z595">
            <v>6.23</v>
          </cell>
          <cell r="AA595">
            <v>3243494</v>
          </cell>
          <cell r="AB595">
            <v>0</v>
          </cell>
          <cell r="AC595">
            <v>72</v>
          </cell>
          <cell r="AD595">
            <v>6311664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485</v>
          </cell>
          <cell r="AN595">
            <v>42516070</v>
          </cell>
          <cell r="AO595">
            <v>87650</v>
          </cell>
          <cell r="AP595">
            <v>87662</v>
          </cell>
          <cell r="AQ595">
            <v>338000</v>
          </cell>
          <cell r="AR595">
            <v>0</v>
          </cell>
          <cell r="AS595">
            <v>3.86</v>
          </cell>
          <cell r="AT595">
            <v>200772000</v>
          </cell>
          <cell r="AU595">
            <v>3.66</v>
          </cell>
          <cell r="AV595">
            <v>11882800</v>
          </cell>
          <cell r="AW595">
            <v>0</v>
          </cell>
          <cell r="AX595">
            <v>0</v>
          </cell>
          <cell r="AY595">
            <v>6.23</v>
          </cell>
          <cell r="AZ595">
            <v>0</v>
          </cell>
          <cell r="BA595">
            <v>37</v>
          </cell>
          <cell r="BB595">
            <v>0</v>
          </cell>
          <cell r="BC595">
            <v>37</v>
          </cell>
          <cell r="BD595">
            <v>0</v>
          </cell>
          <cell r="BE595">
            <v>0</v>
          </cell>
          <cell r="BF595">
            <v>0</v>
          </cell>
          <cell r="BG595">
            <v>1</v>
          </cell>
          <cell r="BH595">
            <v>1</v>
          </cell>
          <cell r="BI595">
            <v>16</v>
          </cell>
          <cell r="BJ595">
            <v>0</v>
          </cell>
          <cell r="BK595">
            <v>2</v>
          </cell>
          <cell r="BL595">
            <v>6</v>
          </cell>
          <cell r="BM595">
            <v>4</v>
          </cell>
          <cell r="BN595">
            <v>4</v>
          </cell>
          <cell r="BO595">
            <v>0</v>
          </cell>
          <cell r="BP595">
            <v>19</v>
          </cell>
          <cell r="BQ595">
            <v>0</v>
          </cell>
          <cell r="BR595">
            <v>5</v>
          </cell>
          <cell r="BS595">
            <v>7</v>
          </cell>
          <cell r="BT595">
            <v>4</v>
          </cell>
          <cell r="BU595">
            <v>3</v>
          </cell>
          <cell r="BV595">
            <v>5</v>
          </cell>
          <cell r="BW595">
            <v>2</v>
          </cell>
          <cell r="BX595">
            <v>2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>
            <v>0</v>
          </cell>
          <cell r="EB595">
            <v>0</v>
          </cell>
          <cell r="EC595">
            <v>0</v>
          </cell>
          <cell r="ED595">
            <v>0</v>
          </cell>
          <cell r="EE595">
            <v>0</v>
          </cell>
          <cell r="EF595">
            <v>0</v>
          </cell>
          <cell r="EG595">
            <v>0</v>
          </cell>
          <cell r="EH595">
            <v>0</v>
          </cell>
          <cell r="EI595">
            <v>0</v>
          </cell>
          <cell r="EJ595">
            <v>0</v>
          </cell>
          <cell r="EK595">
            <v>0</v>
          </cell>
          <cell r="EL595">
            <v>0</v>
          </cell>
          <cell r="EM595">
            <v>0</v>
          </cell>
          <cell r="EN595">
            <v>0</v>
          </cell>
          <cell r="EO595" t="str">
            <v xml:space="preserve">Womens Guide Post Jacket                                    </v>
          </cell>
        </row>
        <row r="596">
          <cell r="A596" t="str">
            <v>CP1YL3902671</v>
          </cell>
          <cell r="B596" t="str">
            <v>CP1</v>
          </cell>
          <cell r="C596" t="str">
            <v>YL3902</v>
          </cell>
          <cell r="D596">
            <v>671</v>
          </cell>
          <cell r="E596" t="str">
            <v xml:space="preserve">   </v>
          </cell>
          <cell r="F596">
            <v>90105</v>
          </cell>
          <cell r="G596">
            <v>90106</v>
          </cell>
          <cell r="H596">
            <v>0</v>
          </cell>
          <cell r="I596">
            <v>800</v>
          </cell>
          <cell r="J596">
            <v>803</v>
          </cell>
          <cell r="K596">
            <v>706</v>
          </cell>
          <cell r="L596">
            <v>71</v>
          </cell>
          <cell r="M596">
            <v>71</v>
          </cell>
          <cell r="N596">
            <v>70120000</v>
          </cell>
          <cell r="O596">
            <v>70392586</v>
          </cell>
          <cell r="P596">
            <v>61889372</v>
          </cell>
          <cell r="Q596">
            <v>6224002</v>
          </cell>
          <cell r="R596">
            <v>22599000</v>
          </cell>
          <cell r="S596" t="str">
            <v xml:space="preserve"> </v>
          </cell>
          <cell r="T596" t="str">
            <v xml:space="preserve"> </v>
          </cell>
          <cell r="U596">
            <v>803</v>
          </cell>
          <cell r="V596">
            <v>70392586</v>
          </cell>
          <cell r="W596">
            <v>71</v>
          </cell>
          <cell r="X596">
            <v>6224002</v>
          </cell>
          <cell r="Y596">
            <v>8.84</v>
          </cell>
          <cell r="Z596">
            <v>8.84</v>
          </cell>
          <cell r="AA596">
            <v>6224002</v>
          </cell>
          <cell r="AB596">
            <v>0</v>
          </cell>
          <cell r="AC596">
            <v>97</v>
          </cell>
          <cell r="AD596">
            <v>8503214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1</v>
          </cell>
          <cell r="AJ596">
            <v>87662</v>
          </cell>
          <cell r="AK596">
            <v>0</v>
          </cell>
          <cell r="AL596">
            <v>0</v>
          </cell>
          <cell r="AM596">
            <v>634</v>
          </cell>
          <cell r="AN596">
            <v>55577708</v>
          </cell>
          <cell r="AO596">
            <v>87650</v>
          </cell>
          <cell r="AP596">
            <v>87662</v>
          </cell>
          <cell r="AQ596">
            <v>338000</v>
          </cell>
          <cell r="AR596">
            <v>0</v>
          </cell>
          <cell r="AS596">
            <v>3.86</v>
          </cell>
          <cell r="AT596">
            <v>271414000</v>
          </cell>
          <cell r="AU596">
            <v>3.63</v>
          </cell>
          <cell r="AV596">
            <v>22599000</v>
          </cell>
          <cell r="AW596">
            <v>0</v>
          </cell>
          <cell r="AX596">
            <v>0</v>
          </cell>
          <cell r="AY596">
            <v>8.84</v>
          </cell>
          <cell r="AZ596">
            <v>0</v>
          </cell>
          <cell r="BA596">
            <v>71</v>
          </cell>
          <cell r="BB596">
            <v>0</v>
          </cell>
          <cell r="BC596">
            <v>71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1</v>
          </cell>
          <cell r="BI596">
            <v>19</v>
          </cell>
          <cell r="BJ596">
            <v>0</v>
          </cell>
          <cell r="BK596">
            <v>5</v>
          </cell>
          <cell r="BL596">
            <v>1</v>
          </cell>
          <cell r="BM596">
            <v>6</v>
          </cell>
          <cell r="BN596">
            <v>7</v>
          </cell>
          <cell r="BO596">
            <v>0</v>
          </cell>
          <cell r="BP596">
            <v>45</v>
          </cell>
          <cell r="BQ596">
            <v>2</v>
          </cell>
          <cell r="BR596">
            <v>7</v>
          </cell>
          <cell r="BS596">
            <v>18</v>
          </cell>
          <cell r="BT596">
            <v>7</v>
          </cell>
          <cell r="BU596">
            <v>11</v>
          </cell>
          <cell r="BV596">
            <v>18</v>
          </cell>
          <cell r="BW596">
            <v>7</v>
          </cell>
          <cell r="BX596">
            <v>7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B596">
            <v>0</v>
          </cell>
          <cell r="EC596">
            <v>0</v>
          </cell>
          <cell r="ED596">
            <v>0</v>
          </cell>
          <cell r="EE596">
            <v>0</v>
          </cell>
          <cell r="EF596">
            <v>0</v>
          </cell>
          <cell r="EG596">
            <v>0</v>
          </cell>
          <cell r="EH596">
            <v>0</v>
          </cell>
          <cell r="EI596">
            <v>0</v>
          </cell>
          <cell r="EJ596">
            <v>0</v>
          </cell>
          <cell r="EK596">
            <v>0</v>
          </cell>
          <cell r="EL596">
            <v>0</v>
          </cell>
          <cell r="EM596">
            <v>0</v>
          </cell>
          <cell r="EN596">
            <v>0</v>
          </cell>
          <cell r="EO596" t="str">
            <v xml:space="preserve">Womens Guide Post Jacket                                    </v>
          </cell>
        </row>
        <row r="597">
          <cell r="A597" t="str">
            <v>CP1YL3903441</v>
          </cell>
          <cell r="B597" t="str">
            <v>CP1</v>
          </cell>
          <cell r="C597" t="str">
            <v>YL3903</v>
          </cell>
          <cell r="D597">
            <v>441</v>
          </cell>
          <cell r="E597" t="str">
            <v xml:space="preserve">   </v>
          </cell>
          <cell r="F597">
            <v>90120</v>
          </cell>
          <cell r="G597">
            <v>90121</v>
          </cell>
          <cell r="H597">
            <v>0</v>
          </cell>
          <cell r="I597">
            <v>600</v>
          </cell>
          <cell r="J597">
            <v>604</v>
          </cell>
          <cell r="K597">
            <v>603</v>
          </cell>
          <cell r="L597">
            <v>36</v>
          </cell>
          <cell r="M597">
            <v>36</v>
          </cell>
          <cell r="N597">
            <v>61290000</v>
          </cell>
          <cell r="O597">
            <v>61708264</v>
          </cell>
          <cell r="P597">
            <v>61606098</v>
          </cell>
          <cell r="Q597">
            <v>3677976</v>
          </cell>
          <cell r="R597">
            <v>12664250</v>
          </cell>
          <cell r="S597" t="str">
            <v xml:space="preserve"> </v>
          </cell>
          <cell r="T597" t="str">
            <v xml:space="preserve"> </v>
          </cell>
          <cell r="U597">
            <v>604</v>
          </cell>
          <cell r="V597">
            <v>61708264</v>
          </cell>
          <cell r="W597">
            <v>36</v>
          </cell>
          <cell r="X597">
            <v>3677976</v>
          </cell>
          <cell r="Y597">
            <v>5.96</v>
          </cell>
          <cell r="Z597">
            <v>5.96</v>
          </cell>
          <cell r="AA597">
            <v>3677976</v>
          </cell>
          <cell r="AB597">
            <v>0</v>
          </cell>
          <cell r="AC597">
            <v>1</v>
          </cell>
          <cell r="AD597">
            <v>102166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567</v>
          </cell>
          <cell r="AN597">
            <v>57928122</v>
          </cell>
          <cell r="AO597">
            <v>102150</v>
          </cell>
          <cell r="AP597">
            <v>102166</v>
          </cell>
          <cell r="AQ597">
            <v>385000</v>
          </cell>
          <cell r="AR597">
            <v>0</v>
          </cell>
          <cell r="AS597">
            <v>3.77</v>
          </cell>
          <cell r="AT597">
            <v>232540000</v>
          </cell>
          <cell r="AU597">
            <v>3.44</v>
          </cell>
          <cell r="AV597">
            <v>12664250</v>
          </cell>
          <cell r="AW597">
            <v>0</v>
          </cell>
          <cell r="AX597">
            <v>0</v>
          </cell>
          <cell r="AY597">
            <v>5.96</v>
          </cell>
          <cell r="AZ597">
            <v>0</v>
          </cell>
          <cell r="BA597">
            <v>36</v>
          </cell>
          <cell r="BB597">
            <v>0</v>
          </cell>
          <cell r="BC597">
            <v>36</v>
          </cell>
          <cell r="BD597">
            <v>0</v>
          </cell>
          <cell r="BE597">
            <v>0</v>
          </cell>
          <cell r="BF597">
            <v>0</v>
          </cell>
          <cell r="BG597">
            <v>1</v>
          </cell>
          <cell r="BH597">
            <v>1</v>
          </cell>
          <cell r="BI597">
            <v>11</v>
          </cell>
          <cell r="BJ597">
            <v>0</v>
          </cell>
          <cell r="BK597">
            <v>0</v>
          </cell>
          <cell r="BL597">
            <v>0</v>
          </cell>
          <cell r="BM597">
            <v>3</v>
          </cell>
          <cell r="BN597">
            <v>8</v>
          </cell>
          <cell r="BO597">
            <v>0</v>
          </cell>
          <cell r="BP597">
            <v>23</v>
          </cell>
          <cell r="BQ597">
            <v>0</v>
          </cell>
          <cell r="BR597">
            <v>15</v>
          </cell>
          <cell r="BS597">
            <v>8</v>
          </cell>
          <cell r="BT597">
            <v>-1</v>
          </cell>
          <cell r="BU597">
            <v>1</v>
          </cell>
          <cell r="BV597">
            <v>3</v>
          </cell>
          <cell r="BW597">
            <v>2</v>
          </cell>
          <cell r="BX597">
            <v>2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  <cell r="DZ597">
            <v>0</v>
          </cell>
          <cell r="EA597">
            <v>0</v>
          </cell>
          <cell r="EB597">
            <v>0</v>
          </cell>
          <cell r="EC597">
            <v>0</v>
          </cell>
          <cell r="ED597">
            <v>0</v>
          </cell>
          <cell r="EE597">
            <v>0</v>
          </cell>
          <cell r="EF597">
            <v>0</v>
          </cell>
          <cell r="EG597">
            <v>0</v>
          </cell>
          <cell r="EH597">
            <v>0</v>
          </cell>
          <cell r="EI597">
            <v>0</v>
          </cell>
          <cell r="EJ597">
            <v>0</v>
          </cell>
          <cell r="EK597">
            <v>0</v>
          </cell>
          <cell r="EL597">
            <v>0</v>
          </cell>
          <cell r="EM597">
            <v>0</v>
          </cell>
          <cell r="EN597">
            <v>0</v>
          </cell>
          <cell r="EO597" t="str">
            <v xml:space="preserve">Womens Sunbeam Jacket                                       </v>
          </cell>
        </row>
        <row r="598">
          <cell r="A598" t="str">
            <v>CP1YL3903608</v>
          </cell>
          <cell r="B598" t="str">
            <v>CP1</v>
          </cell>
          <cell r="C598" t="str">
            <v>YL3903</v>
          </cell>
          <cell r="D598">
            <v>608</v>
          </cell>
          <cell r="E598" t="str">
            <v xml:space="preserve">   </v>
          </cell>
          <cell r="F598">
            <v>90120</v>
          </cell>
          <cell r="G598">
            <v>90121</v>
          </cell>
          <cell r="H598">
            <v>0</v>
          </cell>
          <cell r="I598">
            <v>800</v>
          </cell>
          <cell r="J598">
            <v>796</v>
          </cell>
          <cell r="K598">
            <v>727</v>
          </cell>
          <cell r="L598">
            <v>138</v>
          </cell>
          <cell r="M598">
            <v>138</v>
          </cell>
          <cell r="N598">
            <v>81720000</v>
          </cell>
          <cell r="O598">
            <v>81324136</v>
          </cell>
          <cell r="P598">
            <v>74274682</v>
          </cell>
          <cell r="Q598">
            <v>14098908</v>
          </cell>
          <cell r="R598">
            <v>50364500</v>
          </cell>
          <cell r="S598" t="str">
            <v xml:space="preserve"> </v>
          </cell>
          <cell r="T598" t="str">
            <v xml:space="preserve"> </v>
          </cell>
          <cell r="U598">
            <v>796</v>
          </cell>
          <cell r="V598">
            <v>81324136</v>
          </cell>
          <cell r="W598">
            <v>138</v>
          </cell>
          <cell r="X598">
            <v>14098908</v>
          </cell>
          <cell r="Y598">
            <v>17.34</v>
          </cell>
          <cell r="Z598">
            <v>17.34</v>
          </cell>
          <cell r="AA598">
            <v>14098908</v>
          </cell>
          <cell r="AB598">
            <v>0</v>
          </cell>
          <cell r="AC598">
            <v>69</v>
          </cell>
          <cell r="AD598">
            <v>7049454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589</v>
          </cell>
          <cell r="AN598">
            <v>60175774</v>
          </cell>
          <cell r="AO598">
            <v>102150</v>
          </cell>
          <cell r="AP598">
            <v>102166</v>
          </cell>
          <cell r="AQ598">
            <v>385000</v>
          </cell>
          <cell r="AR598">
            <v>0</v>
          </cell>
          <cell r="AS598">
            <v>3.77</v>
          </cell>
          <cell r="AT598">
            <v>306460000</v>
          </cell>
          <cell r="AU598">
            <v>3.57</v>
          </cell>
          <cell r="AV598">
            <v>50364500</v>
          </cell>
          <cell r="AW598">
            <v>0</v>
          </cell>
          <cell r="AX598">
            <v>0</v>
          </cell>
          <cell r="AY598">
            <v>17.34</v>
          </cell>
          <cell r="AZ598">
            <v>0</v>
          </cell>
          <cell r="BA598">
            <v>138</v>
          </cell>
          <cell r="BB598">
            <v>0</v>
          </cell>
          <cell r="BC598">
            <v>138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1</v>
          </cell>
          <cell r="BI598">
            <v>19</v>
          </cell>
          <cell r="BJ598">
            <v>0</v>
          </cell>
          <cell r="BK598">
            <v>0</v>
          </cell>
          <cell r="BL598">
            <v>0</v>
          </cell>
          <cell r="BM598">
            <v>5</v>
          </cell>
          <cell r="BN598">
            <v>14</v>
          </cell>
          <cell r="BO598">
            <v>0</v>
          </cell>
          <cell r="BP598">
            <v>111</v>
          </cell>
          <cell r="BQ598">
            <v>5</v>
          </cell>
          <cell r="BR598">
            <v>21</v>
          </cell>
          <cell r="BS598">
            <v>23</v>
          </cell>
          <cell r="BT598">
            <v>41</v>
          </cell>
          <cell r="BU598">
            <v>21</v>
          </cell>
          <cell r="BV598">
            <v>29</v>
          </cell>
          <cell r="BW598">
            <v>8</v>
          </cell>
          <cell r="BX598">
            <v>8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  <cell r="DZ598">
            <v>0</v>
          </cell>
          <cell r="EA598">
            <v>0</v>
          </cell>
          <cell r="EB598">
            <v>0</v>
          </cell>
          <cell r="EC598">
            <v>0</v>
          </cell>
          <cell r="ED598">
            <v>0</v>
          </cell>
          <cell r="EE598">
            <v>0</v>
          </cell>
          <cell r="EF598">
            <v>0</v>
          </cell>
          <cell r="EG598">
            <v>0</v>
          </cell>
          <cell r="EH598">
            <v>0</v>
          </cell>
          <cell r="EI598">
            <v>0</v>
          </cell>
          <cell r="EJ598">
            <v>0</v>
          </cell>
          <cell r="EK598">
            <v>0</v>
          </cell>
          <cell r="EL598">
            <v>0</v>
          </cell>
          <cell r="EM598">
            <v>0</v>
          </cell>
          <cell r="EN598">
            <v>0</v>
          </cell>
          <cell r="EO598" t="str">
            <v xml:space="preserve">Womens Sunbeam Jacket                                       </v>
          </cell>
        </row>
        <row r="599">
          <cell r="A599" t="str">
            <v>CP1YL3904369</v>
          </cell>
          <cell r="B599" t="str">
            <v>CP1</v>
          </cell>
          <cell r="C599" t="str">
            <v>YL3904</v>
          </cell>
          <cell r="D599">
            <v>369</v>
          </cell>
          <cell r="E599" t="str">
            <v xml:space="preserve">   </v>
          </cell>
          <cell r="F599">
            <v>90225</v>
          </cell>
          <cell r="G599">
            <v>90227</v>
          </cell>
          <cell r="H599">
            <v>0</v>
          </cell>
          <cell r="I599">
            <v>600</v>
          </cell>
          <cell r="J599">
            <v>527</v>
          </cell>
          <cell r="K599">
            <v>428</v>
          </cell>
          <cell r="L599">
            <v>8</v>
          </cell>
          <cell r="M599">
            <v>8</v>
          </cell>
          <cell r="N599">
            <v>81990000</v>
          </cell>
          <cell r="O599">
            <v>72014550</v>
          </cell>
          <cell r="P599">
            <v>58486200</v>
          </cell>
          <cell r="Q599">
            <v>1093200</v>
          </cell>
          <cell r="R599">
            <v>3873600</v>
          </cell>
          <cell r="S599" t="str">
            <v xml:space="preserve"> </v>
          </cell>
          <cell r="T599" t="str">
            <v xml:space="preserve"> </v>
          </cell>
          <cell r="U599">
            <v>527</v>
          </cell>
          <cell r="V599">
            <v>72014550</v>
          </cell>
          <cell r="W599">
            <v>8</v>
          </cell>
          <cell r="X599">
            <v>1093200</v>
          </cell>
          <cell r="Y599">
            <v>1.52</v>
          </cell>
          <cell r="Z599">
            <v>1.52</v>
          </cell>
          <cell r="AA599">
            <v>1093200</v>
          </cell>
          <cell r="AB599">
            <v>0</v>
          </cell>
          <cell r="AC599">
            <v>99</v>
          </cell>
          <cell r="AD599">
            <v>13528350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</v>
          </cell>
          <cell r="AJ599">
            <v>136650</v>
          </cell>
          <cell r="AK599">
            <v>0</v>
          </cell>
          <cell r="AL599">
            <v>0</v>
          </cell>
          <cell r="AM599">
            <v>419</v>
          </cell>
          <cell r="AN599">
            <v>57256350</v>
          </cell>
          <cell r="AO599">
            <v>136650</v>
          </cell>
          <cell r="AP599">
            <v>136650</v>
          </cell>
          <cell r="AQ599">
            <v>528000</v>
          </cell>
          <cell r="AR599">
            <v>0</v>
          </cell>
          <cell r="AS599">
            <v>3.86</v>
          </cell>
          <cell r="AT599">
            <v>278256000</v>
          </cell>
          <cell r="AU599">
            <v>3.54</v>
          </cell>
          <cell r="AV599">
            <v>3873600</v>
          </cell>
          <cell r="AW599">
            <v>0</v>
          </cell>
          <cell r="AX599">
            <v>0</v>
          </cell>
          <cell r="AY599">
            <v>1.52</v>
          </cell>
          <cell r="AZ599">
            <v>0</v>
          </cell>
          <cell r="BA599">
            <v>8</v>
          </cell>
          <cell r="BB599">
            <v>0</v>
          </cell>
          <cell r="BC599">
            <v>8</v>
          </cell>
          <cell r="BD599">
            <v>0</v>
          </cell>
          <cell r="BE599">
            <v>0</v>
          </cell>
          <cell r="BF599">
            <v>0</v>
          </cell>
          <cell r="BG599">
            <v>1</v>
          </cell>
          <cell r="BH599">
            <v>1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4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4</v>
          </cell>
          <cell r="BV599">
            <v>8</v>
          </cell>
          <cell r="BW599">
            <v>4</v>
          </cell>
          <cell r="BX599">
            <v>4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  <cell r="DZ599">
            <v>0</v>
          </cell>
          <cell r="EA599">
            <v>0</v>
          </cell>
          <cell r="EB599">
            <v>0</v>
          </cell>
          <cell r="EC599">
            <v>0</v>
          </cell>
          <cell r="ED599">
            <v>0</v>
          </cell>
          <cell r="EE599">
            <v>0</v>
          </cell>
          <cell r="EF599">
            <v>0</v>
          </cell>
          <cell r="EG599">
            <v>0</v>
          </cell>
          <cell r="EH599">
            <v>0</v>
          </cell>
          <cell r="EI599">
            <v>0</v>
          </cell>
          <cell r="EJ599">
            <v>0</v>
          </cell>
          <cell r="EK599">
            <v>0</v>
          </cell>
          <cell r="EL599">
            <v>0</v>
          </cell>
          <cell r="EM599">
            <v>0</v>
          </cell>
          <cell r="EN599">
            <v>0</v>
          </cell>
          <cell r="EO599" t="str">
            <v xml:space="preserve">Womens Sunset Park Jacket                                   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(수량마감예측, 의류)"/>
      <sheetName val="집계(수량마감예측, 용품)"/>
      <sheetName val="집계"/>
      <sheetName val="집계(의류, 용품)"/>
      <sheetName val="집계(수량)"/>
      <sheetName val="집계(금액)"/>
      <sheetName val="집계(생산지별)"/>
      <sheetName val="집계(라인별)"/>
      <sheetName val="분석1"/>
      <sheetName val="판매분석"/>
      <sheetName val="스타일(Down)"/>
      <sheetName val="기간판매(Down)"/>
      <sheetName val="금액자료(Down)"/>
      <sheetName val="품번별원가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BAG</v>
          </cell>
          <cell r="J4" t="str">
            <v>입고</v>
          </cell>
          <cell r="S4">
            <v>249</v>
          </cell>
          <cell r="T4">
            <v>4</v>
          </cell>
          <cell r="V4">
            <v>6633550</v>
          </cell>
          <cell r="W4">
            <v>18250000</v>
          </cell>
          <cell r="Y4">
            <v>18177000</v>
          </cell>
          <cell r="Z4">
            <v>2918762</v>
          </cell>
        </row>
        <row r="5">
          <cell r="J5" t="str">
            <v>입고</v>
          </cell>
          <cell r="S5">
            <v>14</v>
          </cell>
          <cell r="T5">
            <v>0</v>
          </cell>
          <cell r="V5">
            <v>2508550</v>
          </cell>
          <cell r="W5">
            <v>8250000</v>
          </cell>
          <cell r="Y5">
            <v>462000</v>
          </cell>
          <cell r="Z5">
            <v>140478.80000000002</v>
          </cell>
        </row>
        <row r="6">
          <cell r="J6" t="str">
            <v>입고</v>
          </cell>
          <cell r="S6">
            <v>211</v>
          </cell>
          <cell r="T6">
            <v>2</v>
          </cell>
          <cell r="V6">
            <v>2508550</v>
          </cell>
          <cell r="W6">
            <v>8250000</v>
          </cell>
          <cell r="Y6">
            <v>8250000</v>
          </cell>
          <cell r="Z6">
            <v>581983.60000000009</v>
          </cell>
        </row>
        <row r="7">
          <cell r="J7" t="str">
            <v>입고</v>
          </cell>
          <cell r="S7">
            <v>200</v>
          </cell>
          <cell r="T7">
            <v>1</v>
          </cell>
          <cell r="V7">
            <v>4426840</v>
          </cell>
          <cell r="W7">
            <v>11800000</v>
          </cell>
          <cell r="Y7">
            <v>11800000</v>
          </cell>
          <cell r="Z7">
            <v>973904.8</v>
          </cell>
        </row>
        <row r="8">
          <cell r="J8" t="str">
            <v>입고</v>
          </cell>
          <cell r="S8">
            <v>150</v>
          </cell>
          <cell r="T8">
            <v>7</v>
          </cell>
          <cell r="V8">
            <v>2660130</v>
          </cell>
          <cell r="W8">
            <v>7950000</v>
          </cell>
          <cell r="Y8">
            <v>7950000</v>
          </cell>
          <cell r="Z8">
            <v>1844356.8</v>
          </cell>
        </row>
        <row r="9">
          <cell r="J9" t="str">
            <v>입고</v>
          </cell>
          <cell r="S9">
            <v>339</v>
          </cell>
          <cell r="T9">
            <v>4</v>
          </cell>
          <cell r="V9">
            <v>6206970</v>
          </cell>
          <cell r="W9">
            <v>18550000</v>
          </cell>
          <cell r="Y9">
            <v>18603000</v>
          </cell>
          <cell r="Z9">
            <v>1401001.8</v>
          </cell>
        </row>
        <row r="10">
          <cell r="J10" t="str">
            <v>입고</v>
          </cell>
          <cell r="S10">
            <v>237</v>
          </cell>
          <cell r="T10">
            <v>5</v>
          </cell>
          <cell r="V10">
            <v>2921050</v>
          </cell>
          <cell r="W10">
            <v>9750000</v>
          </cell>
          <cell r="Y10">
            <v>9750000</v>
          </cell>
          <cell r="Z10">
            <v>1109999</v>
          </cell>
        </row>
        <row r="11">
          <cell r="J11" t="str">
            <v>입고</v>
          </cell>
          <cell r="S11">
            <v>8</v>
          </cell>
          <cell r="T11">
            <v>-1</v>
          </cell>
          <cell r="V11">
            <v>3608550</v>
          </cell>
          <cell r="W11">
            <v>10750000</v>
          </cell>
          <cell r="Y11">
            <v>344000</v>
          </cell>
          <cell r="Z11">
            <v>115473.60000000001</v>
          </cell>
        </row>
        <row r="12">
          <cell r="J12" t="str">
            <v>입고</v>
          </cell>
          <cell r="S12">
            <v>245</v>
          </cell>
          <cell r="T12">
            <v>11</v>
          </cell>
          <cell r="V12">
            <v>9775260.0000000019</v>
          </cell>
          <cell r="W12">
            <v>30900000</v>
          </cell>
          <cell r="Y12">
            <v>30900000</v>
          </cell>
          <cell r="Z12">
            <v>2378646.6</v>
          </cell>
        </row>
        <row r="13">
          <cell r="J13" t="str">
            <v>입고</v>
          </cell>
          <cell r="S13">
            <v>446</v>
          </cell>
          <cell r="T13">
            <v>15</v>
          </cell>
          <cell r="V13">
            <v>14642100</v>
          </cell>
          <cell r="W13">
            <v>48000000</v>
          </cell>
          <cell r="Y13">
            <v>48000000</v>
          </cell>
          <cell r="Z13">
            <v>5886124.2000000002</v>
          </cell>
        </row>
        <row r="14">
          <cell r="J14" t="str">
            <v>입고</v>
          </cell>
          <cell r="S14">
            <v>224</v>
          </cell>
          <cell r="T14">
            <v>2</v>
          </cell>
          <cell r="V14">
            <v>8950260</v>
          </cell>
          <cell r="W14">
            <v>27900000</v>
          </cell>
          <cell r="Y14">
            <v>27900000</v>
          </cell>
          <cell r="Z14">
            <v>984528.6</v>
          </cell>
        </row>
        <row r="15">
          <cell r="J15" t="str">
            <v>입고</v>
          </cell>
          <cell r="S15">
            <v>326</v>
          </cell>
          <cell r="T15">
            <v>2</v>
          </cell>
          <cell r="V15">
            <v>13542100</v>
          </cell>
          <cell r="W15">
            <v>44500000</v>
          </cell>
          <cell r="Y15">
            <v>44500000</v>
          </cell>
          <cell r="Z15">
            <v>1218789</v>
          </cell>
        </row>
        <row r="16">
          <cell r="J16" t="str">
            <v>입고</v>
          </cell>
          <cell r="S16">
            <v>292</v>
          </cell>
          <cell r="T16">
            <v>5</v>
          </cell>
          <cell r="V16">
            <v>10393680</v>
          </cell>
          <cell r="W16">
            <v>34400000</v>
          </cell>
          <cell r="Y16">
            <v>34400000</v>
          </cell>
          <cell r="Z16">
            <v>1870862.4000000001</v>
          </cell>
        </row>
        <row r="17">
          <cell r="J17" t="str">
            <v>입고</v>
          </cell>
          <cell r="S17">
            <v>226</v>
          </cell>
          <cell r="T17">
            <v>6</v>
          </cell>
          <cell r="V17">
            <v>7733550</v>
          </cell>
          <cell r="W17">
            <v>21500000</v>
          </cell>
          <cell r="Y17">
            <v>21500000</v>
          </cell>
          <cell r="Z17">
            <v>1948854.6</v>
          </cell>
        </row>
        <row r="18">
          <cell r="J18" t="str">
            <v>입고</v>
          </cell>
          <cell r="S18">
            <v>186</v>
          </cell>
          <cell r="T18">
            <v>1</v>
          </cell>
          <cell r="V18">
            <v>5808550</v>
          </cell>
          <cell r="W18">
            <v>17250000</v>
          </cell>
          <cell r="Y18">
            <v>14766000</v>
          </cell>
          <cell r="Z18">
            <v>1301115.2</v>
          </cell>
        </row>
        <row r="19">
          <cell r="J19" t="str">
            <v>입고</v>
          </cell>
          <cell r="S19">
            <v>313</v>
          </cell>
          <cell r="T19">
            <v>4</v>
          </cell>
          <cell r="V19">
            <v>5438895</v>
          </cell>
          <cell r="W19">
            <v>17150000</v>
          </cell>
          <cell r="Y19">
            <v>16072000</v>
          </cell>
          <cell r="Z19">
            <v>2548510.8000000003</v>
          </cell>
        </row>
        <row r="20">
          <cell r="J20" t="str">
            <v>입고</v>
          </cell>
          <cell r="S20">
            <v>174</v>
          </cell>
          <cell r="T20">
            <v>1</v>
          </cell>
          <cell r="V20">
            <v>2997940</v>
          </cell>
          <cell r="W20">
            <v>9800000</v>
          </cell>
          <cell r="Y20">
            <v>9506000</v>
          </cell>
          <cell r="Z20">
            <v>614577.70000000007</v>
          </cell>
        </row>
        <row r="21">
          <cell r="J21" t="str">
            <v>입고</v>
          </cell>
          <cell r="S21">
            <v>195</v>
          </cell>
          <cell r="T21">
            <v>11</v>
          </cell>
          <cell r="V21">
            <v>796400.00000000012</v>
          </cell>
          <cell r="W21">
            <v>2600000</v>
          </cell>
          <cell r="Y21">
            <v>2600000</v>
          </cell>
          <cell r="Z21">
            <v>398200.00000000006</v>
          </cell>
        </row>
        <row r="22">
          <cell r="J22" t="str">
            <v>입고</v>
          </cell>
          <cell r="S22">
            <v>172</v>
          </cell>
          <cell r="T22">
            <v>7</v>
          </cell>
          <cell r="V22">
            <v>796400.00000000012</v>
          </cell>
          <cell r="W22">
            <v>2600000</v>
          </cell>
          <cell r="Y22">
            <v>2600000</v>
          </cell>
          <cell r="Z22">
            <v>179190.00000000003</v>
          </cell>
        </row>
        <row r="23">
          <cell r="J23" t="str">
            <v>입고</v>
          </cell>
          <cell r="S23">
            <v>180</v>
          </cell>
          <cell r="T23">
            <v>11</v>
          </cell>
          <cell r="V23">
            <v>796400.00000000012</v>
          </cell>
          <cell r="W23">
            <v>2600000</v>
          </cell>
          <cell r="Y23">
            <v>2600000</v>
          </cell>
          <cell r="Z23">
            <v>354398.00000000006</v>
          </cell>
        </row>
        <row r="24">
          <cell r="J24" t="str">
            <v>입고</v>
          </cell>
          <cell r="S24">
            <v>191</v>
          </cell>
          <cell r="T24">
            <v>12</v>
          </cell>
          <cell r="V24">
            <v>796400.00000000012</v>
          </cell>
          <cell r="W24">
            <v>2600000</v>
          </cell>
          <cell r="Y24">
            <v>2587000</v>
          </cell>
          <cell r="Z24">
            <v>322542.00000000006</v>
          </cell>
        </row>
        <row r="25">
          <cell r="J25" t="str">
            <v>입고</v>
          </cell>
          <cell r="S25">
            <v>100</v>
          </cell>
          <cell r="T25">
            <v>0</v>
          </cell>
          <cell r="V25">
            <v>453200</v>
          </cell>
          <cell r="W25">
            <v>1600000</v>
          </cell>
          <cell r="Y25">
            <v>1600000</v>
          </cell>
          <cell r="Z25">
            <v>190344</v>
          </cell>
        </row>
        <row r="26">
          <cell r="J26" t="str">
            <v>입고</v>
          </cell>
          <cell r="S26">
            <v>944</v>
          </cell>
          <cell r="T26">
            <v>15</v>
          </cell>
          <cell r="V26">
            <v>6074200</v>
          </cell>
          <cell r="W26">
            <v>20900000</v>
          </cell>
          <cell r="Y26">
            <v>20710000</v>
          </cell>
          <cell r="Z26">
            <v>1695254</v>
          </cell>
        </row>
        <row r="27">
          <cell r="J27" t="str">
            <v>입고</v>
          </cell>
          <cell r="S27">
            <v>334</v>
          </cell>
          <cell r="T27">
            <v>2</v>
          </cell>
          <cell r="V27">
            <v>3436895.0000000005</v>
          </cell>
          <cell r="W27">
            <v>12600000</v>
          </cell>
          <cell r="Y27">
            <v>12096000</v>
          </cell>
          <cell r="Z27">
            <v>1757726.3</v>
          </cell>
        </row>
        <row r="28">
          <cell r="J28" t="str">
            <v>입고</v>
          </cell>
          <cell r="S28">
            <v>184</v>
          </cell>
          <cell r="T28">
            <v>1</v>
          </cell>
          <cell r="V28">
            <v>1897940.0000000002</v>
          </cell>
          <cell r="W28">
            <v>6600000</v>
          </cell>
          <cell r="Y28">
            <v>6237000</v>
          </cell>
          <cell r="Z28">
            <v>436526.2</v>
          </cell>
        </row>
        <row r="29">
          <cell r="J29" t="str">
            <v>입고</v>
          </cell>
          <cell r="S29">
            <v>290</v>
          </cell>
          <cell r="T29">
            <v>2</v>
          </cell>
          <cell r="V29">
            <v>2945910</v>
          </cell>
          <cell r="W29">
            <v>9900000</v>
          </cell>
          <cell r="Y29">
            <v>9669000</v>
          </cell>
          <cell r="Z29">
            <v>1119445.8</v>
          </cell>
        </row>
        <row r="30">
          <cell r="J30" t="str">
            <v>입고</v>
          </cell>
          <cell r="S30">
            <v>197</v>
          </cell>
          <cell r="T30">
            <v>1</v>
          </cell>
          <cell r="V30">
            <v>2021910.0000000002</v>
          </cell>
          <cell r="W30">
            <v>6900000</v>
          </cell>
          <cell r="Y30">
            <v>4669000</v>
          </cell>
          <cell r="Z30">
            <v>195451.30000000002</v>
          </cell>
        </row>
        <row r="31">
          <cell r="J31" t="str">
            <v>입고</v>
          </cell>
          <cell r="S31">
            <v>1066</v>
          </cell>
          <cell r="T31">
            <v>11</v>
          </cell>
          <cell r="V31">
            <v>4820530.0000000009</v>
          </cell>
          <cell r="W31">
            <v>16900000</v>
          </cell>
          <cell r="Y31">
            <v>16900000</v>
          </cell>
          <cell r="Z31">
            <v>1130970.5</v>
          </cell>
        </row>
        <row r="32">
          <cell r="J32" t="str">
            <v>입고</v>
          </cell>
          <cell r="S32">
            <v>1007</v>
          </cell>
          <cell r="T32">
            <v>17</v>
          </cell>
          <cell r="V32">
            <v>5288910</v>
          </cell>
          <cell r="W32">
            <v>17600000</v>
          </cell>
          <cell r="Y32">
            <v>17040000</v>
          </cell>
          <cell r="Z32">
            <v>1803037.5000000002</v>
          </cell>
        </row>
        <row r="33">
          <cell r="J33" t="str">
            <v>입고</v>
          </cell>
          <cell r="S33">
            <v>503</v>
          </cell>
          <cell r="T33">
            <v>2</v>
          </cell>
          <cell r="V33">
            <v>115731572.00000001</v>
          </cell>
          <cell r="W33">
            <v>344560000</v>
          </cell>
          <cell r="Y33">
            <v>344560000</v>
          </cell>
          <cell r="Z33">
            <v>3963410.0000000005</v>
          </cell>
        </row>
        <row r="34">
          <cell r="J34" t="str">
            <v>입고</v>
          </cell>
          <cell r="S34">
            <v>306</v>
          </cell>
          <cell r="T34">
            <v>1</v>
          </cell>
          <cell r="V34">
            <v>103028200.00000001</v>
          </cell>
          <cell r="W34">
            <v>319600000</v>
          </cell>
          <cell r="Y34">
            <v>319600000</v>
          </cell>
          <cell r="Z34">
            <v>1287852.5000000002</v>
          </cell>
        </row>
        <row r="35">
          <cell r="J35" t="str">
            <v>입고</v>
          </cell>
          <cell r="S35">
            <v>319</v>
          </cell>
          <cell r="T35">
            <v>0</v>
          </cell>
          <cell r="V35">
            <v>73150440</v>
          </cell>
          <cell r="W35">
            <v>215600000</v>
          </cell>
          <cell r="Y35">
            <v>217756000</v>
          </cell>
          <cell r="Z35">
            <v>914380.5</v>
          </cell>
        </row>
        <row r="36">
          <cell r="J36" t="str">
            <v>입고</v>
          </cell>
          <cell r="S36">
            <v>450</v>
          </cell>
          <cell r="T36">
            <v>1</v>
          </cell>
          <cell r="V36">
            <v>63454600.000000007</v>
          </cell>
          <cell r="W36">
            <v>189500000</v>
          </cell>
          <cell r="Y36">
            <v>189500000</v>
          </cell>
          <cell r="Z36">
            <v>3299639.2</v>
          </cell>
        </row>
        <row r="37">
          <cell r="J37" t="str">
            <v>입고</v>
          </cell>
          <cell r="S37">
            <v>192</v>
          </cell>
          <cell r="T37">
            <v>0</v>
          </cell>
          <cell r="V37">
            <v>14711620.000000002</v>
          </cell>
          <cell r="W37">
            <v>45800000</v>
          </cell>
          <cell r="Y37">
            <v>46258000</v>
          </cell>
          <cell r="Z37">
            <v>1471162</v>
          </cell>
        </row>
        <row r="38">
          <cell r="J38" t="str">
            <v>입고</v>
          </cell>
          <cell r="S38">
            <v>133</v>
          </cell>
          <cell r="T38">
            <v>0</v>
          </cell>
          <cell r="V38">
            <v>14630308.000000002</v>
          </cell>
          <cell r="W38">
            <v>46060000</v>
          </cell>
          <cell r="Y38">
            <v>45731000</v>
          </cell>
          <cell r="Z38">
            <v>313506.60000000003</v>
          </cell>
        </row>
        <row r="39">
          <cell r="J39" t="str">
            <v>입고</v>
          </cell>
          <cell r="S39">
            <v>138</v>
          </cell>
          <cell r="T39">
            <v>2</v>
          </cell>
          <cell r="V39">
            <v>9998835.0000000019</v>
          </cell>
          <cell r="W39">
            <v>29850000</v>
          </cell>
          <cell r="Y39">
            <v>28059000</v>
          </cell>
          <cell r="Z39">
            <v>733247.90000000014</v>
          </cell>
        </row>
        <row r="40">
          <cell r="J40" t="str">
            <v>입고</v>
          </cell>
          <cell r="S40">
            <v>93</v>
          </cell>
          <cell r="T40">
            <v>0</v>
          </cell>
          <cell r="V40">
            <v>6363280</v>
          </cell>
          <cell r="W40">
            <v>18900000</v>
          </cell>
          <cell r="Y40">
            <v>18900000</v>
          </cell>
          <cell r="Z40">
            <v>254531.20000000001</v>
          </cell>
        </row>
        <row r="41">
          <cell r="J41" t="str">
            <v>입고</v>
          </cell>
          <cell r="S41">
            <v>585</v>
          </cell>
          <cell r="T41">
            <v>1</v>
          </cell>
          <cell r="V41">
            <v>93192000.000000015</v>
          </cell>
          <cell r="W41">
            <v>311200000</v>
          </cell>
          <cell r="Y41">
            <v>310033000</v>
          </cell>
          <cell r="Z41">
            <v>4659600.0000000009</v>
          </cell>
        </row>
        <row r="42">
          <cell r="J42" t="str">
            <v>입고</v>
          </cell>
          <cell r="S42">
            <v>805</v>
          </cell>
          <cell r="T42">
            <v>7</v>
          </cell>
          <cell r="V42">
            <v>66283470</v>
          </cell>
          <cell r="W42">
            <v>228850000</v>
          </cell>
          <cell r="Y42">
            <v>214522000</v>
          </cell>
          <cell r="Z42">
            <v>10720630.800000001</v>
          </cell>
        </row>
        <row r="43">
          <cell r="J43" t="str">
            <v>입고</v>
          </cell>
          <cell r="S43">
            <v>598</v>
          </cell>
          <cell r="T43">
            <v>0</v>
          </cell>
          <cell r="V43">
            <v>35872210.000000007</v>
          </cell>
          <cell r="W43">
            <v>160650000</v>
          </cell>
          <cell r="Y43">
            <v>152901000</v>
          </cell>
          <cell r="Z43">
            <v>1941319.6000000003</v>
          </cell>
        </row>
        <row r="44">
          <cell r="J44" t="str">
            <v>입고</v>
          </cell>
          <cell r="S44">
            <v>412</v>
          </cell>
          <cell r="T44">
            <v>13</v>
          </cell>
          <cell r="V44">
            <v>29889750.000000004</v>
          </cell>
          <cell r="W44">
            <v>89500000</v>
          </cell>
          <cell r="Y44">
            <v>80729000</v>
          </cell>
          <cell r="Z44">
            <v>9983176.5000000019</v>
          </cell>
        </row>
        <row r="45">
          <cell r="J45" t="str">
            <v>입고</v>
          </cell>
          <cell r="S45">
            <v>473</v>
          </cell>
          <cell r="T45">
            <v>4</v>
          </cell>
          <cell r="V45">
            <v>41522580</v>
          </cell>
          <cell r="W45">
            <v>143400000</v>
          </cell>
          <cell r="Y45">
            <v>137186000</v>
          </cell>
          <cell r="Z45">
            <v>6297591.2999999998</v>
          </cell>
        </row>
        <row r="46">
          <cell r="J46" t="str">
            <v>입고</v>
          </cell>
          <cell r="S46">
            <v>240</v>
          </cell>
          <cell r="T46">
            <v>3</v>
          </cell>
          <cell r="V46">
            <v>10010385.000000002</v>
          </cell>
          <cell r="W46">
            <v>58050000</v>
          </cell>
          <cell r="Y46">
            <v>35475000</v>
          </cell>
          <cell r="Z46">
            <v>155717.10000000003</v>
          </cell>
        </row>
        <row r="47">
          <cell r="J47" t="str">
            <v>입고</v>
          </cell>
          <cell r="S47">
            <v>363</v>
          </cell>
          <cell r="T47">
            <v>3</v>
          </cell>
          <cell r="V47">
            <v>11638880</v>
          </cell>
          <cell r="W47">
            <v>31600000</v>
          </cell>
          <cell r="Y47">
            <v>31679000</v>
          </cell>
          <cell r="Z47">
            <v>1716734.8</v>
          </cell>
        </row>
        <row r="48">
          <cell r="J48" t="str">
            <v>입고</v>
          </cell>
          <cell r="S48">
            <v>318</v>
          </cell>
          <cell r="T48">
            <v>3</v>
          </cell>
          <cell r="V48">
            <v>9790880</v>
          </cell>
          <cell r="W48">
            <v>31600000</v>
          </cell>
          <cell r="Y48">
            <v>33180000</v>
          </cell>
          <cell r="Z48">
            <v>367158</v>
          </cell>
        </row>
        <row r="49">
          <cell r="J49" t="str">
            <v>입고</v>
          </cell>
          <cell r="S49">
            <v>238</v>
          </cell>
          <cell r="T49">
            <v>2</v>
          </cell>
          <cell r="V49">
            <v>12647800.000000002</v>
          </cell>
          <cell r="W49">
            <v>35600000</v>
          </cell>
          <cell r="Y49">
            <v>21271000</v>
          </cell>
          <cell r="Z49">
            <v>853726.50000000012</v>
          </cell>
        </row>
        <row r="50">
          <cell r="J50" t="str">
            <v>입고</v>
          </cell>
          <cell r="S50">
            <v>280</v>
          </cell>
          <cell r="T50">
            <v>2</v>
          </cell>
          <cell r="V50">
            <v>12010680</v>
          </cell>
          <cell r="W50">
            <v>35600000</v>
          </cell>
          <cell r="Y50">
            <v>29904000</v>
          </cell>
          <cell r="Z50">
            <v>990881.1</v>
          </cell>
        </row>
        <row r="51">
          <cell r="J51" t="str">
            <v>입고</v>
          </cell>
          <cell r="S51">
            <v>166</v>
          </cell>
          <cell r="T51">
            <v>1</v>
          </cell>
          <cell r="V51">
            <v>13060740</v>
          </cell>
          <cell r="W51">
            <v>39800000</v>
          </cell>
          <cell r="Y51">
            <v>39800000</v>
          </cell>
          <cell r="Z51">
            <v>1044859.2000000001</v>
          </cell>
        </row>
        <row r="52">
          <cell r="J52" t="str">
            <v>입고</v>
          </cell>
          <cell r="S52">
            <v>151</v>
          </cell>
          <cell r="T52">
            <v>0</v>
          </cell>
          <cell r="V52">
            <v>14176800</v>
          </cell>
          <cell r="W52">
            <v>45600000</v>
          </cell>
          <cell r="Y52">
            <v>46056000</v>
          </cell>
          <cell r="Z52">
            <v>425304</v>
          </cell>
        </row>
        <row r="53">
          <cell r="J53" t="str">
            <v>입고</v>
          </cell>
          <cell r="S53">
            <v>49</v>
          </cell>
          <cell r="T53">
            <v>0</v>
          </cell>
          <cell r="V53">
            <v>2174975</v>
          </cell>
          <cell r="W53">
            <v>6950000</v>
          </cell>
          <cell r="Y53">
            <v>6950000</v>
          </cell>
          <cell r="Z53">
            <v>521994</v>
          </cell>
        </row>
        <row r="54">
          <cell r="J54" t="str">
            <v>입고</v>
          </cell>
          <cell r="S54">
            <v>87</v>
          </cell>
          <cell r="T54">
            <v>0</v>
          </cell>
          <cell r="V54">
            <v>3275514.0000000005</v>
          </cell>
          <cell r="W54">
            <v>9810000</v>
          </cell>
          <cell r="Y54">
            <v>9810000</v>
          </cell>
          <cell r="Z54">
            <v>254762.20000000004</v>
          </cell>
        </row>
        <row r="55">
          <cell r="J55" t="str">
            <v>입고</v>
          </cell>
          <cell r="S55">
            <v>574</v>
          </cell>
          <cell r="T55">
            <v>6</v>
          </cell>
          <cell r="V55">
            <v>22034100.000000004</v>
          </cell>
          <cell r="W55">
            <v>74250000</v>
          </cell>
          <cell r="Y55">
            <v>72171000</v>
          </cell>
          <cell r="Z55">
            <v>3525456.0000000005</v>
          </cell>
        </row>
        <row r="56">
          <cell r="J56" t="str">
            <v>입고</v>
          </cell>
          <cell r="S56">
            <v>571</v>
          </cell>
          <cell r="T56">
            <v>3</v>
          </cell>
          <cell r="V56">
            <v>21621600.000000004</v>
          </cell>
          <cell r="W56">
            <v>81750000</v>
          </cell>
          <cell r="Y56">
            <v>81750000</v>
          </cell>
          <cell r="Z56">
            <v>3344140.8000000003</v>
          </cell>
        </row>
        <row r="57">
          <cell r="J57" t="str">
            <v>입고</v>
          </cell>
          <cell r="S57">
            <v>605</v>
          </cell>
          <cell r="T57">
            <v>9</v>
          </cell>
          <cell r="V57">
            <v>26231040.000000004</v>
          </cell>
          <cell r="W57">
            <v>111200000</v>
          </cell>
          <cell r="Y57">
            <v>111200000</v>
          </cell>
          <cell r="Z57">
            <v>6197083.2000000002</v>
          </cell>
        </row>
        <row r="58">
          <cell r="J58" t="str">
            <v>입고</v>
          </cell>
          <cell r="S58">
            <v>388</v>
          </cell>
          <cell r="T58">
            <v>1</v>
          </cell>
          <cell r="V58">
            <v>19812650</v>
          </cell>
          <cell r="W58">
            <v>69500000</v>
          </cell>
          <cell r="Y58">
            <v>67693000</v>
          </cell>
          <cell r="Z58">
            <v>1743513.2000000002</v>
          </cell>
        </row>
        <row r="59">
          <cell r="J59" t="str">
            <v>입고</v>
          </cell>
          <cell r="S59">
            <v>416</v>
          </cell>
          <cell r="T59">
            <v>3</v>
          </cell>
          <cell r="V59">
            <v>16952650</v>
          </cell>
          <cell r="W59">
            <v>59500000</v>
          </cell>
          <cell r="Y59">
            <v>59738000</v>
          </cell>
          <cell r="Z59">
            <v>6882775.9000000004</v>
          </cell>
        </row>
        <row r="60">
          <cell r="J60" t="str">
            <v>입고</v>
          </cell>
          <cell r="S60">
            <v>516</v>
          </cell>
          <cell r="T60">
            <v>6</v>
          </cell>
          <cell r="V60">
            <v>19881180</v>
          </cell>
          <cell r="W60">
            <v>71400000</v>
          </cell>
          <cell r="Y60">
            <v>71995000</v>
          </cell>
          <cell r="Z60">
            <v>9410425.2000000011</v>
          </cell>
        </row>
        <row r="61">
          <cell r="J61" t="str">
            <v>입고</v>
          </cell>
          <cell r="S61">
            <v>402</v>
          </cell>
          <cell r="T61">
            <v>20</v>
          </cell>
          <cell r="V61">
            <v>13254120.000000002</v>
          </cell>
          <cell r="W61">
            <v>47600000</v>
          </cell>
          <cell r="Y61">
            <v>47957000</v>
          </cell>
          <cell r="Z61">
            <v>8880260.4000000004</v>
          </cell>
        </row>
        <row r="62">
          <cell r="J62" t="str">
            <v>입고</v>
          </cell>
          <cell r="S62">
            <v>640</v>
          </cell>
          <cell r="T62">
            <v>12</v>
          </cell>
          <cell r="V62">
            <v>55367444</v>
          </cell>
          <cell r="W62">
            <v>184370000</v>
          </cell>
          <cell r="Y62">
            <v>182759000</v>
          </cell>
          <cell r="Z62">
            <v>5375480</v>
          </cell>
        </row>
        <row r="63">
          <cell r="J63" t="str">
            <v>입고</v>
          </cell>
          <cell r="S63">
            <v>377</v>
          </cell>
          <cell r="T63">
            <v>5</v>
          </cell>
          <cell r="V63">
            <v>21026720.000000004</v>
          </cell>
          <cell r="W63">
            <v>70850000</v>
          </cell>
          <cell r="Y63">
            <v>70850000</v>
          </cell>
          <cell r="Z63">
            <v>1067510.4000000001</v>
          </cell>
        </row>
        <row r="64">
          <cell r="J64" t="str">
            <v>입고</v>
          </cell>
          <cell r="S64">
            <v>564</v>
          </cell>
          <cell r="T64">
            <v>3</v>
          </cell>
          <cell r="V64">
            <v>21593418.000000004</v>
          </cell>
          <cell r="W64">
            <v>87465000</v>
          </cell>
          <cell r="Y64">
            <v>80087000</v>
          </cell>
          <cell r="Z64">
            <v>3055395.2</v>
          </cell>
        </row>
        <row r="65">
          <cell r="J65" t="str">
            <v>입고</v>
          </cell>
          <cell r="S65">
            <v>354</v>
          </cell>
          <cell r="T65">
            <v>5</v>
          </cell>
          <cell r="V65">
            <v>16072650.000000002</v>
          </cell>
          <cell r="W65">
            <v>49500000</v>
          </cell>
          <cell r="Y65">
            <v>43758000</v>
          </cell>
          <cell r="Z65">
            <v>2410897.5</v>
          </cell>
        </row>
        <row r="66">
          <cell r="J66" t="str">
            <v>입고</v>
          </cell>
          <cell r="S66">
            <v>328</v>
          </cell>
          <cell r="T66">
            <v>0</v>
          </cell>
          <cell r="V66">
            <v>15412650.000000002</v>
          </cell>
          <cell r="W66">
            <v>59500000</v>
          </cell>
          <cell r="Y66">
            <v>59143000</v>
          </cell>
          <cell r="Z66">
            <v>493204.80000000005</v>
          </cell>
        </row>
        <row r="67">
          <cell r="J67" t="str">
            <v>입고</v>
          </cell>
          <cell r="S67">
            <v>215</v>
          </cell>
          <cell r="T67">
            <v>1</v>
          </cell>
          <cell r="V67">
            <v>10086120.000000002</v>
          </cell>
          <cell r="W67">
            <v>33200000</v>
          </cell>
          <cell r="Y67">
            <v>19339000</v>
          </cell>
          <cell r="Z67">
            <v>579951.9</v>
          </cell>
        </row>
        <row r="68">
          <cell r="J68" t="str">
            <v>입고</v>
          </cell>
          <cell r="S68">
            <v>303</v>
          </cell>
          <cell r="T68">
            <v>1</v>
          </cell>
          <cell r="V68">
            <v>8810120.0000000019</v>
          </cell>
          <cell r="W68">
            <v>39600000</v>
          </cell>
          <cell r="Y68">
            <v>38115000</v>
          </cell>
          <cell r="Z68">
            <v>858986.70000000007</v>
          </cell>
        </row>
        <row r="69">
          <cell r="J69" t="str">
            <v>입고</v>
          </cell>
          <cell r="S69">
            <v>1187</v>
          </cell>
          <cell r="T69">
            <v>9</v>
          </cell>
          <cell r="V69">
            <v>44366080.000000007</v>
          </cell>
          <cell r="W69">
            <v>126400000</v>
          </cell>
          <cell r="Y69">
            <v>124109000</v>
          </cell>
          <cell r="Z69">
            <v>7431318.4000000004</v>
          </cell>
        </row>
        <row r="70">
          <cell r="J70" t="str">
            <v>입고</v>
          </cell>
          <cell r="S70">
            <v>239</v>
          </cell>
          <cell r="T70">
            <v>6</v>
          </cell>
          <cell r="V70">
            <v>7625310</v>
          </cell>
          <cell r="W70">
            <v>23700000</v>
          </cell>
          <cell r="Y70">
            <v>23700000</v>
          </cell>
          <cell r="Z70">
            <v>1906327.5</v>
          </cell>
        </row>
        <row r="71">
          <cell r="J71" t="str">
            <v>입고</v>
          </cell>
          <cell r="S71">
            <v>246</v>
          </cell>
          <cell r="T71">
            <v>4</v>
          </cell>
          <cell r="V71">
            <v>8285310</v>
          </cell>
          <cell r="W71">
            <v>24900000</v>
          </cell>
          <cell r="Y71">
            <v>24983000</v>
          </cell>
          <cell r="Z71">
            <v>2457975.3000000003</v>
          </cell>
        </row>
        <row r="72">
          <cell r="J72" t="str">
            <v>입고</v>
          </cell>
          <cell r="S72">
            <v>223</v>
          </cell>
          <cell r="T72">
            <v>2</v>
          </cell>
          <cell r="V72">
            <v>6867080</v>
          </cell>
          <cell r="W72">
            <v>23600000</v>
          </cell>
          <cell r="Y72">
            <v>23600000</v>
          </cell>
          <cell r="Z72">
            <v>652372.6</v>
          </cell>
        </row>
        <row r="73">
          <cell r="J73" t="str">
            <v>입고</v>
          </cell>
          <cell r="S73">
            <v>242</v>
          </cell>
          <cell r="T73">
            <v>3</v>
          </cell>
          <cell r="V73">
            <v>4985310</v>
          </cell>
          <cell r="W73">
            <v>17700000</v>
          </cell>
          <cell r="Y73">
            <v>17405000</v>
          </cell>
          <cell r="Z73">
            <v>814267.3</v>
          </cell>
        </row>
        <row r="74">
          <cell r="J74" t="str">
            <v>입고</v>
          </cell>
          <cell r="S74">
            <v>217</v>
          </cell>
          <cell r="T74">
            <v>0</v>
          </cell>
          <cell r="V74">
            <v>7087080</v>
          </cell>
          <cell r="W74">
            <v>25200000</v>
          </cell>
          <cell r="Y74">
            <v>25200000</v>
          </cell>
          <cell r="Z74">
            <v>318918.60000000003</v>
          </cell>
        </row>
        <row r="75">
          <cell r="J75" t="str">
            <v>입고</v>
          </cell>
          <cell r="S75">
            <v>221</v>
          </cell>
          <cell r="T75">
            <v>0</v>
          </cell>
          <cell r="V75">
            <v>5480310</v>
          </cell>
          <cell r="W75">
            <v>18900000</v>
          </cell>
          <cell r="Y75">
            <v>18900000</v>
          </cell>
          <cell r="Z75">
            <v>474960.2</v>
          </cell>
        </row>
        <row r="76">
          <cell r="J76" t="str">
            <v>입고</v>
          </cell>
          <cell r="S76">
            <v>226</v>
          </cell>
          <cell r="T76">
            <v>2</v>
          </cell>
          <cell r="V76">
            <v>5315310</v>
          </cell>
          <cell r="W76">
            <v>18900000</v>
          </cell>
          <cell r="Y76">
            <v>18900000</v>
          </cell>
          <cell r="Z76">
            <v>655554.9</v>
          </cell>
        </row>
        <row r="77">
          <cell r="J77" t="str">
            <v>0</v>
          </cell>
          <cell r="S77">
            <v>0</v>
          </cell>
          <cell r="T77">
            <v>0</v>
          </cell>
          <cell r="V77">
            <v>781000.00000000012</v>
          </cell>
          <cell r="W77">
            <v>3000000</v>
          </cell>
          <cell r="Y77">
            <v>0</v>
          </cell>
          <cell r="Z77">
            <v>0</v>
          </cell>
        </row>
        <row r="78">
          <cell r="J78" t="str">
            <v>0</v>
          </cell>
          <cell r="S78">
            <v>0</v>
          </cell>
          <cell r="T78">
            <v>0</v>
          </cell>
          <cell r="V78">
            <v>781000.00000000012</v>
          </cell>
          <cell r="W78">
            <v>3000000</v>
          </cell>
          <cell r="Y78">
            <v>0</v>
          </cell>
          <cell r="Z78">
            <v>0</v>
          </cell>
        </row>
        <row r="79">
          <cell r="J79" t="str">
            <v>입고</v>
          </cell>
          <cell r="S79">
            <v>402</v>
          </cell>
          <cell r="T79">
            <v>7</v>
          </cell>
          <cell r="V79">
            <v>23238160</v>
          </cell>
          <cell r="W79">
            <v>46600000</v>
          </cell>
          <cell r="Y79">
            <v>46600000</v>
          </cell>
          <cell r="Z79">
            <v>13536228.200000001</v>
          </cell>
        </row>
        <row r="80">
          <cell r="J80" t="str">
            <v>입고</v>
          </cell>
          <cell r="S80">
            <v>264</v>
          </cell>
          <cell r="T80">
            <v>5</v>
          </cell>
          <cell r="V80">
            <v>15453376.4</v>
          </cell>
          <cell r="W80">
            <v>30989000</v>
          </cell>
          <cell r="Y80">
            <v>30989000</v>
          </cell>
          <cell r="Z80">
            <v>3311437.8000000003</v>
          </cell>
        </row>
        <row r="81">
          <cell r="J81" t="str">
            <v>입고</v>
          </cell>
          <cell r="S81">
            <v>200</v>
          </cell>
          <cell r="T81">
            <v>2</v>
          </cell>
          <cell r="V81">
            <v>14507460</v>
          </cell>
          <cell r="W81">
            <v>29100000</v>
          </cell>
          <cell r="Y81">
            <v>29100000</v>
          </cell>
          <cell r="Z81">
            <v>4497312.6000000006</v>
          </cell>
        </row>
        <row r="82">
          <cell r="J82" t="str">
            <v>입고</v>
          </cell>
          <cell r="S82">
            <v>160</v>
          </cell>
          <cell r="T82">
            <v>0</v>
          </cell>
          <cell r="V82">
            <v>13262480.000000002</v>
          </cell>
          <cell r="W82">
            <v>26600000</v>
          </cell>
          <cell r="Y82">
            <v>21280000</v>
          </cell>
          <cell r="Z82">
            <v>928373.60000000009</v>
          </cell>
        </row>
        <row r="83">
          <cell r="J83" t="str">
            <v>입고</v>
          </cell>
          <cell r="S83">
            <v>239</v>
          </cell>
          <cell r="T83">
            <v>4</v>
          </cell>
          <cell r="V83">
            <v>26691390</v>
          </cell>
          <cell r="W83">
            <v>53550000</v>
          </cell>
          <cell r="Y83">
            <v>51408000</v>
          </cell>
          <cell r="Z83">
            <v>4092679.8000000003</v>
          </cell>
        </row>
        <row r="84">
          <cell r="J84" t="str">
            <v>입고</v>
          </cell>
          <cell r="S84">
            <v>108</v>
          </cell>
          <cell r="T84">
            <v>1</v>
          </cell>
          <cell r="V84">
            <v>28558860.000000004</v>
          </cell>
          <cell r="W84">
            <v>57300000</v>
          </cell>
          <cell r="Y84">
            <v>20628000</v>
          </cell>
          <cell r="Z84">
            <v>2760689.8000000003</v>
          </cell>
        </row>
        <row r="85">
          <cell r="J85" t="str">
            <v>입고</v>
          </cell>
          <cell r="S85">
            <v>197</v>
          </cell>
          <cell r="T85">
            <v>2</v>
          </cell>
          <cell r="V85">
            <v>21845049.600000001</v>
          </cell>
          <cell r="W85">
            <v>43824000</v>
          </cell>
          <cell r="Y85">
            <v>43824000</v>
          </cell>
          <cell r="Z85">
            <v>2896124.0000000005</v>
          </cell>
        </row>
        <row r="86">
          <cell r="J86" t="str">
            <v>입고</v>
          </cell>
          <cell r="S86">
            <v>67</v>
          </cell>
          <cell r="T86">
            <v>2</v>
          </cell>
          <cell r="V86">
            <v>6223602</v>
          </cell>
          <cell r="W86">
            <v>13230000</v>
          </cell>
          <cell r="Y86">
            <v>13230000</v>
          </cell>
          <cell r="Z86">
            <v>889086</v>
          </cell>
        </row>
        <row r="87">
          <cell r="J87" t="str">
            <v>입고</v>
          </cell>
          <cell r="S87">
            <v>57</v>
          </cell>
          <cell r="T87">
            <v>0</v>
          </cell>
          <cell r="V87">
            <v>5088512</v>
          </cell>
          <cell r="W87">
            <v>10816000</v>
          </cell>
          <cell r="Y87">
            <v>10816000</v>
          </cell>
          <cell r="Z87">
            <v>397540</v>
          </cell>
        </row>
        <row r="88">
          <cell r="J88" t="str">
            <v>입고</v>
          </cell>
          <cell r="S88">
            <v>78</v>
          </cell>
          <cell r="T88">
            <v>1</v>
          </cell>
          <cell r="V88">
            <v>5798364</v>
          </cell>
          <cell r="W88">
            <v>12324000</v>
          </cell>
          <cell r="Y88">
            <v>12324000</v>
          </cell>
          <cell r="Z88">
            <v>817718</v>
          </cell>
        </row>
        <row r="89">
          <cell r="J89" t="str">
            <v>입고</v>
          </cell>
          <cell r="S89">
            <v>100</v>
          </cell>
          <cell r="T89">
            <v>1</v>
          </cell>
          <cell r="V89">
            <v>7104350</v>
          </cell>
          <cell r="W89">
            <v>14250000</v>
          </cell>
          <cell r="Y89">
            <v>14250000</v>
          </cell>
          <cell r="Z89">
            <v>497304.5</v>
          </cell>
        </row>
        <row r="90">
          <cell r="J90" t="str">
            <v>입고</v>
          </cell>
          <cell r="S90">
            <v>100</v>
          </cell>
          <cell r="T90">
            <v>0</v>
          </cell>
          <cell r="V90">
            <v>8075430</v>
          </cell>
          <cell r="W90">
            <v>16200000</v>
          </cell>
          <cell r="Y90">
            <v>16200000</v>
          </cell>
          <cell r="Z90">
            <v>1211314.5</v>
          </cell>
        </row>
        <row r="91">
          <cell r="J91" t="str">
            <v>입고</v>
          </cell>
          <cell r="S91">
            <v>200</v>
          </cell>
          <cell r="T91">
            <v>0</v>
          </cell>
          <cell r="V91">
            <v>9843680</v>
          </cell>
          <cell r="W91">
            <v>23400000</v>
          </cell>
          <cell r="Y91">
            <v>23400000</v>
          </cell>
          <cell r="Z91">
            <v>10040553.6</v>
          </cell>
        </row>
        <row r="92">
          <cell r="J92" t="str">
            <v>입고</v>
          </cell>
          <cell r="S92">
            <v>187</v>
          </cell>
          <cell r="T92">
            <v>0</v>
          </cell>
          <cell r="V92">
            <v>14623007.300000001</v>
          </cell>
          <cell r="W92">
            <v>34782000</v>
          </cell>
          <cell r="Y92">
            <v>34782000</v>
          </cell>
          <cell r="Z92">
            <v>14153819.900000002</v>
          </cell>
        </row>
        <row r="93">
          <cell r="J93" t="str">
            <v>입고</v>
          </cell>
          <cell r="S93">
            <v>188</v>
          </cell>
          <cell r="T93">
            <v>3</v>
          </cell>
          <cell r="V93">
            <v>24541925.100000001</v>
          </cell>
          <cell r="W93">
            <v>49250000</v>
          </cell>
          <cell r="Y93">
            <v>49000000</v>
          </cell>
          <cell r="Z93">
            <v>2366987.7000000002</v>
          </cell>
        </row>
        <row r="94">
          <cell r="J94" t="str">
            <v>입고</v>
          </cell>
          <cell r="S94">
            <v>137</v>
          </cell>
          <cell r="T94">
            <v>1</v>
          </cell>
          <cell r="V94">
            <v>11219802</v>
          </cell>
          <cell r="W94">
            <v>26688000</v>
          </cell>
          <cell r="Y94">
            <v>26496000</v>
          </cell>
          <cell r="Z94">
            <v>2582976</v>
          </cell>
        </row>
        <row r="95">
          <cell r="J95" t="str">
            <v>입고</v>
          </cell>
          <cell r="S95">
            <v>555</v>
          </cell>
          <cell r="T95">
            <v>11</v>
          </cell>
          <cell r="V95">
            <v>1776390.0000000002</v>
          </cell>
          <cell r="W95">
            <v>9100000</v>
          </cell>
          <cell r="Y95">
            <v>7371000</v>
          </cell>
          <cell r="Z95">
            <v>322287.90000000002</v>
          </cell>
        </row>
        <row r="96">
          <cell r="J96" t="str">
            <v>입고</v>
          </cell>
          <cell r="S96">
            <v>571</v>
          </cell>
          <cell r="T96">
            <v>9</v>
          </cell>
          <cell r="V96">
            <v>1853390.0000000002</v>
          </cell>
          <cell r="W96">
            <v>9100000</v>
          </cell>
          <cell r="Y96">
            <v>8957000</v>
          </cell>
          <cell r="Z96">
            <v>315076.30000000005</v>
          </cell>
        </row>
        <row r="97">
          <cell r="J97" t="str">
            <v>입고</v>
          </cell>
          <cell r="S97">
            <v>340</v>
          </cell>
          <cell r="T97">
            <v>1</v>
          </cell>
          <cell r="V97">
            <v>1213850.0000000002</v>
          </cell>
          <cell r="W97">
            <v>6500000</v>
          </cell>
          <cell r="Y97">
            <v>4745000</v>
          </cell>
          <cell r="Z97">
            <v>72831.000000000015</v>
          </cell>
        </row>
        <row r="98">
          <cell r="J98" t="str">
            <v>입고</v>
          </cell>
          <cell r="S98">
            <v>200</v>
          </cell>
          <cell r="T98">
            <v>4</v>
          </cell>
          <cell r="V98">
            <v>529540</v>
          </cell>
          <cell r="W98">
            <v>2600000</v>
          </cell>
          <cell r="Y98">
            <v>2600000</v>
          </cell>
          <cell r="Z98">
            <v>137680.40000000002</v>
          </cell>
        </row>
        <row r="99">
          <cell r="J99" t="str">
            <v>입고</v>
          </cell>
          <cell r="S99">
            <v>314</v>
          </cell>
          <cell r="T99">
            <v>3</v>
          </cell>
          <cell r="V99">
            <v>1015080.0000000001</v>
          </cell>
          <cell r="W99">
            <v>3600000</v>
          </cell>
          <cell r="Y99">
            <v>3600000</v>
          </cell>
          <cell r="Z99">
            <v>228393.00000000003</v>
          </cell>
        </row>
        <row r="100">
          <cell r="J100" t="str">
            <v>입고</v>
          </cell>
          <cell r="S100">
            <v>257</v>
          </cell>
          <cell r="T100">
            <v>9</v>
          </cell>
          <cell r="V100">
            <v>794310.00000000012</v>
          </cell>
          <cell r="W100">
            <v>2700000</v>
          </cell>
          <cell r="Y100">
            <v>2700000</v>
          </cell>
          <cell r="Z100">
            <v>142975.80000000002</v>
          </cell>
        </row>
        <row r="101">
          <cell r="J101" t="str">
            <v>입고</v>
          </cell>
          <cell r="S101">
            <v>640</v>
          </cell>
          <cell r="T101">
            <v>9</v>
          </cell>
          <cell r="V101">
            <v>1468390.0000000002</v>
          </cell>
          <cell r="W101">
            <v>4200000</v>
          </cell>
          <cell r="Y101">
            <v>4200000</v>
          </cell>
          <cell r="Z101">
            <v>446810.10000000003</v>
          </cell>
        </row>
        <row r="102">
          <cell r="J102" t="str">
            <v>입고</v>
          </cell>
          <cell r="S102">
            <v>296</v>
          </cell>
          <cell r="T102">
            <v>3</v>
          </cell>
          <cell r="V102">
            <v>629310.00000000012</v>
          </cell>
          <cell r="W102">
            <v>1800000</v>
          </cell>
          <cell r="Y102">
            <v>1800000</v>
          </cell>
          <cell r="Z102">
            <v>172011.40000000002</v>
          </cell>
        </row>
        <row r="103">
          <cell r="J103" t="str">
            <v>입고</v>
          </cell>
          <cell r="S103">
            <v>519</v>
          </cell>
          <cell r="T103">
            <v>3</v>
          </cell>
          <cell r="V103">
            <v>5231820</v>
          </cell>
          <cell r="W103">
            <v>17400000</v>
          </cell>
          <cell r="Y103">
            <v>17110000</v>
          </cell>
          <cell r="Z103">
            <v>514462.30000000005</v>
          </cell>
        </row>
        <row r="104">
          <cell r="J104" t="str">
            <v>입고</v>
          </cell>
          <cell r="S104">
            <v>746</v>
          </cell>
          <cell r="T104">
            <v>6</v>
          </cell>
          <cell r="V104">
            <v>11783640</v>
          </cell>
          <cell r="W104">
            <v>39600000</v>
          </cell>
          <cell r="Y104">
            <v>39039000</v>
          </cell>
          <cell r="Z104">
            <v>805215.4</v>
          </cell>
        </row>
        <row r="105">
          <cell r="J105" t="str">
            <v>입고</v>
          </cell>
          <cell r="S105">
            <v>720</v>
          </cell>
          <cell r="T105">
            <v>5</v>
          </cell>
          <cell r="V105">
            <v>7163640.0000000009</v>
          </cell>
          <cell r="W105">
            <v>22800000</v>
          </cell>
          <cell r="Y105">
            <v>22382000</v>
          </cell>
          <cell r="Z105">
            <v>405939.60000000003</v>
          </cell>
        </row>
        <row r="106">
          <cell r="J106" t="str">
            <v>입고</v>
          </cell>
          <cell r="S106">
            <v>618</v>
          </cell>
          <cell r="T106">
            <v>14</v>
          </cell>
          <cell r="V106">
            <v>10369700</v>
          </cell>
          <cell r="W106">
            <v>36000000</v>
          </cell>
          <cell r="Y106">
            <v>35460000</v>
          </cell>
          <cell r="Z106">
            <v>1316951.9000000001</v>
          </cell>
        </row>
        <row r="107">
          <cell r="J107" t="str">
            <v>0</v>
          </cell>
          <cell r="S107">
            <v>0</v>
          </cell>
          <cell r="T107">
            <v>0</v>
          </cell>
          <cell r="V107">
            <v>5969700.0000000009</v>
          </cell>
          <cell r="W107">
            <v>19000000</v>
          </cell>
          <cell r="Y107">
            <v>0</v>
          </cell>
          <cell r="Z107">
            <v>0</v>
          </cell>
        </row>
        <row r="108">
          <cell r="J108" t="str">
            <v>입고</v>
          </cell>
          <cell r="S108">
            <v>531</v>
          </cell>
          <cell r="T108">
            <v>9</v>
          </cell>
          <cell r="V108">
            <v>14825580.000000002</v>
          </cell>
          <cell r="W108">
            <v>50400000</v>
          </cell>
          <cell r="Y108">
            <v>50400000</v>
          </cell>
          <cell r="Z108">
            <v>497715.9</v>
          </cell>
        </row>
        <row r="109">
          <cell r="J109" t="str">
            <v>입고</v>
          </cell>
          <cell r="S109">
            <v>580</v>
          </cell>
          <cell r="T109">
            <v>19</v>
          </cell>
          <cell r="V109">
            <v>6739700.0000000009</v>
          </cell>
          <cell r="W109">
            <v>23000000</v>
          </cell>
          <cell r="Y109">
            <v>22747000</v>
          </cell>
          <cell r="Z109">
            <v>775065.50000000012</v>
          </cell>
        </row>
        <row r="110">
          <cell r="J110" t="str">
            <v>입고</v>
          </cell>
          <cell r="S110">
            <v>299</v>
          </cell>
          <cell r="T110">
            <v>3</v>
          </cell>
          <cell r="V110">
            <v>3857744.0000000005</v>
          </cell>
          <cell r="W110">
            <v>13340000</v>
          </cell>
          <cell r="Y110">
            <v>13340000</v>
          </cell>
          <cell r="Z110">
            <v>150955.20000000001</v>
          </cell>
        </row>
        <row r="111">
          <cell r="J111" t="str">
            <v>입고</v>
          </cell>
          <cell r="S111">
            <v>512</v>
          </cell>
          <cell r="T111">
            <v>3</v>
          </cell>
          <cell r="V111">
            <v>15287580.000000002</v>
          </cell>
          <cell r="W111">
            <v>50400000</v>
          </cell>
          <cell r="Y111">
            <v>50400000</v>
          </cell>
          <cell r="Z111">
            <v>491386.50000000006</v>
          </cell>
        </row>
        <row r="112">
          <cell r="J112" t="str">
            <v>입고</v>
          </cell>
          <cell r="S112">
            <v>518</v>
          </cell>
          <cell r="T112">
            <v>4</v>
          </cell>
          <cell r="V112">
            <v>9897580.0000000019</v>
          </cell>
          <cell r="W112">
            <v>32200000</v>
          </cell>
          <cell r="Y112">
            <v>32200000</v>
          </cell>
          <cell r="Z112">
            <v>318136.50000000006</v>
          </cell>
        </row>
        <row r="113">
          <cell r="J113" t="str">
            <v>입고</v>
          </cell>
          <cell r="S113">
            <v>209</v>
          </cell>
          <cell r="T113">
            <v>1</v>
          </cell>
          <cell r="V113">
            <v>3671910</v>
          </cell>
          <cell r="W113">
            <v>12900000</v>
          </cell>
          <cell r="Y113">
            <v>11868000</v>
          </cell>
          <cell r="Z113">
            <v>563026.20000000007</v>
          </cell>
        </row>
        <row r="114">
          <cell r="J114" t="str">
            <v>입고</v>
          </cell>
          <cell r="S114">
            <v>465</v>
          </cell>
          <cell r="T114">
            <v>1</v>
          </cell>
          <cell r="V114">
            <v>15706707.500000002</v>
          </cell>
          <cell r="W114">
            <v>52060000</v>
          </cell>
          <cell r="Y114">
            <v>46968000</v>
          </cell>
          <cell r="Z114">
            <v>1467488.0000000002</v>
          </cell>
        </row>
        <row r="115">
          <cell r="J115" t="str">
            <v>입고</v>
          </cell>
          <cell r="S115">
            <v>201</v>
          </cell>
          <cell r="T115">
            <v>0</v>
          </cell>
          <cell r="V115">
            <v>8371825.0000000009</v>
          </cell>
          <cell r="W115">
            <v>26600000</v>
          </cell>
          <cell r="Y115">
            <v>23408000</v>
          </cell>
          <cell r="Z115">
            <v>334873.00000000006</v>
          </cell>
        </row>
        <row r="116">
          <cell r="J116" t="str">
            <v>입고</v>
          </cell>
          <cell r="S116">
            <v>369</v>
          </cell>
          <cell r="T116">
            <v>3</v>
          </cell>
          <cell r="V116">
            <v>14693690.000000002</v>
          </cell>
          <cell r="W116">
            <v>47120000</v>
          </cell>
          <cell r="Y116">
            <v>32528000</v>
          </cell>
          <cell r="Z116">
            <v>2038157.0000000002</v>
          </cell>
        </row>
        <row r="117">
          <cell r="J117" t="str">
            <v>입고</v>
          </cell>
          <cell r="S117">
            <v>341</v>
          </cell>
          <cell r="T117">
            <v>1</v>
          </cell>
          <cell r="V117">
            <v>8470880</v>
          </cell>
          <cell r="W117">
            <v>25200000</v>
          </cell>
          <cell r="Y117">
            <v>25452000</v>
          </cell>
          <cell r="Z117">
            <v>741202</v>
          </cell>
        </row>
        <row r="118">
          <cell r="J118" t="str">
            <v>입고</v>
          </cell>
          <cell r="S118">
            <v>159</v>
          </cell>
          <cell r="T118">
            <v>1</v>
          </cell>
          <cell r="V118">
            <v>5813060.0000000009</v>
          </cell>
          <cell r="W118">
            <v>17800000</v>
          </cell>
          <cell r="Y118">
            <v>17889000</v>
          </cell>
          <cell r="Z118">
            <v>813828.40000000014</v>
          </cell>
        </row>
        <row r="119">
          <cell r="J119" t="str">
            <v>입고</v>
          </cell>
          <cell r="S119">
            <v>674</v>
          </cell>
          <cell r="T119">
            <v>2</v>
          </cell>
          <cell r="V119">
            <v>18537200</v>
          </cell>
          <cell r="W119">
            <v>63000000</v>
          </cell>
          <cell r="Y119">
            <v>57330000</v>
          </cell>
          <cell r="Z119">
            <v>1334678.4000000001</v>
          </cell>
        </row>
        <row r="120">
          <cell r="J120" t="str">
            <v>입고</v>
          </cell>
          <cell r="S120">
            <v>705</v>
          </cell>
          <cell r="T120">
            <v>5</v>
          </cell>
          <cell r="V120">
            <v>21414580.000000004</v>
          </cell>
          <cell r="W120">
            <v>75900000</v>
          </cell>
          <cell r="Y120">
            <v>65412000</v>
          </cell>
          <cell r="Z120">
            <v>3017509.0000000005</v>
          </cell>
        </row>
        <row r="121">
          <cell r="J121" t="str">
            <v>입고</v>
          </cell>
          <cell r="S121">
            <v>563</v>
          </cell>
          <cell r="T121">
            <v>3</v>
          </cell>
          <cell r="V121">
            <v>12541760</v>
          </cell>
          <cell r="W121">
            <v>55200000</v>
          </cell>
          <cell r="Y121">
            <v>53475000</v>
          </cell>
          <cell r="Z121">
            <v>1379593.6</v>
          </cell>
        </row>
        <row r="122">
          <cell r="J122" t="str">
            <v>입고</v>
          </cell>
          <cell r="S122">
            <v>842</v>
          </cell>
          <cell r="T122">
            <v>10</v>
          </cell>
          <cell r="V122">
            <v>26375580.000000004</v>
          </cell>
          <cell r="W122">
            <v>91300000</v>
          </cell>
          <cell r="Y122">
            <v>88146000</v>
          </cell>
          <cell r="Z122">
            <v>5275116.0000000009</v>
          </cell>
        </row>
        <row r="123">
          <cell r="J123" t="str">
            <v>입고</v>
          </cell>
          <cell r="S123">
            <v>380</v>
          </cell>
          <cell r="T123">
            <v>3</v>
          </cell>
          <cell r="V123">
            <v>13512070.000000002</v>
          </cell>
          <cell r="W123">
            <v>47450000</v>
          </cell>
          <cell r="Y123">
            <v>38909000</v>
          </cell>
          <cell r="Z123">
            <v>1164116.8000000003</v>
          </cell>
        </row>
        <row r="124">
          <cell r="J124" t="str">
            <v>입고</v>
          </cell>
          <cell r="S124">
            <v>431</v>
          </cell>
          <cell r="T124">
            <v>0</v>
          </cell>
          <cell r="V124">
            <v>14474460.000000002</v>
          </cell>
          <cell r="W124">
            <v>55300000</v>
          </cell>
          <cell r="Y124">
            <v>50323000</v>
          </cell>
          <cell r="Z124">
            <v>1095923.4000000001</v>
          </cell>
        </row>
        <row r="125">
          <cell r="J125" t="str">
            <v>입고</v>
          </cell>
          <cell r="S125">
            <v>494</v>
          </cell>
          <cell r="T125">
            <v>6</v>
          </cell>
          <cell r="V125">
            <v>16903040</v>
          </cell>
          <cell r="W125">
            <v>62300000</v>
          </cell>
          <cell r="Y125">
            <v>47437000</v>
          </cell>
          <cell r="Z125">
            <v>4008435.2</v>
          </cell>
        </row>
        <row r="126">
          <cell r="J126" t="str">
            <v>입고</v>
          </cell>
          <cell r="S126">
            <v>544</v>
          </cell>
          <cell r="T126">
            <v>6</v>
          </cell>
          <cell r="V126">
            <v>13528680.000000002</v>
          </cell>
          <cell r="W126">
            <v>49800000</v>
          </cell>
          <cell r="Y126">
            <v>44488000</v>
          </cell>
          <cell r="Z126">
            <v>8139755.8000000007</v>
          </cell>
        </row>
        <row r="127">
          <cell r="J127" t="str">
            <v>입고</v>
          </cell>
          <cell r="S127">
            <v>298</v>
          </cell>
          <cell r="T127">
            <v>6</v>
          </cell>
          <cell r="V127">
            <v>9019120.0000000019</v>
          </cell>
          <cell r="W127">
            <v>33200000</v>
          </cell>
          <cell r="Y127">
            <v>27473000</v>
          </cell>
          <cell r="Z127">
            <v>2006754.2000000002</v>
          </cell>
        </row>
        <row r="128">
          <cell r="J128" t="str">
            <v>입고</v>
          </cell>
          <cell r="S128">
            <v>369</v>
          </cell>
          <cell r="T128">
            <v>2</v>
          </cell>
          <cell r="V128">
            <v>12274680.000000002</v>
          </cell>
          <cell r="W128">
            <v>47400000</v>
          </cell>
          <cell r="Y128">
            <v>29388000</v>
          </cell>
          <cell r="Z128">
            <v>5380401.4000000004</v>
          </cell>
        </row>
        <row r="129">
          <cell r="J129" t="str">
            <v>입고</v>
          </cell>
          <cell r="S129">
            <v>461</v>
          </cell>
          <cell r="T129">
            <v>4</v>
          </cell>
          <cell r="V129">
            <v>11625460.000000002</v>
          </cell>
          <cell r="W129">
            <v>41300000</v>
          </cell>
          <cell r="Y129">
            <v>38350000</v>
          </cell>
          <cell r="Z129">
            <v>946644.60000000021</v>
          </cell>
        </row>
        <row r="130">
          <cell r="J130" t="str">
            <v>입고</v>
          </cell>
          <cell r="S130">
            <v>659</v>
          </cell>
          <cell r="T130">
            <v>3</v>
          </cell>
          <cell r="V130">
            <v>13396460.000000002</v>
          </cell>
          <cell r="W130">
            <v>48300000</v>
          </cell>
          <cell r="Y130">
            <v>49059000</v>
          </cell>
          <cell r="Z130">
            <v>1664988.6000000003</v>
          </cell>
        </row>
        <row r="131">
          <cell r="J131" t="str">
            <v>입고</v>
          </cell>
          <cell r="S131">
            <v>453</v>
          </cell>
          <cell r="T131">
            <v>4</v>
          </cell>
          <cell r="V131">
            <v>11405680</v>
          </cell>
          <cell r="W131">
            <v>36400000</v>
          </cell>
          <cell r="Y131">
            <v>35224000</v>
          </cell>
          <cell r="Z131">
            <v>930001.60000000009</v>
          </cell>
        </row>
        <row r="132">
          <cell r="J132" t="str">
            <v>입고</v>
          </cell>
          <cell r="S132">
            <v>823</v>
          </cell>
          <cell r="T132">
            <v>6</v>
          </cell>
          <cell r="V132">
            <v>13420935.000000002</v>
          </cell>
          <cell r="W132">
            <v>46550000</v>
          </cell>
          <cell r="Y132">
            <v>45129000</v>
          </cell>
          <cell r="Z132">
            <v>3249279.0000000005</v>
          </cell>
        </row>
        <row r="133">
          <cell r="J133" t="str">
            <v>입고</v>
          </cell>
          <cell r="S133">
            <v>439</v>
          </cell>
          <cell r="T133">
            <v>2</v>
          </cell>
          <cell r="V133">
            <v>12692680</v>
          </cell>
          <cell r="W133">
            <v>47450000</v>
          </cell>
          <cell r="Y133">
            <v>42121000</v>
          </cell>
          <cell r="Z133">
            <v>702979.20000000007</v>
          </cell>
        </row>
        <row r="134">
          <cell r="J134" t="str">
            <v>입고</v>
          </cell>
          <cell r="S134">
            <v>393</v>
          </cell>
          <cell r="T134">
            <v>1</v>
          </cell>
          <cell r="V134">
            <v>9618180</v>
          </cell>
          <cell r="W134">
            <v>38350000</v>
          </cell>
          <cell r="Y134">
            <v>36875000</v>
          </cell>
          <cell r="Z134">
            <v>562293.6</v>
          </cell>
        </row>
        <row r="135">
          <cell r="J135" t="str">
            <v>입고</v>
          </cell>
          <cell r="S135">
            <v>344</v>
          </cell>
          <cell r="T135">
            <v>2</v>
          </cell>
          <cell r="V135">
            <v>13407680</v>
          </cell>
          <cell r="W135">
            <v>51350000</v>
          </cell>
          <cell r="Y135">
            <v>43529000</v>
          </cell>
          <cell r="Z135">
            <v>680697.6</v>
          </cell>
        </row>
        <row r="136">
          <cell r="J136" t="str">
            <v>입고</v>
          </cell>
          <cell r="S136">
            <v>339</v>
          </cell>
          <cell r="T136">
            <v>0</v>
          </cell>
          <cell r="V136">
            <v>12112320</v>
          </cell>
          <cell r="W136">
            <v>47400000</v>
          </cell>
          <cell r="Y136">
            <v>37209000</v>
          </cell>
          <cell r="Z136">
            <v>868049.6</v>
          </cell>
        </row>
        <row r="137">
          <cell r="J137" t="str">
            <v>입고</v>
          </cell>
          <cell r="S137">
            <v>590</v>
          </cell>
          <cell r="T137">
            <v>0</v>
          </cell>
          <cell r="V137">
            <v>8622900</v>
          </cell>
          <cell r="W137">
            <v>21750000</v>
          </cell>
          <cell r="Y137">
            <v>20851000</v>
          </cell>
          <cell r="Z137">
            <v>977262.00000000012</v>
          </cell>
        </row>
        <row r="138">
          <cell r="J138" t="str">
            <v>입고</v>
          </cell>
          <cell r="S138">
            <v>456</v>
          </cell>
          <cell r="T138">
            <v>4</v>
          </cell>
          <cell r="V138">
            <v>12192180</v>
          </cell>
          <cell r="W138">
            <v>51350000</v>
          </cell>
          <cell r="Y138">
            <v>48427000</v>
          </cell>
          <cell r="Z138">
            <v>1669390.8</v>
          </cell>
        </row>
        <row r="139">
          <cell r="J139" t="str">
            <v>입고</v>
          </cell>
          <cell r="S139">
            <v>1499</v>
          </cell>
          <cell r="T139">
            <v>13</v>
          </cell>
          <cell r="V139">
            <v>27713840</v>
          </cell>
          <cell r="W139">
            <v>85800000</v>
          </cell>
          <cell r="Y139">
            <v>85800000</v>
          </cell>
          <cell r="Z139">
            <v>4094090.0000000005</v>
          </cell>
        </row>
        <row r="140">
          <cell r="J140" t="str">
            <v>입고</v>
          </cell>
          <cell r="S140">
            <v>156</v>
          </cell>
          <cell r="T140">
            <v>1</v>
          </cell>
          <cell r="V140">
            <v>4963904</v>
          </cell>
          <cell r="W140">
            <v>15840000</v>
          </cell>
          <cell r="Y140">
            <v>15840000</v>
          </cell>
          <cell r="Z140">
            <v>930732</v>
          </cell>
        </row>
        <row r="141">
          <cell r="J141" t="str">
            <v>입고</v>
          </cell>
          <cell r="S141">
            <v>107</v>
          </cell>
          <cell r="T141">
            <v>0</v>
          </cell>
          <cell r="V141">
            <v>4125396.0000000005</v>
          </cell>
          <cell r="W141">
            <v>11880000</v>
          </cell>
          <cell r="Y141">
            <v>11682000</v>
          </cell>
          <cell r="Z141">
            <v>103134.90000000001</v>
          </cell>
        </row>
        <row r="142">
          <cell r="J142" t="str">
            <v>입고</v>
          </cell>
          <cell r="S142">
            <v>269</v>
          </cell>
          <cell r="T142">
            <v>1</v>
          </cell>
          <cell r="V142">
            <v>8227120.0000000009</v>
          </cell>
          <cell r="W142">
            <v>23600000</v>
          </cell>
          <cell r="Y142">
            <v>21889000</v>
          </cell>
          <cell r="Z142">
            <v>226245.80000000005</v>
          </cell>
        </row>
        <row r="143">
          <cell r="J143" t="str">
            <v>입고</v>
          </cell>
          <cell r="S143">
            <v>282</v>
          </cell>
          <cell r="T143">
            <v>4</v>
          </cell>
          <cell r="V143">
            <v>5941386</v>
          </cell>
          <cell r="W143">
            <v>21830000</v>
          </cell>
          <cell r="Y143">
            <v>20414000</v>
          </cell>
          <cell r="Z143">
            <v>562023</v>
          </cell>
        </row>
        <row r="144">
          <cell r="J144" t="str">
            <v>입고</v>
          </cell>
          <cell r="S144">
            <v>241</v>
          </cell>
          <cell r="T144">
            <v>2</v>
          </cell>
          <cell r="V144">
            <v>8447120.0000000019</v>
          </cell>
          <cell r="W144">
            <v>23600000</v>
          </cell>
          <cell r="Y144">
            <v>17818000</v>
          </cell>
          <cell r="Z144">
            <v>570180.60000000009</v>
          </cell>
        </row>
        <row r="145">
          <cell r="J145" t="str">
            <v>입고</v>
          </cell>
          <cell r="S145">
            <v>284</v>
          </cell>
          <cell r="T145">
            <v>2</v>
          </cell>
          <cell r="V145">
            <v>7435120.0000000009</v>
          </cell>
          <cell r="W145">
            <v>23600000</v>
          </cell>
          <cell r="Y145">
            <v>23246000</v>
          </cell>
          <cell r="Z145">
            <v>427519.40000000008</v>
          </cell>
        </row>
        <row r="146">
          <cell r="J146" t="str">
            <v>입고</v>
          </cell>
          <cell r="S146">
            <v>100</v>
          </cell>
          <cell r="T146">
            <v>0</v>
          </cell>
          <cell r="V146">
            <v>2270664</v>
          </cell>
          <cell r="W146">
            <v>5040000</v>
          </cell>
          <cell r="Y146">
            <v>5040000</v>
          </cell>
          <cell r="Z146">
            <v>302755.20000000001</v>
          </cell>
        </row>
        <row r="147">
          <cell r="J147" t="str">
            <v>입고</v>
          </cell>
          <cell r="S147">
            <v>48</v>
          </cell>
          <cell r="T147">
            <v>0</v>
          </cell>
          <cell r="V147">
            <v>1864302</v>
          </cell>
          <cell r="W147">
            <v>4140000</v>
          </cell>
          <cell r="Y147">
            <v>4140000</v>
          </cell>
          <cell r="Z147">
            <v>248573.6</v>
          </cell>
        </row>
        <row r="148">
          <cell r="J148" t="str">
            <v>입고</v>
          </cell>
          <cell r="S148">
            <v>46</v>
          </cell>
          <cell r="T148">
            <v>0</v>
          </cell>
          <cell r="V148">
            <v>2242350</v>
          </cell>
          <cell r="W148">
            <v>4980000</v>
          </cell>
          <cell r="Y148">
            <v>4980000</v>
          </cell>
          <cell r="Z148">
            <v>0</v>
          </cell>
        </row>
        <row r="149">
          <cell r="J149" t="str">
            <v>입고</v>
          </cell>
          <cell r="S149">
            <v>46</v>
          </cell>
          <cell r="T149">
            <v>0</v>
          </cell>
          <cell r="V149">
            <v>2620332.0000000005</v>
          </cell>
          <cell r="W149">
            <v>5820000</v>
          </cell>
          <cell r="Y149">
            <v>5820000</v>
          </cell>
          <cell r="Z149">
            <v>0</v>
          </cell>
        </row>
        <row r="150">
          <cell r="J150" t="str">
            <v>입고</v>
          </cell>
          <cell r="S150">
            <v>46</v>
          </cell>
          <cell r="T150">
            <v>0</v>
          </cell>
          <cell r="V150">
            <v>2998314</v>
          </cell>
          <cell r="W150">
            <v>6660000</v>
          </cell>
          <cell r="Y150">
            <v>6660000</v>
          </cell>
          <cell r="Z150">
            <v>49971.9</v>
          </cell>
        </row>
        <row r="151">
          <cell r="J151" t="str">
            <v>입고</v>
          </cell>
          <cell r="S151">
            <v>46</v>
          </cell>
          <cell r="T151">
            <v>0</v>
          </cell>
          <cell r="V151">
            <v>3349302.0000000005</v>
          </cell>
          <cell r="W151">
            <v>7440000</v>
          </cell>
          <cell r="Y151">
            <v>7440000</v>
          </cell>
          <cell r="Z151">
            <v>111643.40000000001</v>
          </cell>
        </row>
        <row r="152">
          <cell r="J152" t="str">
            <v>입고</v>
          </cell>
          <cell r="S152">
            <v>23</v>
          </cell>
          <cell r="T152">
            <v>0</v>
          </cell>
          <cell r="V152">
            <v>378675.00000000006</v>
          </cell>
          <cell r="W152">
            <v>840000</v>
          </cell>
          <cell r="Y152">
            <v>840000</v>
          </cell>
          <cell r="Z152">
            <v>0</v>
          </cell>
        </row>
        <row r="153">
          <cell r="J153" t="str">
            <v>입고</v>
          </cell>
          <cell r="S153">
            <v>24</v>
          </cell>
          <cell r="T153">
            <v>0</v>
          </cell>
          <cell r="V153">
            <v>378675.00000000006</v>
          </cell>
          <cell r="W153">
            <v>840000</v>
          </cell>
          <cell r="Y153">
            <v>840000</v>
          </cell>
          <cell r="Z153">
            <v>63112.500000000007</v>
          </cell>
        </row>
        <row r="154">
          <cell r="J154" t="str">
            <v>입고</v>
          </cell>
          <cell r="S154">
            <v>168</v>
          </cell>
          <cell r="T154">
            <v>2</v>
          </cell>
          <cell r="V154">
            <v>1173942</v>
          </cell>
          <cell r="W154">
            <v>2340000</v>
          </cell>
          <cell r="Y154">
            <v>2340000</v>
          </cell>
          <cell r="Z154">
            <v>300007.40000000002</v>
          </cell>
        </row>
        <row r="155">
          <cell r="J155" t="str">
            <v>입고</v>
          </cell>
          <cell r="S155">
            <v>180</v>
          </cell>
          <cell r="T155">
            <v>0</v>
          </cell>
          <cell r="V155">
            <v>1353924</v>
          </cell>
          <cell r="W155">
            <v>2700000</v>
          </cell>
          <cell r="Y155">
            <v>2700000</v>
          </cell>
          <cell r="Z155">
            <v>466351.60000000003</v>
          </cell>
        </row>
        <row r="156">
          <cell r="J156" t="str">
            <v>입고</v>
          </cell>
          <cell r="S156">
            <v>170</v>
          </cell>
          <cell r="T156">
            <v>0</v>
          </cell>
          <cell r="V156">
            <v>1623996.0000000002</v>
          </cell>
          <cell r="W156">
            <v>3240000</v>
          </cell>
          <cell r="Y156">
            <v>3240000</v>
          </cell>
          <cell r="Z156">
            <v>532309.80000000005</v>
          </cell>
        </row>
        <row r="157">
          <cell r="J157" t="str">
            <v>입고</v>
          </cell>
          <cell r="S157">
            <v>210</v>
          </cell>
          <cell r="T157">
            <v>1</v>
          </cell>
          <cell r="V157">
            <v>2405304</v>
          </cell>
          <cell r="W157">
            <v>4800000</v>
          </cell>
          <cell r="Y157">
            <v>4440000</v>
          </cell>
          <cell r="Z157">
            <v>631392.30000000005</v>
          </cell>
        </row>
        <row r="158">
          <cell r="J158" t="str">
            <v>입고</v>
          </cell>
          <cell r="S158">
            <v>168</v>
          </cell>
          <cell r="T158">
            <v>3</v>
          </cell>
          <cell r="V158">
            <v>1623996.0000000002</v>
          </cell>
          <cell r="W158">
            <v>3240000</v>
          </cell>
          <cell r="Y158">
            <v>3240000</v>
          </cell>
          <cell r="Z158">
            <v>433065.60000000003</v>
          </cell>
        </row>
        <row r="159">
          <cell r="J159" t="str">
            <v>입고</v>
          </cell>
          <cell r="S159">
            <v>102</v>
          </cell>
          <cell r="T159">
            <v>0</v>
          </cell>
          <cell r="V159">
            <v>1322640</v>
          </cell>
          <cell r="W159">
            <v>2640000</v>
          </cell>
          <cell r="Y159">
            <v>2640000</v>
          </cell>
          <cell r="Z159">
            <v>319638</v>
          </cell>
        </row>
        <row r="160">
          <cell r="J160" t="str">
            <v>입고</v>
          </cell>
          <cell r="S160">
            <v>51</v>
          </cell>
          <cell r="T160">
            <v>0</v>
          </cell>
          <cell r="V160">
            <v>1081344</v>
          </cell>
          <cell r="W160">
            <v>2160000</v>
          </cell>
          <cell r="Y160">
            <v>2160000</v>
          </cell>
          <cell r="Z160">
            <v>396492.80000000005</v>
          </cell>
        </row>
        <row r="161">
          <cell r="J161" t="str">
            <v>입고</v>
          </cell>
          <cell r="S161">
            <v>108</v>
          </cell>
          <cell r="T161">
            <v>0</v>
          </cell>
          <cell r="V161">
            <v>1502688.0000000002</v>
          </cell>
          <cell r="W161">
            <v>3000000</v>
          </cell>
          <cell r="Y161">
            <v>3000000</v>
          </cell>
          <cell r="Z161">
            <v>438284.00000000006</v>
          </cell>
        </row>
        <row r="162">
          <cell r="J162" t="str">
            <v>입고</v>
          </cell>
          <cell r="S162">
            <v>90</v>
          </cell>
          <cell r="T162">
            <v>1</v>
          </cell>
          <cell r="V162">
            <v>3061971</v>
          </cell>
          <cell r="W162">
            <v>7650000</v>
          </cell>
          <cell r="Y162">
            <v>7650000</v>
          </cell>
          <cell r="Z162">
            <v>1326854.1000000001</v>
          </cell>
        </row>
        <row r="163">
          <cell r="J163" t="str">
            <v>입고</v>
          </cell>
          <cell r="S163">
            <v>52</v>
          </cell>
          <cell r="T163">
            <v>0</v>
          </cell>
          <cell r="V163">
            <v>2281290</v>
          </cell>
          <cell r="W163">
            <v>5700000</v>
          </cell>
          <cell r="Y163">
            <v>5700000</v>
          </cell>
          <cell r="Z163">
            <v>342193.5</v>
          </cell>
        </row>
        <row r="164">
          <cell r="J164" t="str">
            <v>입고</v>
          </cell>
          <cell r="S164">
            <v>52</v>
          </cell>
          <cell r="T164">
            <v>0</v>
          </cell>
          <cell r="V164">
            <v>2521332.0000000005</v>
          </cell>
          <cell r="W164">
            <v>6300000</v>
          </cell>
          <cell r="Y164">
            <v>6300000</v>
          </cell>
          <cell r="Z164">
            <v>420222.00000000006</v>
          </cell>
        </row>
        <row r="165">
          <cell r="J165" t="str">
            <v>입고</v>
          </cell>
          <cell r="S165">
            <v>26</v>
          </cell>
          <cell r="T165">
            <v>0</v>
          </cell>
          <cell r="V165">
            <v>1740651.0000000002</v>
          </cell>
          <cell r="W165">
            <v>4350000</v>
          </cell>
          <cell r="Y165">
            <v>4350000</v>
          </cell>
          <cell r="Z165">
            <v>406151.9</v>
          </cell>
        </row>
        <row r="166">
          <cell r="J166" t="str">
            <v>입고</v>
          </cell>
          <cell r="S166">
            <v>78</v>
          </cell>
          <cell r="T166">
            <v>0</v>
          </cell>
          <cell r="V166">
            <v>4861989.0000000009</v>
          </cell>
          <cell r="W166">
            <v>12150000</v>
          </cell>
          <cell r="Y166">
            <v>12150000</v>
          </cell>
          <cell r="Z166">
            <v>702287.3</v>
          </cell>
        </row>
        <row r="167">
          <cell r="J167" t="str">
            <v>입고</v>
          </cell>
          <cell r="S167">
            <v>52</v>
          </cell>
          <cell r="T167">
            <v>0</v>
          </cell>
          <cell r="V167">
            <v>2761308</v>
          </cell>
          <cell r="W167">
            <v>6900000</v>
          </cell>
          <cell r="Y167">
            <v>6900000</v>
          </cell>
          <cell r="Z167">
            <v>552261.60000000009</v>
          </cell>
        </row>
        <row r="168">
          <cell r="J168" t="str">
            <v>입고</v>
          </cell>
          <cell r="S168">
            <v>26</v>
          </cell>
          <cell r="T168">
            <v>0</v>
          </cell>
          <cell r="V168">
            <v>1620663.0000000002</v>
          </cell>
          <cell r="W168">
            <v>4050000</v>
          </cell>
          <cell r="Y168">
            <v>4050000</v>
          </cell>
          <cell r="Z168">
            <v>270110.5</v>
          </cell>
        </row>
        <row r="169">
          <cell r="J169" t="str">
            <v>입고</v>
          </cell>
          <cell r="S169">
            <v>26</v>
          </cell>
          <cell r="T169">
            <v>0</v>
          </cell>
          <cell r="V169">
            <v>1500675.0000000002</v>
          </cell>
          <cell r="W169">
            <v>3750000</v>
          </cell>
          <cell r="Y169">
            <v>3750000</v>
          </cell>
          <cell r="Z169">
            <v>200090.00000000003</v>
          </cell>
        </row>
        <row r="170">
          <cell r="J170" t="str">
            <v>입고</v>
          </cell>
          <cell r="S170">
            <v>199</v>
          </cell>
          <cell r="T170">
            <v>5</v>
          </cell>
          <cell r="V170">
            <v>2227940</v>
          </cell>
          <cell r="W170">
            <v>7200000</v>
          </cell>
          <cell r="Y170">
            <v>7272000</v>
          </cell>
          <cell r="Z170">
            <v>813198.10000000009</v>
          </cell>
        </row>
        <row r="171">
          <cell r="J171" t="str">
            <v>입고</v>
          </cell>
          <cell r="S171">
            <v>193</v>
          </cell>
          <cell r="T171">
            <v>9</v>
          </cell>
          <cell r="V171">
            <v>2007940.0000000002</v>
          </cell>
          <cell r="W171">
            <v>7200000</v>
          </cell>
          <cell r="Y171">
            <v>6948000</v>
          </cell>
          <cell r="Z171">
            <v>1505955</v>
          </cell>
        </row>
        <row r="172">
          <cell r="J172" t="str">
            <v>입고</v>
          </cell>
          <cell r="S172">
            <v>655</v>
          </cell>
          <cell r="T172">
            <v>3</v>
          </cell>
          <cell r="V172">
            <v>8207760.0000000009</v>
          </cell>
          <cell r="W172">
            <v>31200000</v>
          </cell>
          <cell r="Y172">
            <v>30225000</v>
          </cell>
          <cell r="Z172">
            <v>1292722.2000000002</v>
          </cell>
        </row>
        <row r="173">
          <cell r="J173" t="str">
            <v>입고</v>
          </cell>
          <cell r="S173">
            <v>618</v>
          </cell>
          <cell r="T173">
            <v>9</v>
          </cell>
          <cell r="V173">
            <v>7181790.0000000009</v>
          </cell>
          <cell r="W173">
            <v>27300000</v>
          </cell>
          <cell r="Y173">
            <v>27261000</v>
          </cell>
          <cell r="Z173">
            <v>1538955</v>
          </cell>
        </row>
        <row r="174">
          <cell r="J174" t="str">
            <v>입고</v>
          </cell>
          <cell r="S174">
            <v>313</v>
          </cell>
          <cell r="T174">
            <v>4</v>
          </cell>
          <cell r="V174">
            <v>4091395.0000000005</v>
          </cell>
          <cell r="W174">
            <v>15050000</v>
          </cell>
          <cell r="Y174">
            <v>13717000</v>
          </cell>
          <cell r="Z174">
            <v>1063762.7</v>
          </cell>
        </row>
        <row r="175">
          <cell r="J175" t="str">
            <v>입고</v>
          </cell>
          <cell r="S175">
            <v>249</v>
          </cell>
          <cell r="T175">
            <v>4</v>
          </cell>
          <cell r="V175">
            <v>3059925</v>
          </cell>
          <cell r="W175">
            <v>10750000</v>
          </cell>
          <cell r="Y175">
            <v>10621000</v>
          </cell>
          <cell r="Z175">
            <v>1211730.3</v>
          </cell>
        </row>
        <row r="176">
          <cell r="J176" t="str">
            <v>0</v>
          </cell>
          <cell r="S176">
            <v>0</v>
          </cell>
          <cell r="T176">
            <v>0</v>
          </cell>
          <cell r="V176">
            <v>2509925</v>
          </cell>
          <cell r="W176">
            <v>8250000</v>
          </cell>
          <cell r="Y176">
            <v>0</v>
          </cell>
          <cell r="Z176">
            <v>0</v>
          </cell>
        </row>
        <row r="177">
          <cell r="J177" t="str">
            <v>입고</v>
          </cell>
          <cell r="S177">
            <v>642</v>
          </cell>
          <cell r="T177">
            <v>8</v>
          </cell>
          <cell r="V177">
            <v>9175760</v>
          </cell>
          <cell r="W177">
            <v>34400000</v>
          </cell>
          <cell r="Y177">
            <v>33497000</v>
          </cell>
          <cell r="Z177">
            <v>1468121.6</v>
          </cell>
        </row>
        <row r="178">
          <cell r="J178" t="str">
            <v>입고</v>
          </cell>
          <cell r="S178">
            <v>417</v>
          </cell>
          <cell r="T178">
            <v>8</v>
          </cell>
          <cell r="V178">
            <v>4614335</v>
          </cell>
          <cell r="W178">
            <v>15950000</v>
          </cell>
          <cell r="Y178">
            <v>14094000</v>
          </cell>
          <cell r="Z178">
            <v>1208116.8</v>
          </cell>
        </row>
        <row r="179">
          <cell r="J179" t="str">
            <v>입고</v>
          </cell>
          <cell r="S179">
            <v>15</v>
          </cell>
          <cell r="T179">
            <v>0</v>
          </cell>
          <cell r="V179">
            <v>1258455</v>
          </cell>
          <cell r="W179">
            <v>3900000</v>
          </cell>
          <cell r="Y179">
            <v>390000</v>
          </cell>
          <cell r="Z179">
            <v>41948.5</v>
          </cell>
        </row>
        <row r="180">
          <cell r="J180" t="str">
            <v>입고</v>
          </cell>
          <cell r="S180">
            <v>100</v>
          </cell>
          <cell r="T180">
            <v>1</v>
          </cell>
          <cell r="V180">
            <v>838970.00000000012</v>
          </cell>
          <cell r="W180">
            <v>2600000</v>
          </cell>
          <cell r="Y180">
            <v>2600000</v>
          </cell>
          <cell r="Z180">
            <v>134235.20000000001</v>
          </cell>
        </row>
        <row r="181">
          <cell r="J181" t="str">
            <v>입고</v>
          </cell>
          <cell r="S181">
            <v>627</v>
          </cell>
          <cell r="T181">
            <v>6</v>
          </cell>
          <cell r="V181">
            <v>6257790.0000000009</v>
          </cell>
          <cell r="W181">
            <v>23100000</v>
          </cell>
          <cell r="Y181">
            <v>22968000</v>
          </cell>
          <cell r="Z181">
            <v>2869643.7</v>
          </cell>
        </row>
        <row r="182">
          <cell r="J182" t="str">
            <v>입고</v>
          </cell>
          <cell r="S182">
            <v>559</v>
          </cell>
          <cell r="T182">
            <v>6</v>
          </cell>
          <cell r="V182">
            <v>5872790.0000000009</v>
          </cell>
          <cell r="W182">
            <v>20300000</v>
          </cell>
          <cell r="Y182">
            <v>19749000</v>
          </cell>
          <cell r="Z182">
            <v>1040322.8</v>
          </cell>
        </row>
        <row r="183">
          <cell r="J183" t="str">
            <v>입고</v>
          </cell>
          <cell r="S183">
            <v>140</v>
          </cell>
          <cell r="T183">
            <v>0</v>
          </cell>
          <cell r="V183">
            <v>1941940.0000000002</v>
          </cell>
          <cell r="W183">
            <v>6600000</v>
          </cell>
          <cell r="Y183">
            <v>6600000</v>
          </cell>
          <cell r="Z183">
            <v>135935.80000000002</v>
          </cell>
        </row>
        <row r="184">
          <cell r="J184" t="str">
            <v>입고</v>
          </cell>
          <cell r="S184">
            <v>174</v>
          </cell>
          <cell r="T184">
            <v>3</v>
          </cell>
          <cell r="V184">
            <v>2227940</v>
          </cell>
          <cell r="W184">
            <v>7800000</v>
          </cell>
          <cell r="Y184">
            <v>7800000</v>
          </cell>
          <cell r="Z184">
            <v>523565.9</v>
          </cell>
        </row>
        <row r="185">
          <cell r="J185" t="str">
            <v>입고</v>
          </cell>
          <cell r="S185">
            <v>70</v>
          </cell>
          <cell r="T185">
            <v>2</v>
          </cell>
          <cell r="V185">
            <v>847176</v>
          </cell>
          <cell r="W185">
            <v>2880000</v>
          </cell>
          <cell r="Y185">
            <v>2520000</v>
          </cell>
          <cell r="Z185">
            <v>455357.10000000003</v>
          </cell>
        </row>
        <row r="186">
          <cell r="J186" t="str">
            <v>입고</v>
          </cell>
          <cell r="S186">
            <v>152</v>
          </cell>
          <cell r="T186">
            <v>7</v>
          </cell>
          <cell r="V186">
            <v>1390455</v>
          </cell>
          <cell r="W186">
            <v>4350000</v>
          </cell>
          <cell r="Y186">
            <v>4408000</v>
          </cell>
          <cell r="Z186">
            <v>760115.4</v>
          </cell>
        </row>
        <row r="187">
          <cell r="J187" t="str">
            <v>입고</v>
          </cell>
          <cell r="S187">
            <v>464</v>
          </cell>
          <cell r="T187">
            <v>2</v>
          </cell>
          <cell r="V187">
            <v>4909850</v>
          </cell>
          <cell r="W187">
            <v>19500000</v>
          </cell>
          <cell r="Y187">
            <v>18798000</v>
          </cell>
          <cell r="Z187">
            <v>952510.9</v>
          </cell>
        </row>
        <row r="188">
          <cell r="J188" t="str">
            <v>입고</v>
          </cell>
          <cell r="S188">
            <v>315</v>
          </cell>
          <cell r="T188">
            <v>1</v>
          </cell>
          <cell r="V188">
            <v>3244395.0000000005</v>
          </cell>
          <cell r="W188">
            <v>11550000</v>
          </cell>
          <cell r="Y188">
            <v>10593000</v>
          </cell>
          <cell r="Z188">
            <v>917700.3</v>
          </cell>
        </row>
        <row r="189">
          <cell r="J189" t="str">
            <v>입고</v>
          </cell>
          <cell r="S189">
            <v>240</v>
          </cell>
          <cell r="T189">
            <v>8</v>
          </cell>
          <cell r="V189">
            <v>2317425</v>
          </cell>
          <cell r="W189">
            <v>7250000</v>
          </cell>
          <cell r="Y189">
            <v>6960000</v>
          </cell>
          <cell r="Z189">
            <v>1066015.5</v>
          </cell>
        </row>
        <row r="190">
          <cell r="J190" t="str">
            <v>입고</v>
          </cell>
          <cell r="S190">
            <v>439</v>
          </cell>
          <cell r="T190">
            <v>2</v>
          </cell>
          <cell r="V190">
            <v>63302250.000000007</v>
          </cell>
          <cell r="W190">
            <v>195000000</v>
          </cell>
          <cell r="Y190">
            <v>195000000</v>
          </cell>
          <cell r="Z190">
            <v>3544926.0000000005</v>
          </cell>
        </row>
        <row r="191">
          <cell r="J191" t="str">
            <v>입고</v>
          </cell>
          <cell r="S191">
            <v>538</v>
          </cell>
          <cell r="T191">
            <v>3</v>
          </cell>
          <cell r="V191">
            <v>78400740</v>
          </cell>
          <cell r="W191">
            <v>233400000</v>
          </cell>
          <cell r="Y191">
            <v>233400000</v>
          </cell>
          <cell r="Z191">
            <v>2482690.1</v>
          </cell>
        </row>
        <row r="192">
          <cell r="J192" t="str">
            <v>입고</v>
          </cell>
          <cell r="S192">
            <v>213</v>
          </cell>
          <cell r="T192">
            <v>2</v>
          </cell>
          <cell r="V192">
            <v>17527092</v>
          </cell>
          <cell r="W192">
            <v>54780000</v>
          </cell>
          <cell r="Y192">
            <v>55527000</v>
          </cell>
          <cell r="Z192">
            <v>5497133.4000000004</v>
          </cell>
        </row>
        <row r="193">
          <cell r="J193" t="str">
            <v>입고</v>
          </cell>
          <cell r="S193">
            <v>904</v>
          </cell>
          <cell r="T193">
            <v>12</v>
          </cell>
          <cell r="V193">
            <v>55972917.000000007</v>
          </cell>
          <cell r="W193">
            <v>174330000</v>
          </cell>
          <cell r="Y193">
            <v>156897000</v>
          </cell>
          <cell r="Z193">
            <v>10620502.200000001</v>
          </cell>
        </row>
        <row r="194">
          <cell r="J194" t="str">
            <v>입고</v>
          </cell>
          <cell r="S194">
            <v>1005</v>
          </cell>
          <cell r="T194">
            <v>14</v>
          </cell>
          <cell r="V194">
            <v>35702095</v>
          </cell>
          <cell r="W194">
            <v>102350000</v>
          </cell>
          <cell r="Y194">
            <v>95230000</v>
          </cell>
          <cell r="Z194">
            <v>12449165.300000001</v>
          </cell>
        </row>
        <row r="195">
          <cell r="J195" t="str">
            <v>입고</v>
          </cell>
          <cell r="S195">
            <v>1008</v>
          </cell>
          <cell r="T195">
            <v>22</v>
          </cell>
          <cell r="V195">
            <v>45189595</v>
          </cell>
          <cell r="W195">
            <v>171350000</v>
          </cell>
          <cell r="Y195">
            <v>174479000</v>
          </cell>
          <cell r="Z195">
            <v>11041979.300000001</v>
          </cell>
        </row>
        <row r="196">
          <cell r="J196" t="str">
            <v>입고</v>
          </cell>
          <cell r="S196">
            <v>448</v>
          </cell>
          <cell r="T196">
            <v>5</v>
          </cell>
          <cell r="V196">
            <v>30609480</v>
          </cell>
          <cell r="W196">
            <v>83400000</v>
          </cell>
          <cell r="Y196">
            <v>68805000</v>
          </cell>
          <cell r="Z196">
            <v>5203611.6000000006</v>
          </cell>
        </row>
        <row r="197">
          <cell r="J197" t="str">
            <v>입고</v>
          </cell>
          <cell r="S197">
            <v>414</v>
          </cell>
          <cell r="T197">
            <v>1</v>
          </cell>
          <cell r="V197">
            <v>18547650</v>
          </cell>
          <cell r="W197">
            <v>59500000</v>
          </cell>
          <cell r="Y197">
            <v>49504000</v>
          </cell>
          <cell r="Z197">
            <v>5156246.7</v>
          </cell>
        </row>
        <row r="198">
          <cell r="J198" t="str">
            <v>입고</v>
          </cell>
          <cell r="S198">
            <v>458</v>
          </cell>
          <cell r="T198">
            <v>5</v>
          </cell>
          <cell r="V198">
            <v>24105180</v>
          </cell>
          <cell r="W198">
            <v>59400000</v>
          </cell>
          <cell r="Y198">
            <v>56232000</v>
          </cell>
          <cell r="Z198">
            <v>1486486.1</v>
          </cell>
        </row>
        <row r="199">
          <cell r="J199" t="str">
            <v>입고</v>
          </cell>
          <cell r="S199">
            <v>711</v>
          </cell>
          <cell r="T199">
            <v>42</v>
          </cell>
          <cell r="V199">
            <v>75726200.000000015</v>
          </cell>
          <cell r="W199">
            <v>138000000</v>
          </cell>
          <cell r="Y199">
            <v>58995000</v>
          </cell>
          <cell r="Z199">
            <v>18212151.100000001</v>
          </cell>
        </row>
        <row r="200">
          <cell r="J200" t="str">
            <v>입고</v>
          </cell>
          <cell r="S200">
            <v>335</v>
          </cell>
          <cell r="T200">
            <v>0</v>
          </cell>
          <cell r="V200">
            <v>42290600.000000007</v>
          </cell>
          <cell r="W200">
            <v>158000000</v>
          </cell>
          <cell r="Y200">
            <v>33417000</v>
          </cell>
          <cell r="Z200">
            <v>803521.40000000014</v>
          </cell>
        </row>
        <row r="201">
          <cell r="J201" t="str">
            <v>입고</v>
          </cell>
          <cell r="S201">
            <v>737</v>
          </cell>
          <cell r="T201">
            <v>2</v>
          </cell>
          <cell r="V201">
            <v>34895300</v>
          </cell>
          <cell r="W201">
            <v>79000000</v>
          </cell>
          <cell r="Y201">
            <v>62173000</v>
          </cell>
          <cell r="Z201">
            <v>5338980.9000000004</v>
          </cell>
        </row>
        <row r="202">
          <cell r="J202" t="str">
            <v>입고</v>
          </cell>
          <cell r="S202">
            <v>130</v>
          </cell>
          <cell r="T202">
            <v>0</v>
          </cell>
          <cell r="V202">
            <v>16697560</v>
          </cell>
          <cell r="W202">
            <v>63800000</v>
          </cell>
          <cell r="Y202">
            <v>41470000</v>
          </cell>
          <cell r="Z202">
            <v>1836731.6</v>
          </cell>
        </row>
        <row r="203">
          <cell r="J203" t="str">
            <v>입고</v>
          </cell>
          <cell r="S203">
            <v>187</v>
          </cell>
          <cell r="T203">
            <v>2</v>
          </cell>
          <cell r="V203">
            <v>14417700.000000002</v>
          </cell>
          <cell r="W203">
            <v>77400000</v>
          </cell>
          <cell r="Y203">
            <v>28251000</v>
          </cell>
          <cell r="Z203">
            <v>552678.50000000012</v>
          </cell>
        </row>
        <row r="204">
          <cell r="J204" t="str">
            <v>입고</v>
          </cell>
          <cell r="S204">
            <v>350</v>
          </cell>
          <cell r="T204">
            <v>0</v>
          </cell>
          <cell r="V204">
            <v>18007110</v>
          </cell>
          <cell r="W204">
            <v>53550000</v>
          </cell>
          <cell r="Y204">
            <v>42721000</v>
          </cell>
          <cell r="Z204">
            <v>3121232.4000000004</v>
          </cell>
        </row>
        <row r="205">
          <cell r="J205" t="str">
            <v>입고</v>
          </cell>
          <cell r="S205">
            <v>87</v>
          </cell>
          <cell r="T205">
            <v>3</v>
          </cell>
          <cell r="V205">
            <v>17198775</v>
          </cell>
          <cell r="W205">
            <v>53550000</v>
          </cell>
          <cell r="Y205">
            <v>10472000</v>
          </cell>
          <cell r="Z205">
            <v>879048.5</v>
          </cell>
        </row>
        <row r="206">
          <cell r="J206" t="str">
            <v>입고</v>
          </cell>
          <cell r="S206">
            <v>304</v>
          </cell>
          <cell r="T206">
            <v>3</v>
          </cell>
          <cell r="V206">
            <v>18287775</v>
          </cell>
          <cell r="W206">
            <v>53550000</v>
          </cell>
          <cell r="Y206">
            <v>44863000</v>
          </cell>
          <cell r="Z206">
            <v>1015987.5</v>
          </cell>
        </row>
        <row r="207">
          <cell r="J207" t="str">
            <v>입고</v>
          </cell>
          <cell r="S207">
            <v>341</v>
          </cell>
          <cell r="T207">
            <v>3</v>
          </cell>
          <cell r="V207">
            <v>8871885.0000000019</v>
          </cell>
          <cell r="W207">
            <v>35550000</v>
          </cell>
          <cell r="Y207">
            <v>29941000</v>
          </cell>
          <cell r="Z207">
            <v>1281494.5000000002</v>
          </cell>
        </row>
        <row r="208">
          <cell r="J208" t="str">
            <v>입고</v>
          </cell>
          <cell r="S208">
            <v>307</v>
          </cell>
          <cell r="T208">
            <v>6</v>
          </cell>
          <cell r="V208">
            <v>14275800</v>
          </cell>
          <cell r="W208">
            <v>51600000</v>
          </cell>
          <cell r="Y208">
            <v>45021000</v>
          </cell>
          <cell r="Z208">
            <v>2034301.5</v>
          </cell>
        </row>
        <row r="209">
          <cell r="J209" t="str">
            <v>입고</v>
          </cell>
          <cell r="S209">
            <v>467</v>
          </cell>
          <cell r="T209">
            <v>2</v>
          </cell>
          <cell r="V209">
            <v>19482650</v>
          </cell>
          <cell r="W209">
            <v>54500000</v>
          </cell>
          <cell r="Y209">
            <v>52102000</v>
          </cell>
          <cell r="Z209">
            <v>6935823.4000000004</v>
          </cell>
        </row>
        <row r="210">
          <cell r="J210" t="str">
            <v>입고</v>
          </cell>
          <cell r="S210">
            <v>633</v>
          </cell>
          <cell r="T210">
            <v>6</v>
          </cell>
          <cell r="V210">
            <v>27506710.000000004</v>
          </cell>
          <cell r="W210">
            <v>83300000</v>
          </cell>
          <cell r="Y210">
            <v>77826000</v>
          </cell>
          <cell r="Z210">
            <v>8212717.7000000002</v>
          </cell>
        </row>
        <row r="211">
          <cell r="J211" t="str">
            <v>입고</v>
          </cell>
          <cell r="S211">
            <v>412</v>
          </cell>
          <cell r="T211">
            <v>3</v>
          </cell>
          <cell r="V211">
            <v>20637650</v>
          </cell>
          <cell r="W211">
            <v>64500000</v>
          </cell>
          <cell r="Y211">
            <v>57663000</v>
          </cell>
          <cell r="Z211">
            <v>4457732.4000000004</v>
          </cell>
        </row>
        <row r="212">
          <cell r="J212" t="str">
            <v>입고</v>
          </cell>
          <cell r="S212">
            <v>458</v>
          </cell>
          <cell r="T212">
            <v>5</v>
          </cell>
          <cell r="V212">
            <v>23841180</v>
          </cell>
          <cell r="W212">
            <v>77400000</v>
          </cell>
          <cell r="Y212">
            <v>68628000</v>
          </cell>
          <cell r="Z212">
            <v>3456971.1</v>
          </cell>
        </row>
        <row r="213">
          <cell r="J213" t="str">
            <v>입고</v>
          </cell>
          <cell r="S213">
            <v>148</v>
          </cell>
          <cell r="T213">
            <v>0</v>
          </cell>
          <cell r="V213">
            <v>19719823.200000003</v>
          </cell>
          <cell r="W213">
            <v>60480000</v>
          </cell>
          <cell r="Y213">
            <v>60480000</v>
          </cell>
          <cell r="Z213">
            <v>234759.80000000002</v>
          </cell>
        </row>
        <row r="214">
          <cell r="J214" t="str">
            <v>입고</v>
          </cell>
          <cell r="S214">
            <v>117</v>
          </cell>
          <cell r="T214">
            <v>0</v>
          </cell>
          <cell r="V214">
            <v>4125396.0000000005</v>
          </cell>
          <cell r="W214">
            <v>11880000</v>
          </cell>
          <cell r="Y214">
            <v>11880000</v>
          </cell>
          <cell r="Z214">
            <v>515674.50000000006</v>
          </cell>
        </row>
        <row r="215">
          <cell r="J215" t="str">
            <v>입고</v>
          </cell>
          <cell r="S215">
            <v>115</v>
          </cell>
          <cell r="T215">
            <v>1</v>
          </cell>
          <cell r="V215">
            <v>4126980</v>
          </cell>
          <cell r="W215">
            <v>13080000</v>
          </cell>
          <cell r="Y215">
            <v>13080000</v>
          </cell>
          <cell r="Z215">
            <v>687830</v>
          </cell>
        </row>
        <row r="216">
          <cell r="J216" t="str">
            <v>입고</v>
          </cell>
          <cell r="S216">
            <v>834</v>
          </cell>
          <cell r="T216">
            <v>12</v>
          </cell>
          <cell r="V216">
            <v>30522360.000000004</v>
          </cell>
          <cell r="W216">
            <v>103550000</v>
          </cell>
          <cell r="Y216">
            <v>102351000</v>
          </cell>
          <cell r="Z216">
            <v>4658676</v>
          </cell>
        </row>
        <row r="217">
          <cell r="J217" t="str">
            <v>입고</v>
          </cell>
          <cell r="S217">
            <v>551</v>
          </cell>
          <cell r="T217">
            <v>8</v>
          </cell>
          <cell r="V217">
            <v>24673220.000000004</v>
          </cell>
          <cell r="W217">
            <v>83850000</v>
          </cell>
          <cell r="Y217">
            <v>79722000</v>
          </cell>
          <cell r="Z217">
            <v>4061591.6</v>
          </cell>
        </row>
        <row r="218">
          <cell r="J218" t="str">
            <v>입고</v>
          </cell>
          <cell r="S218">
            <v>436</v>
          </cell>
          <cell r="T218">
            <v>9</v>
          </cell>
          <cell r="V218">
            <v>18272650</v>
          </cell>
          <cell r="W218">
            <v>54500000</v>
          </cell>
          <cell r="Y218">
            <v>49704000</v>
          </cell>
          <cell r="Z218">
            <v>7857239.5000000009</v>
          </cell>
        </row>
        <row r="219">
          <cell r="J219" t="str">
            <v>입고</v>
          </cell>
          <cell r="S219">
            <v>659</v>
          </cell>
          <cell r="T219">
            <v>29</v>
          </cell>
          <cell r="V219">
            <v>19239220.000000004</v>
          </cell>
          <cell r="W219">
            <v>57850000</v>
          </cell>
          <cell r="Y219">
            <v>57850000</v>
          </cell>
          <cell r="Z219">
            <v>16042549.600000001</v>
          </cell>
        </row>
        <row r="220">
          <cell r="J220" t="str">
            <v>입고</v>
          </cell>
          <cell r="S220">
            <v>625</v>
          </cell>
          <cell r="T220">
            <v>19</v>
          </cell>
          <cell r="V220">
            <v>16593720.000000002</v>
          </cell>
          <cell r="W220">
            <v>64350000</v>
          </cell>
          <cell r="Y220">
            <v>63360000</v>
          </cell>
          <cell r="Z220">
            <v>7377823.2000000011</v>
          </cell>
        </row>
        <row r="221">
          <cell r="J221" t="str">
            <v>입고</v>
          </cell>
          <cell r="S221">
            <v>547</v>
          </cell>
          <cell r="T221">
            <v>8</v>
          </cell>
          <cell r="V221">
            <v>13744445.000000002</v>
          </cell>
          <cell r="W221">
            <v>38350000</v>
          </cell>
          <cell r="Y221">
            <v>34456000</v>
          </cell>
          <cell r="Z221">
            <v>2410564.2000000002</v>
          </cell>
        </row>
        <row r="222">
          <cell r="J222" t="str">
            <v>입고</v>
          </cell>
          <cell r="S222">
            <v>440</v>
          </cell>
          <cell r="T222">
            <v>8</v>
          </cell>
          <cell r="V222">
            <v>13872650.000000002</v>
          </cell>
          <cell r="W222">
            <v>39500000</v>
          </cell>
          <cell r="Y222">
            <v>36656000</v>
          </cell>
          <cell r="Z222">
            <v>3662379.6000000006</v>
          </cell>
        </row>
        <row r="223">
          <cell r="J223" t="str">
            <v>입고</v>
          </cell>
          <cell r="S223">
            <v>452</v>
          </cell>
          <cell r="T223">
            <v>3</v>
          </cell>
          <cell r="V223">
            <v>20531280</v>
          </cell>
          <cell r="W223">
            <v>71400000</v>
          </cell>
          <cell r="Y223">
            <v>65926000</v>
          </cell>
          <cell r="Z223">
            <v>1300314.4000000001</v>
          </cell>
        </row>
        <row r="224">
          <cell r="J224" t="str">
            <v>입고</v>
          </cell>
          <cell r="S224">
            <v>431</v>
          </cell>
          <cell r="T224">
            <v>13</v>
          </cell>
          <cell r="V224">
            <v>15522650.000000002</v>
          </cell>
          <cell r="W224">
            <v>44500000</v>
          </cell>
          <cell r="Y224">
            <v>41741000</v>
          </cell>
          <cell r="Z224">
            <v>3259756.5000000005</v>
          </cell>
        </row>
        <row r="225">
          <cell r="J225" t="str">
            <v>입고</v>
          </cell>
          <cell r="S225">
            <v>437</v>
          </cell>
          <cell r="T225">
            <v>6</v>
          </cell>
          <cell r="V225">
            <v>14414400.000000002</v>
          </cell>
          <cell r="W225">
            <v>49500000</v>
          </cell>
          <cell r="Y225">
            <v>49500000</v>
          </cell>
          <cell r="Z225">
            <v>2825222.4000000004</v>
          </cell>
        </row>
        <row r="226">
          <cell r="J226" t="str">
            <v>입고</v>
          </cell>
          <cell r="S226">
            <v>413</v>
          </cell>
          <cell r="T226">
            <v>4</v>
          </cell>
          <cell r="V226">
            <v>13204400.000000002</v>
          </cell>
          <cell r="W226">
            <v>44500000</v>
          </cell>
          <cell r="Y226">
            <v>43165000</v>
          </cell>
          <cell r="Z226">
            <v>1056352</v>
          </cell>
        </row>
        <row r="227">
          <cell r="J227" t="str">
            <v>입고</v>
          </cell>
          <cell r="S227">
            <v>422</v>
          </cell>
          <cell r="T227">
            <v>0</v>
          </cell>
          <cell r="V227">
            <v>11664400.000000002</v>
          </cell>
          <cell r="W227">
            <v>38000000</v>
          </cell>
          <cell r="Y227">
            <v>38000000</v>
          </cell>
          <cell r="Z227">
            <v>349932.00000000006</v>
          </cell>
        </row>
        <row r="228">
          <cell r="J228" t="str">
            <v>입고</v>
          </cell>
          <cell r="S228">
            <v>411</v>
          </cell>
          <cell r="T228">
            <v>5</v>
          </cell>
          <cell r="V228">
            <v>21881475.000000004</v>
          </cell>
          <cell r="W228">
            <v>62250000</v>
          </cell>
          <cell r="Y228">
            <v>40670000</v>
          </cell>
          <cell r="Z228">
            <v>1400414.4000000001</v>
          </cell>
        </row>
        <row r="229">
          <cell r="J229" t="str">
            <v>입고</v>
          </cell>
          <cell r="S229">
            <v>113</v>
          </cell>
          <cell r="T229">
            <v>1</v>
          </cell>
          <cell r="V229">
            <v>5844795</v>
          </cell>
          <cell r="W229">
            <v>20850000</v>
          </cell>
          <cell r="Y229">
            <v>19321000</v>
          </cell>
          <cell r="Z229">
            <v>467583.60000000003</v>
          </cell>
        </row>
        <row r="230">
          <cell r="J230" t="str">
            <v>입고</v>
          </cell>
          <cell r="S230">
            <v>118</v>
          </cell>
          <cell r="T230">
            <v>1</v>
          </cell>
          <cell r="V230">
            <v>3749295.0000000005</v>
          </cell>
          <cell r="W230">
            <v>14850000</v>
          </cell>
          <cell r="Y230">
            <v>14157000</v>
          </cell>
          <cell r="Z230">
            <v>149971.80000000002</v>
          </cell>
        </row>
        <row r="231">
          <cell r="J231" t="str">
            <v>입고</v>
          </cell>
          <cell r="S231">
            <v>372</v>
          </cell>
          <cell r="T231">
            <v>9</v>
          </cell>
          <cell r="V231">
            <v>8502120.0000000019</v>
          </cell>
          <cell r="W231">
            <v>31600000</v>
          </cell>
          <cell r="Y231">
            <v>30415000</v>
          </cell>
          <cell r="Z231">
            <v>2210551.2000000002</v>
          </cell>
        </row>
        <row r="232">
          <cell r="J232" t="str">
            <v>입고</v>
          </cell>
          <cell r="S232">
            <v>346</v>
          </cell>
          <cell r="T232">
            <v>9</v>
          </cell>
          <cell r="V232">
            <v>9206120.0000000019</v>
          </cell>
          <cell r="W232">
            <v>35600000</v>
          </cell>
          <cell r="Y232">
            <v>33197000</v>
          </cell>
          <cell r="Z232">
            <v>1219810.9000000001</v>
          </cell>
        </row>
        <row r="233">
          <cell r="J233" t="str">
            <v>입고</v>
          </cell>
          <cell r="S233">
            <v>1069</v>
          </cell>
          <cell r="T233">
            <v>11</v>
          </cell>
          <cell r="V233">
            <v>33187440.000000004</v>
          </cell>
          <cell r="W233">
            <v>89700000</v>
          </cell>
          <cell r="Y233">
            <v>84525000</v>
          </cell>
          <cell r="Z233">
            <v>3471916.8000000003</v>
          </cell>
        </row>
        <row r="234">
          <cell r="J234" t="str">
            <v>입고</v>
          </cell>
          <cell r="S234">
            <v>345</v>
          </cell>
          <cell r="T234">
            <v>2</v>
          </cell>
          <cell r="V234">
            <v>25344184.800000001</v>
          </cell>
          <cell r="W234">
            <v>53856000</v>
          </cell>
          <cell r="Y234">
            <v>53856000</v>
          </cell>
          <cell r="Z234">
            <v>1863543.0000000002</v>
          </cell>
        </row>
        <row r="235">
          <cell r="J235" t="str">
            <v>입고</v>
          </cell>
          <cell r="S235">
            <v>749</v>
          </cell>
          <cell r="T235">
            <v>7</v>
          </cell>
          <cell r="V235">
            <v>54637110</v>
          </cell>
          <cell r="W235">
            <v>116100000</v>
          </cell>
          <cell r="Y235">
            <v>116100000</v>
          </cell>
          <cell r="Z235">
            <v>7588487.5</v>
          </cell>
        </row>
        <row r="236">
          <cell r="J236" t="str">
            <v>입고</v>
          </cell>
          <cell r="S236">
            <v>376</v>
          </cell>
          <cell r="T236">
            <v>5</v>
          </cell>
          <cell r="V236">
            <v>23311833.600000001</v>
          </cell>
          <cell r="W236">
            <v>49536000</v>
          </cell>
          <cell r="Y236">
            <v>49536000</v>
          </cell>
          <cell r="Z236">
            <v>6799284.7999999998</v>
          </cell>
        </row>
        <row r="237">
          <cell r="J237" t="str">
            <v>입고</v>
          </cell>
          <cell r="S237">
            <v>175</v>
          </cell>
          <cell r="T237">
            <v>0</v>
          </cell>
          <cell r="V237">
            <v>6500278.4000000013</v>
          </cell>
          <cell r="W237">
            <v>13800000</v>
          </cell>
          <cell r="Y237">
            <v>13800000</v>
          </cell>
          <cell r="Z237">
            <v>600569.20000000007</v>
          </cell>
        </row>
        <row r="238">
          <cell r="J238" t="str">
            <v>입고</v>
          </cell>
          <cell r="S238">
            <v>355</v>
          </cell>
          <cell r="T238">
            <v>4</v>
          </cell>
          <cell r="V238">
            <v>13926950.400000002</v>
          </cell>
          <cell r="W238">
            <v>29568000</v>
          </cell>
          <cell r="Y238">
            <v>29568000</v>
          </cell>
          <cell r="Z238">
            <v>1486992.1000000003</v>
          </cell>
        </row>
        <row r="239">
          <cell r="J239" t="str">
            <v>입고</v>
          </cell>
          <cell r="S239">
            <v>237</v>
          </cell>
          <cell r="T239">
            <v>4</v>
          </cell>
          <cell r="V239">
            <v>7820835.0000000009</v>
          </cell>
          <cell r="W239">
            <v>25080000</v>
          </cell>
          <cell r="Y239">
            <v>21888000</v>
          </cell>
          <cell r="Z239">
            <v>1493068.5000000002</v>
          </cell>
        </row>
        <row r="240">
          <cell r="J240" t="str">
            <v>입고</v>
          </cell>
          <cell r="S240">
            <v>316</v>
          </cell>
          <cell r="T240">
            <v>3</v>
          </cell>
          <cell r="V240">
            <v>7326880</v>
          </cell>
          <cell r="W240">
            <v>31600000</v>
          </cell>
          <cell r="Y240">
            <v>31758000</v>
          </cell>
          <cell r="Z240">
            <v>293075.20000000001</v>
          </cell>
        </row>
        <row r="241">
          <cell r="J241" t="str">
            <v>입고</v>
          </cell>
          <cell r="S241">
            <v>159</v>
          </cell>
          <cell r="T241">
            <v>0</v>
          </cell>
          <cell r="V241">
            <v>3289440</v>
          </cell>
          <cell r="W241">
            <v>15800000</v>
          </cell>
          <cell r="Y241">
            <v>14615000</v>
          </cell>
          <cell r="Z241">
            <v>345391.2</v>
          </cell>
        </row>
        <row r="242">
          <cell r="J242" t="str">
            <v>입고</v>
          </cell>
          <cell r="S242">
            <v>126</v>
          </cell>
          <cell r="T242">
            <v>4</v>
          </cell>
          <cell r="V242">
            <v>3732795.0000000005</v>
          </cell>
          <cell r="W242">
            <v>11850000</v>
          </cell>
          <cell r="Y242">
            <v>11613000</v>
          </cell>
          <cell r="Z242">
            <v>398164.80000000005</v>
          </cell>
        </row>
        <row r="243">
          <cell r="J243" t="str">
            <v>입고</v>
          </cell>
          <cell r="S243">
            <v>149</v>
          </cell>
          <cell r="T243">
            <v>4</v>
          </cell>
          <cell r="V243">
            <v>4493060.0000000009</v>
          </cell>
          <cell r="W243">
            <v>11800000</v>
          </cell>
          <cell r="Y243">
            <v>11800000</v>
          </cell>
          <cell r="Z243">
            <v>359444.80000000005</v>
          </cell>
        </row>
        <row r="244">
          <cell r="J244" t="str">
            <v>입고</v>
          </cell>
          <cell r="S244">
            <v>956</v>
          </cell>
          <cell r="T244">
            <v>9</v>
          </cell>
          <cell r="V244">
            <v>14797200</v>
          </cell>
          <cell r="W244">
            <v>49000000</v>
          </cell>
          <cell r="Y244">
            <v>49343000</v>
          </cell>
          <cell r="Z244">
            <v>4631523.6000000006</v>
          </cell>
        </row>
        <row r="245">
          <cell r="J245" t="str">
            <v>입고</v>
          </cell>
          <cell r="S245">
            <v>254</v>
          </cell>
          <cell r="T245">
            <v>11</v>
          </cell>
          <cell r="V245">
            <v>5918880</v>
          </cell>
          <cell r="W245">
            <v>19600000</v>
          </cell>
          <cell r="Y245">
            <v>9555000</v>
          </cell>
          <cell r="Z245">
            <v>636279.6</v>
          </cell>
        </row>
        <row r="246">
          <cell r="J246" t="str">
            <v>입고</v>
          </cell>
          <cell r="S246">
            <v>1090</v>
          </cell>
          <cell r="T246">
            <v>8</v>
          </cell>
          <cell r="V246">
            <v>20160140</v>
          </cell>
          <cell r="W246">
            <v>76700000</v>
          </cell>
          <cell r="Y246">
            <v>69561000</v>
          </cell>
          <cell r="Z246">
            <v>3783903.2</v>
          </cell>
        </row>
        <row r="247">
          <cell r="J247" t="str">
            <v>입고</v>
          </cell>
          <cell r="S247">
            <v>543</v>
          </cell>
          <cell r="T247">
            <v>6</v>
          </cell>
          <cell r="V247">
            <v>9868320</v>
          </cell>
          <cell r="W247">
            <v>35400000</v>
          </cell>
          <cell r="Y247">
            <v>35813000</v>
          </cell>
          <cell r="Z247">
            <v>2713788</v>
          </cell>
        </row>
        <row r="248">
          <cell r="J248" t="str">
            <v>입고</v>
          </cell>
          <cell r="S248">
            <v>513</v>
          </cell>
          <cell r="T248">
            <v>3</v>
          </cell>
          <cell r="V248">
            <v>8806380</v>
          </cell>
          <cell r="W248">
            <v>37800000</v>
          </cell>
          <cell r="Y248">
            <v>37800000</v>
          </cell>
          <cell r="Z248">
            <v>1467730</v>
          </cell>
        </row>
        <row r="249">
          <cell r="J249" t="str">
            <v>입고</v>
          </cell>
          <cell r="S249">
            <v>661</v>
          </cell>
          <cell r="T249">
            <v>14</v>
          </cell>
          <cell r="V249">
            <v>14150400</v>
          </cell>
          <cell r="W249">
            <v>47250000</v>
          </cell>
          <cell r="Y249">
            <v>48006000</v>
          </cell>
          <cell r="Z249">
            <v>2603673.6000000001</v>
          </cell>
        </row>
        <row r="250">
          <cell r="J250" t="str">
            <v>입고</v>
          </cell>
          <cell r="S250">
            <v>505</v>
          </cell>
          <cell r="T250">
            <v>8</v>
          </cell>
          <cell r="V250">
            <v>8746320</v>
          </cell>
          <cell r="W250">
            <v>41400000</v>
          </cell>
          <cell r="Y250">
            <v>40227000</v>
          </cell>
          <cell r="Z250">
            <v>2346929.2000000002</v>
          </cell>
        </row>
        <row r="251">
          <cell r="J251" t="str">
            <v>입고</v>
          </cell>
          <cell r="S251">
            <v>215</v>
          </cell>
          <cell r="T251">
            <v>7</v>
          </cell>
          <cell r="V251">
            <v>2764300</v>
          </cell>
          <cell r="W251">
            <v>11500000</v>
          </cell>
          <cell r="Y251">
            <v>11178000</v>
          </cell>
          <cell r="Z251">
            <v>364887.60000000003</v>
          </cell>
        </row>
        <row r="252">
          <cell r="J252" t="str">
            <v>입고</v>
          </cell>
          <cell r="S252">
            <v>376</v>
          </cell>
          <cell r="T252">
            <v>3</v>
          </cell>
          <cell r="V252">
            <v>9472320</v>
          </cell>
          <cell r="W252">
            <v>41400000</v>
          </cell>
          <cell r="Y252">
            <v>26772000</v>
          </cell>
          <cell r="Z252">
            <v>1184040</v>
          </cell>
        </row>
        <row r="253">
          <cell r="J253" t="str">
            <v>입고</v>
          </cell>
          <cell r="S253">
            <v>469</v>
          </cell>
          <cell r="T253">
            <v>9</v>
          </cell>
          <cell r="V253">
            <v>8116020.0000000009</v>
          </cell>
          <cell r="W253">
            <v>26100000</v>
          </cell>
          <cell r="Y253">
            <v>14123000</v>
          </cell>
          <cell r="Z253">
            <v>1451865.8000000003</v>
          </cell>
        </row>
        <row r="254">
          <cell r="J254" t="str">
            <v>입고</v>
          </cell>
          <cell r="S254">
            <v>832</v>
          </cell>
          <cell r="T254">
            <v>1</v>
          </cell>
          <cell r="V254">
            <v>13416480</v>
          </cell>
          <cell r="W254">
            <v>56700000</v>
          </cell>
          <cell r="Y254">
            <v>54936000</v>
          </cell>
          <cell r="Z254">
            <v>1132947.2</v>
          </cell>
        </row>
        <row r="255">
          <cell r="J255" t="str">
            <v>입고</v>
          </cell>
          <cell r="S255">
            <v>877</v>
          </cell>
          <cell r="T255">
            <v>2</v>
          </cell>
          <cell r="V255">
            <v>20146500</v>
          </cell>
          <cell r="W255">
            <v>73750000</v>
          </cell>
          <cell r="Y255">
            <v>67024000</v>
          </cell>
          <cell r="Z255">
            <v>676922.4</v>
          </cell>
        </row>
        <row r="256">
          <cell r="J256" t="str">
            <v>입고</v>
          </cell>
          <cell r="S256">
            <v>373</v>
          </cell>
          <cell r="T256">
            <v>2</v>
          </cell>
          <cell r="V256">
            <v>14802480</v>
          </cell>
          <cell r="W256">
            <v>53100000</v>
          </cell>
          <cell r="Y256">
            <v>22479000</v>
          </cell>
          <cell r="Z256">
            <v>773018.4</v>
          </cell>
        </row>
        <row r="257">
          <cell r="J257" t="str">
            <v>입고</v>
          </cell>
          <cell r="S257">
            <v>520</v>
          </cell>
          <cell r="T257">
            <v>14</v>
          </cell>
          <cell r="V257">
            <v>16460840</v>
          </cell>
          <cell r="W257">
            <v>59850000</v>
          </cell>
          <cell r="Y257">
            <v>39564000</v>
          </cell>
          <cell r="Z257">
            <v>1455484.8</v>
          </cell>
        </row>
        <row r="258">
          <cell r="J258" t="str">
            <v>입고</v>
          </cell>
          <cell r="S258">
            <v>832</v>
          </cell>
          <cell r="T258">
            <v>7</v>
          </cell>
          <cell r="V258">
            <v>17616060</v>
          </cell>
          <cell r="W258">
            <v>66150000</v>
          </cell>
          <cell r="Y258">
            <v>63945000</v>
          </cell>
          <cell r="Z258">
            <v>1375730.4000000001</v>
          </cell>
        </row>
        <row r="259">
          <cell r="J259" t="str">
            <v>입고</v>
          </cell>
          <cell r="S259">
            <v>436</v>
          </cell>
          <cell r="T259">
            <v>7</v>
          </cell>
          <cell r="V259">
            <v>9076320</v>
          </cell>
          <cell r="W259">
            <v>31800000</v>
          </cell>
          <cell r="Y259">
            <v>27931000</v>
          </cell>
          <cell r="Z259">
            <v>710978.4</v>
          </cell>
        </row>
        <row r="260">
          <cell r="J260" t="str">
            <v>입고</v>
          </cell>
          <cell r="S260">
            <v>601</v>
          </cell>
          <cell r="T260">
            <v>3</v>
          </cell>
          <cell r="V260">
            <v>14810400</v>
          </cell>
          <cell r="W260">
            <v>47250000</v>
          </cell>
          <cell r="Y260">
            <v>41265000</v>
          </cell>
          <cell r="Z260">
            <v>1283568</v>
          </cell>
        </row>
        <row r="261">
          <cell r="J261" t="str">
            <v>입고</v>
          </cell>
          <cell r="S261">
            <v>514</v>
          </cell>
          <cell r="T261">
            <v>2</v>
          </cell>
          <cell r="V261">
            <v>15882900</v>
          </cell>
          <cell r="W261">
            <v>54750000</v>
          </cell>
          <cell r="Y261">
            <v>50881000</v>
          </cell>
          <cell r="Z261">
            <v>317658</v>
          </cell>
        </row>
        <row r="262">
          <cell r="J262" t="str">
            <v>입고</v>
          </cell>
          <cell r="S262">
            <v>441</v>
          </cell>
          <cell r="T262">
            <v>2</v>
          </cell>
          <cell r="V262">
            <v>12582900</v>
          </cell>
          <cell r="W262">
            <v>47250000</v>
          </cell>
          <cell r="Y262">
            <v>33768000</v>
          </cell>
          <cell r="Z262">
            <v>486538.80000000005</v>
          </cell>
        </row>
        <row r="263">
          <cell r="J263" t="str">
            <v>입고</v>
          </cell>
          <cell r="S263">
            <v>392</v>
          </cell>
          <cell r="T263">
            <v>4</v>
          </cell>
          <cell r="V263">
            <v>8319960</v>
          </cell>
          <cell r="W263">
            <v>25300000</v>
          </cell>
          <cell r="Y263">
            <v>21436000</v>
          </cell>
          <cell r="Z263">
            <v>468943.2</v>
          </cell>
        </row>
        <row r="264">
          <cell r="J264" t="str">
            <v>입고</v>
          </cell>
          <cell r="S264">
            <v>990</v>
          </cell>
          <cell r="T264">
            <v>46</v>
          </cell>
          <cell r="V264">
            <v>11277200</v>
          </cell>
          <cell r="W264">
            <v>39000000</v>
          </cell>
          <cell r="Y264">
            <v>38883000</v>
          </cell>
          <cell r="Z264">
            <v>5717540.4000000004</v>
          </cell>
        </row>
        <row r="265">
          <cell r="J265" t="str">
            <v>입고</v>
          </cell>
          <cell r="S265">
            <v>644</v>
          </cell>
          <cell r="T265">
            <v>8</v>
          </cell>
          <cell r="V265">
            <v>14802480</v>
          </cell>
          <cell r="W265">
            <v>56700000</v>
          </cell>
          <cell r="Y265">
            <v>53865000</v>
          </cell>
          <cell r="Z265">
            <v>855254.4</v>
          </cell>
        </row>
        <row r="266">
          <cell r="J266" t="str">
            <v>입고</v>
          </cell>
          <cell r="S266">
            <v>2376</v>
          </cell>
          <cell r="T266">
            <v>20</v>
          </cell>
          <cell r="V266">
            <v>32949840.000000004</v>
          </cell>
          <cell r="W266">
            <v>109200000</v>
          </cell>
          <cell r="Y266">
            <v>100464000</v>
          </cell>
          <cell r="Z266">
            <v>6766485.0000000009</v>
          </cell>
        </row>
        <row r="267">
          <cell r="J267" t="str">
            <v>입고</v>
          </cell>
          <cell r="S267">
            <v>149</v>
          </cell>
          <cell r="T267">
            <v>0</v>
          </cell>
          <cell r="V267">
            <v>4252545</v>
          </cell>
          <cell r="W267">
            <v>13350000</v>
          </cell>
          <cell r="Y267">
            <v>13350000</v>
          </cell>
          <cell r="Z267">
            <v>453604.80000000005</v>
          </cell>
        </row>
        <row r="268">
          <cell r="J268" t="str">
            <v>입고</v>
          </cell>
          <cell r="S268">
            <v>276</v>
          </cell>
          <cell r="T268">
            <v>3</v>
          </cell>
          <cell r="V268">
            <v>6671280.0000000009</v>
          </cell>
          <cell r="W268">
            <v>21600000</v>
          </cell>
          <cell r="Y268">
            <v>21600000</v>
          </cell>
          <cell r="Z268">
            <v>778316.00000000012</v>
          </cell>
        </row>
        <row r="269">
          <cell r="J269" t="str">
            <v>입고</v>
          </cell>
          <cell r="S269">
            <v>120</v>
          </cell>
          <cell r="T269">
            <v>1</v>
          </cell>
          <cell r="V269">
            <v>3814965.0000000005</v>
          </cell>
          <cell r="W269">
            <v>11850000</v>
          </cell>
          <cell r="Y269">
            <v>23937000</v>
          </cell>
          <cell r="Z269">
            <v>127165.50000000001</v>
          </cell>
        </row>
        <row r="270">
          <cell r="J270" t="str">
            <v>0</v>
          </cell>
          <cell r="S270">
            <v>0</v>
          </cell>
          <cell r="T270">
            <v>0</v>
          </cell>
          <cell r="V270">
            <v>0</v>
          </cell>
          <cell r="W270">
            <v>0</v>
          </cell>
          <cell r="Y270">
            <v>17800000</v>
          </cell>
          <cell r="Z270">
            <v>0</v>
          </cell>
        </row>
        <row r="271">
          <cell r="J271" t="str">
            <v>0</v>
          </cell>
          <cell r="S271">
            <v>0</v>
          </cell>
          <cell r="T271">
            <v>0</v>
          </cell>
          <cell r="V271">
            <v>0</v>
          </cell>
          <cell r="W271">
            <v>0</v>
          </cell>
          <cell r="Y271">
            <v>19040000</v>
          </cell>
          <cell r="Z271">
            <v>0</v>
          </cell>
        </row>
        <row r="272">
          <cell r="J272" t="str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Y272">
            <v>11880000</v>
          </cell>
          <cell r="Z272">
            <v>0</v>
          </cell>
        </row>
        <row r="273">
          <cell r="J273" t="str">
            <v>0</v>
          </cell>
          <cell r="S273">
            <v>0</v>
          </cell>
          <cell r="T273">
            <v>0</v>
          </cell>
          <cell r="V273">
            <v>0</v>
          </cell>
          <cell r="W273">
            <v>0</v>
          </cell>
          <cell r="Y273">
            <v>14280000</v>
          </cell>
          <cell r="Z273">
            <v>0</v>
          </cell>
        </row>
        <row r="274">
          <cell r="J274" t="str">
            <v>0</v>
          </cell>
          <cell r="S274">
            <v>0</v>
          </cell>
          <cell r="T274">
            <v>0</v>
          </cell>
          <cell r="V274">
            <v>0</v>
          </cell>
          <cell r="W274">
            <v>0</v>
          </cell>
          <cell r="Y274">
            <v>17820000</v>
          </cell>
          <cell r="Z274">
            <v>0</v>
          </cell>
        </row>
        <row r="275">
          <cell r="J275" t="str">
            <v>0</v>
          </cell>
          <cell r="S275">
            <v>0</v>
          </cell>
          <cell r="T275">
            <v>0</v>
          </cell>
          <cell r="V275">
            <v>0</v>
          </cell>
          <cell r="W275">
            <v>0</v>
          </cell>
          <cell r="Y275">
            <v>3270000</v>
          </cell>
          <cell r="Z275">
            <v>0</v>
          </cell>
        </row>
        <row r="276">
          <cell r="J276" t="str">
            <v>0</v>
          </cell>
          <cell r="S276">
            <v>0</v>
          </cell>
          <cell r="T276">
            <v>0</v>
          </cell>
          <cell r="V276">
            <v>0</v>
          </cell>
          <cell r="W276">
            <v>0</v>
          </cell>
          <cell r="Y276">
            <v>4740000</v>
          </cell>
          <cell r="Z276">
            <v>0</v>
          </cell>
        </row>
        <row r="277">
          <cell r="J277" t="str">
            <v>0</v>
          </cell>
          <cell r="S277">
            <v>0</v>
          </cell>
          <cell r="T277">
            <v>0</v>
          </cell>
          <cell r="V277">
            <v>0</v>
          </cell>
          <cell r="W277">
            <v>0</v>
          </cell>
          <cell r="Y277">
            <v>33957000</v>
          </cell>
          <cell r="Z277">
            <v>0</v>
          </cell>
        </row>
        <row r="278">
          <cell r="J278" t="str">
            <v>0</v>
          </cell>
          <cell r="S278">
            <v>0</v>
          </cell>
          <cell r="T278">
            <v>0</v>
          </cell>
          <cell r="V278">
            <v>0</v>
          </cell>
          <cell r="W278">
            <v>0</v>
          </cell>
          <cell r="Y278">
            <v>37060000</v>
          </cell>
          <cell r="Z278">
            <v>0</v>
          </cell>
        </row>
        <row r="279">
          <cell r="J279" t="str">
            <v>0</v>
          </cell>
          <cell r="S279">
            <v>0</v>
          </cell>
          <cell r="T279">
            <v>0</v>
          </cell>
          <cell r="V279">
            <v>0</v>
          </cell>
          <cell r="W279">
            <v>0</v>
          </cell>
          <cell r="Y279">
            <v>47731000</v>
          </cell>
          <cell r="Z279">
            <v>0</v>
          </cell>
        </row>
        <row r="280">
          <cell r="J280" t="str">
            <v>0</v>
          </cell>
          <cell r="S280">
            <v>0</v>
          </cell>
          <cell r="T280">
            <v>0</v>
          </cell>
          <cell r="V280">
            <v>0</v>
          </cell>
          <cell r="W280">
            <v>0</v>
          </cell>
          <cell r="Y280">
            <v>45927000</v>
          </cell>
          <cell r="Z280">
            <v>0</v>
          </cell>
        </row>
        <row r="281">
          <cell r="J281" t="str">
            <v>0</v>
          </cell>
          <cell r="S281">
            <v>0</v>
          </cell>
          <cell r="T281">
            <v>0</v>
          </cell>
          <cell r="V281">
            <v>0</v>
          </cell>
          <cell r="W281">
            <v>0</v>
          </cell>
          <cell r="Y281">
            <v>10388000</v>
          </cell>
          <cell r="Z281">
            <v>0</v>
          </cell>
        </row>
        <row r="282">
          <cell r="J282" t="str">
            <v>0</v>
          </cell>
          <cell r="S282">
            <v>0</v>
          </cell>
          <cell r="T282">
            <v>0</v>
          </cell>
          <cell r="V282">
            <v>0</v>
          </cell>
          <cell r="W282">
            <v>0</v>
          </cell>
          <cell r="Y282">
            <v>12921000</v>
          </cell>
          <cell r="Z282">
            <v>0</v>
          </cell>
        </row>
        <row r="283">
          <cell r="J283" t="str">
            <v>0</v>
          </cell>
          <cell r="S283">
            <v>0</v>
          </cell>
          <cell r="T283">
            <v>0</v>
          </cell>
          <cell r="V283">
            <v>0</v>
          </cell>
          <cell r="W283">
            <v>0</v>
          </cell>
          <cell r="Y283">
            <v>22869000</v>
          </cell>
          <cell r="Z283">
            <v>0</v>
          </cell>
        </row>
        <row r="284">
          <cell r="J284" t="str">
            <v>0</v>
          </cell>
          <cell r="S284">
            <v>0</v>
          </cell>
          <cell r="T284">
            <v>0</v>
          </cell>
          <cell r="V284">
            <v>0</v>
          </cell>
          <cell r="W284">
            <v>0</v>
          </cell>
          <cell r="Y284">
            <v>10282000</v>
          </cell>
          <cell r="Z284">
            <v>0</v>
          </cell>
        </row>
        <row r="285">
          <cell r="J285" t="str">
            <v>0</v>
          </cell>
          <cell r="S285">
            <v>0</v>
          </cell>
          <cell r="T285">
            <v>0</v>
          </cell>
          <cell r="V285">
            <v>0</v>
          </cell>
          <cell r="W285">
            <v>0</v>
          </cell>
          <cell r="Y285">
            <v>23751000</v>
          </cell>
          <cell r="Z285">
            <v>0</v>
          </cell>
        </row>
        <row r="286">
          <cell r="J286" t="str">
            <v>0</v>
          </cell>
          <cell r="S286">
            <v>0</v>
          </cell>
          <cell r="T286">
            <v>0</v>
          </cell>
          <cell r="V286">
            <v>0</v>
          </cell>
          <cell r="W286">
            <v>0</v>
          </cell>
          <cell r="Y286">
            <v>23373000</v>
          </cell>
          <cell r="Z286">
            <v>0</v>
          </cell>
        </row>
        <row r="287">
          <cell r="J287" t="str">
            <v>0</v>
          </cell>
          <cell r="S287">
            <v>0</v>
          </cell>
          <cell r="T287">
            <v>0</v>
          </cell>
          <cell r="V287">
            <v>0</v>
          </cell>
          <cell r="W287">
            <v>0</v>
          </cell>
          <cell r="Y287">
            <v>31211000</v>
          </cell>
          <cell r="Z287">
            <v>0</v>
          </cell>
        </row>
        <row r="288">
          <cell r="J288" t="str">
            <v>0</v>
          </cell>
          <cell r="S288">
            <v>0</v>
          </cell>
          <cell r="T288">
            <v>0</v>
          </cell>
          <cell r="V288">
            <v>0</v>
          </cell>
          <cell r="W288">
            <v>0</v>
          </cell>
          <cell r="Y288">
            <v>16942000</v>
          </cell>
          <cell r="Z288">
            <v>0</v>
          </cell>
        </row>
        <row r="289">
          <cell r="J289" t="str">
            <v>0</v>
          </cell>
          <cell r="S289">
            <v>0</v>
          </cell>
          <cell r="T289">
            <v>0</v>
          </cell>
          <cell r="V289">
            <v>0</v>
          </cell>
          <cell r="W289">
            <v>0</v>
          </cell>
          <cell r="Y289">
            <v>41262000</v>
          </cell>
          <cell r="Z289">
            <v>0</v>
          </cell>
        </row>
        <row r="290">
          <cell r="J290" t="str">
            <v>0</v>
          </cell>
          <cell r="S290">
            <v>0</v>
          </cell>
          <cell r="T290">
            <v>0</v>
          </cell>
          <cell r="V290">
            <v>0</v>
          </cell>
          <cell r="W290">
            <v>0</v>
          </cell>
          <cell r="Y290">
            <v>22515000</v>
          </cell>
          <cell r="Z290">
            <v>0</v>
          </cell>
        </row>
        <row r="291">
          <cell r="J291" t="str">
            <v>0</v>
          </cell>
          <cell r="S291">
            <v>0</v>
          </cell>
          <cell r="T291">
            <v>0</v>
          </cell>
          <cell r="V291">
            <v>0</v>
          </cell>
          <cell r="W291">
            <v>0</v>
          </cell>
          <cell r="Y291">
            <v>2772000</v>
          </cell>
          <cell r="Z291">
            <v>0</v>
          </cell>
        </row>
        <row r="292">
          <cell r="J292" t="str">
            <v>0</v>
          </cell>
          <cell r="S292">
            <v>0</v>
          </cell>
          <cell r="T292">
            <v>0</v>
          </cell>
          <cell r="V292">
            <v>0</v>
          </cell>
          <cell r="W292">
            <v>0</v>
          </cell>
          <cell r="Y292">
            <v>33108000</v>
          </cell>
          <cell r="Z292">
            <v>0</v>
          </cell>
        </row>
        <row r="293">
          <cell r="J293" t="str">
            <v>0</v>
          </cell>
          <cell r="S293">
            <v>0</v>
          </cell>
          <cell r="T293">
            <v>0</v>
          </cell>
          <cell r="V293">
            <v>0</v>
          </cell>
          <cell r="W293">
            <v>0</v>
          </cell>
          <cell r="Y293">
            <v>38907000</v>
          </cell>
          <cell r="Z293">
            <v>0</v>
          </cell>
        </row>
        <row r="294">
          <cell r="J294" t="str">
            <v>0</v>
          </cell>
          <cell r="S294">
            <v>0</v>
          </cell>
          <cell r="T294">
            <v>0</v>
          </cell>
          <cell r="V294">
            <v>0</v>
          </cell>
          <cell r="W294">
            <v>0</v>
          </cell>
          <cell r="Y294">
            <v>38016000</v>
          </cell>
          <cell r="Z294">
            <v>0</v>
          </cell>
        </row>
        <row r="295">
          <cell r="J295" t="str">
            <v>0</v>
          </cell>
          <cell r="S295">
            <v>0</v>
          </cell>
          <cell r="T295">
            <v>0</v>
          </cell>
          <cell r="V295">
            <v>0</v>
          </cell>
          <cell r="W295">
            <v>0</v>
          </cell>
          <cell r="Y295">
            <v>37469000</v>
          </cell>
          <cell r="Z295">
            <v>0</v>
          </cell>
        </row>
        <row r="296">
          <cell r="J296" t="str">
            <v>입고</v>
          </cell>
          <cell r="S296">
            <v>182</v>
          </cell>
          <cell r="T296">
            <v>0</v>
          </cell>
          <cell r="V296">
            <v>17955900</v>
          </cell>
          <cell r="W296">
            <v>41100000</v>
          </cell>
          <cell r="Y296">
            <v>41100000</v>
          </cell>
          <cell r="Z296">
            <v>0</v>
          </cell>
        </row>
        <row r="297">
          <cell r="J297" t="str">
            <v>입고</v>
          </cell>
          <cell r="S297">
            <v>178</v>
          </cell>
          <cell r="T297">
            <v>0</v>
          </cell>
          <cell r="V297">
            <v>16843200</v>
          </cell>
          <cell r="W297">
            <v>38550000</v>
          </cell>
          <cell r="Y297">
            <v>38550000</v>
          </cell>
          <cell r="Z297">
            <v>0</v>
          </cell>
        </row>
        <row r="298">
          <cell r="J298" t="str">
            <v>입고</v>
          </cell>
          <cell r="S298">
            <v>234</v>
          </cell>
          <cell r="T298">
            <v>1</v>
          </cell>
          <cell r="V298">
            <v>20072844</v>
          </cell>
          <cell r="W298">
            <v>46332000</v>
          </cell>
          <cell r="Y298">
            <v>46332000</v>
          </cell>
          <cell r="Z298">
            <v>0</v>
          </cell>
        </row>
        <row r="299">
          <cell r="J299" t="str">
            <v>입고</v>
          </cell>
          <cell r="S299">
            <v>286</v>
          </cell>
          <cell r="T299">
            <v>4</v>
          </cell>
          <cell r="V299">
            <v>40765032</v>
          </cell>
          <cell r="W299">
            <v>93744000</v>
          </cell>
          <cell r="Y299">
            <v>93744000</v>
          </cell>
          <cell r="Z299">
            <v>0</v>
          </cell>
        </row>
        <row r="300">
          <cell r="J300" t="str">
            <v>입고</v>
          </cell>
          <cell r="S300">
            <v>352</v>
          </cell>
          <cell r="T300">
            <v>8</v>
          </cell>
          <cell r="V300">
            <v>3879200</v>
          </cell>
          <cell r="W300">
            <v>14400000</v>
          </cell>
          <cell r="Y300">
            <v>14688000</v>
          </cell>
          <cell r="Z300">
            <v>0</v>
          </cell>
        </row>
        <row r="301">
          <cell r="J301" t="str">
            <v>입고</v>
          </cell>
          <cell r="S301">
            <v>382</v>
          </cell>
          <cell r="T301">
            <v>8</v>
          </cell>
          <cell r="V301">
            <v>3869100</v>
          </cell>
          <cell r="W301">
            <v>16200000</v>
          </cell>
          <cell r="Y301">
            <v>15012000</v>
          </cell>
          <cell r="Z301">
            <v>0</v>
          </cell>
        </row>
        <row r="302">
          <cell r="J302" t="str">
            <v>입고</v>
          </cell>
          <cell r="S302">
            <v>421</v>
          </cell>
          <cell r="T302">
            <v>11</v>
          </cell>
          <cell r="V302">
            <v>4826000</v>
          </cell>
          <cell r="W302">
            <v>16500000</v>
          </cell>
          <cell r="Y302">
            <v>14982000</v>
          </cell>
          <cell r="Z302">
            <v>0</v>
          </cell>
        </row>
        <row r="303">
          <cell r="J303" t="str">
            <v>입고</v>
          </cell>
          <cell r="S303">
            <v>345</v>
          </cell>
          <cell r="T303">
            <v>2</v>
          </cell>
          <cell r="V303">
            <v>13825350</v>
          </cell>
          <cell r="W303">
            <v>44550000</v>
          </cell>
          <cell r="Y303">
            <v>42174000</v>
          </cell>
          <cell r="Z303">
            <v>0</v>
          </cell>
        </row>
        <row r="304">
          <cell r="J304" t="str">
            <v>입고</v>
          </cell>
          <cell r="S304">
            <v>560</v>
          </cell>
          <cell r="T304">
            <v>17</v>
          </cell>
          <cell r="V304">
            <v>10918800</v>
          </cell>
          <cell r="W304">
            <v>41400000</v>
          </cell>
          <cell r="Y304">
            <v>40641000</v>
          </cell>
          <cell r="Z304">
            <v>0</v>
          </cell>
        </row>
        <row r="305">
          <cell r="J305" t="str">
            <v>입고</v>
          </cell>
          <cell r="S305">
            <v>461</v>
          </cell>
          <cell r="T305">
            <v>14</v>
          </cell>
          <cell r="V305">
            <v>9718800</v>
          </cell>
          <cell r="W305">
            <v>37800000</v>
          </cell>
          <cell r="Y305">
            <v>29358000</v>
          </cell>
          <cell r="Z305">
            <v>0</v>
          </cell>
        </row>
        <row r="306">
          <cell r="J306" t="str">
            <v>입고</v>
          </cell>
          <cell r="S306">
            <v>390</v>
          </cell>
          <cell r="T306">
            <v>28</v>
          </cell>
          <cell r="V306">
            <v>12009200</v>
          </cell>
          <cell r="W306">
            <v>51600000</v>
          </cell>
          <cell r="Y306">
            <v>49923000</v>
          </cell>
          <cell r="Z306">
            <v>0</v>
          </cell>
        </row>
        <row r="307">
          <cell r="J307" t="str">
            <v>입고</v>
          </cell>
          <cell r="S307">
            <v>229</v>
          </cell>
          <cell r="T307">
            <v>0</v>
          </cell>
          <cell r="V307">
            <v>4513280</v>
          </cell>
          <cell r="W307">
            <v>15990000</v>
          </cell>
          <cell r="Y307">
            <v>15990000</v>
          </cell>
          <cell r="Z307">
            <v>0</v>
          </cell>
        </row>
        <row r="308">
          <cell r="J308" t="str">
            <v>0</v>
          </cell>
          <cell r="S308">
            <v>0</v>
          </cell>
          <cell r="T308">
            <v>0</v>
          </cell>
          <cell r="V308">
            <v>26812128</v>
          </cell>
          <cell r="W308">
            <v>59160000</v>
          </cell>
          <cell r="Y308">
            <v>0</v>
          </cell>
          <cell r="Z308">
            <v>0</v>
          </cell>
        </row>
        <row r="309">
          <cell r="J309" t="str">
            <v>0</v>
          </cell>
          <cell r="S309">
            <v>0</v>
          </cell>
          <cell r="T309">
            <v>0</v>
          </cell>
          <cell r="V309">
            <v>31045392</v>
          </cell>
          <cell r="W309">
            <v>71064000</v>
          </cell>
          <cell r="Y309">
            <v>0</v>
          </cell>
          <cell r="Z309">
            <v>0</v>
          </cell>
        </row>
        <row r="310">
          <cell r="J310" t="str">
            <v>입고</v>
          </cell>
          <cell r="S310">
            <v>12</v>
          </cell>
          <cell r="T310">
            <v>0</v>
          </cell>
          <cell r="V310">
            <v>1941192</v>
          </cell>
          <cell r="W310">
            <v>4284000</v>
          </cell>
          <cell r="Y310">
            <v>4284000</v>
          </cell>
          <cell r="Z310">
            <v>0</v>
          </cell>
        </row>
        <row r="311">
          <cell r="J311" t="str">
            <v>입고</v>
          </cell>
          <cell r="S311">
            <v>138</v>
          </cell>
          <cell r="T311">
            <v>0</v>
          </cell>
          <cell r="V311">
            <v>18053760</v>
          </cell>
          <cell r="W311">
            <v>39840000</v>
          </cell>
          <cell r="Y311">
            <v>39840000</v>
          </cell>
          <cell r="Z311">
            <v>0</v>
          </cell>
        </row>
        <row r="312">
          <cell r="J312" t="str">
            <v>입고</v>
          </cell>
          <cell r="S312">
            <v>473</v>
          </cell>
          <cell r="T312">
            <v>18</v>
          </cell>
          <cell r="V312">
            <v>12111500</v>
          </cell>
          <cell r="W312">
            <v>44500000</v>
          </cell>
          <cell r="Y312">
            <v>44767000</v>
          </cell>
          <cell r="Z312">
            <v>0</v>
          </cell>
        </row>
        <row r="313">
          <cell r="J313" t="str">
            <v>입고</v>
          </cell>
          <cell r="S313">
            <v>149</v>
          </cell>
          <cell r="T313">
            <v>4</v>
          </cell>
          <cell r="V313">
            <v>1901600</v>
          </cell>
          <cell r="W313">
            <v>6600000</v>
          </cell>
          <cell r="Y313">
            <v>6600000</v>
          </cell>
          <cell r="Z313">
            <v>0</v>
          </cell>
        </row>
        <row r="314">
          <cell r="J314" t="str">
            <v>0</v>
          </cell>
          <cell r="S314">
            <v>0</v>
          </cell>
          <cell r="T314">
            <v>0</v>
          </cell>
          <cell r="V314">
            <v>0</v>
          </cell>
          <cell r="W314">
            <v>0</v>
          </cell>
          <cell r="Y314">
            <v>27255000</v>
          </cell>
          <cell r="Z314">
            <v>0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9FW 가안"/>
      <sheetName val="18FW (확정)"/>
      <sheetName val="18FW"/>
      <sheetName val="17FW수정"/>
      <sheetName val="17FW"/>
      <sheetName val="Sheet3"/>
      <sheetName val="Fur(확정)"/>
      <sheetName val="Fur"/>
      <sheetName val="디앤세부"/>
      <sheetName val="더반세부"/>
      <sheetName val="레더퍼세부"/>
      <sheetName val="보블리세부"/>
      <sheetName val="다우세부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A4" t="str">
            <v>PCK</v>
          </cell>
        </row>
        <row r="5">
          <cell r="A5" t="str">
            <v>웅가리아</v>
          </cell>
        </row>
        <row r="6">
          <cell r="A6" t="str">
            <v>FIRST</v>
          </cell>
        </row>
        <row r="7">
          <cell r="A7" t="str">
            <v>나투어텍스</v>
          </cell>
        </row>
        <row r="8">
          <cell r="A8" t="str">
            <v>광륭</v>
          </cell>
        </row>
        <row r="9">
          <cell r="A9" t="str">
            <v>JP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"/>
      <sheetName val="참조"/>
      <sheetName val="주간분석"/>
      <sheetName val="복종별"/>
      <sheetName val="Color별"/>
      <sheetName val="Size별"/>
      <sheetName val="4월26일"/>
      <sheetName val="Data"/>
      <sheetName val="4월25일"/>
      <sheetName val="4월22일"/>
      <sheetName val="4월18일"/>
      <sheetName val="1월4일"/>
      <sheetName val="1월11일"/>
      <sheetName val="1월18일"/>
      <sheetName val="1월25일"/>
      <sheetName val="2월1일"/>
      <sheetName val="2월8일"/>
      <sheetName val="2월15일"/>
      <sheetName val="2월22일"/>
      <sheetName val="2월29일"/>
      <sheetName val="3월7일"/>
      <sheetName val="3월14일"/>
      <sheetName val="3월21일"/>
      <sheetName val="3월28일"/>
      <sheetName val="4월4일"/>
      <sheetName val="4월11일"/>
      <sheetName val="4월23일"/>
      <sheetName val="all"/>
      <sheetName val="15ss mdplan 취합"/>
      <sheetName val="付記用語"/>
    </sheetNames>
    <sheetDataSet>
      <sheetData sheetId="0"/>
      <sheetData sheetId="1"/>
      <sheetData sheetId="2">
        <row r="2">
          <cell r="C2" t="str">
            <v>Line</v>
          </cell>
        </row>
        <row r="3">
          <cell r="C3" t="str">
            <v>O</v>
          </cell>
        </row>
        <row r="6">
          <cell r="C6">
            <v>1</v>
          </cell>
        </row>
        <row r="7">
          <cell r="C7">
            <v>2</v>
          </cell>
        </row>
        <row r="8">
          <cell r="C8">
            <v>3</v>
          </cell>
        </row>
        <row r="9">
          <cell r="C9">
            <v>4</v>
          </cell>
        </row>
        <row r="12">
          <cell r="C12">
            <v>1</v>
          </cell>
        </row>
        <row r="13">
          <cell r="C13">
            <v>2</v>
          </cell>
        </row>
        <row r="33">
          <cell r="C33" t="str">
            <v>1월11일</v>
          </cell>
        </row>
        <row r="34">
          <cell r="C34">
            <v>23558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23542</v>
          </cell>
        </row>
        <row r="38">
          <cell r="C38">
            <v>0.99932082519738519</v>
          </cell>
        </row>
        <row r="39">
          <cell r="C39">
            <v>66321</v>
          </cell>
        </row>
        <row r="40">
          <cell r="C40">
            <v>7200</v>
          </cell>
        </row>
      </sheetData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DS"/>
      <sheetName val="AST"/>
      <sheetName val="GAB"/>
      <sheetName val="결제"/>
      <sheetName val="원(SM)"/>
      <sheetName val="R"/>
      <sheetName val="업체MD"/>
      <sheetName val="업체"/>
      <sheetName val="입고"/>
      <sheetName val="판매MD"/>
      <sheetName val="MD"/>
      <sheetName val="MSR"/>
      <sheetName val="종합"/>
      <sheetName val="현황"/>
      <sheetName val="S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G13" t="str">
            <v>S</v>
          </cell>
          <cell r="H13" t="str">
            <v>JK</v>
          </cell>
          <cell r="S13" t="str">
            <v>남자</v>
          </cell>
          <cell r="EA13">
            <v>179.64</v>
          </cell>
        </row>
        <row r="14">
          <cell r="H14" t="str">
            <v>JK</v>
          </cell>
          <cell r="S14" t="str">
            <v>남자</v>
          </cell>
          <cell r="EA14">
            <v>164.67</v>
          </cell>
        </row>
        <row r="15">
          <cell r="H15" t="str">
            <v>JK</v>
          </cell>
          <cell r="S15" t="str">
            <v>남자</v>
          </cell>
          <cell r="EA15">
            <v>177.87</v>
          </cell>
        </row>
        <row r="16">
          <cell r="H16" t="str">
            <v>JK</v>
          </cell>
          <cell r="S16" t="str">
            <v>남자</v>
          </cell>
          <cell r="EA16">
            <v>161.69999999999999</v>
          </cell>
        </row>
        <row r="17">
          <cell r="H17" t="str">
            <v>JK</v>
          </cell>
          <cell r="S17" t="str">
            <v>남자</v>
          </cell>
          <cell r="EA17">
            <v>102.41</v>
          </cell>
        </row>
        <row r="18">
          <cell r="H18" t="str">
            <v>JK</v>
          </cell>
          <cell r="S18" t="str">
            <v>남자</v>
          </cell>
          <cell r="EA18">
            <v>101.15</v>
          </cell>
        </row>
        <row r="19">
          <cell r="H19" t="str">
            <v>JK</v>
          </cell>
          <cell r="S19" t="str">
            <v>남자</v>
          </cell>
          <cell r="EA19">
            <v>86.7</v>
          </cell>
        </row>
        <row r="20">
          <cell r="H20" t="str">
            <v>JK</v>
          </cell>
          <cell r="S20" t="str">
            <v>남자</v>
          </cell>
          <cell r="EA20">
            <v>111.37</v>
          </cell>
        </row>
        <row r="21">
          <cell r="H21" t="str">
            <v>JK</v>
          </cell>
          <cell r="S21" t="str">
            <v>남자</v>
          </cell>
          <cell r="EA21">
            <v>82.88</v>
          </cell>
        </row>
        <row r="22">
          <cell r="H22" t="str">
            <v>JK</v>
          </cell>
          <cell r="S22" t="str">
            <v>남자</v>
          </cell>
          <cell r="EA22">
            <v>95.68</v>
          </cell>
        </row>
        <row r="23">
          <cell r="H23" t="str">
            <v>JK</v>
          </cell>
          <cell r="S23" t="str">
            <v>남자</v>
          </cell>
          <cell r="EA23">
            <v>95.68</v>
          </cell>
        </row>
        <row r="24">
          <cell r="H24" t="str">
            <v>JK</v>
          </cell>
          <cell r="S24" t="str">
            <v>남자</v>
          </cell>
          <cell r="EA24">
            <v>62.79</v>
          </cell>
        </row>
        <row r="25">
          <cell r="H25" t="str">
            <v>JK</v>
          </cell>
          <cell r="S25" t="str">
            <v>남자</v>
          </cell>
          <cell r="EA25">
            <v>62.79</v>
          </cell>
        </row>
        <row r="26">
          <cell r="H26" t="str">
            <v>JK</v>
          </cell>
          <cell r="S26" t="str">
            <v>여자</v>
          </cell>
          <cell r="EA26">
            <v>134.75</v>
          </cell>
        </row>
        <row r="27">
          <cell r="H27" t="str">
            <v>JK</v>
          </cell>
          <cell r="S27" t="str">
            <v>여자</v>
          </cell>
          <cell r="EA27">
            <v>134.75</v>
          </cell>
        </row>
        <row r="28">
          <cell r="H28" t="str">
            <v>JK</v>
          </cell>
          <cell r="S28" t="str">
            <v>여자</v>
          </cell>
          <cell r="EA28">
            <v>102.41</v>
          </cell>
        </row>
        <row r="29">
          <cell r="H29" t="str">
            <v>JK</v>
          </cell>
          <cell r="S29" t="str">
            <v>여자</v>
          </cell>
          <cell r="EA29">
            <v>104.79</v>
          </cell>
        </row>
        <row r="30">
          <cell r="H30" t="str">
            <v>JK</v>
          </cell>
          <cell r="S30" t="str">
            <v>여자</v>
          </cell>
          <cell r="EA30">
            <v>124.75</v>
          </cell>
        </row>
        <row r="31">
          <cell r="H31" t="str">
            <v>JK</v>
          </cell>
          <cell r="S31" t="str">
            <v>여자</v>
          </cell>
          <cell r="EA31">
            <v>79.680000000000007</v>
          </cell>
        </row>
        <row r="32">
          <cell r="H32" t="str">
            <v>JK</v>
          </cell>
          <cell r="S32" t="str">
            <v>여자</v>
          </cell>
          <cell r="EA32">
            <v>94.62</v>
          </cell>
        </row>
        <row r="33">
          <cell r="H33" t="str">
            <v>JK</v>
          </cell>
          <cell r="S33" t="str">
            <v>여자</v>
          </cell>
          <cell r="EA33">
            <v>82.17</v>
          </cell>
        </row>
        <row r="34">
          <cell r="H34" t="str">
            <v>JK</v>
          </cell>
          <cell r="S34" t="str">
            <v>여자</v>
          </cell>
          <cell r="EA34">
            <v>57.8</v>
          </cell>
        </row>
        <row r="35">
          <cell r="H35" t="str">
            <v>JK</v>
          </cell>
          <cell r="S35" t="str">
            <v>여자</v>
          </cell>
          <cell r="EA35">
            <v>92.48</v>
          </cell>
        </row>
        <row r="36">
          <cell r="H36" t="str">
            <v>JK</v>
          </cell>
          <cell r="S36" t="str">
            <v>여자</v>
          </cell>
          <cell r="EA36">
            <v>72.52</v>
          </cell>
        </row>
        <row r="37">
          <cell r="H37" t="str">
            <v>JK</v>
          </cell>
          <cell r="S37" t="str">
            <v>여자</v>
          </cell>
          <cell r="EA37">
            <v>77.7</v>
          </cell>
        </row>
        <row r="38">
          <cell r="H38" t="str">
            <v>JK</v>
          </cell>
          <cell r="S38" t="str">
            <v>여자</v>
          </cell>
          <cell r="EA38">
            <v>62.79</v>
          </cell>
        </row>
        <row r="39">
          <cell r="H39" t="str">
            <v>JK</v>
          </cell>
          <cell r="S39" t="str">
            <v>여자</v>
          </cell>
          <cell r="EA39">
            <v>62.79</v>
          </cell>
        </row>
        <row r="40">
          <cell r="H40" t="str">
            <v>JK</v>
          </cell>
          <cell r="S40" t="str">
            <v>남자</v>
          </cell>
          <cell r="EA40">
            <v>136.44</v>
          </cell>
        </row>
        <row r="41">
          <cell r="H41" t="str">
            <v>JK</v>
          </cell>
          <cell r="S41" t="str">
            <v>남자</v>
          </cell>
          <cell r="EA41">
            <v>155.38999999999999</v>
          </cell>
        </row>
        <row r="42">
          <cell r="H42" t="str">
            <v>JK</v>
          </cell>
          <cell r="S42" t="str">
            <v>남자</v>
          </cell>
          <cell r="EA42">
            <v>160.65</v>
          </cell>
        </row>
        <row r="43">
          <cell r="H43" t="str">
            <v>JK</v>
          </cell>
          <cell r="S43" t="str">
            <v>남자</v>
          </cell>
          <cell r="EA43">
            <v>160.65</v>
          </cell>
        </row>
        <row r="44">
          <cell r="H44" t="str">
            <v>JK</v>
          </cell>
          <cell r="S44" t="str">
            <v>남자</v>
          </cell>
          <cell r="EA44">
            <v>122.59</v>
          </cell>
        </row>
        <row r="45">
          <cell r="H45" t="str">
            <v>JK</v>
          </cell>
          <cell r="S45" t="str">
            <v>남자</v>
          </cell>
          <cell r="EA45">
            <v>122.59</v>
          </cell>
        </row>
        <row r="46">
          <cell r="H46" t="str">
            <v>JK</v>
          </cell>
          <cell r="S46" t="str">
            <v>남자</v>
          </cell>
          <cell r="EA46">
            <v>82.025999999999996</v>
          </cell>
        </row>
        <row r="47">
          <cell r="H47" t="str">
            <v>JK</v>
          </cell>
          <cell r="S47" t="str">
            <v>남자</v>
          </cell>
          <cell r="EA47">
            <v>129.17699999999999</v>
          </cell>
        </row>
        <row r="48">
          <cell r="H48" t="str">
            <v>JK</v>
          </cell>
          <cell r="S48" t="str">
            <v>여자</v>
          </cell>
          <cell r="EA48">
            <v>117.49</v>
          </cell>
        </row>
        <row r="49">
          <cell r="H49" t="str">
            <v>JK</v>
          </cell>
          <cell r="S49" t="str">
            <v>여자</v>
          </cell>
          <cell r="EA49">
            <v>117.49</v>
          </cell>
        </row>
        <row r="50">
          <cell r="H50" t="str">
            <v>JK</v>
          </cell>
          <cell r="S50" t="str">
            <v>여자</v>
          </cell>
          <cell r="EA50">
            <v>139.65</v>
          </cell>
        </row>
        <row r="51">
          <cell r="H51" t="str">
            <v>JK</v>
          </cell>
          <cell r="S51" t="str">
            <v>여자</v>
          </cell>
          <cell r="EA51">
            <v>179.55</v>
          </cell>
        </row>
        <row r="52">
          <cell r="H52" t="str">
            <v>JK</v>
          </cell>
          <cell r="S52" t="str">
            <v>여자</v>
          </cell>
          <cell r="EA52">
            <v>104.04</v>
          </cell>
        </row>
        <row r="53">
          <cell r="H53" t="str">
            <v>JK</v>
          </cell>
          <cell r="S53" t="str">
            <v>여자</v>
          </cell>
          <cell r="EA53">
            <v>118.49</v>
          </cell>
        </row>
        <row r="54">
          <cell r="H54" t="str">
            <v>JK</v>
          </cell>
          <cell r="S54" t="str">
            <v>여자</v>
          </cell>
          <cell r="EA54">
            <v>83.39</v>
          </cell>
        </row>
        <row r="55">
          <cell r="H55" t="str">
            <v>JK</v>
          </cell>
          <cell r="S55" t="str">
            <v>여자</v>
          </cell>
          <cell r="EA55">
            <v>69.94</v>
          </cell>
        </row>
        <row r="56">
          <cell r="H56" t="str">
            <v>JK</v>
          </cell>
          <cell r="S56" t="str">
            <v>여자</v>
          </cell>
          <cell r="EA56">
            <v>50.19</v>
          </cell>
        </row>
        <row r="57">
          <cell r="H57" t="str">
            <v>JK</v>
          </cell>
          <cell r="S57" t="str">
            <v>여자</v>
          </cell>
          <cell r="EA57">
            <v>50.19</v>
          </cell>
        </row>
        <row r="59">
          <cell r="H59" t="str">
            <v>JP</v>
          </cell>
          <cell r="S59" t="str">
            <v>남자</v>
          </cell>
          <cell r="EA59">
            <v>71.7</v>
          </cell>
        </row>
        <row r="60">
          <cell r="H60" t="str">
            <v>JP</v>
          </cell>
          <cell r="S60" t="str">
            <v>남자</v>
          </cell>
          <cell r="EA60">
            <v>59.75</v>
          </cell>
        </row>
        <row r="61">
          <cell r="H61" t="str">
            <v>JP</v>
          </cell>
          <cell r="S61" t="str">
            <v>남자</v>
          </cell>
          <cell r="EA61">
            <v>61.83</v>
          </cell>
        </row>
        <row r="62">
          <cell r="H62" t="str">
            <v>JP</v>
          </cell>
          <cell r="S62" t="str">
            <v>남자</v>
          </cell>
          <cell r="EA62">
            <v>61.83</v>
          </cell>
        </row>
        <row r="63">
          <cell r="H63" t="str">
            <v>JP</v>
          </cell>
          <cell r="S63" t="str">
            <v>남자</v>
          </cell>
          <cell r="EA63">
            <v>59.75</v>
          </cell>
        </row>
        <row r="64">
          <cell r="H64" t="str">
            <v>JP</v>
          </cell>
          <cell r="S64" t="str">
            <v>남자</v>
          </cell>
          <cell r="EA64">
            <v>59.75</v>
          </cell>
        </row>
        <row r="65">
          <cell r="H65" t="str">
            <v>JP</v>
          </cell>
          <cell r="S65" t="str">
            <v>남자</v>
          </cell>
          <cell r="EA65">
            <v>59.75</v>
          </cell>
        </row>
        <row r="66">
          <cell r="H66" t="str">
            <v>JP</v>
          </cell>
          <cell r="S66" t="str">
            <v>남자</v>
          </cell>
          <cell r="EA66">
            <v>86.19</v>
          </cell>
        </row>
        <row r="67">
          <cell r="H67" t="str">
            <v>JP</v>
          </cell>
          <cell r="S67" t="str">
            <v>남자</v>
          </cell>
          <cell r="EA67">
            <v>64.22</v>
          </cell>
        </row>
        <row r="68">
          <cell r="H68" t="str">
            <v>JP</v>
          </cell>
          <cell r="S68" t="str">
            <v>남자</v>
          </cell>
          <cell r="EA68">
            <v>54.08</v>
          </cell>
        </row>
        <row r="69">
          <cell r="H69" t="str">
            <v>JP</v>
          </cell>
          <cell r="S69" t="str">
            <v>남자</v>
          </cell>
          <cell r="EA69">
            <v>53.64</v>
          </cell>
        </row>
        <row r="70">
          <cell r="H70" t="str">
            <v>JP</v>
          </cell>
          <cell r="S70" t="str">
            <v>남자</v>
          </cell>
          <cell r="EA70">
            <v>46.19</v>
          </cell>
        </row>
        <row r="71">
          <cell r="H71" t="str">
            <v>JP</v>
          </cell>
          <cell r="S71" t="str">
            <v>남자</v>
          </cell>
          <cell r="EA71">
            <v>44.52</v>
          </cell>
        </row>
        <row r="72">
          <cell r="H72" t="str">
            <v>JP</v>
          </cell>
          <cell r="S72" t="str">
            <v>남자</v>
          </cell>
          <cell r="EA72">
            <v>44.52</v>
          </cell>
        </row>
        <row r="73">
          <cell r="H73" t="str">
            <v>JP</v>
          </cell>
          <cell r="S73" t="str">
            <v>여자</v>
          </cell>
          <cell r="EA73">
            <v>61.83</v>
          </cell>
        </row>
        <row r="74">
          <cell r="H74" t="str">
            <v>JP</v>
          </cell>
          <cell r="S74" t="str">
            <v>여자</v>
          </cell>
          <cell r="EA74">
            <v>68.7</v>
          </cell>
        </row>
        <row r="75">
          <cell r="H75" t="str">
            <v>JP</v>
          </cell>
          <cell r="S75" t="str">
            <v>여자</v>
          </cell>
          <cell r="EA75">
            <v>50.38</v>
          </cell>
        </row>
        <row r="76">
          <cell r="H76" t="str">
            <v>JP</v>
          </cell>
          <cell r="S76" t="str">
            <v>여자</v>
          </cell>
          <cell r="EA76">
            <v>50.38</v>
          </cell>
        </row>
        <row r="77">
          <cell r="H77" t="str">
            <v>JP</v>
          </cell>
          <cell r="S77" t="str">
            <v>여자</v>
          </cell>
          <cell r="EA77">
            <v>72.67</v>
          </cell>
        </row>
        <row r="78">
          <cell r="H78" t="str">
            <v>JP</v>
          </cell>
          <cell r="S78" t="str">
            <v>여자</v>
          </cell>
          <cell r="EA78">
            <v>64.22</v>
          </cell>
        </row>
        <row r="79">
          <cell r="H79" t="str">
            <v>JP</v>
          </cell>
          <cell r="S79" t="str">
            <v>여자</v>
          </cell>
          <cell r="EA79">
            <v>68.37</v>
          </cell>
        </row>
        <row r="80">
          <cell r="H80" t="str">
            <v>JP</v>
          </cell>
          <cell r="S80" t="str">
            <v>여자</v>
          </cell>
          <cell r="EA80">
            <v>46.19</v>
          </cell>
        </row>
        <row r="81">
          <cell r="H81" t="str">
            <v>JP</v>
          </cell>
          <cell r="S81" t="str">
            <v>여자</v>
          </cell>
          <cell r="EA81">
            <v>46.19</v>
          </cell>
        </row>
        <row r="82">
          <cell r="H82" t="str">
            <v>JP</v>
          </cell>
          <cell r="S82" t="str">
            <v>여자</v>
          </cell>
          <cell r="EA82">
            <v>49.29</v>
          </cell>
        </row>
        <row r="83">
          <cell r="H83" t="str">
            <v>JP</v>
          </cell>
          <cell r="S83" t="str">
            <v>여자</v>
          </cell>
          <cell r="EA83">
            <v>49.29</v>
          </cell>
        </row>
        <row r="84">
          <cell r="H84" t="str">
            <v>JP</v>
          </cell>
          <cell r="S84" t="str">
            <v>남자</v>
          </cell>
          <cell r="EA84">
            <v>98.67</v>
          </cell>
        </row>
        <row r="85">
          <cell r="H85" t="str">
            <v>JP</v>
          </cell>
          <cell r="S85" t="str">
            <v>남자</v>
          </cell>
          <cell r="EA85">
            <v>92.69</v>
          </cell>
        </row>
        <row r="86">
          <cell r="H86" t="str">
            <v>JP</v>
          </cell>
          <cell r="S86" t="str">
            <v>남자</v>
          </cell>
          <cell r="EA86">
            <v>98.67</v>
          </cell>
        </row>
        <row r="87">
          <cell r="H87" t="str">
            <v>JP</v>
          </cell>
          <cell r="S87" t="str">
            <v>남자</v>
          </cell>
          <cell r="EA87">
            <v>98.67</v>
          </cell>
        </row>
        <row r="88">
          <cell r="H88" t="str">
            <v>JP</v>
          </cell>
          <cell r="S88" t="str">
            <v>남자</v>
          </cell>
          <cell r="EA88">
            <v>49.75</v>
          </cell>
        </row>
        <row r="89">
          <cell r="H89" t="str">
            <v>JP</v>
          </cell>
          <cell r="S89" t="str">
            <v>남자</v>
          </cell>
          <cell r="EA89">
            <v>49.75</v>
          </cell>
        </row>
        <row r="90">
          <cell r="H90" t="str">
            <v>JP</v>
          </cell>
          <cell r="S90" t="str">
            <v>남자</v>
          </cell>
          <cell r="EA90">
            <v>60.84</v>
          </cell>
        </row>
        <row r="91">
          <cell r="H91" t="str">
            <v>JP</v>
          </cell>
          <cell r="S91" t="str">
            <v>남자</v>
          </cell>
          <cell r="EA91">
            <v>55.77</v>
          </cell>
        </row>
        <row r="92">
          <cell r="H92" t="str">
            <v>JP</v>
          </cell>
          <cell r="S92" t="str">
            <v>남자</v>
          </cell>
          <cell r="EA92">
            <v>64.44</v>
          </cell>
        </row>
        <row r="93">
          <cell r="H93" t="str">
            <v>JP</v>
          </cell>
          <cell r="S93" t="str">
            <v>남자</v>
          </cell>
          <cell r="EA93">
            <v>59.07</v>
          </cell>
        </row>
        <row r="94">
          <cell r="H94" t="str">
            <v>JP</v>
          </cell>
          <cell r="S94" t="str">
            <v>남자</v>
          </cell>
          <cell r="EA94">
            <v>47.25</v>
          </cell>
        </row>
        <row r="95">
          <cell r="H95" t="str">
            <v>JP</v>
          </cell>
          <cell r="S95" t="str">
            <v>남자</v>
          </cell>
          <cell r="EA95">
            <v>47.25</v>
          </cell>
        </row>
        <row r="96">
          <cell r="H96" t="str">
            <v>JP</v>
          </cell>
          <cell r="S96" t="str">
            <v>남자</v>
          </cell>
          <cell r="EA96">
            <v>42.25</v>
          </cell>
        </row>
        <row r="97">
          <cell r="H97" t="str">
            <v>JP</v>
          </cell>
          <cell r="S97" t="str">
            <v>남자</v>
          </cell>
          <cell r="EA97">
            <v>42.25</v>
          </cell>
        </row>
        <row r="98">
          <cell r="H98" t="str">
            <v>JP</v>
          </cell>
          <cell r="S98" t="str">
            <v>남자</v>
          </cell>
          <cell r="EA98">
            <v>78.87</v>
          </cell>
        </row>
        <row r="99">
          <cell r="H99" t="str">
            <v>JP</v>
          </cell>
          <cell r="S99" t="str">
            <v>남자</v>
          </cell>
          <cell r="EA99">
            <v>78.87</v>
          </cell>
        </row>
        <row r="100">
          <cell r="H100" t="str">
            <v>JP</v>
          </cell>
          <cell r="S100" t="str">
            <v>남자</v>
          </cell>
          <cell r="EA100">
            <v>99.5</v>
          </cell>
        </row>
        <row r="101">
          <cell r="H101" t="str">
            <v>JP</v>
          </cell>
          <cell r="S101" t="str">
            <v>남자</v>
          </cell>
          <cell r="EA101">
            <v>139.30000000000001</v>
          </cell>
        </row>
        <row r="102">
          <cell r="H102" t="str">
            <v>JP</v>
          </cell>
          <cell r="S102" t="str">
            <v>남자</v>
          </cell>
          <cell r="EA102">
            <v>199</v>
          </cell>
        </row>
        <row r="103">
          <cell r="H103" t="str">
            <v>JP</v>
          </cell>
          <cell r="S103" t="str">
            <v>남자</v>
          </cell>
          <cell r="EA103">
            <v>69.650000000000006</v>
          </cell>
        </row>
        <row r="104">
          <cell r="H104" t="str">
            <v>JP</v>
          </cell>
          <cell r="S104" t="str">
            <v>남자</v>
          </cell>
          <cell r="EA104">
            <v>111.44</v>
          </cell>
        </row>
        <row r="105">
          <cell r="H105" t="str">
            <v>JP</v>
          </cell>
          <cell r="S105" t="str">
            <v>남자</v>
          </cell>
          <cell r="EA105">
            <v>187.06</v>
          </cell>
        </row>
        <row r="106">
          <cell r="H106" t="str">
            <v>JP</v>
          </cell>
          <cell r="S106" t="str">
            <v>남자</v>
          </cell>
          <cell r="EA106">
            <v>99.5</v>
          </cell>
        </row>
        <row r="107">
          <cell r="H107" t="str">
            <v>JP</v>
          </cell>
          <cell r="S107" t="str">
            <v>남자</v>
          </cell>
          <cell r="EA107">
            <v>64.069999999999993</v>
          </cell>
        </row>
        <row r="108">
          <cell r="H108" t="str">
            <v>JP</v>
          </cell>
          <cell r="S108" t="str">
            <v>남자</v>
          </cell>
          <cell r="EA108">
            <v>56.62</v>
          </cell>
        </row>
        <row r="109">
          <cell r="H109" t="str">
            <v>JP</v>
          </cell>
          <cell r="S109" t="str">
            <v>남자</v>
          </cell>
          <cell r="EA109">
            <v>56.62</v>
          </cell>
        </row>
        <row r="110">
          <cell r="H110" t="str">
            <v>JP</v>
          </cell>
          <cell r="S110" t="str">
            <v>남자</v>
          </cell>
          <cell r="EA110">
            <v>67.89</v>
          </cell>
        </row>
        <row r="111">
          <cell r="H111" t="str">
            <v>JP</v>
          </cell>
          <cell r="S111" t="str">
            <v>남자</v>
          </cell>
          <cell r="EA111">
            <v>67.89</v>
          </cell>
        </row>
        <row r="112">
          <cell r="H112" t="str">
            <v>JP</v>
          </cell>
          <cell r="S112" t="str">
            <v>남자</v>
          </cell>
          <cell r="EA112">
            <v>65.19</v>
          </cell>
        </row>
        <row r="113">
          <cell r="H113" t="str">
            <v>JP</v>
          </cell>
          <cell r="S113" t="str">
            <v>남자</v>
          </cell>
          <cell r="EA113">
            <v>57.24</v>
          </cell>
        </row>
        <row r="114">
          <cell r="H114" t="str">
            <v>JP</v>
          </cell>
          <cell r="S114" t="str">
            <v>남자</v>
          </cell>
          <cell r="EA114">
            <v>37.590000000000003</v>
          </cell>
        </row>
        <row r="115">
          <cell r="H115" t="str">
            <v>JP</v>
          </cell>
          <cell r="S115" t="str">
            <v>남자</v>
          </cell>
          <cell r="EA115">
            <v>37.590000000000003</v>
          </cell>
        </row>
        <row r="116">
          <cell r="H116" t="str">
            <v>JP</v>
          </cell>
          <cell r="S116" t="str">
            <v>남자</v>
          </cell>
          <cell r="EA116">
            <v>90.3</v>
          </cell>
        </row>
        <row r="117">
          <cell r="H117" t="str">
            <v>JP</v>
          </cell>
          <cell r="S117" t="str">
            <v>남자</v>
          </cell>
          <cell r="EA117">
            <v>90.3</v>
          </cell>
        </row>
        <row r="118">
          <cell r="H118" t="str">
            <v>JP</v>
          </cell>
          <cell r="S118" t="str">
            <v>남자</v>
          </cell>
          <cell r="EA118">
            <v>222.5</v>
          </cell>
        </row>
        <row r="119">
          <cell r="H119" t="str">
            <v>JP</v>
          </cell>
          <cell r="S119" t="str">
            <v>남자</v>
          </cell>
          <cell r="EA119">
            <v>178</v>
          </cell>
        </row>
        <row r="120">
          <cell r="H120" t="str">
            <v>JP</v>
          </cell>
          <cell r="S120" t="str">
            <v>남자</v>
          </cell>
          <cell r="EA120">
            <v>133.5</v>
          </cell>
        </row>
        <row r="121">
          <cell r="H121" t="str">
            <v>JP</v>
          </cell>
          <cell r="S121" t="str">
            <v>남자</v>
          </cell>
          <cell r="EA121">
            <v>44.75</v>
          </cell>
        </row>
        <row r="122">
          <cell r="H122" t="str">
            <v>JP</v>
          </cell>
          <cell r="S122" t="str">
            <v>남자</v>
          </cell>
          <cell r="EA122">
            <v>44.75</v>
          </cell>
        </row>
        <row r="123">
          <cell r="H123" t="str">
            <v>JP</v>
          </cell>
          <cell r="S123" t="str">
            <v>여자</v>
          </cell>
          <cell r="EA123">
            <v>94.86</v>
          </cell>
        </row>
        <row r="124">
          <cell r="H124" t="str">
            <v>JP</v>
          </cell>
          <cell r="S124" t="str">
            <v>여자</v>
          </cell>
          <cell r="EA124">
            <v>94.86</v>
          </cell>
        </row>
        <row r="125">
          <cell r="H125" t="str">
            <v>JP</v>
          </cell>
          <cell r="S125" t="str">
            <v>여자</v>
          </cell>
          <cell r="EA125">
            <v>75.14</v>
          </cell>
        </row>
        <row r="126">
          <cell r="H126" t="str">
            <v>JP</v>
          </cell>
          <cell r="S126" t="str">
            <v>여자</v>
          </cell>
          <cell r="EA126">
            <v>75.14</v>
          </cell>
        </row>
        <row r="127">
          <cell r="H127" t="str">
            <v>JP</v>
          </cell>
          <cell r="S127" t="str">
            <v>여자</v>
          </cell>
          <cell r="EA127">
            <v>47.25</v>
          </cell>
        </row>
        <row r="128">
          <cell r="H128" t="str">
            <v>JP</v>
          </cell>
          <cell r="S128" t="str">
            <v>여자</v>
          </cell>
          <cell r="EA128">
            <v>47.25</v>
          </cell>
        </row>
        <row r="129">
          <cell r="H129" t="str">
            <v>JP</v>
          </cell>
          <cell r="S129" t="str">
            <v>여자</v>
          </cell>
          <cell r="EA129">
            <v>44.52</v>
          </cell>
        </row>
        <row r="130">
          <cell r="H130" t="str">
            <v>JP</v>
          </cell>
          <cell r="S130" t="str">
            <v>여자</v>
          </cell>
          <cell r="EA130">
            <v>49.29</v>
          </cell>
        </row>
        <row r="131">
          <cell r="H131" t="str">
            <v>JP</v>
          </cell>
          <cell r="S131" t="str">
            <v>여자</v>
          </cell>
          <cell r="EA131">
            <v>55.49</v>
          </cell>
        </row>
        <row r="132">
          <cell r="H132" t="str">
            <v>JP</v>
          </cell>
          <cell r="S132" t="str">
            <v>여자</v>
          </cell>
          <cell r="EA132">
            <v>50.12</v>
          </cell>
        </row>
        <row r="133">
          <cell r="H133" t="str">
            <v>JP</v>
          </cell>
          <cell r="S133" t="str">
            <v>여자</v>
          </cell>
          <cell r="EA133">
            <v>47.25</v>
          </cell>
        </row>
        <row r="134">
          <cell r="H134" t="str">
            <v>JP</v>
          </cell>
          <cell r="S134" t="str">
            <v>여자</v>
          </cell>
          <cell r="EA134">
            <v>47.25</v>
          </cell>
        </row>
        <row r="135">
          <cell r="H135" t="str">
            <v>JP</v>
          </cell>
          <cell r="S135" t="str">
            <v>여자</v>
          </cell>
          <cell r="EA135">
            <v>42.25</v>
          </cell>
        </row>
        <row r="136">
          <cell r="H136" t="str">
            <v>JP</v>
          </cell>
          <cell r="S136" t="str">
            <v>여자</v>
          </cell>
          <cell r="EA136">
            <v>42.25</v>
          </cell>
        </row>
        <row r="137">
          <cell r="H137" t="str">
            <v>JP</v>
          </cell>
          <cell r="S137" t="str">
            <v>여자</v>
          </cell>
          <cell r="EA137">
            <v>82.44</v>
          </cell>
        </row>
        <row r="138">
          <cell r="H138" t="str">
            <v>JP</v>
          </cell>
          <cell r="S138" t="str">
            <v>여자</v>
          </cell>
          <cell r="EA138">
            <v>82.44</v>
          </cell>
        </row>
        <row r="139">
          <cell r="H139" t="str">
            <v>JP</v>
          </cell>
          <cell r="S139" t="str">
            <v>여자</v>
          </cell>
          <cell r="EA139">
            <v>99.5</v>
          </cell>
        </row>
        <row r="140">
          <cell r="H140" t="str">
            <v>JP</v>
          </cell>
          <cell r="S140" t="str">
            <v>여자</v>
          </cell>
          <cell r="EA140">
            <v>119.4</v>
          </cell>
        </row>
        <row r="141">
          <cell r="H141" t="str">
            <v>JP</v>
          </cell>
          <cell r="S141" t="str">
            <v>여자</v>
          </cell>
          <cell r="EA141">
            <v>139.30000000000001</v>
          </cell>
        </row>
        <row r="142">
          <cell r="H142" t="str">
            <v>JP</v>
          </cell>
          <cell r="S142" t="str">
            <v>여자</v>
          </cell>
          <cell r="EA142">
            <v>103.48</v>
          </cell>
        </row>
        <row r="143">
          <cell r="H143" t="str">
            <v>JP</v>
          </cell>
          <cell r="S143" t="str">
            <v>여자</v>
          </cell>
          <cell r="EA143">
            <v>129.35</v>
          </cell>
        </row>
        <row r="144">
          <cell r="H144" t="str">
            <v>JP</v>
          </cell>
          <cell r="S144" t="str">
            <v>여자</v>
          </cell>
          <cell r="EA144">
            <v>149.25</v>
          </cell>
        </row>
        <row r="145">
          <cell r="H145" t="str">
            <v>JP</v>
          </cell>
          <cell r="S145" t="str">
            <v>여자</v>
          </cell>
          <cell r="EA145">
            <v>109.45</v>
          </cell>
        </row>
        <row r="146">
          <cell r="H146" t="str">
            <v>JP</v>
          </cell>
          <cell r="S146" t="str">
            <v>여자</v>
          </cell>
          <cell r="EA146">
            <v>64.069999999999993</v>
          </cell>
        </row>
        <row r="147">
          <cell r="H147" t="str">
            <v>JP</v>
          </cell>
          <cell r="S147" t="str">
            <v>여자</v>
          </cell>
          <cell r="EA147">
            <v>64.069999999999993</v>
          </cell>
        </row>
        <row r="148">
          <cell r="H148" t="str">
            <v>JP</v>
          </cell>
          <cell r="S148" t="str">
            <v>여자</v>
          </cell>
          <cell r="EA148">
            <v>56.62</v>
          </cell>
        </row>
        <row r="149">
          <cell r="H149" t="str">
            <v>JP</v>
          </cell>
          <cell r="S149" t="str">
            <v>여자</v>
          </cell>
          <cell r="EA149">
            <v>61.32</v>
          </cell>
        </row>
        <row r="150">
          <cell r="H150" t="str">
            <v>JP</v>
          </cell>
          <cell r="S150" t="str">
            <v>여자</v>
          </cell>
          <cell r="EA150">
            <v>67.89</v>
          </cell>
        </row>
        <row r="151">
          <cell r="H151" t="str">
            <v>JP</v>
          </cell>
          <cell r="S151" t="str">
            <v>여자</v>
          </cell>
          <cell r="EA151">
            <v>56.62</v>
          </cell>
        </row>
        <row r="152">
          <cell r="H152" t="str">
            <v>JP</v>
          </cell>
          <cell r="S152" t="str">
            <v>여자</v>
          </cell>
          <cell r="EA152">
            <v>56.62</v>
          </cell>
        </row>
        <row r="153">
          <cell r="H153" t="str">
            <v>JP</v>
          </cell>
          <cell r="S153" t="str">
            <v>여자</v>
          </cell>
          <cell r="EA153">
            <v>37.590000000000003</v>
          </cell>
        </row>
        <row r="154">
          <cell r="H154" t="str">
            <v>JP</v>
          </cell>
          <cell r="S154" t="str">
            <v>여자</v>
          </cell>
          <cell r="EA154">
            <v>37.590000000000003</v>
          </cell>
        </row>
        <row r="155">
          <cell r="H155" t="str">
            <v>JP</v>
          </cell>
          <cell r="S155" t="str">
            <v>여자</v>
          </cell>
          <cell r="EA155">
            <v>90.3</v>
          </cell>
        </row>
        <row r="156">
          <cell r="H156" t="str">
            <v>JP</v>
          </cell>
          <cell r="S156" t="str">
            <v>여자</v>
          </cell>
          <cell r="EA156">
            <v>90.3</v>
          </cell>
        </row>
        <row r="157">
          <cell r="H157" t="str">
            <v>JP</v>
          </cell>
          <cell r="S157" t="str">
            <v>여자</v>
          </cell>
          <cell r="EA157">
            <v>133.5</v>
          </cell>
        </row>
        <row r="158">
          <cell r="H158" t="str">
            <v>JP</v>
          </cell>
          <cell r="S158" t="str">
            <v>여자</v>
          </cell>
          <cell r="EA158">
            <v>89</v>
          </cell>
        </row>
        <row r="159">
          <cell r="H159" t="str">
            <v>JP</v>
          </cell>
          <cell r="S159" t="str">
            <v>여자</v>
          </cell>
          <cell r="EA159">
            <v>133.5</v>
          </cell>
        </row>
        <row r="160">
          <cell r="H160" t="str">
            <v>JP</v>
          </cell>
          <cell r="S160" t="str">
            <v>여자</v>
          </cell>
          <cell r="EA160">
            <v>61.69</v>
          </cell>
        </row>
        <row r="161">
          <cell r="H161" t="str">
            <v>JP</v>
          </cell>
          <cell r="S161" t="str">
            <v>여자</v>
          </cell>
          <cell r="EA161">
            <v>51.74</v>
          </cell>
        </row>
        <row r="162">
          <cell r="H162" t="str">
            <v>JP</v>
          </cell>
          <cell r="S162" t="str">
            <v>여자</v>
          </cell>
          <cell r="EA162">
            <v>62.14</v>
          </cell>
        </row>
        <row r="163">
          <cell r="H163" t="str">
            <v>JP</v>
          </cell>
          <cell r="S163" t="str">
            <v>여자</v>
          </cell>
          <cell r="EA163">
            <v>62.14</v>
          </cell>
        </row>
        <row r="164">
          <cell r="H164" t="str">
            <v>JP</v>
          </cell>
          <cell r="S164" t="str">
            <v>여자</v>
          </cell>
          <cell r="EA164">
            <v>42.25</v>
          </cell>
        </row>
        <row r="165">
          <cell r="H165" t="str">
            <v>JP</v>
          </cell>
          <cell r="S165" t="str">
            <v>여자</v>
          </cell>
          <cell r="EA165">
            <v>42.25</v>
          </cell>
        </row>
        <row r="167">
          <cell r="H167" t="str">
            <v>VT</v>
          </cell>
          <cell r="S167" t="str">
            <v>남자</v>
          </cell>
          <cell r="EA167">
            <v>33.32</v>
          </cell>
        </row>
        <row r="168">
          <cell r="H168" t="str">
            <v>VT</v>
          </cell>
          <cell r="S168" t="str">
            <v>남자</v>
          </cell>
          <cell r="EA168">
            <v>33.32</v>
          </cell>
        </row>
        <row r="169">
          <cell r="H169" t="str">
            <v>VT</v>
          </cell>
          <cell r="S169" t="str">
            <v>여자</v>
          </cell>
          <cell r="EA169">
            <v>33.32</v>
          </cell>
        </row>
        <row r="170">
          <cell r="H170" t="str">
            <v>VT</v>
          </cell>
          <cell r="S170" t="str">
            <v>여자</v>
          </cell>
          <cell r="EA170">
            <v>33.32</v>
          </cell>
        </row>
        <row r="171">
          <cell r="H171" t="str">
            <v>VT</v>
          </cell>
          <cell r="S171" t="str">
            <v>여자</v>
          </cell>
          <cell r="EA171">
            <v>36.119999999999997</v>
          </cell>
        </row>
        <row r="172">
          <cell r="H172" t="str">
            <v>VT</v>
          </cell>
          <cell r="S172" t="str">
            <v>여자</v>
          </cell>
          <cell r="EA172">
            <v>36.119999999999997</v>
          </cell>
        </row>
        <row r="173">
          <cell r="H173" t="str">
            <v>VT</v>
          </cell>
          <cell r="S173" t="str">
            <v>남자</v>
          </cell>
          <cell r="EA173">
            <v>39.99</v>
          </cell>
        </row>
        <row r="174">
          <cell r="H174" t="str">
            <v>VT</v>
          </cell>
          <cell r="S174" t="str">
            <v>남자</v>
          </cell>
          <cell r="EA174">
            <v>39.99</v>
          </cell>
        </row>
        <row r="175">
          <cell r="H175" t="str">
            <v>VT</v>
          </cell>
          <cell r="S175" t="str">
            <v>여자</v>
          </cell>
          <cell r="EA175">
            <v>36.119999999999997</v>
          </cell>
        </row>
        <row r="176">
          <cell r="H176" t="str">
            <v>VT</v>
          </cell>
          <cell r="S176" t="str">
            <v>여자</v>
          </cell>
          <cell r="EA176">
            <v>36.119999999999997</v>
          </cell>
        </row>
        <row r="177">
          <cell r="H177" t="str">
            <v>VT</v>
          </cell>
          <cell r="S177" t="str">
            <v>남자</v>
          </cell>
          <cell r="EA177">
            <v>33.32</v>
          </cell>
        </row>
        <row r="178">
          <cell r="H178" t="str">
            <v>VT</v>
          </cell>
          <cell r="S178" t="str">
            <v>남자</v>
          </cell>
          <cell r="EA178">
            <v>33.32</v>
          </cell>
        </row>
        <row r="179">
          <cell r="H179" t="str">
            <v>VT</v>
          </cell>
          <cell r="S179" t="str">
            <v>남자</v>
          </cell>
          <cell r="EA179">
            <v>39.99</v>
          </cell>
        </row>
        <row r="180">
          <cell r="H180" t="str">
            <v>VT</v>
          </cell>
          <cell r="S180" t="str">
            <v>남자</v>
          </cell>
          <cell r="EA180">
            <v>39.99</v>
          </cell>
        </row>
        <row r="181">
          <cell r="H181" t="str">
            <v>VT</v>
          </cell>
          <cell r="S181" t="str">
            <v>여자</v>
          </cell>
          <cell r="EA181">
            <v>33.32</v>
          </cell>
        </row>
        <row r="182">
          <cell r="H182" t="str">
            <v>VT</v>
          </cell>
          <cell r="S182" t="str">
            <v>여자</v>
          </cell>
          <cell r="EA182">
            <v>33.32</v>
          </cell>
        </row>
        <row r="184">
          <cell r="H184" t="str">
            <v>SH</v>
          </cell>
          <cell r="S184" t="str">
            <v>남자</v>
          </cell>
          <cell r="EA184">
            <v>29.7</v>
          </cell>
        </row>
        <row r="185">
          <cell r="H185" t="str">
            <v>SH</v>
          </cell>
          <cell r="S185" t="str">
            <v>남자</v>
          </cell>
          <cell r="EA185">
            <v>29.7</v>
          </cell>
        </row>
        <row r="186">
          <cell r="H186" t="str">
            <v>SH</v>
          </cell>
          <cell r="S186" t="str">
            <v>남자</v>
          </cell>
          <cell r="EA186">
            <v>24.75</v>
          </cell>
        </row>
        <row r="187">
          <cell r="H187" t="str">
            <v>SH</v>
          </cell>
          <cell r="S187" t="str">
            <v>남자</v>
          </cell>
          <cell r="EA187">
            <v>24.75</v>
          </cell>
        </row>
        <row r="188">
          <cell r="H188" t="str">
            <v>SH</v>
          </cell>
          <cell r="S188" t="str">
            <v>여자</v>
          </cell>
          <cell r="EA188">
            <v>24.75</v>
          </cell>
        </row>
        <row r="189">
          <cell r="H189" t="str">
            <v>SH</v>
          </cell>
          <cell r="S189" t="str">
            <v>여자</v>
          </cell>
          <cell r="EA189">
            <v>24.75</v>
          </cell>
        </row>
        <row r="190">
          <cell r="H190" t="str">
            <v>SH</v>
          </cell>
          <cell r="S190" t="str">
            <v>여자</v>
          </cell>
          <cell r="EA190">
            <v>24.75</v>
          </cell>
        </row>
        <row r="191">
          <cell r="H191" t="str">
            <v>SH</v>
          </cell>
          <cell r="S191" t="str">
            <v>여자</v>
          </cell>
          <cell r="EA191">
            <v>24.75</v>
          </cell>
        </row>
        <row r="192">
          <cell r="H192" t="str">
            <v>SH</v>
          </cell>
          <cell r="S192" t="str">
            <v>여자</v>
          </cell>
          <cell r="EA192">
            <v>24.75</v>
          </cell>
        </row>
        <row r="193">
          <cell r="H193" t="str">
            <v>SH</v>
          </cell>
          <cell r="S193" t="str">
            <v>여자</v>
          </cell>
          <cell r="EA193">
            <v>24.75</v>
          </cell>
        </row>
        <row r="194">
          <cell r="H194" t="str">
            <v>SH</v>
          </cell>
          <cell r="S194" t="str">
            <v>남자</v>
          </cell>
          <cell r="EA194">
            <v>19.75</v>
          </cell>
        </row>
        <row r="195">
          <cell r="H195" t="str">
            <v>SH</v>
          </cell>
          <cell r="S195" t="str">
            <v>남자</v>
          </cell>
          <cell r="EA195">
            <v>19.75</v>
          </cell>
        </row>
        <row r="196">
          <cell r="H196" t="str">
            <v>SH</v>
          </cell>
          <cell r="S196" t="str">
            <v>남자</v>
          </cell>
          <cell r="EA196">
            <v>19.75</v>
          </cell>
        </row>
        <row r="197">
          <cell r="H197" t="str">
            <v>SH</v>
          </cell>
          <cell r="S197" t="str">
            <v>남자</v>
          </cell>
          <cell r="EA197">
            <v>19.75</v>
          </cell>
        </row>
        <row r="198">
          <cell r="H198" t="str">
            <v>SH</v>
          </cell>
          <cell r="S198" t="str">
            <v>여자</v>
          </cell>
          <cell r="EA198">
            <v>19.75</v>
          </cell>
        </row>
        <row r="199">
          <cell r="H199" t="str">
            <v>SH</v>
          </cell>
          <cell r="S199" t="str">
            <v>여자</v>
          </cell>
          <cell r="EA199">
            <v>19.75</v>
          </cell>
        </row>
        <row r="201">
          <cell r="H201" t="str">
            <v>TL</v>
          </cell>
          <cell r="S201" t="str">
            <v>남자</v>
          </cell>
          <cell r="EA201">
            <v>30.69</v>
          </cell>
        </row>
        <row r="202">
          <cell r="H202" t="str">
            <v>TL</v>
          </cell>
          <cell r="S202" t="str">
            <v>남자</v>
          </cell>
          <cell r="EA202">
            <v>30.69</v>
          </cell>
        </row>
        <row r="203">
          <cell r="H203" t="str">
            <v>TL</v>
          </cell>
          <cell r="S203" t="str">
            <v>남자</v>
          </cell>
          <cell r="EA203">
            <v>23.98</v>
          </cell>
        </row>
        <row r="204">
          <cell r="H204" t="str">
            <v>TL</v>
          </cell>
          <cell r="S204" t="str">
            <v>남자</v>
          </cell>
          <cell r="EA204">
            <v>21.8</v>
          </cell>
        </row>
        <row r="205">
          <cell r="H205" t="str">
            <v>TL</v>
          </cell>
          <cell r="S205" t="str">
            <v>남자</v>
          </cell>
          <cell r="EA205">
            <v>41.42</v>
          </cell>
        </row>
        <row r="206">
          <cell r="H206" t="str">
            <v>TL</v>
          </cell>
          <cell r="S206" t="str">
            <v>남자</v>
          </cell>
          <cell r="EA206">
            <v>41.42</v>
          </cell>
        </row>
        <row r="207">
          <cell r="H207" t="str">
            <v>TL</v>
          </cell>
          <cell r="S207" t="str">
            <v>남자</v>
          </cell>
          <cell r="EA207">
            <v>31.5</v>
          </cell>
        </row>
        <row r="208">
          <cell r="H208" t="str">
            <v>TL</v>
          </cell>
          <cell r="S208" t="str">
            <v>남자</v>
          </cell>
          <cell r="EA208">
            <v>31.5</v>
          </cell>
        </row>
        <row r="209">
          <cell r="H209" t="str">
            <v>TL</v>
          </cell>
          <cell r="S209" t="str">
            <v>남자</v>
          </cell>
          <cell r="EA209">
            <v>35.64</v>
          </cell>
        </row>
        <row r="210">
          <cell r="H210" t="str">
            <v>TL</v>
          </cell>
          <cell r="S210" t="str">
            <v>남자</v>
          </cell>
          <cell r="EA210">
            <v>25.74</v>
          </cell>
        </row>
        <row r="211">
          <cell r="H211" t="str">
            <v>TL</v>
          </cell>
          <cell r="S211" t="str">
            <v>남자</v>
          </cell>
          <cell r="EA211">
            <v>24.92</v>
          </cell>
        </row>
        <row r="212">
          <cell r="H212" t="str">
            <v>TL</v>
          </cell>
          <cell r="S212" t="str">
            <v>남자</v>
          </cell>
          <cell r="EA212">
            <v>21.36</v>
          </cell>
        </row>
        <row r="213">
          <cell r="H213" t="str">
            <v>TL</v>
          </cell>
          <cell r="S213" t="str">
            <v>남자</v>
          </cell>
          <cell r="EA213">
            <v>35.64</v>
          </cell>
        </row>
        <row r="214">
          <cell r="H214" t="str">
            <v>TL</v>
          </cell>
          <cell r="S214" t="str">
            <v>남자</v>
          </cell>
          <cell r="EA214">
            <v>35.64</v>
          </cell>
        </row>
        <row r="215">
          <cell r="H215" t="str">
            <v>TL</v>
          </cell>
          <cell r="S215" t="str">
            <v>남자</v>
          </cell>
          <cell r="EA215">
            <v>45.78</v>
          </cell>
        </row>
        <row r="216">
          <cell r="H216" t="str">
            <v>TL</v>
          </cell>
          <cell r="S216" t="str">
            <v>남자</v>
          </cell>
          <cell r="EA216">
            <v>45.78</v>
          </cell>
        </row>
        <row r="217">
          <cell r="H217" t="str">
            <v>TL</v>
          </cell>
          <cell r="S217" t="str">
            <v>남자</v>
          </cell>
          <cell r="EA217">
            <v>17.38</v>
          </cell>
        </row>
        <row r="218">
          <cell r="H218" t="str">
            <v>TL</v>
          </cell>
          <cell r="S218" t="str">
            <v>남자</v>
          </cell>
          <cell r="EA218">
            <v>17.38</v>
          </cell>
        </row>
        <row r="219">
          <cell r="H219" t="str">
            <v>TL</v>
          </cell>
          <cell r="S219" t="str">
            <v>남자</v>
          </cell>
          <cell r="EA219">
            <v>41.4</v>
          </cell>
        </row>
        <row r="220">
          <cell r="H220" t="str">
            <v>TL</v>
          </cell>
          <cell r="S220" t="str">
            <v>남자</v>
          </cell>
          <cell r="EA220">
            <v>34.5</v>
          </cell>
        </row>
        <row r="221">
          <cell r="H221" t="str">
            <v>TL</v>
          </cell>
          <cell r="S221" t="str">
            <v>남자</v>
          </cell>
          <cell r="EA221">
            <v>220.5</v>
          </cell>
        </row>
        <row r="222">
          <cell r="H222" t="str">
            <v>TL</v>
          </cell>
          <cell r="S222" t="str">
            <v>남자</v>
          </cell>
          <cell r="EA222">
            <v>73.5</v>
          </cell>
        </row>
        <row r="223">
          <cell r="H223" t="str">
            <v>TL</v>
          </cell>
          <cell r="S223" t="str">
            <v>남자</v>
          </cell>
          <cell r="EA223">
            <v>73.5</v>
          </cell>
        </row>
        <row r="224">
          <cell r="H224" t="str">
            <v>TL</v>
          </cell>
          <cell r="S224" t="str">
            <v>남자</v>
          </cell>
          <cell r="EA224">
            <v>220.5</v>
          </cell>
        </row>
        <row r="225">
          <cell r="H225" t="str">
            <v>TL</v>
          </cell>
          <cell r="S225" t="str">
            <v>남자</v>
          </cell>
          <cell r="EA225">
            <v>21.78</v>
          </cell>
        </row>
        <row r="226">
          <cell r="H226" t="str">
            <v>TL</v>
          </cell>
          <cell r="S226" t="str">
            <v>남자</v>
          </cell>
          <cell r="EA226">
            <v>21.78</v>
          </cell>
        </row>
        <row r="227">
          <cell r="H227" t="str">
            <v>TL</v>
          </cell>
          <cell r="S227" t="str">
            <v>남자</v>
          </cell>
          <cell r="EA227">
            <v>22.08</v>
          </cell>
        </row>
        <row r="228">
          <cell r="H228" t="str">
            <v>TL</v>
          </cell>
          <cell r="S228" t="str">
            <v>남자</v>
          </cell>
          <cell r="EA228">
            <v>17.940000000000001</v>
          </cell>
        </row>
        <row r="229">
          <cell r="H229" t="str">
            <v>TL</v>
          </cell>
          <cell r="S229" t="str">
            <v>남자</v>
          </cell>
          <cell r="EA229">
            <v>48.3</v>
          </cell>
        </row>
        <row r="230">
          <cell r="H230" t="str">
            <v>TL</v>
          </cell>
          <cell r="S230" t="str">
            <v>남자</v>
          </cell>
          <cell r="EA230">
            <v>55.2</v>
          </cell>
        </row>
        <row r="231">
          <cell r="H231" t="str">
            <v>TL</v>
          </cell>
          <cell r="S231" t="str">
            <v>남자</v>
          </cell>
          <cell r="EA231">
            <v>55.2</v>
          </cell>
        </row>
        <row r="232">
          <cell r="H232" t="str">
            <v>TL</v>
          </cell>
          <cell r="S232" t="str">
            <v>여자</v>
          </cell>
          <cell r="EA232">
            <v>36.1</v>
          </cell>
        </row>
        <row r="233">
          <cell r="H233" t="str">
            <v>TL</v>
          </cell>
          <cell r="S233" t="str">
            <v>여자</v>
          </cell>
          <cell r="EA233">
            <v>24.7</v>
          </cell>
        </row>
        <row r="234">
          <cell r="H234" t="str">
            <v>TL</v>
          </cell>
          <cell r="S234" t="str">
            <v>여자</v>
          </cell>
          <cell r="EA234">
            <v>22.8</v>
          </cell>
        </row>
        <row r="235">
          <cell r="H235" t="str">
            <v>TL</v>
          </cell>
          <cell r="S235" t="str">
            <v>여자</v>
          </cell>
          <cell r="EA235">
            <v>19</v>
          </cell>
        </row>
        <row r="236">
          <cell r="H236" t="str">
            <v>TL</v>
          </cell>
          <cell r="S236" t="str">
            <v>여자</v>
          </cell>
          <cell r="EA236">
            <v>21.36</v>
          </cell>
        </row>
        <row r="237">
          <cell r="H237" t="str">
            <v>TL</v>
          </cell>
          <cell r="S237" t="str">
            <v>여자</v>
          </cell>
          <cell r="EA237">
            <v>21.36</v>
          </cell>
        </row>
        <row r="238">
          <cell r="H238" t="str">
            <v>TL</v>
          </cell>
          <cell r="S238" t="str">
            <v>여자</v>
          </cell>
          <cell r="EA238">
            <v>29.7</v>
          </cell>
        </row>
        <row r="239">
          <cell r="H239" t="str">
            <v>TL</v>
          </cell>
          <cell r="S239" t="str">
            <v>여자</v>
          </cell>
          <cell r="EA239">
            <v>29.7</v>
          </cell>
        </row>
        <row r="240">
          <cell r="H240" t="str">
            <v>TL</v>
          </cell>
          <cell r="S240" t="str">
            <v>여자</v>
          </cell>
          <cell r="EA240">
            <v>28.5</v>
          </cell>
        </row>
        <row r="241">
          <cell r="H241" t="str">
            <v>TL</v>
          </cell>
          <cell r="S241" t="str">
            <v>여자</v>
          </cell>
          <cell r="EA241">
            <v>20.9</v>
          </cell>
        </row>
        <row r="242">
          <cell r="H242" t="str">
            <v>TL</v>
          </cell>
          <cell r="S242" t="str">
            <v>여자</v>
          </cell>
          <cell r="EA242">
            <v>25.5</v>
          </cell>
        </row>
        <row r="243">
          <cell r="H243" t="str">
            <v>TL</v>
          </cell>
          <cell r="S243" t="str">
            <v>여자</v>
          </cell>
          <cell r="EA243">
            <v>18.7</v>
          </cell>
        </row>
        <row r="244">
          <cell r="H244" t="str">
            <v>TL</v>
          </cell>
          <cell r="S244" t="str">
            <v>여자</v>
          </cell>
          <cell r="EA244">
            <v>24.7</v>
          </cell>
        </row>
        <row r="245">
          <cell r="H245" t="str">
            <v>TL</v>
          </cell>
          <cell r="S245" t="str">
            <v>여자</v>
          </cell>
          <cell r="EA245">
            <v>28.5</v>
          </cell>
        </row>
        <row r="246">
          <cell r="H246" t="str">
            <v>TL</v>
          </cell>
          <cell r="S246" t="str">
            <v>여자</v>
          </cell>
          <cell r="EA246">
            <v>49.5</v>
          </cell>
        </row>
        <row r="247">
          <cell r="H247" t="str">
            <v>TL</v>
          </cell>
          <cell r="S247" t="str">
            <v>여자</v>
          </cell>
          <cell r="EA247">
            <v>44.55</v>
          </cell>
        </row>
        <row r="248">
          <cell r="H248" t="str">
            <v>TL</v>
          </cell>
          <cell r="S248" t="str">
            <v>여자</v>
          </cell>
          <cell r="EA248">
            <v>16.5</v>
          </cell>
        </row>
        <row r="249">
          <cell r="H249" t="str">
            <v>TL</v>
          </cell>
          <cell r="S249" t="str">
            <v>여자</v>
          </cell>
          <cell r="EA249">
            <v>16.5</v>
          </cell>
        </row>
        <row r="250">
          <cell r="H250" t="str">
            <v>TL</v>
          </cell>
          <cell r="S250" t="str">
            <v>여자</v>
          </cell>
          <cell r="EA250">
            <v>37.950000000000003</v>
          </cell>
        </row>
        <row r="251">
          <cell r="H251" t="str">
            <v>TL</v>
          </cell>
          <cell r="S251" t="str">
            <v>여자</v>
          </cell>
          <cell r="EA251">
            <v>31.05</v>
          </cell>
        </row>
        <row r="252">
          <cell r="H252" t="str">
            <v>TL</v>
          </cell>
          <cell r="S252" t="str">
            <v>여자</v>
          </cell>
          <cell r="EA252">
            <v>88.2</v>
          </cell>
        </row>
        <row r="253">
          <cell r="H253" t="str">
            <v>TL</v>
          </cell>
          <cell r="S253" t="str">
            <v>여자</v>
          </cell>
          <cell r="EA253">
            <v>73.5</v>
          </cell>
        </row>
        <row r="254">
          <cell r="H254" t="str">
            <v>TL</v>
          </cell>
          <cell r="S254" t="str">
            <v>여자</v>
          </cell>
          <cell r="EA254">
            <v>58.8</v>
          </cell>
        </row>
        <row r="255">
          <cell r="H255" t="str">
            <v>TL</v>
          </cell>
          <cell r="S255" t="str">
            <v>여자</v>
          </cell>
          <cell r="EA255">
            <v>31.25</v>
          </cell>
        </row>
        <row r="256">
          <cell r="H256" t="str">
            <v>TL</v>
          </cell>
          <cell r="S256" t="str">
            <v>여자</v>
          </cell>
          <cell r="EA256">
            <v>25</v>
          </cell>
        </row>
        <row r="257">
          <cell r="H257" t="str">
            <v>TL</v>
          </cell>
          <cell r="S257" t="str">
            <v>여자</v>
          </cell>
          <cell r="EA257">
            <v>24.7</v>
          </cell>
        </row>
        <row r="258">
          <cell r="H258" t="str">
            <v>TL</v>
          </cell>
          <cell r="S258" t="str">
            <v>여자</v>
          </cell>
          <cell r="EA258">
            <v>24.7</v>
          </cell>
        </row>
        <row r="259">
          <cell r="H259" t="str">
            <v>TL</v>
          </cell>
          <cell r="S259" t="str">
            <v>여자</v>
          </cell>
          <cell r="EA259">
            <v>20.8</v>
          </cell>
        </row>
        <row r="260">
          <cell r="H260" t="str">
            <v>TL</v>
          </cell>
          <cell r="S260" t="str">
            <v>여자</v>
          </cell>
          <cell r="EA260">
            <v>16.899999999999999</v>
          </cell>
        </row>
        <row r="262">
          <cell r="H262" t="str">
            <v>TS</v>
          </cell>
          <cell r="S262" t="str">
            <v>남자</v>
          </cell>
          <cell r="EA262">
            <v>72.98</v>
          </cell>
        </row>
        <row r="263">
          <cell r="H263" t="str">
            <v>TS</v>
          </cell>
          <cell r="S263" t="str">
            <v>남자</v>
          </cell>
          <cell r="EA263">
            <v>62.3</v>
          </cell>
        </row>
        <row r="264">
          <cell r="H264" t="str">
            <v>TS</v>
          </cell>
          <cell r="S264" t="str">
            <v>남자</v>
          </cell>
          <cell r="EA264">
            <v>53.4</v>
          </cell>
        </row>
        <row r="265">
          <cell r="H265" t="str">
            <v>TS</v>
          </cell>
          <cell r="S265" t="str">
            <v>남자</v>
          </cell>
          <cell r="EA265">
            <v>53.4</v>
          </cell>
        </row>
        <row r="266">
          <cell r="H266" t="str">
            <v>TS</v>
          </cell>
          <cell r="S266" t="str">
            <v>남자</v>
          </cell>
          <cell r="EA266">
            <v>84</v>
          </cell>
        </row>
        <row r="267">
          <cell r="H267" t="str">
            <v>TS</v>
          </cell>
          <cell r="S267" t="str">
            <v>남자</v>
          </cell>
          <cell r="EA267">
            <v>73.5</v>
          </cell>
        </row>
        <row r="268">
          <cell r="H268" t="str">
            <v>TS</v>
          </cell>
          <cell r="S268" t="str">
            <v>남자</v>
          </cell>
          <cell r="EA268">
            <v>26.86</v>
          </cell>
        </row>
        <row r="269">
          <cell r="H269" t="str">
            <v>TS</v>
          </cell>
          <cell r="S269" t="str">
            <v>남자</v>
          </cell>
          <cell r="EA269">
            <v>20.54</v>
          </cell>
        </row>
        <row r="270">
          <cell r="H270" t="str">
            <v>TS</v>
          </cell>
          <cell r="S270" t="str">
            <v>남자</v>
          </cell>
          <cell r="EA270">
            <v>26.7</v>
          </cell>
        </row>
        <row r="271">
          <cell r="H271" t="str">
            <v>TS</v>
          </cell>
          <cell r="S271" t="str">
            <v>남자</v>
          </cell>
          <cell r="EA271">
            <v>26.7</v>
          </cell>
        </row>
        <row r="272">
          <cell r="H272" t="str">
            <v>TS</v>
          </cell>
          <cell r="S272" t="str">
            <v>남자</v>
          </cell>
          <cell r="EA272">
            <v>40.94</v>
          </cell>
        </row>
        <row r="273">
          <cell r="H273" t="str">
            <v>TS</v>
          </cell>
          <cell r="S273" t="str">
            <v>남자</v>
          </cell>
          <cell r="EA273">
            <v>40.94</v>
          </cell>
        </row>
        <row r="274">
          <cell r="H274" t="str">
            <v>TS</v>
          </cell>
          <cell r="S274" t="str">
            <v>남자</v>
          </cell>
          <cell r="EA274">
            <v>38.08</v>
          </cell>
        </row>
        <row r="275">
          <cell r="H275" t="str">
            <v>TS</v>
          </cell>
          <cell r="S275" t="str">
            <v>남자</v>
          </cell>
          <cell r="EA275">
            <v>38.08</v>
          </cell>
        </row>
        <row r="276">
          <cell r="H276" t="str">
            <v>TS</v>
          </cell>
          <cell r="S276" t="str">
            <v>남자</v>
          </cell>
          <cell r="EA276">
            <v>55.3</v>
          </cell>
        </row>
        <row r="277">
          <cell r="H277" t="str">
            <v>TS</v>
          </cell>
          <cell r="S277" t="str">
            <v>남자</v>
          </cell>
          <cell r="EA277">
            <v>55.3</v>
          </cell>
        </row>
        <row r="278">
          <cell r="H278" t="str">
            <v>TS</v>
          </cell>
          <cell r="S278" t="str">
            <v>남자</v>
          </cell>
          <cell r="EA278">
            <v>44.55</v>
          </cell>
        </row>
        <row r="279">
          <cell r="H279" t="str">
            <v>TS</v>
          </cell>
          <cell r="S279" t="str">
            <v>남자</v>
          </cell>
          <cell r="EA279">
            <v>44.55</v>
          </cell>
        </row>
        <row r="280">
          <cell r="H280" t="str">
            <v>TS</v>
          </cell>
          <cell r="S280" t="str">
            <v>남자</v>
          </cell>
          <cell r="EA280">
            <v>17.25</v>
          </cell>
        </row>
        <row r="281">
          <cell r="H281" t="str">
            <v>TS</v>
          </cell>
          <cell r="S281" t="str">
            <v>남자</v>
          </cell>
          <cell r="EA281">
            <v>17.25</v>
          </cell>
        </row>
        <row r="282">
          <cell r="H282" t="str">
            <v>TS</v>
          </cell>
          <cell r="S282" t="str">
            <v>남자</v>
          </cell>
          <cell r="EA282">
            <v>54.5</v>
          </cell>
        </row>
        <row r="283">
          <cell r="H283" t="str">
            <v>TS</v>
          </cell>
          <cell r="S283" t="str">
            <v>남자</v>
          </cell>
          <cell r="EA283">
            <v>54.5</v>
          </cell>
        </row>
        <row r="284">
          <cell r="H284" t="str">
            <v>TS</v>
          </cell>
          <cell r="S284" t="str">
            <v>남자</v>
          </cell>
          <cell r="EA284">
            <v>52.5</v>
          </cell>
        </row>
        <row r="285">
          <cell r="H285" t="str">
            <v>TS</v>
          </cell>
          <cell r="S285" t="str">
            <v>남자</v>
          </cell>
          <cell r="EA285">
            <v>52.5</v>
          </cell>
        </row>
        <row r="286">
          <cell r="H286" t="str">
            <v>TS</v>
          </cell>
          <cell r="S286" t="str">
            <v>남자</v>
          </cell>
          <cell r="EA286">
            <v>85.891999999999996</v>
          </cell>
        </row>
        <row r="287">
          <cell r="H287" t="str">
            <v>TS</v>
          </cell>
          <cell r="S287" t="str">
            <v>남자</v>
          </cell>
          <cell r="EA287">
            <v>87.090999999999994</v>
          </cell>
        </row>
        <row r="288">
          <cell r="H288" t="str">
            <v>TS</v>
          </cell>
          <cell r="S288" t="str">
            <v>남자</v>
          </cell>
          <cell r="EA288">
            <v>64.349999999999994</v>
          </cell>
        </row>
        <row r="289">
          <cell r="H289" t="str">
            <v>TS</v>
          </cell>
          <cell r="S289" t="str">
            <v>남자</v>
          </cell>
          <cell r="EA289">
            <v>64.349999999999994</v>
          </cell>
        </row>
        <row r="290">
          <cell r="H290" t="str">
            <v>TS</v>
          </cell>
          <cell r="S290" t="str">
            <v>남자</v>
          </cell>
          <cell r="EA290">
            <v>49.5</v>
          </cell>
        </row>
        <row r="291">
          <cell r="H291" t="str">
            <v>TS</v>
          </cell>
          <cell r="S291" t="str">
            <v>남자</v>
          </cell>
          <cell r="EA291">
            <v>26.7</v>
          </cell>
        </row>
        <row r="292">
          <cell r="H292" t="str">
            <v>TS</v>
          </cell>
          <cell r="S292" t="str">
            <v>남자</v>
          </cell>
          <cell r="EA292">
            <v>26.7</v>
          </cell>
        </row>
        <row r="293">
          <cell r="H293" t="str">
            <v>TS</v>
          </cell>
          <cell r="S293" t="str">
            <v>남자</v>
          </cell>
          <cell r="EA293">
            <v>48.95</v>
          </cell>
        </row>
        <row r="294">
          <cell r="H294" t="str">
            <v>TS</v>
          </cell>
          <cell r="S294" t="str">
            <v>남자</v>
          </cell>
          <cell r="EA294">
            <v>44.5</v>
          </cell>
        </row>
        <row r="295">
          <cell r="H295" t="str">
            <v>TS</v>
          </cell>
          <cell r="S295" t="str">
            <v>남자</v>
          </cell>
          <cell r="EA295">
            <v>31.5</v>
          </cell>
        </row>
        <row r="296">
          <cell r="H296" t="str">
            <v>TS</v>
          </cell>
          <cell r="S296" t="str">
            <v>남자</v>
          </cell>
          <cell r="EA296">
            <v>31.5</v>
          </cell>
        </row>
        <row r="297">
          <cell r="H297" t="str">
            <v>TS</v>
          </cell>
          <cell r="S297" t="str">
            <v>남자</v>
          </cell>
          <cell r="EA297">
            <v>20.54</v>
          </cell>
        </row>
        <row r="298">
          <cell r="H298" t="str">
            <v>TS</v>
          </cell>
          <cell r="S298" t="str">
            <v>남자</v>
          </cell>
          <cell r="EA298">
            <v>20.54</v>
          </cell>
        </row>
        <row r="299">
          <cell r="H299" t="str">
            <v>TS</v>
          </cell>
          <cell r="S299" t="str">
            <v>남자</v>
          </cell>
          <cell r="EA299">
            <v>37.619999999999997</v>
          </cell>
        </row>
        <row r="300">
          <cell r="H300" t="str">
            <v>TS</v>
          </cell>
          <cell r="S300" t="str">
            <v>남자</v>
          </cell>
          <cell r="EA300">
            <v>41.58</v>
          </cell>
        </row>
        <row r="301">
          <cell r="H301" t="str">
            <v>TS</v>
          </cell>
          <cell r="S301" t="str">
            <v>남자</v>
          </cell>
          <cell r="EA301">
            <v>20.54</v>
          </cell>
        </row>
        <row r="302">
          <cell r="H302" t="str">
            <v>TS</v>
          </cell>
          <cell r="S302" t="str">
            <v>남자</v>
          </cell>
          <cell r="EA302">
            <v>20.54</v>
          </cell>
        </row>
        <row r="303">
          <cell r="H303" t="str">
            <v>TS</v>
          </cell>
          <cell r="S303" t="str">
            <v>남자</v>
          </cell>
          <cell r="EA303">
            <v>53.4</v>
          </cell>
        </row>
        <row r="304">
          <cell r="H304" t="str">
            <v>TS</v>
          </cell>
          <cell r="S304" t="str">
            <v>남자</v>
          </cell>
          <cell r="EA304">
            <v>53.4</v>
          </cell>
        </row>
        <row r="305">
          <cell r="H305" t="str">
            <v>TS</v>
          </cell>
          <cell r="S305" t="str">
            <v>남자</v>
          </cell>
          <cell r="EA305">
            <v>37.380000000000003</v>
          </cell>
        </row>
        <row r="306">
          <cell r="H306" t="str">
            <v>TS</v>
          </cell>
          <cell r="S306" t="str">
            <v>남자</v>
          </cell>
          <cell r="EA306">
            <v>37.380000000000003</v>
          </cell>
        </row>
        <row r="307">
          <cell r="H307" t="str">
            <v>TS</v>
          </cell>
          <cell r="S307" t="str">
            <v>남자</v>
          </cell>
          <cell r="EA307">
            <v>26.7</v>
          </cell>
        </row>
        <row r="308">
          <cell r="H308" t="str">
            <v>TS</v>
          </cell>
          <cell r="S308" t="str">
            <v>남자</v>
          </cell>
          <cell r="EA308">
            <v>40.049999999999997</v>
          </cell>
        </row>
        <row r="309">
          <cell r="H309" t="str">
            <v>TS</v>
          </cell>
          <cell r="S309" t="str">
            <v>남자</v>
          </cell>
          <cell r="EA309">
            <v>53.4</v>
          </cell>
        </row>
        <row r="310">
          <cell r="H310" t="str">
            <v>TS</v>
          </cell>
          <cell r="S310" t="str">
            <v>남자</v>
          </cell>
          <cell r="EA310">
            <v>15.18</v>
          </cell>
        </row>
        <row r="311">
          <cell r="H311" t="str">
            <v>TS</v>
          </cell>
          <cell r="S311" t="str">
            <v>남자</v>
          </cell>
          <cell r="EA311">
            <v>17.940000000000001</v>
          </cell>
        </row>
        <row r="312">
          <cell r="H312" t="str">
            <v>TS</v>
          </cell>
          <cell r="S312" t="str">
            <v>남자</v>
          </cell>
          <cell r="EA312">
            <v>41.3</v>
          </cell>
        </row>
        <row r="313">
          <cell r="H313" t="str">
            <v>TS</v>
          </cell>
          <cell r="S313" t="str">
            <v>남자</v>
          </cell>
          <cell r="EA313">
            <v>41.3</v>
          </cell>
        </row>
        <row r="314">
          <cell r="H314" t="str">
            <v>TS</v>
          </cell>
          <cell r="S314" t="str">
            <v>남자</v>
          </cell>
          <cell r="EA314">
            <v>85.8</v>
          </cell>
        </row>
        <row r="315">
          <cell r="H315" t="str">
            <v>TS</v>
          </cell>
          <cell r="S315" t="str">
            <v>남자</v>
          </cell>
          <cell r="EA315">
            <v>70.2</v>
          </cell>
        </row>
        <row r="316">
          <cell r="H316" t="str">
            <v>TS</v>
          </cell>
          <cell r="S316" t="str">
            <v>남자</v>
          </cell>
          <cell r="EA316">
            <v>78</v>
          </cell>
        </row>
        <row r="317">
          <cell r="H317" t="str">
            <v>TS</v>
          </cell>
          <cell r="S317" t="str">
            <v>남자</v>
          </cell>
          <cell r="EA317">
            <v>58.5</v>
          </cell>
        </row>
        <row r="318">
          <cell r="H318" t="str">
            <v>TS</v>
          </cell>
          <cell r="S318" t="str">
            <v>남자</v>
          </cell>
          <cell r="EA318">
            <v>70.2</v>
          </cell>
        </row>
        <row r="319">
          <cell r="H319" t="str">
            <v>TS</v>
          </cell>
          <cell r="S319" t="str">
            <v>남자</v>
          </cell>
          <cell r="EA319">
            <v>85.8</v>
          </cell>
        </row>
        <row r="320">
          <cell r="H320" t="str">
            <v>TS</v>
          </cell>
          <cell r="S320" t="str">
            <v>남자</v>
          </cell>
          <cell r="EA320">
            <v>78</v>
          </cell>
        </row>
        <row r="321">
          <cell r="H321" t="str">
            <v>TS</v>
          </cell>
          <cell r="S321" t="str">
            <v>남자</v>
          </cell>
          <cell r="EA321">
            <v>29.5</v>
          </cell>
        </row>
        <row r="322">
          <cell r="H322" t="str">
            <v>TS</v>
          </cell>
          <cell r="S322" t="str">
            <v>남자</v>
          </cell>
          <cell r="EA322">
            <v>29.5</v>
          </cell>
        </row>
        <row r="323">
          <cell r="H323" t="str">
            <v>TS</v>
          </cell>
          <cell r="S323" t="str">
            <v>남자</v>
          </cell>
          <cell r="EA323">
            <v>44.5</v>
          </cell>
        </row>
        <row r="324">
          <cell r="H324" t="str">
            <v>TS</v>
          </cell>
          <cell r="S324" t="str">
            <v>남자</v>
          </cell>
          <cell r="EA324">
            <v>44.5</v>
          </cell>
        </row>
        <row r="325">
          <cell r="H325" t="str">
            <v>TS</v>
          </cell>
          <cell r="S325" t="str">
            <v>남자</v>
          </cell>
          <cell r="EA325">
            <v>39.5</v>
          </cell>
        </row>
        <row r="326">
          <cell r="H326" t="str">
            <v>TS</v>
          </cell>
          <cell r="S326" t="str">
            <v>남자</v>
          </cell>
          <cell r="EA326">
            <v>39.5</v>
          </cell>
        </row>
        <row r="327">
          <cell r="H327" t="str">
            <v>TS</v>
          </cell>
          <cell r="S327" t="str">
            <v>남자</v>
          </cell>
          <cell r="EA327">
            <v>52.44</v>
          </cell>
        </row>
        <row r="328">
          <cell r="H328" t="str">
            <v>TS</v>
          </cell>
          <cell r="S328" t="str">
            <v>남자</v>
          </cell>
          <cell r="EA328">
            <v>44.16</v>
          </cell>
        </row>
        <row r="329">
          <cell r="H329" t="str">
            <v>TS</v>
          </cell>
          <cell r="S329" t="str">
            <v>남자</v>
          </cell>
          <cell r="EA329">
            <v>10.78</v>
          </cell>
        </row>
        <row r="330">
          <cell r="H330" t="str">
            <v>TS</v>
          </cell>
          <cell r="S330" t="str">
            <v>남자</v>
          </cell>
          <cell r="EA330">
            <v>10.78</v>
          </cell>
        </row>
        <row r="331">
          <cell r="H331" t="str">
            <v>TS</v>
          </cell>
          <cell r="S331" t="str">
            <v>남자</v>
          </cell>
          <cell r="EA331">
            <v>10.78</v>
          </cell>
        </row>
        <row r="332">
          <cell r="H332" t="str">
            <v>TS</v>
          </cell>
          <cell r="S332" t="str">
            <v>남자</v>
          </cell>
          <cell r="EA332">
            <v>10.78</v>
          </cell>
        </row>
        <row r="333">
          <cell r="H333" t="str">
            <v>TS</v>
          </cell>
          <cell r="S333" t="str">
            <v>남자</v>
          </cell>
          <cell r="EA333">
            <v>10.78</v>
          </cell>
        </row>
        <row r="334">
          <cell r="H334" t="str">
            <v>TS</v>
          </cell>
          <cell r="S334" t="str">
            <v>남자</v>
          </cell>
          <cell r="EA334">
            <v>23.6</v>
          </cell>
        </row>
        <row r="335">
          <cell r="H335" t="str">
            <v>TS</v>
          </cell>
          <cell r="S335" t="str">
            <v>남자</v>
          </cell>
          <cell r="EA335">
            <v>23.6</v>
          </cell>
        </row>
        <row r="336">
          <cell r="H336" t="str">
            <v>TS</v>
          </cell>
          <cell r="S336" t="str">
            <v>남자</v>
          </cell>
          <cell r="EA336">
            <v>27.44</v>
          </cell>
        </row>
        <row r="337">
          <cell r="H337" t="str">
            <v>TS</v>
          </cell>
          <cell r="S337" t="str">
            <v>남자</v>
          </cell>
          <cell r="EA337">
            <v>27.44</v>
          </cell>
        </row>
        <row r="338">
          <cell r="H338" t="str">
            <v>TS</v>
          </cell>
          <cell r="S338" t="str">
            <v>남자</v>
          </cell>
          <cell r="EA338">
            <v>10.78</v>
          </cell>
        </row>
        <row r="339">
          <cell r="H339" t="str">
            <v>TS</v>
          </cell>
          <cell r="S339" t="str">
            <v>남자</v>
          </cell>
          <cell r="EA339">
            <v>10.78</v>
          </cell>
        </row>
        <row r="340">
          <cell r="H340" t="str">
            <v>TS</v>
          </cell>
          <cell r="S340" t="str">
            <v>남자</v>
          </cell>
          <cell r="EA340">
            <v>49</v>
          </cell>
        </row>
        <row r="341">
          <cell r="H341" t="str">
            <v>TS</v>
          </cell>
          <cell r="S341" t="str">
            <v>남자</v>
          </cell>
          <cell r="EA341">
            <v>49</v>
          </cell>
        </row>
        <row r="342">
          <cell r="H342" t="str">
            <v>TS</v>
          </cell>
          <cell r="S342" t="str">
            <v>남자</v>
          </cell>
          <cell r="EA342">
            <v>49</v>
          </cell>
        </row>
        <row r="343">
          <cell r="H343" t="str">
            <v>TS</v>
          </cell>
          <cell r="S343" t="str">
            <v>남자</v>
          </cell>
          <cell r="EA343">
            <v>49</v>
          </cell>
        </row>
        <row r="344">
          <cell r="H344" t="str">
            <v>TS</v>
          </cell>
          <cell r="S344" t="str">
            <v>남자</v>
          </cell>
          <cell r="EA344">
            <v>15.18</v>
          </cell>
        </row>
        <row r="345">
          <cell r="H345" t="str">
            <v>TS</v>
          </cell>
          <cell r="S345" t="str">
            <v>남자</v>
          </cell>
          <cell r="EA345">
            <v>15.18</v>
          </cell>
        </row>
        <row r="346">
          <cell r="H346" t="str">
            <v>TS</v>
          </cell>
          <cell r="S346" t="str">
            <v>남자</v>
          </cell>
          <cell r="EA346">
            <v>16.5</v>
          </cell>
        </row>
        <row r="347">
          <cell r="H347" t="str">
            <v>TS</v>
          </cell>
          <cell r="S347" t="str">
            <v>남자</v>
          </cell>
          <cell r="EA347">
            <v>16.5</v>
          </cell>
        </row>
        <row r="348">
          <cell r="H348" t="str">
            <v>TS</v>
          </cell>
          <cell r="S348" t="str">
            <v>여자</v>
          </cell>
          <cell r="EA348">
            <v>64.599999999999994</v>
          </cell>
        </row>
        <row r="349">
          <cell r="H349" t="str">
            <v>TS</v>
          </cell>
          <cell r="S349" t="str">
            <v>여자</v>
          </cell>
          <cell r="EA349">
            <v>64.599999999999994</v>
          </cell>
        </row>
        <row r="350">
          <cell r="H350" t="str">
            <v>TS</v>
          </cell>
          <cell r="S350" t="str">
            <v>여자</v>
          </cell>
          <cell r="EA350">
            <v>30.6</v>
          </cell>
        </row>
        <row r="351">
          <cell r="H351" t="str">
            <v>TS</v>
          </cell>
          <cell r="S351" t="str">
            <v>여자</v>
          </cell>
          <cell r="EA351">
            <v>30.6</v>
          </cell>
        </row>
        <row r="352">
          <cell r="H352" t="str">
            <v>TS</v>
          </cell>
          <cell r="S352" t="str">
            <v>여자</v>
          </cell>
          <cell r="EA352">
            <v>39.6</v>
          </cell>
        </row>
        <row r="353">
          <cell r="H353" t="str">
            <v>TS</v>
          </cell>
          <cell r="S353" t="str">
            <v>여자</v>
          </cell>
          <cell r="EA353">
            <v>29.7</v>
          </cell>
        </row>
        <row r="354">
          <cell r="H354" t="str">
            <v>TS</v>
          </cell>
          <cell r="S354" t="str">
            <v>여자</v>
          </cell>
          <cell r="EA354">
            <v>18.75</v>
          </cell>
        </row>
        <row r="355">
          <cell r="H355" t="str">
            <v>TS</v>
          </cell>
          <cell r="S355" t="str">
            <v>여자</v>
          </cell>
          <cell r="EA355">
            <v>18.75</v>
          </cell>
        </row>
        <row r="356">
          <cell r="H356" t="str">
            <v>TS</v>
          </cell>
          <cell r="S356" t="str">
            <v>여자</v>
          </cell>
          <cell r="EA356">
            <v>38.25</v>
          </cell>
        </row>
        <row r="357">
          <cell r="H357" t="str">
            <v>TS</v>
          </cell>
          <cell r="S357" t="str">
            <v>여자</v>
          </cell>
          <cell r="EA357">
            <v>42.5</v>
          </cell>
        </row>
        <row r="358">
          <cell r="H358" t="str">
            <v>TS</v>
          </cell>
          <cell r="S358" t="str">
            <v>여자</v>
          </cell>
          <cell r="EA358">
            <v>31.05</v>
          </cell>
        </row>
        <row r="359">
          <cell r="H359" t="str">
            <v>TS</v>
          </cell>
          <cell r="S359" t="str">
            <v>여자</v>
          </cell>
          <cell r="EA359">
            <v>31.05</v>
          </cell>
        </row>
        <row r="360">
          <cell r="H360" t="str">
            <v>TS</v>
          </cell>
          <cell r="S360" t="str">
            <v>여자</v>
          </cell>
          <cell r="EA360">
            <v>44.85</v>
          </cell>
        </row>
        <row r="361">
          <cell r="H361" t="str">
            <v>TS</v>
          </cell>
          <cell r="S361" t="str">
            <v>여자</v>
          </cell>
          <cell r="EA361">
            <v>44.85</v>
          </cell>
        </row>
        <row r="362">
          <cell r="H362" t="str">
            <v>TS</v>
          </cell>
          <cell r="S362" t="str">
            <v>여자</v>
          </cell>
          <cell r="EA362">
            <v>21.25</v>
          </cell>
        </row>
        <row r="363">
          <cell r="H363" t="str">
            <v>TS</v>
          </cell>
          <cell r="S363" t="str">
            <v>여자</v>
          </cell>
          <cell r="EA363">
            <v>21.25</v>
          </cell>
        </row>
        <row r="364">
          <cell r="H364" t="str">
            <v>TS</v>
          </cell>
          <cell r="S364" t="str">
            <v>여자</v>
          </cell>
          <cell r="EA364">
            <v>7.8</v>
          </cell>
        </row>
        <row r="365">
          <cell r="H365" t="str">
            <v>TS</v>
          </cell>
          <cell r="S365" t="str">
            <v>여자</v>
          </cell>
          <cell r="EA365">
            <v>7.8</v>
          </cell>
        </row>
        <row r="366">
          <cell r="H366" t="str">
            <v>TS</v>
          </cell>
          <cell r="S366" t="str">
            <v>여자</v>
          </cell>
          <cell r="EA366">
            <v>54.5</v>
          </cell>
        </row>
        <row r="367">
          <cell r="H367" t="str">
            <v>TS</v>
          </cell>
          <cell r="S367" t="str">
            <v>여자</v>
          </cell>
          <cell r="EA367">
            <v>54.5</v>
          </cell>
        </row>
        <row r="368">
          <cell r="H368" t="str">
            <v>TS</v>
          </cell>
          <cell r="S368" t="str">
            <v>여자</v>
          </cell>
          <cell r="EA368">
            <v>30.6</v>
          </cell>
        </row>
        <row r="369">
          <cell r="H369" t="str">
            <v>TS</v>
          </cell>
          <cell r="S369" t="str">
            <v>여자</v>
          </cell>
          <cell r="EA369">
            <v>30.6</v>
          </cell>
        </row>
        <row r="370">
          <cell r="H370" t="str">
            <v>TS</v>
          </cell>
          <cell r="S370" t="str">
            <v>여자</v>
          </cell>
          <cell r="EA370">
            <v>35.64</v>
          </cell>
        </row>
        <row r="371">
          <cell r="H371" t="str">
            <v>TS</v>
          </cell>
          <cell r="S371" t="str">
            <v>여자</v>
          </cell>
          <cell r="EA371">
            <v>35.64</v>
          </cell>
        </row>
        <row r="372">
          <cell r="H372" t="str">
            <v>TS</v>
          </cell>
          <cell r="S372" t="str">
            <v>여자</v>
          </cell>
          <cell r="EA372">
            <v>35.64</v>
          </cell>
        </row>
        <row r="373">
          <cell r="H373" t="str">
            <v>TS</v>
          </cell>
          <cell r="S373" t="str">
            <v>여자</v>
          </cell>
          <cell r="EA373">
            <v>27.2</v>
          </cell>
        </row>
        <row r="374">
          <cell r="H374" t="str">
            <v>TS</v>
          </cell>
          <cell r="S374" t="str">
            <v>여자</v>
          </cell>
          <cell r="EA374">
            <v>27.2</v>
          </cell>
        </row>
        <row r="375">
          <cell r="H375" t="str">
            <v>TS</v>
          </cell>
          <cell r="S375" t="str">
            <v>여자</v>
          </cell>
          <cell r="EA375">
            <v>34</v>
          </cell>
        </row>
        <row r="376">
          <cell r="H376" t="str">
            <v>TS</v>
          </cell>
          <cell r="S376" t="str">
            <v>여자</v>
          </cell>
          <cell r="EA376">
            <v>29.75</v>
          </cell>
        </row>
        <row r="377">
          <cell r="H377" t="str">
            <v>TS</v>
          </cell>
          <cell r="S377" t="str">
            <v>여자</v>
          </cell>
          <cell r="EA377">
            <v>29.7</v>
          </cell>
        </row>
        <row r="378">
          <cell r="H378" t="str">
            <v>TS</v>
          </cell>
          <cell r="S378" t="str">
            <v>여자</v>
          </cell>
          <cell r="EA378">
            <v>29.7</v>
          </cell>
        </row>
        <row r="379">
          <cell r="H379" t="str">
            <v>TS</v>
          </cell>
          <cell r="S379" t="str">
            <v>여자</v>
          </cell>
          <cell r="EA379">
            <v>22.5</v>
          </cell>
        </row>
        <row r="380">
          <cell r="H380" t="str">
            <v>TS</v>
          </cell>
          <cell r="S380" t="str">
            <v>여자</v>
          </cell>
          <cell r="EA380">
            <v>22.5</v>
          </cell>
        </row>
        <row r="381">
          <cell r="H381" t="str">
            <v>TS</v>
          </cell>
          <cell r="S381" t="str">
            <v>여자</v>
          </cell>
          <cell r="EA381">
            <v>22.5</v>
          </cell>
        </row>
        <row r="382">
          <cell r="H382" t="str">
            <v>TS</v>
          </cell>
          <cell r="S382" t="str">
            <v>여자</v>
          </cell>
          <cell r="EA382">
            <v>19.5</v>
          </cell>
        </row>
        <row r="383">
          <cell r="H383" t="str">
            <v>TS</v>
          </cell>
          <cell r="S383" t="str">
            <v>여자</v>
          </cell>
          <cell r="EA383">
            <v>19.5</v>
          </cell>
        </row>
        <row r="384">
          <cell r="H384" t="str">
            <v>TS</v>
          </cell>
          <cell r="S384" t="str">
            <v>여자</v>
          </cell>
          <cell r="EA384">
            <v>19.5</v>
          </cell>
        </row>
        <row r="385">
          <cell r="H385" t="str">
            <v>TS</v>
          </cell>
          <cell r="S385" t="str">
            <v>여자</v>
          </cell>
          <cell r="EA385">
            <v>54.4</v>
          </cell>
        </row>
        <row r="386">
          <cell r="H386" t="str">
            <v>TS</v>
          </cell>
          <cell r="S386" t="str">
            <v>여자</v>
          </cell>
          <cell r="EA386">
            <v>42.5</v>
          </cell>
        </row>
        <row r="387">
          <cell r="H387" t="str">
            <v>TS</v>
          </cell>
          <cell r="S387" t="str">
            <v>여자</v>
          </cell>
          <cell r="EA387">
            <v>22.1</v>
          </cell>
        </row>
        <row r="388">
          <cell r="H388" t="str">
            <v>TS</v>
          </cell>
          <cell r="S388" t="str">
            <v>여자</v>
          </cell>
          <cell r="EA388">
            <v>22.1</v>
          </cell>
        </row>
        <row r="389">
          <cell r="H389" t="str">
            <v>TS</v>
          </cell>
          <cell r="S389" t="str">
            <v>여자</v>
          </cell>
          <cell r="EA389">
            <v>38.25</v>
          </cell>
        </row>
        <row r="390">
          <cell r="H390" t="str">
            <v>TS</v>
          </cell>
          <cell r="S390" t="str">
            <v>여자</v>
          </cell>
          <cell r="EA390">
            <v>38.25</v>
          </cell>
        </row>
        <row r="391">
          <cell r="H391" t="str">
            <v>TS</v>
          </cell>
          <cell r="S391" t="str">
            <v>여자</v>
          </cell>
          <cell r="EA391">
            <v>15.18</v>
          </cell>
        </row>
        <row r="392">
          <cell r="H392" t="str">
            <v>TS</v>
          </cell>
          <cell r="S392" t="str">
            <v>여자</v>
          </cell>
          <cell r="EA392">
            <v>15.18</v>
          </cell>
        </row>
        <row r="393">
          <cell r="H393" t="str">
            <v>TS</v>
          </cell>
          <cell r="S393" t="str">
            <v>여자</v>
          </cell>
          <cell r="EA393">
            <v>59</v>
          </cell>
        </row>
        <row r="394">
          <cell r="H394" t="str">
            <v>TS</v>
          </cell>
          <cell r="S394" t="str">
            <v>여자</v>
          </cell>
          <cell r="EA394">
            <v>59</v>
          </cell>
        </row>
        <row r="395">
          <cell r="H395" t="str">
            <v>TS</v>
          </cell>
          <cell r="S395" t="str">
            <v>여자</v>
          </cell>
          <cell r="EA395">
            <v>85.8</v>
          </cell>
        </row>
        <row r="396">
          <cell r="H396" t="str">
            <v>TS</v>
          </cell>
          <cell r="S396" t="str">
            <v>여자</v>
          </cell>
          <cell r="EA396">
            <v>70.2</v>
          </cell>
        </row>
        <row r="397">
          <cell r="H397" t="str">
            <v>TS</v>
          </cell>
          <cell r="S397" t="str">
            <v>여자</v>
          </cell>
          <cell r="EA397">
            <v>78</v>
          </cell>
        </row>
        <row r="398">
          <cell r="H398" t="str">
            <v>TS</v>
          </cell>
          <cell r="S398" t="str">
            <v>여자</v>
          </cell>
          <cell r="EA398">
            <v>70.2</v>
          </cell>
        </row>
        <row r="399">
          <cell r="H399" t="str">
            <v>TS</v>
          </cell>
          <cell r="S399" t="str">
            <v>여자</v>
          </cell>
          <cell r="EA399">
            <v>85.8</v>
          </cell>
        </row>
        <row r="400">
          <cell r="H400" t="str">
            <v>TS</v>
          </cell>
          <cell r="S400" t="str">
            <v>여자</v>
          </cell>
          <cell r="EA400">
            <v>78</v>
          </cell>
        </row>
        <row r="401">
          <cell r="H401" t="str">
            <v>TS</v>
          </cell>
          <cell r="S401" t="str">
            <v>여자</v>
          </cell>
          <cell r="EA401">
            <v>29.5</v>
          </cell>
        </row>
        <row r="402">
          <cell r="H402" t="str">
            <v>TS</v>
          </cell>
          <cell r="S402" t="str">
            <v>여자</v>
          </cell>
          <cell r="EA402">
            <v>29.5</v>
          </cell>
        </row>
        <row r="403">
          <cell r="H403" t="str">
            <v>TS</v>
          </cell>
          <cell r="S403" t="str">
            <v>여자</v>
          </cell>
          <cell r="EA403">
            <v>44.5</v>
          </cell>
        </row>
        <row r="404">
          <cell r="H404" t="str">
            <v>TS</v>
          </cell>
          <cell r="S404" t="str">
            <v>여자</v>
          </cell>
          <cell r="EA404">
            <v>44.5</v>
          </cell>
        </row>
        <row r="405">
          <cell r="H405" t="str">
            <v>TS</v>
          </cell>
          <cell r="S405" t="str">
            <v>여자</v>
          </cell>
          <cell r="EA405">
            <v>39.5</v>
          </cell>
        </row>
        <row r="406">
          <cell r="H406" t="str">
            <v>TS</v>
          </cell>
          <cell r="S406" t="str">
            <v>여자</v>
          </cell>
          <cell r="EA406">
            <v>39.5</v>
          </cell>
        </row>
        <row r="407">
          <cell r="H407" t="str">
            <v>TS</v>
          </cell>
          <cell r="S407" t="str">
            <v>여자</v>
          </cell>
          <cell r="EA407">
            <v>24.7</v>
          </cell>
        </row>
        <row r="408">
          <cell r="H408" t="str">
            <v>TS</v>
          </cell>
          <cell r="S408" t="str">
            <v>여자</v>
          </cell>
          <cell r="EA408">
            <v>16.899999999999999</v>
          </cell>
        </row>
        <row r="409">
          <cell r="H409" t="str">
            <v>TS</v>
          </cell>
          <cell r="S409" t="str">
            <v>여자</v>
          </cell>
          <cell r="EA409">
            <v>14.3</v>
          </cell>
        </row>
        <row r="410">
          <cell r="H410" t="str">
            <v>TS</v>
          </cell>
          <cell r="S410" t="str">
            <v>여자</v>
          </cell>
          <cell r="EA410">
            <v>14.3</v>
          </cell>
        </row>
        <row r="411">
          <cell r="H411" t="str">
            <v>TS</v>
          </cell>
          <cell r="S411" t="str">
            <v>여자</v>
          </cell>
          <cell r="EA411">
            <v>10.78</v>
          </cell>
        </row>
        <row r="412">
          <cell r="H412" t="str">
            <v>TS</v>
          </cell>
          <cell r="S412" t="str">
            <v>여자</v>
          </cell>
          <cell r="EA412">
            <v>10.78</v>
          </cell>
        </row>
        <row r="413">
          <cell r="H413" t="str">
            <v>TS</v>
          </cell>
          <cell r="S413" t="str">
            <v>여자</v>
          </cell>
          <cell r="EA413">
            <v>10.78</v>
          </cell>
        </row>
        <row r="414">
          <cell r="H414" t="str">
            <v>TS</v>
          </cell>
          <cell r="S414" t="str">
            <v>여자</v>
          </cell>
          <cell r="EA414">
            <v>10.78</v>
          </cell>
        </row>
        <row r="415">
          <cell r="H415" t="str">
            <v>TS</v>
          </cell>
          <cell r="S415" t="str">
            <v>여자</v>
          </cell>
          <cell r="EA415">
            <v>6.86</v>
          </cell>
        </row>
        <row r="416">
          <cell r="H416" t="str">
            <v>TS</v>
          </cell>
          <cell r="S416" t="str">
            <v>여자</v>
          </cell>
          <cell r="EA416">
            <v>6.86</v>
          </cell>
        </row>
        <row r="417">
          <cell r="H417" t="str">
            <v>TS</v>
          </cell>
          <cell r="S417" t="str">
            <v>여자</v>
          </cell>
          <cell r="EA417">
            <v>19.600000000000001</v>
          </cell>
        </row>
        <row r="418">
          <cell r="H418" t="str">
            <v>TS</v>
          </cell>
          <cell r="S418" t="str">
            <v>여자</v>
          </cell>
          <cell r="EA418">
            <v>24.5</v>
          </cell>
        </row>
        <row r="420">
          <cell r="H420" t="str">
            <v>PT</v>
          </cell>
          <cell r="S420" t="str">
            <v>남자</v>
          </cell>
          <cell r="EA420">
            <v>29.8</v>
          </cell>
        </row>
        <row r="421">
          <cell r="H421" t="str">
            <v>PT</v>
          </cell>
          <cell r="S421" t="str">
            <v>남자</v>
          </cell>
          <cell r="EA421">
            <v>29.8</v>
          </cell>
        </row>
        <row r="422">
          <cell r="H422" t="str">
            <v>PT</v>
          </cell>
          <cell r="S422" t="str">
            <v>남자</v>
          </cell>
          <cell r="EA422">
            <v>34.75</v>
          </cell>
        </row>
        <row r="423">
          <cell r="H423" t="str">
            <v>PT</v>
          </cell>
          <cell r="S423" t="str">
            <v>남자</v>
          </cell>
          <cell r="EA423">
            <v>34.75</v>
          </cell>
        </row>
        <row r="424">
          <cell r="H424" t="str">
            <v>PT</v>
          </cell>
          <cell r="S424" t="str">
            <v>남자</v>
          </cell>
          <cell r="EA424">
            <v>99</v>
          </cell>
        </row>
        <row r="425">
          <cell r="H425" t="str">
            <v>PT</v>
          </cell>
          <cell r="S425" t="str">
            <v>남자</v>
          </cell>
          <cell r="EA425">
            <v>99</v>
          </cell>
        </row>
        <row r="426">
          <cell r="H426" t="str">
            <v>PT</v>
          </cell>
          <cell r="S426" t="str">
            <v>남자</v>
          </cell>
          <cell r="EA426">
            <v>99</v>
          </cell>
        </row>
        <row r="427">
          <cell r="H427" t="str">
            <v>PT</v>
          </cell>
          <cell r="S427" t="str">
            <v>남자</v>
          </cell>
          <cell r="EA427">
            <v>55.6</v>
          </cell>
        </row>
        <row r="428">
          <cell r="H428" t="str">
            <v>PT</v>
          </cell>
          <cell r="S428" t="str">
            <v>남자</v>
          </cell>
          <cell r="EA428">
            <v>55.6</v>
          </cell>
        </row>
        <row r="429">
          <cell r="H429" t="str">
            <v>PT</v>
          </cell>
          <cell r="S429" t="str">
            <v>남자</v>
          </cell>
          <cell r="EA429">
            <v>108.77</v>
          </cell>
        </row>
        <row r="430">
          <cell r="H430" t="str">
            <v>PT</v>
          </cell>
          <cell r="S430" t="str">
            <v>남자</v>
          </cell>
          <cell r="EA430">
            <v>93.87</v>
          </cell>
        </row>
        <row r="431">
          <cell r="H431" t="str">
            <v>PT</v>
          </cell>
          <cell r="S431" t="str">
            <v>남자</v>
          </cell>
          <cell r="EA431">
            <v>59.6</v>
          </cell>
        </row>
        <row r="432">
          <cell r="H432" t="str">
            <v>PT</v>
          </cell>
          <cell r="S432" t="str">
            <v>남자</v>
          </cell>
          <cell r="EA432">
            <v>108.77</v>
          </cell>
        </row>
        <row r="433">
          <cell r="H433" t="str">
            <v>PT</v>
          </cell>
          <cell r="S433" t="str">
            <v>남자</v>
          </cell>
          <cell r="EA433">
            <v>108.77</v>
          </cell>
        </row>
        <row r="434">
          <cell r="H434" t="str">
            <v>PT</v>
          </cell>
          <cell r="S434" t="str">
            <v>남자</v>
          </cell>
          <cell r="EA434">
            <v>65.33</v>
          </cell>
        </row>
        <row r="435">
          <cell r="H435" t="str">
            <v>PT</v>
          </cell>
          <cell r="S435" t="str">
            <v>남자</v>
          </cell>
          <cell r="EA435">
            <v>65.33</v>
          </cell>
        </row>
        <row r="436">
          <cell r="H436" t="str">
            <v>PT</v>
          </cell>
          <cell r="S436" t="str">
            <v>남자</v>
          </cell>
          <cell r="EA436">
            <v>52.15</v>
          </cell>
        </row>
        <row r="437">
          <cell r="H437" t="str">
            <v>PT</v>
          </cell>
          <cell r="S437" t="str">
            <v>남자</v>
          </cell>
          <cell r="EA437">
            <v>67.05</v>
          </cell>
        </row>
        <row r="438">
          <cell r="H438" t="str">
            <v>PT</v>
          </cell>
          <cell r="S438" t="str">
            <v>남자</v>
          </cell>
          <cell r="EA438">
            <v>79.5</v>
          </cell>
        </row>
        <row r="439">
          <cell r="H439" t="str">
            <v>PT</v>
          </cell>
          <cell r="S439" t="str">
            <v>남자</v>
          </cell>
          <cell r="EA439">
            <v>63.6</v>
          </cell>
        </row>
        <row r="440">
          <cell r="H440" t="str">
            <v>PT</v>
          </cell>
          <cell r="S440" t="str">
            <v>남자</v>
          </cell>
          <cell r="EA440">
            <v>70.03</v>
          </cell>
        </row>
        <row r="441">
          <cell r="H441" t="str">
            <v>PT</v>
          </cell>
          <cell r="S441" t="str">
            <v>남자</v>
          </cell>
          <cell r="EA441">
            <v>70.03</v>
          </cell>
        </row>
        <row r="442">
          <cell r="H442" t="str">
            <v>PT</v>
          </cell>
          <cell r="S442" t="str">
            <v>남자</v>
          </cell>
          <cell r="EA442">
            <v>49.17</v>
          </cell>
        </row>
        <row r="443">
          <cell r="H443" t="str">
            <v>PT</v>
          </cell>
          <cell r="S443" t="str">
            <v>남자</v>
          </cell>
          <cell r="EA443">
            <v>45.15</v>
          </cell>
        </row>
        <row r="444">
          <cell r="H444" t="str">
            <v>PT</v>
          </cell>
          <cell r="S444" t="str">
            <v>남자</v>
          </cell>
          <cell r="EA444">
            <v>45.15</v>
          </cell>
        </row>
        <row r="445">
          <cell r="H445" t="str">
            <v>PT</v>
          </cell>
          <cell r="S445" t="str">
            <v>남자</v>
          </cell>
          <cell r="EA445">
            <v>73.53</v>
          </cell>
        </row>
        <row r="446">
          <cell r="H446" t="str">
            <v>PT</v>
          </cell>
          <cell r="S446" t="str">
            <v>남자</v>
          </cell>
          <cell r="EA446">
            <v>73.53</v>
          </cell>
        </row>
        <row r="447">
          <cell r="H447" t="str">
            <v>PT</v>
          </cell>
          <cell r="S447" t="str">
            <v>남자</v>
          </cell>
          <cell r="EA447">
            <v>52.15</v>
          </cell>
        </row>
        <row r="448">
          <cell r="H448" t="str">
            <v>PT</v>
          </cell>
          <cell r="S448" t="str">
            <v>남자</v>
          </cell>
          <cell r="EA448">
            <v>52.15</v>
          </cell>
        </row>
        <row r="449">
          <cell r="H449" t="str">
            <v>PT</v>
          </cell>
          <cell r="S449" t="str">
            <v>남자</v>
          </cell>
          <cell r="EA449">
            <v>69.5</v>
          </cell>
        </row>
        <row r="450">
          <cell r="H450" t="str">
            <v>PT</v>
          </cell>
          <cell r="S450" t="str">
            <v>남자</v>
          </cell>
          <cell r="EA450">
            <v>62.55</v>
          </cell>
        </row>
        <row r="451">
          <cell r="H451" t="str">
            <v>PT</v>
          </cell>
          <cell r="S451" t="str">
            <v>여자</v>
          </cell>
          <cell r="EA451">
            <v>27.8</v>
          </cell>
        </row>
        <row r="452">
          <cell r="H452" t="str">
            <v>PT</v>
          </cell>
          <cell r="S452" t="str">
            <v>여자</v>
          </cell>
          <cell r="EA452">
            <v>27.8</v>
          </cell>
        </row>
        <row r="453">
          <cell r="H453" t="str">
            <v>PT</v>
          </cell>
          <cell r="S453" t="str">
            <v>여자</v>
          </cell>
          <cell r="EA453">
            <v>32.25</v>
          </cell>
        </row>
        <row r="454">
          <cell r="H454" t="str">
            <v>PT</v>
          </cell>
          <cell r="S454" t="str">
            <v>여자</v>
          </cell>
          <cell r="EA454">
            <v>32.25</v>
          </cell>
        </row>
        <row r="455">
          <cell r="H455" t="str">
            <v>PT</v>
          </cell>
          <cell r="S455" t="str">
            <v>여자</v>
          </cell>
          <cell r="EA455">
            <v>32.25</v>
          </cell>
        </row>
        <row r="456">
          <cell r="H456" t="str">
            <v>PT</v>
          </cell>
          <cell r="S456" t="str">
            <v>여자</v>
          </cell>
          <cell r="EA456">
            <v>38.700000000000003</v>
          </cell>
        </row>
        <row r="457">
          <cell r="H457" t="str">
            <v>PT</v>
          </cell>
          <cell r="S457" t="str">
            <v>여자</v>
          </cell>
          <cell r="EA457">
            <v>44.55</v>
          </cell>
        </row>
        <row r="458">
          <cell r="H458" t="str">
            <v>PT</v>
          </cell>
          <cell r="S458" t="str">
            <v>여자</v>
          </cell>
          <cell r="EA458">
            <v>44.55</v>
          </cell>
        </row>
        <row r="459">
          <cell r="H459" t="str">
            <v>PT</v>
          </cell>
          <cell r="S459" t="str">
            <v>여자</v>
          </cell>
          <cell r="EA459">
            <v>93.87</v>
          </cell>
        </row>
        <row r="460">
          <cell r="H460" t="str">
            <v>PT</v>
          </cell>
          <cell r="S460" t="str">
            <v>여자</v>
          </cell>
          <cell r="EA460">
            <v>77.48</v>
          </cell>
        </row>
        <row r="461">
          <cell r="H461" t="str">
            <v>PT</v>
          </cell>
          <cell r="S461" t="str">
            <v>여자</v>
          </cell>
          <cell r="EA461">
            <v>59.6</v>
          </cell>
        </row>
        <row r="462">
          <cell r="H462" t="str">
            <v>PT</v>
          </cell>
          <cell r="S462" t="str">
            <v>여자</v>
          </cell>
          <cell r="EA462">
            <v>93.87</v>
          </cell>
        </row>
        <row r="463">
          <cell r="H463" t="str">
            <v>PT</v>
          </cell>
          <cell r="S463" t="str">
            <v>여자</v>
          </cell>
          <cell r="EA463">
            <v>93.87</v>
          </cell>
        </row>
        <row r="464">
          <cell r="H464" t="str">
            <v>PT</v>
          </cell>
          <cell r="S464" t="str">
            <v>여자</v>
          </cell>
          <cell r="EA464">
            <v>54.18</v>
          </cell>
        </row>
        <row r="465">
          <cell r="H465" t="str">
            <v>PT</v>
          </cell>
          <cell r="S465" t="str">
            <v>여자</v>
          </cell>
          <cell r="EA465">
            <v>54.18</v>
          </cell>
        </row>
        <row r="466">
          <cell r="H466" t="str">
            <v>PT</v>
          </cell>
          <cell r="S466" t="str">
            <v>여자</v>
          </cell>
          <cell r="EA466">
            <v>48.65</v>
          </cell>
        </row>
        <row r="467">
          <cell r="H467" t="str">
            <v>PT</v>
          </cell>
          <cell r="S467" t="str">
            <v>여자</v>
          </cell>
          <cell r="EA467">
            <v>55.6</v>
          </cell>
        </row>
        <row r="468">
          <cell r="H468" t="str">
            <v>PT</v>
          </cell>
          <cell r="S468" t="str">
            <v>여자</v>
          </cell>
          <cell r="EA468">
            <v>67.05</v>
          </cell>
        </row>
        <row r="469">
          <cell r="H469" t="str">
            <v>PT</v>
          </cell>
          <cell r="S469" t="str">
            <v>여자</v>
          </cell>
          <cell r="EA469">
            <v>52.15</v>
          </cell>
        </row>
        <row r="470">
          <cell r="H470" t="str">
            <v>PT</v>
          </cell>
          <cell r="S470" t="str">
            <v>여자</v>
          </cell>
          <cell r="EA470">
            <v>65.33</v>
          </cell>
        </row>
        <row r="471">
          <cell r="H471" t="str">
            <v>PT</v>
          </cell>
          <cell r="S471" t="str">
            <v>여자</v>
          </cell>
          <cell r="EA471">
            <v>58.38</v>
          </cell>
        </row>
        <row r="472">
          <cell r="H472" t="str">
            <v>PT</v>
          </cell>
          <cell r="S472" t="str">
            <v>여자</v>
          </cell>
          <cell r="EA472">
            <v>44.48</v>
          </cell>
        </row>
        <row r="473">
          <cell r="H473" t="str">
            <v>PT</v>
          </cell>
          <cell r="S473" t="str">
            <v>여자</v>
          </cell>
          <cell r="EA473">
            <v>41.65</v>
          </cell>
        </row>
        <row r="474">
          <cell r="H474" t="str">
            <v>PT</v>
          </cell>
          <cell r="S474" t="str">
            <v>여자</v>
          </cell>
          <cell r="EA474">
            <v>41.65</v>
          </cell>
        </row>
        <row r="475">
          <cell r="H475" t="str">
            <v>PT</v>
          </cell>
          <cell r="S475" t="str">
            <v>여자</v>
          </cell>
          <cell r="EA475">
            <v>45.15</v>
          </cell>
        </row>
        <row r="476">
          <cell r="H476" t="str">
            <v>PT</v>
          </cell>
          <cell r="S476" t="str">
            <v>여자</v>
          </cell>
          <cell r="EA476">
            <v>38.700000000000003</v>
          </cell>
        </row>
        <row r="477">
          <cell r="H477" t="str">
            <v>PT</v>
          </cell>
          <cell r="S477" t="str">
            <v>여자</v>
          </cell>
          <cell r="EA477">
            <v>47.6</v>
          </cell>
        </row>
        <row r="478">
          <cell r="H478" t="str">
            <v>PT</v>
          </cell>
          <cell r="S478" t="str">
            <v>여자</v>
          </cell>
          <cell r="EA478">
            <v>59.5</v>
          </cell>
        </row>
        <row r="479">
          <cell r="H479" t="str">
            <v>PT</v>
          </cell>
          <cell r="S479" t="str">
            <v>남자</v>
          </cell>
          <cell r="EA479">
            <v>67.599999999999994</v>
          </cell>
        </row>
        <row r="480">
          <cell r="H480" t="str">
            <v>PT</v>
          </cell>
          <cell r="S480" t="str">
            <v>남자</v>
          </cell>
          <cell r="EA480">
            <v>67.599999999999994</v>
          </cell>
        </row>
        <row r="481">
          <cell r="H481" t="str">
            <v>PT</v>
          </cell>
          <cell r="S481" t="str">
            <v>남자</v>
          </cell>
          <cell r="EA481">
            <v>25.8</v>
          </cell>
        </row>
        <row r="482">
          <cell r="H482" t="str">
            <v>PT</v>
          </cell>
          <cell r="S482" t="str">
            <v>남자</v>
          </cell>
          <cell r="EA482">
            <v>32.25</v>
          </cell>
        </row>
        <row r="483">
          <cell r="H483" t="str">
            <v>PT</v>
          </cell>
          <cell r="S483" t="str">
            <v>남자</v>
          </cell>
          <cell r="EA483">
            <v>81.95</v>
          </cell>
        </row>
        <row r="484">
          <cell r="H484" t="str">
            <v>PT</v>
          </cell>
          <cell r="S484" t="str">
            <v>남자</v>
          </cell>
          <cell r="EA484">
            <v>81.95</v>
          </cell>
        </row>
        <row r="485">
          <cell r="H485" t="str">
            <v>PT</v>
          </cell>
          <cell r="S485" t="str">
            <v>남자</v>
          </cell>
          <cell r="EA485">
            <v>119.2</v>
          </cell>
        </row>
        <row r="486">
          <cell r="H486" t="str">
            <v>PT</v>
          </cell>
          <cell r="S486" t="str">
            <v>남자</v>
          </cell>
          <cell r="EA486">
            <v>119.2</v>
          </cell>
        </row>
        <row r="487">
          <cell r="H487" t="str">
            <v>PT</v>
          </cell>
          <cell r="S487" t="str">
            <v>남자</v>
          </cell>
          <cell r="EA487">
            <v>81.95</v>
          </cell>
        </row>
        <row r="488">
          <cell r="H488" t="str">
            <v>PT</v>
          </cell>
          <cell r="S488" t="str">
            <v>남자</v>
          </cell>
          <cell r="EA488">
            <v>81.95</v>
          </cell>
        </row>
        <row r="489">
          <cell r="H489" t="str">
            <v>PT</v>
          </cell>
          <cell r="S489" t="str">
            <v>남자</v>
          </cell>
          <cell r="EA489">
            <v>69.5</v>
          </cell>
        </row>
        <row r="490">
          <cell r="H490" t="str">
            <v>PT</v>
          </cell>
          <cell r="S490" t="str">
            <v>남자</v>
          </cell>
          <cell r="EA490">
            <v>69.5</v>
          </cell>
        </row>
        <row r="491">
          <cell r="H491" t="str">
            <v>PT</v>
          </cell>
          <cell r="S491" t="str">
            <v>남자</v>
          </cell>
          <cell r="EA491">
            <v>44.75</v>
          </cell>
        </row>
        <row r="492">
          <cell r="H492" t="str">
            <v>PT</v>
          </cell>
          <cell r="S492" t="str">
            <v>남자</v>
          </cell>
          <cell r="EA492">
            <v>44.75</v>
          </cell>
        </row>
        <row r="493">
          <cell r="H493" t="str">
            <v>PT</v>
          </cell>
          <cell r="S493" t="str">
            <v>남자</v>
          </cell>
          <cell r="EA493">
            <v>87.45</v>
          </cell>
        </row>
        <row r="494">
          <cell r="H494" t="str">
            <v>PT</v>
          </cell>
          <cell r="S494" t="str">
            <v>남자</v>
          </cell>
          <cell r="EA494">
            <v>87.45</v>
          </cell>
        </row>
        <row r="495">
          <cell r="H495" t="str">
            <v>PT</v>
          </cell>
          <cell r="S495" t="str">
            <v>남자</v>
          </cell>
          <cell r="EA495">
            <v>35.700000000000003</v>
          </cell>
        </row>
        <row r="496">
          <cell r="H496" t="str">
            <v>PT</v>
          </cell>
          <cell r="S496" t="str">
            <v>남자</v>
          </cell>
          <cell r="EA496">
            <v>35.700000000000003</v>
          </cell>
        </row>
        <row r="497">
          <cell r="H497" t="str">
            <v>PT</v>
          </cell>
          <cell r="S497" t="str">
            <v>남자</v>
          </cell>
          <cell r="EA497">
            <v>35.700000000000003</v>
          </cell>
        </row>
        <row r="498">
          <cell r="H498" t="str">
            <v>PT</v>
          </cell>
          <cell r="S498" t="str">
            <v>남자</v>
          </cell>
          <cell r="EA498">
            <v>35.700000000000003</v>
          </cell>
        </row>
        <row r="499">
          <cell r="H499" t="str">
            <v>PT</v>
          </cell>
          <cell r="S499" t="str">
            <v>남자</v>
          </cell>
          <cell r="EA499">
            <v>48.98</v>
          </cell>
        </row>
        <row r="500">
          <cell r="H500" t="str">
            <v>PT</v>
          </cell>
          <cell r="S500" t="str">
            <v>남자</v>
          </cell>
          <cell r="EA500">
            <v>41.08</v>
          </cell>
        </row>
        <row r="501">
          <cell r="H501" t="str">
            <v>PT</v>
          </cell>
          <cell r="S501" t="str">
            <v>남자</v>
          </cell>
          <cell r="EA501">
            <v>37.130000000000003</v>
          </cell>
        </row>
        <row r="502">
          <cell r="H502" t="str">
            <v>PT</v>
          </cell>
          <cell r="S502" t="str">
            <v>남자</v>
          </cell>
          <cell r="EA502">
            <v>34.880000000000003</v>
          </cell>
        </row>
        <row r="503">
          <cell r="H503" t="str">
            <v>PT</v>
          </cell>
          <cell r="S503" t="str">
            <v>남자</v>
          </cell>
          <cell r="EA503">
            <v>34.880000000000003</v>
          </cell>
        </row>
        <row r="504">
          <cell r="H504" t="str">
            <v>PT</v>
          </cell>
          <cell r="S504" t="str">
            <v>남자</v>
          </cell>
          <cell r="EA504">
            <v>69.5</v>
          </cell>
        </row>
        <row r="505">
          <cell r="H505" t="str">
            <v>PT</v>
          </cell>
          <cell r="S505" t="str">
            <v>남자</v>
          </cell>
          <cell r="EA505">
            <v>69.5</v>
          </cell>
        </row>
        <row r="506">
          <cell r="H506" t="str">
            <v>PT</v>
          </cell>
          <cell r="S506" t="str">
            <v>남자</v>
          </cell>
          <cell r="EA506">
            <v>58.05</v>
          </cell>
        </row>
        <row r="507">
          <cell r="H507" t="str">
            <v>PT</v>
          </cell>
          <cell r="S507" t="str">
            <v>남자</v>
          </cell>
          <cell r="EA507">
            <v>58.05</v>
          </cell>
        </row>
        <row r="508">
          <cell r="H508" t="str">
            <v>PT</v>
          </cell>
          <cell r="S508" t="str">
            <v>남자</v>
          </cell>
          <cell r="EA508">
            <v>41.7</v>
          </cell>
        </row>
        <row r="509">
          <cell r="H509" t="str">
            <v>PT</v>
          </cell>
          <cell r="S509" t="str">
            <v>남자</v>
          </cell>
          <cell r="EA509">
            <v>41.7</v>
          </cell>
        </row>
        <row r="510">
          <cell r="H510" t="str">
            <v>PT</v>
          </cell>
          <cell r="S510" t="str">
            <v>남자</v>
          </cell>
          <cell r="EA510">
            <v>61.16</v>
          </cell>
        </row>
        <row r="511">
          <cell r="H511" t="str">
            <v>PT</v>
          </cell>
          <cell r="S511" t="str">
            <v>남자</v>
          </cell>
          <cell r="EA511">
            <v>61.16</v>
          </cell>
        </row>
        <row r="512">
          <cell r="H512" t="str">
            <v>PT</v>
          </cell>
          <cell r="S512" t="str">
            <v>남자</v>
          </cell>
          <cell r="EA512">
            <v>99</v>
          </cell>
        </row>
        <row r="513">
          <cell r="H513" t="str">
            <v>PT</v>
          </cell>
          <cell r="S513" t="str">
            <v>남자</v>
          </cell>
          <cell r="EA513">
            <v>79.2</v>
          </cell>
        </row>
        <row r="514">
          <cell r="H514" t="str">
            <v>PT</v>
          </cell>
          <cell r="S514" t="str">
            <v>남자</v>
          </cell>
          <cell r="EA514">
            <v>118.8</v>
          </cell>
        </row>
        <row r="515">
          <cell r="H515" t="str">
            <v>PT</v>
          </cell>
          <cell r="S515" t="str">
            <v>남자</v>
          </cell>
          <cell r="EA515">
            <v>35.700000000000003</v>
          </cell>
        </row>
        <row r="516">
          <cell r="H516" t="str">
            <v>PT</v>
          </cell>
          <cell r="S516" t="str">
            <v>남자</v>
          </cell>
          <cell r="EA516">
            <v>35.700000000000003</v>
          </cell>
        </row>
        <row r="517">
          <cell r="H517" t="str">
            <v>PT</v>
          </cell>
          <cell r="S517" t="str">
            <v>여자</v>
          </cell>
          <cell r="EA517">
            <v>44.7</v>
          </cell>
        </row>
        <row r="518">
          <cell r="H518" t="str">
            <v>PT</v>
          </cell>
          <cell r="S518" t="str">
            <v>여자</v>
          </cell>
          <cell r="EA518">
            <v>44.7</v>
          </cell>
        </row>
        <row r="519">
          <cell r="H519" t="str">
            <v>PT</v>
          </cell>
          <cell r="S519" t="str">
            <v>여자</v>
          </cell>
          <cell r="EA519">
            <v>76.45</v>
          </cell>
        </row>
        <row r="520">
          <cell r="H520" t="str">
            <v>PT</v>
          </cell>
          <cell r="S520" t="str">
            <v>여자</v>
          </cell>
          <cell r="EA520">
            <v>76.45</v>
          </cell>
        </row>
        <row r="521">
          <cell r="H521" t="str">
            <v>PT</v>
          </cell>
          <cell r="S521" t="str">
            <v>여자</v>
          </cell>
          <cell r="EA521">
            <v>111.2</v>
          </cell>
        </row>
        <row r="522">
          <cell r="H522" t="str">
            <v>PT</v>
          </cell>
          <cell r="S522" t="str">
            <v>여자</v>
          </cell>
          <cell r="EA522">
            <v>111.2</v>
          </cell>
        </row>
        <row r="523">
          <cell r="H523" t="str">
            <v>PT</v>
          </cell>
          <cell r="S523" t="str">
            <v>여자</v>
          </cell>
          <cell r="EA523">
            <v>81.95</v>
          </cell>
        </row>
        <row r="524">
          <cell r="H524" t="str">
            <v>PT</v>
          </cell>
          <cell r="S524" t="str">
            <v>여자</v>
          </cell>
          <cell r="EA524">
            <v>81.95</v>
          </cell>
        </row>
        <row r="525">
          <cell r="H525" t="str">
            <v>PT</v>
          </cell>
          <cell r="S525" t="str">
            <v>여자</v>
          </cell>
          <cell r="EA525">
            <v>76.45</v>
          </cell>
        </row>
        <row r="526">
          <cell r="H526" t="str">
            <v>PT</v>
          </cell>
          <cell r="S526" t="str">
            <v>여자</v>
          </cell>
          <cell r="EA526">
            <v>76.45</v>
          </cell>
        </row>
        <row r="527">
          <cell r="H527" t="str">
            <v>PT</v>
          </cell>
          <cell r="S527" t="str">
            <v>여자</v>
          </cell>
          <cell r="EA527">
            <v>54.18</v>
          </cell>
        </row>
        <row r="528">
          <cell r="H528" t="str">
            <v>PT</v>
          </cell>
          <cell r="S528" t="str">
            <v>여자</v>
          </cell>
          <cell r="EA528">
            <v>54.18</v>
          </cell>
        </row>
        <row r="529">
          <cell r="H529" t="str">
            <v>PT</v>
          </cell>
          <cell r="S529" t="str">
            <v>여자</v>
          </cell>
          <cell r="EA529">
            <v>42.25</v>
          </cell>
        </row>
        <row r="530">
          <cell r="H530" t="str">
            <v>PT</v>
          </cell>
          <cell r="S530" t="str">
            <v>여자</v>
          </cell>
          <cell r="EA530">
            <v>42.25</v>
          </cell>
        </row>
        <row r="531">
          <cell r="H531" t="str">
            <v>PT</v>
          </cell>
          <cell r="S531" t="str">
            <v>여자</v>
          </cell>
          <cell r="EA531">
            <v>45.15</v>
          </cell>
        </row>
        <row r="532">
          <cell r="H532" t="str">
            <v>PT</v>
          </cell>
          <cell r="S532" t="str">
            <v>여자</v>
          </cell>
          <cell r="EA532">
            <v>29.75</v>
          </cell>
        </row>
        <row r="533">
          <cell r="H533" t="str">
            <v>PT</v>
          </cell>
          <cell r="S533" t="str">
            <v>여자</v>
          </cell>
          <cell r="EA533">
            <v>29.75</v>
          </cell>
        </row>
        <row r="534">
          <cell r="H534" t="str">
            <v>PT</v>
          </cell>
          <cell r="S534" t="str">
            <v>여자</v>
          </cell>
          <cell r="EA534">
            <v>34.880000000000003</v>
          </cell>
        </row>
        <row r="535">
          <cell r="H535" t="str">
            <v>PT</v>
          </cell>
          <cell r="S535" t="str">
            <v>여자</v>
          </cell>
          <cell r="EA535">
            <v>34.880000000000003</v>
          </cell>
        </row>
        <row r="536">
          <cell r="H536" t="str">
            <v>PT</v>
          </cell>
          <cell r="S536" t="str">
            <v>여자</v>
          </cell>
          <cell r="EA536">
            <v>58.05</v>
          </cell>
        </row>
        <row r="537">
          <cell r="H537" t="str">
            <v>PT</v>
          </cell>
          <cell r="S537" t="str">
            <v>여자</v>
          </cell>
          <cell r="EA537">
            <v>58.05</v>
          </cell>
        </row>
        <row r="538">
          <cell r="H538" t="str">
            <v>PT</v>
          </cell>
          <cell r="S538" t="str">
            <v>여자</v>
          </cell>
          <cell r="EA538">
            <v>58.05</v>
          </cell>
        </row>
        <row r="539">
          <cell r="H539" t="str">
            <v>PT</v>
          </cell>
          <cell r="S539" t="str">
            <v>여자</v>
          </cell>
          <cell r="EA539">
            <v>58.05</v>
          </cell>
        </row>
        <row r="540">
          <cell r="H540" t="str">
            <v>PT</v>
          </cell>
          <cell r="S540" t="str">
            <v>여자</v>
          </cell>
          <cell r="EA540">
            <v>47.73</v>
          </cell>
        </row>
        <row r="541">
          <cell r="H541" t="str">
            <v>PT</v>
          </cell>
          <cell r="S541" t="str">
            <v>여자</v>
          </cell>
          <cell r="EA541">
            <v>47.73</v>
          </cell>
        </row>
        <row r="542">
          <cell r="H542" t="str">
            <v>PT</v>
          </cell>
          <cell r="S542" t="str">
            <v>여자</v>
          </cell>
          <cell r="EA542">
            <v>178.2</v>
          </cell>
        </row>
        <row r="543">
          <cell r="H543" t="str">
            <v>PT</v>
          </cell>
          <cell r="S543" t="str">
            <v>여자</v>
          </cell>
          <cell r="EA543">
            <v>69.3</v>
          </cell>
        </row>
        <row r="544">
          <cell r="H544" t="str">
            <v>PT</v>
          </cell>
          <cell r="S544" t="str">
            <v>여자</v>
          </cell>
          <cell r="EA544">
            <v>198</v>
          </cell>
        </row>
        <row r="545">
          <cell r="H545" t="str">
            <v>PT</v>
          </cell>
          <cell r="S545" t="str">
            <v>여자</v>
          </cell>
          <cell r="EA545">
            <v>22.08</v>
          </cell>
        </row>
        <row r="546">
          <cell r="H546" t="str">
            <v>PT</v>
          </cell>
          <cell r="S546" t="str">
            <v>여자</v>
          </cell>
          <cell r="EA546">
            <v>22.08</v>
          </cell>
        </row>
        <row r="548">
          <cell r="H548" t="str">
            <v>SK</v>
          </cell>
          <cell r="S548" t="str">
            <v>여자</v>
          </cell>
          <cell r="EA548">
            <v>26.7</v>
          </cell>
        </row>
        <row r="549">
          <cell r="H549" t="str">
            <v>SK</v>
          </cell>
          <cell r="S549" t="str">
            <v>여자</v>
          </cell>
          <cell r="EA549">
            <v>26.7</v>
          </cell>
        </row>
        <row r="550">
          <cell r="H550" t="str">
            <v/>
          </cell>
          <cell r="EA550" t="str">
            <v>-</v>
          </cell>
        </row>
        <row r="551">
          <cell r="H551" t="str">
            <v/>
          </cell>
          <cell r="EA551" t="str">
            <v>-</v>
          </cell>
        </row>
        <row r="552">
          <cell r="H552" t="str">
            <v/>
          </cell>
          <cell r="EA552" t="str">
            <v>-</v>
          </cell>
        </row>
        <row r="553">
          <cell r="H553" t="str">
            <v/>
          </cell>
          <cell r="EA553" t="str">
            <v>-</v>
          </cell>
        </row>
        <row r="554">
          <cell r="H554" t="str">
            <v/>
          </cell>
          <cell r="EA554" t="str">
            <v>-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FW 최종(원본)"/>
      <sheetName val="12FW 최종(가공)"/>
      <sheetName val="Sheet5"/>
      <sheetName val="KFKW"/>
      <sheetName val="1"/>
    </sheetNames>
    <sheetDataSet>
      <sheetData sheetId="0" refreshError="1"/>
      <sheetData sheetId="1">
        <row r="8">
          <cell r="B8" t="str">
            <v>WFTL</v>
          </cell>
          <cell r="X8">
            <v>109</v>
          </cell>
          <cell r="AB8">
            <v>26.644444444444449</v>
          </cell>
        </row>
        <row r="9">
          <cell r="B9" t="str">
            <v>WFTL</v>
          </cell>
          <cell r="X9">
            <v>87.2</v>
          </cell>
          <cell r="AB9">
            <v>21.315555555555559</v>
          </cell>
        </row>
        <row r="10">
          <cell r="B10" t="str">
            <v>WFTL</v>
          </cell>
          <cell r="X10">
            <v>54.5</v>
          </cell>
          <cell r="AB10">
            <v>13.322222222222225</v>
          </cell>
        </row>
        <row r="11">
          <cell r="B11" t="str">
            <v>WFTL</v>
          </cell>
          <cell r="X11">
            <v>54.5</v>
          </cell>
          <cell r="AB11">
            <v>13.322222222222225</v>
          </cell>
        </row>
        <row r="12">
          <cell r="B12" t="str">
            <v>WFTL</v>
          </cell>
          <cell r="X12">
            <v>87.2</v>
          </cell>
          <cell r="AB12">
            <v>21.315555555555559</v>
          </cell>
        </row>
        <row r="13">
          <cell r="B13" t="str">
            <v>WFTL</v>
          </cell>
          <cell r="X13">
            <v>54.5</v>
          </cell>
          <cell r="AB13">
            <v>13.322222222222225</v>
          </cell>
        </row>
        <row r="14">
          <cell r="B14" t="str">
            <v>WFTL</v>
          </cell>
          <cell r="X14">
            <v>87.2</v>
          </cell>
          <cell r="AB14">
            <v>21.315555555555559</v>
          </cell>
        </row>
        <row r="15">
          <cell r="B15" t="str">
            <v>WFTL</v>
          </cell>
          <cell r="X15">
            <v>54.5</v>
          </cell>
          <cell r="AB15">
            <v>13.322222222222225</v>
          </cell>
        </row>
        <row r="16">
          <cell r="B16" t="str">
            <v>WFTL</v>
          </cell>
          <cell r="X16">
            <v>178.5</v>
          </cell>
          <cell r="AB16">
            <v>43.633333333333333</v>
          </cell>
        </row>
        <row r="17">
          <cell r="B17" t="str">
            <v>WFTL</v>
          </cell>
          <cell r="X17">
            <v>59.5</v>
          </cell>
          <cell r="AB17">
            <v>14.544444444444444</v>
          </cell>
        </row>
        <row r="18">
          <cell r="B18" t="str">
            <v>WFTL</v>
          </cell>
          <cell r="X18">
            <v>119.2</v>
          </cell>
          <cell r="AB18">
            <v>29.137777777777778</v>
          </cell>
        </row>
        <row r="19">
          <cell r="B19" t="str">
            <v>WFTL</v>
          </cell>
          <cell r="X19">
            <v>111.2</v>
          </cell>
          <cell r="AB19">
            <v>27.182222222222226</v>
          </cell>
        </row>
        <row r="20">
          <cell r="B20" t="str">
            <v>WFTL</v>
          </cell>
          <cell r="X20">
            <v>69.5</v>
          </cell>
          <cell r="AB20">
            <v>16.988888888888891</v>
          </cell>
        </row>
        <row r="21">
          <cell r="B21" t="str">
            <v>WFTL</v>
          </cell>
          <cell r="X21">
            <v>59.5</v>
          </cell>
          <cell r="AB21">
            <v>14.544444444444444</v>
          </cell>
        </row>
        <row r="22">
          <cell r="B22" t="str">
            <v>WFTL</v>
          </cell>
          <cell r="X22">
            <v>35.700000000000003</v>
          </cell>
          <cell r="AB22">
            <v>8.7266666666666683</v>
          </cell>
        </row>
        <row r="23">
          <cell r="B23" t="str">
            <v>WFTL</v>
          </cell>
          <cell r="X23">
            <v>54.5</v>
          </cell>
          <cell r="AB23">
            <v>13.322222222222225</v>
          </cell>
        </row>
        <row r="24">
          <cell r="B24" t="str">
            <v>WFTL</v>
          </cell>
          <cell r="X24">
            <v>32.700000000000003</v>
          </cell>
          <cell r="AB24">
            <v>7.9933333333333341</v>
          </cell>
        </row>
        <row r="25">
          <cell r="B25" t="str">
            <v>WFTL</v>
          </cell>
          <cell r="X25">
            <v>32.700000000000003</v>
          </cell>
          <cell r="AB25">
            <v>7.9933333333333341</v>
          </cell>
        </row>
        <row r="26">
          <cell r="B26" t="str">
            <v>WFTL</v>
          </cell>
          <cell r="X26">
            <v>32.700000000000003</v>
          </cell>
          <cell r="AB26">
            <v>7.9933333333333341</v>
          </cell>
        </row>
        <row r="27">
          <cell r="B27" t="str">
            <v>WFTL</v>
          </cell>
          <cell r="X27">
            <v>54.5</v>
          </cell>
          <cell r="AB27">
            <v>13.322222222222225</v>
          </cell>
        </row>
        <row r="28">
          <cell r="B28" t="str">
            <v>WFTL</v>
          </cell>
          <cell r="X28">
            <v>32.700000000000003</v>
          </cell>
          <cell r="AB28">
            <v>7.9933333333333341</v>
          </cell>
        </row>
        <row r="29">
          <cell r="B29" t="str">
            <v>WFTL</v>
          </cell>
          <cell r="X29">
            <v>90</v>
          </cell>
          <cell r="AB29">
            <v>13.860000000000001</v>
          </cell>
        </row>
        <row r="30">
          <cell r="B30" t="str">
            <v>WFTL</v>
          </cell>
          <cell r="X30">
            <v>90</v>
          </cell>
          <cell r="AB30">
            <v>13.860000000000001</v>
          </cell>
        </row>
        <row r="31">
          <cell r="B31" t="str">
            <v>WFTL</v>
          </cell>
          <cell r="X31">
            <v>72</v>
          </cell>
          <cell r="AB31">
            <v>11.088000000000001</v>
          </cell>
        </row>
        <row r="32">
          <cell r="B32" t="str">
            <v>WWTL</v>
          </cell>
          <cell r="X32">
            <v>64.5</v>
          </cell>
          <cell r="AB32">
            <v>15.766666666666669</v>
          </cell>
        </row>
        <row r="33">
          <cell r="B33" t="str">
            <v>WWTL</v>
          </cell>
          <cell r="X33">
            <v>64.5</v>
          </cell>
          <cell r="AB33">
            <v>15.766666666666669</v>
          </cell>
        </row>
        <row r="34">
          <cell r="B34" t="str">
            <v>WWTL</v>
          </cell>
          <cell r="X34">
            <v>129</v>
          </cell>
          <cell r="AB34">
            <v>31.533333333333339</v>
          </cell>
        </row>
        <row r="35">
          <cell r="B35" t="str">
            <v>WWTL</v>
          </cell>
          <cell r="X35">
            <v>103.2</v>
          </cell>
          <cell r="AB35">
            <v>25.226666666666674</v>
          </cell>
        </row>
        <row r="36">
          <cell r="B36" t="str">
            <v>WWTL</v>
          </cell>
          <cell r="X36">
            <v>125</v>
          </cell>
          <cell r="AB36">
            <v>30.555555555555554</v>
          </cell>
        </row>
        <row r="37">
          <cell r="B37" t="str">
            <v>WWTL</v>
          </cell>
          <cell r="X37">
            <v>62.5</v>
          </cell>
          <cell r="AB37">
            <v>15.277777777777777</v>
          </cell>
        </row>
        <row r="38">
          <cell r="B38" t="str">
            <v>WWTL</v>
          </cell>
          <cell r="X38">
            <v>64.5</v>
          </cell>
          <cell r="AB38">
            <v>15.766666666666669</v>
          </cell>
        </row>
        <row r="39">
          <cell r="B39" t="str">
            <v>WWTL</v>
          </cell>
          <cell r="X39">
            <v>64.5</v>
          </cell>
          <cell r="AB39">
            <v>15.766666666666669</v>
          </cell>
        </row>
        <row r="40">
          <cell r="B40" t="str">
            <v>WWTL</v>
          </cell>
          <cell r="X40">
            <v>119</v>
          </cell>
          <cell r="AB40">
            <v>29.088888888888889</v>
          </cell>
        </row>
        <row r="41">
          <cell r="B41" t="str">
            <v>WWTL</v>
          </cell>
          <cell r="X41">
            <v>59.5</v>
          </cell>
          <cell r="AB41">
            <v>14.544444444444444</v>
          </cell>
        </row>
        <row r="42">
          <cell r="B42" t="str">
            <v>WWTL</v>
          </cell>
          <cell r="X42">
            <v>87.2</v>
          </cell>
          <cell r="AB42">
            <v>21.315555555555559</v>
          </cell>
        </row>
        <row r="43">
          <cell r="B43" t="str">
            <v>WWTL</v>
          </cell>
          <cell r="X43">
            <v>87.2</v>
          </cell>
          <cell r="AB43">
            <v>21.315555555555559</v>
          </cell>
        </row>
        <row r="44">
          <cell r="B44" t="str">
            <v>WWTL</v>
          </cell>
          <cell r="X44">
            <v>54.5</v>
          </cell>
          <cell r="AB44">
            <v>13.322222222222225</v>
          </cell>
        </row>
        <row r="45">
          <cell r="B45" t="str">
            <v>WWTL</v>
          </cell>
          <cell r="X45">
            <v>64.5</v>
          </cell>
          <cell r="AB45">
            <v>15.766666666666669</v>
          </cell>
        </row>
        <row r="46">
          <cell r="B46" t="str">
            <v>WWTL</v>
          </cell>
          <cell r="X46">
            <v>64.5</v>
          </cell>
          <cell r="AB46">
            <v>15.766666666666669</v>
          </cell>
        </row>
        <row r="47">
          <cell r="B47" t="str">
            <v>WWTL</v>
          </cell>
          <cell r="X47">
            <v>64.5</v>
          </cell>
          <cell r="AB47">
            <v>15.766666666666669</v>
          </cell>
        </row>
        <row r="48">
          <cell r="B48" t="str">
            <v>WWTL</v>
          </cell>
          <cell r="X48">
            <v>64.5</v>
          </cell>
          <cell r="AB48">
            <v>15.766666666666669</v>
          </cell>
        </row>
        <row r="49">
          <cell r="B49" t="str">
            <v>WWTL</v>
          </cell>
          <cell r="X49">
            <v>64.5</v>
          </cell>
          <cell r="AB49">
            <v>15.766666666666669</v>
          </cell>
        </row>
        <row r="50">
          <cell r="B50" t="str">
            <v>WWTL</v>
          </cell>
          <cell r="X50">
            <v>64.5</v>
          </cell>
          <cell r="AB50">
            <v>15.766666666666669</v>
          </cell>
        </row>
        <row r="51">
          <cell r="B51" t="str">
            <v>WWTL</v>
          </cell>
          <cell r="X51">
            <v>119.2</v>
          </cell>
          <cell r="AB51">
            <v>29.137777777777778</v>
          </cell>
        </row>
        <row r="52">
          <cell r="B52" t="str">
            <v>WWTL</v>
          </cell>
          <cell r="X52">
            <v>74.5</v>
          </cell>
          <cell r="AB52">
            <v>18.211111111111112</v>
          </cell>
        </row>
        <row r="53">
          <cell r="B53" t="str">
            <v>WWTL</v>
          </cell>
          <cell r="X53">
            <v>119.2</v>
          </cell>
          <cell r="AB53">
            <v>29.137777777777778</v>
          </cell>
        </row>
        <row r="54">
          <cell r="B54" t="str">
            <v>WWTL</v>
          </cell>
          <cell r="X54">
            <v>74.5</v>
          </cell>
          <cell r="AB54">
            <v>18.211111111111112</v>
          </cell>
        </row>
        <row r="55">
          <cell r="B55" t="str">
            <v>WWTL</v>
          </cell>
          <cell r="X55">
            <v>84.5</v>
          </cell>
          <cell r="AB55">
            <v>20.655555555555555</v>
          </cell>
        </row>
        <row r="56">
          <cell r="B56" t="str">
            <v>WWTL</v>
          </cell>
          <cell r="X56">
            <v>84.5</v>
          </cell>
          <cell r="AB56">
            <v>20.655555555555555</v>
          </cell>
        </row>
        <row r="57">
          <cell r="B57" t="str">
            <v>WWTL</v>
          </cell>
          <cell r="X57">
            <v>84.5</v>
          </cell>
          <cell r="AB57">
            <v>20.655555555555555</v>
          </cell>
        </row>
        <row r="58">
          <cell r="B58" t="str">
            <v>WWTL</v>
          </cell>
          <cell r="X58">
            <v>84.5</v>
          </cell>
          <cell r="AB58">
            <v>20.655555555555555</v>
          </cell>
        </row>
        <row r="59">
          <cell r="B59" t="str">
            <v>WWTL</v>
          </cell>
          <cell r="X59">
            <v>54.5</v>
          </cell>
          <cell r="AB59">
            <v>13.322222222222225</v>
          </cell>
        </row>
        <row r="60">
          <cell r="B60" t="str">
            <v>WWTL</v>
          </cell>
          <cell r="X60">
            <v>32.700000000000003</v>
          </cell>
          <cell r="AB60">
            <v>7.9933333333333341</v>
          </cell>
        </row>
        <row r="61">
          <cell r="B61" t="str">
            <v>WWTL</v>
          </cell>
          <cell r="X61">
            <v>109</v>
          </cell>
          <cell r="AB61">
            <v>26.644444444444449</v>
          </cell>
        </row>
        <row r="62">
          <cell r="B62" t="str">
            <v>WWTL</v>
          </cell>
          <cell r="X62">
            <v>87.2</v>
          </cell>
          <cell r="AB62">
            <v>21.315555555555559</v>
          </cell>
        </row>
        <row r="63">
          <cell r="B63" t="str">
            <v>WWTL</v>
          </cell>
          <cell r="X63">
            <v>87.2</v>
          </cell>
          <cell r="AB63">
            <v>21.315555555555559</v>
          </cell>
        </row>
        <row r="64">
          <cell r="B64" t="str">
            <v>WWTL</v>
          </cell>
          <cell r="X64">
            <v>103.2</v>
          </cell>
          <cell r="AB64">
            <v>25.226666666666674</v>
          </cell>
        </row>
        <row r="65">
          <cell r="B65" t="str">
            <v>WWTL</v>
          </cell>
          <cell r="X65">
            <v>64.5</v>
          </cell>
          <cell r="AB65">
            <v>15.766666666666669</v>
          </cell>
        </row>
        <row r="66">
          <cell r="B66" t="str">
            <v>WWTL</v>
          </cell>
          <cell r="X66">
            <v>111.2</v>
          </cell>
          <cell r="AB66">
            <v>27.182222222222226</v>
          </cell>
        </row>
        <row r="67">
          <cell r="B67" t="str">
            <v>WWTL</v>
          </cell>
          <cell r="X67">
            <v>111.2</v>
          </cell>
          <cell r="AB67">
            <v>27.182222222222226</v>
          </cell>
        </row>
        <row r="68">
          <cell r="B68" t="str">
            <v>WWTL</v>
          </cell>
          <cell r="X68">
            <v>74.5</v>
          </cell>
          <cell r="AB68">
            <v>18.211111111111112</v>
          </cell>
        </row>
        <row r="69">
          <cell r="B69" t="str">
            <v>WWTL</v>
          </cell>
          <cell r="X69">
            <v>74.5</v>
          </cell>
          <cell r="AB69">
            <v>18.211111111111112</v>
          </cell>
        </row>
        <row r="70">
          <cell r="B70" t="str">
            <v>WWTL</v>
          </cell>
          <cell r="X70">
            <v>159</v>
          </cell>
          <cell r="AB70">
            <v>38.866666666666674</v>
          </cell>
        </row>
        <row r="71">
          <cell r="B71" t="str">
            <v>WWTL</v>
          </cell>
          <cell r="X71">
            <v>79.5</v>
          </cell>
          <cell r="AB71">
            <v>19.433333333333337</v>
          </cell>
        </row>
        <row r="72">
          <cell r="B72" t="str">
            <v>WWTL</v>
          </cell>
          <cell r="X72">
            <v>79.5</v>
          </cell>
          <cell r="AB72">
            <v>19.433333333333337</v>
          </cell>
        </row>
        <row r="73">
          <cell r="B73" t="str">
            <v>WWTL</v>
          </cell>
          <cell r="X73">
            <v>141.6</v>
          </cell>
          <cell r="AB73">
            <v>23.1</v>
          </cell>
        </row>
        <row r="74">
          <cell r="B74" t="str">
            <v>WWTL</v>
          </cell>
          <cell r="X74">
            <v>118</v>
          </cell>
          <cell r="AB74">
            <v>19.25</v>
          </cell>
        </row>
        <row r="75">
          <cell r="B75" t="str">
            <v>WWTL</v>
          </cell>
          <cell r="X75">
            <v>94.4</v>
          </cell>
          <cell r="AB75">
            <v>15.400000000000002</v>
          </cell>
        </row>
        <row r="76">
          <cell r="B76" t="str">
            <v>WWTL</v>
          </cell>
          <cell r="X76">
            <v>104</v>
          </cell>
          <cell r="AB76">
            <v>16.61</v>
          </cell>
        </row>
        <row r="77">
          <cell r="B77" t="str">
            <v>WWTL</v>
          </cell>
          <cell r="X77">
            <v>52</v>
          </cell>
          <cell r="AB77">
            <v>8.3049999999999997</v>
          </cell>
        </row>
        <row r="78">
          <cell r="B78" t="str">
            <v>WWTL</v>
          </cell>
          <cell r="X78">
            <v>52</v>
          </cell>
          <cell r="AB78">
            <v>8.3049999999999997</v>
          </cell>
        </row>
        <row r="79">
          <cell r="B79" t="str">
            <v>GFTL</v>
          </cell>
          <cell r="X79">
            <v>43.6</v>
          </cell>
          <cell r="AB79">
            <v>10.9</v>
          </cell>
        </row>
        <row r="80">
          <cell r="B80" t="str">
            <v>GFTL</v>
          </cell>
          <cell r="X80">
            <v>21.8</v>
          </cell>
          <cell r="AB80">
            <v>5.45</v>
          </cell>
        </row>
        <row r="81">
          <cell r="B81" t="str">
            <v>GFTL</v>
          </cell>
          <cell r="X81">
            <v>35.700000000000003</v>
          </cell>
          <cell r="AB81">
            <v>8.9250000000000007</v>
          </cell>
        </row>
        <row r="82">
          <cell r="B82" t="str">
            <v>GFTL</v>
          </cell>
          <cell r="X82">
            <v>35.700000000000003</v>
          </cell>
          <cell r="AB82">
            <v>8.9250000000000007</v>
          </cell>
        </row>
        <row r="83">
          <cell r="B83" t="str">
            <v>GFTL</v>
          </cell>
          <cell r="X83">
            <v>84.5</v>
          </cell>
          <cell r="AB83">
            <v>21.125</v>
          </cell>
        </row>
        <row r="84">
          <cell r="B84" t="str">
            <v>GFTL</v>
          </cell>
          <cell r="X84">
            <v>50.7</v>
          </cell>
          <cell r="AB84">
            <v>12.674999999999999</v>
          </cell>
        </row>
        <row r="85">
          <cell r="B85" t="str">
            <v>GFTL</v>
          </cell>
          <cell r="X85">
            <v>32.700000000000003</v>
          </cell>
          <cell r="AB85">
            <v>8.1750000000000007</v>
          </cell>
        </row>
        <row r="86">
          <cell r="B86" t="str">
            <v>GFTL</v>
          </cell>
          <cell r="X86">
            <v>32.700000000000003</v>
          </cell>
          <cell r="AB86">
            <v>8.1750000000000007</v>
          </cell>
        </row>
        <row r="87">
          <cell r="B87" t="str">
            <v>GFTL</v>
          </cell>
          <cell r="X87">
            <v>35.700000000000003</v>
          </cell>
          <cell r="AB87">
            <v>8.9250000000000007</v>
          </cell>
        </row>
        <row r="88">
          <cell r="B88" t="str">
            <v>GFTL</v>
          </cell>
          <cell r="X88">
            <v>35.700000000000003</v>
          </cell>
          <cell r="AB88">
            <v>8.9250000000000007</v>
          </cell>
        </row>
        <row r="89">
          <cell r="B89" t="str">
            <v>GWTL</v>
          </cell>
          <cell r="X89">
            <v>64.5</v>
          </cell>
          <cell r="AB89">
            <v>16.125</v>
          </cell>
        </row>
        <row r="90">
          <cell r="B90" t="str">
            <v>GWTL</v>
          </cell>
          <cell r="X90">
            <v>38.700000000000003</v>
          </cell>
          <cell r="AB90">
            <v>9.6750000000000007</v>
          </cell>
        </row>
        <row r="91">
          <cell r="B91" t="str">
            <v>GWTL</v>
          </cell>
          <cell r="X91">
            <v>51.6</v>
          </cell>
          <cell r="AB91">
            <v>12.9</v>
          </cell>
        </row>
        <row r="92">
          <cell r="B92" t="str">
            <v>GWTL</v>
          </cell>
          <cell r="X92">
            <v>25.8</v>
          </cell>
          <cell r="AB92">
            <v>6.45</v>
          </cell>
        </row>
        <row r="93">
          <cell r="B93" t="str">
            <v>GWTL</v>
          </cell>
          <cell r="X93">
            <v>41.7</v>
          </cell>
          <cell r="AB93">
            <v>10.425000000000001</v>
          </cell>
        </row>
        <row r="94">
          <cell r="B94" t="str">
            <v>GWTL</v>
          </cell>
          <cell r="X94">
            <v>41.7</v>
          </cell>
          <cell r="AB94">
            <v>10.425000000000001</v>
          </cell>
        </row>
        <row r="95">
          <cell r="B95" t="str">
            <v>GWTL</v>
          </cell>
          <cell r="X95">
            <v>32.25</v>
          </cell>
          <cell r="AB95">
            <v>8.0625</v>
          </cell>
        </row>
        <row r="96">
          <cell r="B96" t="str">
            <v>GWTL</v>
          </cell>
          <cell r="X96">
            <v>32.25</v>
          </cell>
          <cell r="AB96">
            <v>8.0625</v>
          </cell>
        </row>
        <row r="97">
          <cell r="B97" t="str">
            <v>GWTL</v>
          </cell>
          <cell r="X97">
            <v>38.700000000000003</v>
          </cell>
          <cell r="AB97">
            <v>9.6750000000000007</v>
          </cell>
        </row>
        <row r="98">
          <cell r="B98" t="str">
            <v>GWTL</v>
          </cell>
          <cell r="X98">
            <v>38.700000000000003</v>
          </cell>
          <cell r="AB98">
            <v>9.6750000000000007</v>
          </cell>
        </row>
        <row r="99">
          <cell r="B99" t="str">
            <v>GWTL</v>
          </cell>
          <cell r="X99">
            <v>56.7</v>
          </cell>
          <cell r="AB99">
            <v>14.174999999999999</v>
          </cell>
        </row>
        <row r="100">
          <cell r="B100" t="str">
            <v>GWTL</v>
          </cell>
          <cell r="X100">
            <v>67.599999999999994</v>
          </cell>
          <cell r="AB100">
            <v>16.899999999999999</v>
          </cell>
        </row>
        <row r="101">
          <cell r="B101" t="str">
            <v>GWTL</v>
          </cell>
          <cell r="X101">
            <v>50.7</v>
          </cell>
          <cell r="AB101">
            <v>12.674999999999999</v>
          </cell>
        </row>
        <row r="102">
          <cell r="B102" t="str">
            <v>GWTL</v>
          </cell>
          <cell r="X102">
            <v>38.700000000000003</v>
          </cell>
          <cell r="AB102">
            <v>9.6750000000000007</v>
          </cell>
        </row>
        <row r="103">
          <cell r="B103" t="str">
            <v>GWTL</v>
          </cell>
          <cell r="X103">
            <v>38.700000000000003</v>
          </cell>
          <cell r="AB103">
            <v>9.6750000000000007</v>
          </cell>
        </row>
        <row r="104">
          <cell r="B104" t="str">
            <v>GWTL</v>
          </cell>
          <cell r="X104">
            <v>38.700000000000003</v>
          </cell>
          <cell r="AB104">
            <v>9.6750000000000007</v>
          </cell>
        </row>
        <row r="105">
          <cell r="B105" t="str">
            <v>GWTL</v>
          </cell>
          <cell r="X105">
            <v>25.8</v>
          </cell>
          <cell r="AB105">
            <v>6.45</v>
          </cell>
        </row>
        <row r="106">
          <cell r="B106" t="str">
            <v>GWTL</v>
          </cell>
          <cell r="X106">
            <v>47.7</v>
          </cell>
          <cell r="AB106">
            <v>11.925000000000001</v>
          </cell>
        </row>
        <row r="107">
          <cell r="B107" t="str">
            <v>GWTL</v>
          </cell>
          <cell r="X107">
            <v>47.7</v>
          </cell>
          <cell r="AB107">
            <v>11.925000000000001</v>
          </cell>
        </row>
        <row r="108">
          <cell r="B108" t="str">
            <v>WWDW</v>
          </cell>
          <cell r="X108">
            <v>288</v>
          </cell>
          <cell r="AB108">
            <v>72.16</v>
          </cell>
        </row>
        <row r="109">
          <cell r="B109" t="str">
            <v>WWDW</v>
          </cell>
          <cell r="X109">
            <v>180</v>
          </cell>
          <cell r="AB109">
            <v>45.1</v>
          </cell>
        </row>
        <row r="110">
          <cell r="B110" t="str">
            <v>WWDW</v>
          </cell>
          <cell r="X110">
            <v>245</v>
          </cell>
          <cell r="AB110">
            <v>60.500000000000007</v>
          </cell>
        </row>
        <row r="111">
          <cell r="B111" t="str">
            <v>WWDW</v>
          </cell>
          <cell r="X111">
            <v>245</v>
          </cell>
          <cell r="AB111">
            <v>60.500000000000007</v>
          </cell>
        </row>
        <row r="112">
          <cell r="B112" t="str">
            <v>WWDW</v>
          </cell>
          <cell r="X112">
            <v>219</v>
          </cell>
          <cell r="AB112">
            <v>66</v>
          </cell>
        </row>
        <row r="113">
          <cell r="B113" t="str">
            <v>WWDW</v>
          </cell>
          <cell r="X113">
            <v>219</v>
          </cell>
          <cell r="AB113">
            <v>66</v>
          </cell>
        </row>
        <row r="114">
          <cell r="B114" t="str">
            <v>WFVS</v>
          </cell>
          <cell r="X114">
            <v>59.5</v>
          </cell>
          <cell r="AB114">
            <v>16.5</v>
          </cell>
        </row>
        <row r="115">
          <cell r="B115" t="str">
            <v>WFVS</v>
          </cell>
          <cell r="X115">
            <v>59.5</v>
          </cell>
          <cell r="AB115">
            <v>16.5</v>
          </cell>
        </row>
        <row r="116">
          <cell r="B116" t="str">
            <v>WFVS</v>
          </cell>
          <cell r="X116">
            <v>90.3</v>
          </cell>
          <cell r="AB116">
            <v>25.410000000000004</v>
          </cell>
        </row>
        <row r="117">
          <cell r="B117" t="str">
            <v>WFVS</v>
          </cell>
          <cell r="X117">
            <v>103.2</v>
          </cell>
          <cell r="AB117">
            <v>29.04</v>
          </cell>
        </row>
        <row r="118">
          <cell r="B118" t="str">
            <v>WWVS</v>
          </cell>
          <cell r="X118">
            <v>69.5</v>
          </cell>
          <cell r="AB118">
            <v>19.25</v>
          </cell>
        </row>
        <row r="119">
          <cell r="B119" t="str">
            <v>WWVS</v>
          </cell>
          <cell r="X119">
            <v>64.5</v>
          </cell>
          <cell r="AB119">
            <v>17.600000000000001</v>
          </cell>
        </row>
        <row r="120">
          <cell r="B120" t="str">
            <v>WWVS</v>
          </cell>
          <cell r="X120">
            <v>99</v>
          </cell>
          <cell r="AB120">
            <v>27.500000000000004</v>
          </cell>
        </row>
        <row r="121">
          <cell r="B121" t="str">
            <v>WWVS</v>
          </cell>
          <cell r="X121">
            <v>69.5</v>
          </cell>
          <cell r="AB121">
            <v>17.600000000000001</v>
          </cell>
        </row>
        <row r="122">
          <cell r="B122" t="str">
            <v>WWVS</v>
          </cell>
          <cell r="X122">
            <v>74.5</v>
          </cell>
          <cell r="AB122">
            <v>19.8</v>
          </cell>
        </row>
        <row r="123">
          <cell r="B123" t="str">
            <v>WFJK</v>
          </cell>
          <cell r="X123">
            <v>264</v>
          </cell>
          <cell r="AB123">
            <v>66</v>
          </cell>
        </row>
        <row r="124">
          <cell r="B124" t="str">
            <v>WFJK</v>
          </cell>
          <cell r="X124">
            <v>231</v>
          </cell>
          <cell r="AB124">
            <v>57.750000000000007</v>
          </cell>
        </row>
        <row r="125">
          <cell r="B125" t="str">
            <v>WFJK</v>
          </cell>
          <cell r="X125">
            <v>165</v>
          </cell>
          <cell r="AB125">
            <v>41.25</v>
          </cell>
        </row>
        <row r="126">
          <cell r="B126" t="str">
            <v>WFJK</v>
          </cell>
          <cell r="X126">
            <v>203</v>
          </cell>
          <cell r="AB126">
            <v>50.820000000000007</v>
          </cell>
        </row>
        <row r="127">
          <cell r="B127" t="str">
            <v>WFJK</v>
          </cell>
          <cell r="X127">
            <v>87</v>
          </cell>
          <cell r="AB127">
            <v>21.78</v>
          </cell>
        </row>
        <row r="128">
          <cell r="B128" t="str">
            <v>WFJK</v>
          </cell>
          <cell r="X128">
            <v>130</v>
          </cell>
          <cell r="AB128">
            <v>33</v>
          </cell>
        </row>
        <row r="129">
          <cell r="B129" t="str">
            <v>WFJK</v>
          </cell>
          <cell r="X129">
            <v>78</v>
          </cell>
          <cell r="AB129">
            <v>19.8</v>
          </cell>
        </row>
        <row r="130">
          <cell r="B130" t="str">
            <v>WFJK</v>
          </cell>
          <cell r="X130">
            <v>89.5</v>
          </cell>
          <cell r="AB130">
            <v>20.900000000000002</v>
          </cell>
        </row>
        <row r="131">
          <cell r="B131" t="str">
            <v>WFJK</v>
          </cell>
          <cell r="X131">
            <v>89.5</v>
          </cell>
          <cell r="AB131">
            <v>20.900000000000002</v>
          </cell>
        </row>
        <row r="132">
          <cell r="B132" t="str">
            <v>WFJK</v>
          </cell>
          <cell r="X132">
            <v>142.80000000000001</v>
          </cell>
          <cell r="AB132">
            <v>39.6</v>
          </cell>
        </row>
        <row r="133">
          <cell r="B133" t="str">
            <v>WFJK</v>
          </cell>
          <cell r="X133">
            <v>95.2</v>
          </cell>
          <cell r="AB133">
            <v>26.400000000000002</v>
          </cell>
        </row>
        <row r="134">
          <cell r="B134" t="str">
            <v>WWJK</v>
          </cell>
          <cell r="X134">
            <v>175.2</v>
          </cell>
          <cell r="AB134">
            <v>39.6</v>
          </cell>
        </row>
        <row r="135">
          <cell r="B135" t="str">
            <v>WWJK</v>
          </cell>
          <cell r="X135">
            <v>131.4</v>
          </cell>
          <cell r="AB135">
            <v>29.700000000000003</v>
          </cell>
        </row>
        <row r="136">
          <cell r="B136" t="str">
            <v>WWJK</v>
          </cell>
          <cell r="X136">
            <v>101.4</v>
          </cell>
          <cell r="AB136">
            <v>25.080000000000002</v>
          </cell>
        </row>
        <row r="137">
          <cell r="B137" t="str">
            <v>WWJK</v>
          </cell>
          <cell r="X137">
            <v>89.5</v>
          </cell>
          <cell r="AB137">
            <v>22</v>
          </cell>
        </row>
        <row r="138">
          <cell r="B138" t="str">
            <v>WWJK</v>
          </cell>
          <cell r="X138">
            <v>94.5</v>
          </cell>
          <cell r="AB138">
            <v>23.1</v>
          </cell>
        </row>
        <row r="139">
          <cell r="B139" t="str">
            <v>WWJK</v>
          </cell>
          <cell r="X139">
            <v>79.5</v>
          </cell>
          <cell r="AB139">
            <v>18.150000000000002</v>
          </cell>
        </row>
        <row r="140">
          <cell r="B140" t="str">
            <v>WWJK</v>
          </cell>
          <cell r="X140">
            <v>79.5</v>
          </cell>
          <cell r="AB140">
            <v>18.150000000000002</v>
          </cell>
        </row>
        <row r="141">
          <cell r="B141" t="str">
            <v>WWPD</v>
          </cell>
          <cell r="X141">
            <v>107.4</v>
          </cell>
          <cell r="AB141">
            <v>21.78</v>
          </cell>
        </row>
        <row r="142">
          <cell r="B142" t="str">
            <v>WWPD</v>
          </cell>
          <cell r="X142">
            <v>107.4</v>
          </cell>
          <cell r="AB142">
            <v>21.78</v>
          </cell>
        </row>
        <row r="143">
          <cell r="B143" t="str">
            <v>WWDW</v>
          </cell>
          <cell r="X143">
            <v>175.2</v>
          </cell>
          <cell r="AB143">
            <v>45.760000000000005</v>
          </cell>
        </row>
        <row r="144">
          <cell r="B144" t="str">
            <v>WWDW</v>
          </cell>
          <cell r="X144">
            <v>153.30000000000001</v>
          </cell>
          <cell r="AB144">
            <v>40.04</v>
          </cell>
        </row>
        <row r="145">
          <cell r="B145" t="str">
            <v>WWDW</v>
          </cell>
          <cell r="X145">
            <v>131.4</v>
          </cell>
          <cell r="AB145">
            <v>34.32</v>
          </cell>
        </row>
        <row r="146">
          <cell r="B146" t="str">
            <v>WWDW</v>
          </cell>
          <cell r="X146">
            <v>149.4</v>
          </cell>
          <cell r="AB146">
            <v>38.28</v>
          </cell>
        </row>
        <row r="147">
          <cell r="B147" t="str">
            <v>WWDW</v>
          </cell>
          <cell r="X147">
            <v>149.4</v>
          </cell>
          <cell r="AB147">
            <v>38.28</v>
          </cell>
        </row>
        <row r="148">
          <cell r="B148" t="str">
            <v>WWDW</v>
          </cell>
          <cell r="X148">
            <v>167.3</v>
          </cell>
          <cell r="AB148">
            <v>42.35</v>
          </cell>
        </row>
        <row r="149">
          <cell r="B149" t="str">
            <v>WWDW</v>
          </cell>
          <cell r="X149">
            <v>143.4</v>
          </cell>
          <cell r="AB149">
            <v>36.300000000000004</v>
          </cell>
        </row>
        <row r="150">
          <cell r="B150" t="str">
            <v>WWDW</v>
          </cell>
          <cell r="X150">
            <v>119.5</v>
          </cell>
          <cell r="AB150">
            <v>30.250000000000004</v>
          </cell>
        </row>
        <row r="151">
          <cell r="B151" t="str">
            <v>WWDW</v>
          </cell>
          <cell r="X151">
            <v>149</v>
          </cell>
          <cell r="AB151">
            <v>37.950000000000003</v>
          </cell>
        </row>
        <row r="152">
          <cell r="B152" t="str">
            <v>WWDW</v>
          </cell>
          <cell r="X152">
            <v>165</v>
          </cell>
          <cell r="AB152">
            <v>41.25</v>
          </cell>
        </row>
        <row r="153">
          <cell r="B153" t="str">
            <v>WWDW</v>
          </cell>
          <cell r="X153">
            <v>252</v>
          </cell>
          <cell r="AB153">
            <v>70.840000000000018</v>
          </cell>
        </row>
        <row r="154">
          <cell r="B154" t="str">
            <v>WWDW</v>
          </cell>
          <cell r="X154">
            <v>288</v>
          </cell>
          <cell r="AB154">
            <v>80.959999999999994</v>
          </cell>
        </row>
        <row r="155">
          <cell r="B155" t="str">
            <v>WWDW</v>
          </cell>
          <cell r="X155">
            <v>180</v>
          </cell>
          <cell r="AB155">
            <v>50.6</v>
          </cell>
        </row>
        <row r="156">
          <cell r="B156" t="str">
            <v>WWPD</v>
          </cell>
          <cell r="X156">
            <v>119.2</v>
          </cell>
          <cell r="AB156">
            <v>27.280000000000005</v>
          </cell>
        </row>
        <row r="157">
          <cell r="B157" t="str">
            <v>WWPD</v>
          </cell>
          <cell r="X157">
            <v>119.2</v>
          </cell>
          <cell r="AB157">
            <v>27.280000000000005</v>
          </cell>
        </row>
        <row r="158">
          <cell r="B158" t="str">
            <v>WWVS</v>
          </cell>
          <cell r="X158">
            <v>79.5</v>
          </cell>
          <cell r="AB158">
            <v>20.900000000000002</v>
          </cell>
        </row>
        <row r="159">
          <cell r="B159" t="str">
            <v>WWVS</v>
          </cell>
          <cell r="X159">
            <v>89.5</v>
          </cell>
          <cell r="AB159">
            <v>22</v>
          </cell>
        </row>
        <row r="160">
          <cell r="B160" t="str">
            <v>WWVS</v>
          </cell>
          <cell r="X160">
            <v>94.5</v>
          </cell>
          <cell r="AB160">
            <v>22</v>
          </cell>
        </row>
        <row r="161">
          <cell r="B161" t="str">
            <v>GFJK</v>
          </cell>
          <cell r="X161">
            <v>179.5</v>
          </cell>
          <cell r="AB161">
            <v>41.25</v>
          </cell>
        </row>
        <row r="162">
          <cell r="B162" t="str">
            <v>GFJK</v>
          </cell>
          <cell r="X162">
            <v>179.5</v>
          </cell>
          <cell r="AB162">
            <v>41.25</v>
          </cell>
        </row>
        <row r="163">
          <cell r="B163" t="str">
            <v>GWJK</v>
          </cell>
          <cell r="X163">
            <v>107.7</v>
          </cell>
          <cell r="AB163">
            <v>24.750000000000004</v>
          </cell>
        </row>
        <row r="164">
          <cell r="B164" t="str">
            <v>GWJK</v>
          </cell>
          <cell r="X164">
            <v>107.7</v>
          </cell>
          <cell r="AB164">
            <v>24.750000000000004</v>
          </cell>
        </row>
        <row r="165">
          <cell r="B165" t="str">
            <v>GFJK</v>
          </cell>
          <cell r="X165">
            <v>56.7</v>
          </cell>
          <cell r="AB165">
            <v>13.200000000000001</v>
          </cell>
        </row>
        <row r="166">
          <cell r="B166" t="str">
            <v>GFJK</v>
          </cell>
          <cell r="X166">
            <v>56.7</v>
          </cell>
          <cell r="AB166">
            <v>13.200000000000001</v>
          </cell>
        </row>
        <row r="167">
          <cell r="B167" t="str">
            <v>GFJK</v>
          </cell>
          <cell r="X167">
            <v>94.5</v>
          </cell>
          <cell r="AB167">
            <v>22</v>
          </cell>
        </row>
        <row r="168">
          <cell r="B168" t="str">
            <v>GFVS</v>
          </cell>
          <cell r="X168">
            <v>49.5</v>
          </cell>
          <cell r="AB168">
            <v>13.750000000000002</v>
          </cell>
        </row>
        <row r="169">
          <cell r="B169" t="str">
            <v>GWJK</v>
          </cell>
          <cell r="X169">
            <v>199.2</v>
          </cell>
          <cell r="AB169">
            <v>52.800000000000004</v>
          </cell>
        </row>
        <row r="170">
          <cell r="B170" t="str">
            <v>GWJK</v>
          </cell>
          <cell r="X170">
            <v>99.6</v>
          </cell>
          <cell r="AB170">
            <v>26.400000000000002</v>
          </cell>
        </row>
        <row r="171">
          <cell r="B171" t="str">
            <v>GWDW</v>
          </cell>
          <cell r="X171">
            <v>83.7</v>
          </cell>
          <cell r="AB171">
            <v>20.460000000000004</v>
          </cell>
        </row>
        <row r="172">
          <cell r="B172" t="str">
            <v>GWDW</v>
          </cell>
          <cell r="X172">
            <v>83.7</v>
          </cell>
          <cell r="AB172">
            <v>20.460000000000004</v>
          </cell>
        </row>
        <row r="173">
          <cell r="B173" t="str">
            <v>GWDW</v>
          </cell>
          <cell r="X173">
            <v>179.5</v>
          </cell>
          <cell r="AB173">
            <v>44</v>
          </cell>
        </row>
        <row r="174">
          <cell r="B174" t="str">
            <v>GWDW</v>
          </cell>
          <cell r="X174">
            <v>179.5</v>
          </cell>
          <cell r="AB174">
            <v>44</v>
          </cell>
        </row>
        <row r="175">
          <cell r="B175" t="str">
            <v>GWDW</v>
          </cell>
          <cell r="X175">
            <v>199</v>
          </cell>
          <cell r="AB175">
            <v>49.500000000000007</v>
          </cell>
        </row>
        <row r="176">
          <cell r="B176" t="str">
            <v>GWDW</v>
          </cell>
          <cell r="X176">
            <v>137.69999999999999</v>
          </cell>
          <cell r="AB176">
            <v>36.300000000000004</v>
          </cell>
        </row>
        <row r="177">
          <cell r="B177" t="str">
            <v>GWDW</v>
          </cell>
          <cell r="X177">
            <v>137.69999999999999</v>
          </cell>
          <cell r="AB177">
            <v>36.300000000000004</v>
          </cell>
        </row>
        <row r="178">
          <cell r="B178" t="str">
            <v>GWVS</v>
          </cell>
          <cell r="X178">
            <v>53.7</v>
          </cell>
          <cell r="AB178">
            <v>14.850000000000001</v>
          </cell>
        </row>
        <row r="179">
          <cell r="B179" t="str">
            <v>GWVS</v>
          </cell>
          <cell r="X179">
            <v>59.4</v>
          </cell>
          <cell r="AB179">
            <v>16.5</v>
          </cell>
        </row>
        <row r="180">
          <cell r="B180" t="str">
            <v>GFJK</v>
          </cell>
          <cell r="X180">
            <v>89.4</v>
          </cell>
          <cell r="AB180">
            <v>21.78</v>
          </cell>
        </row>
        <row r="181">
          <cell r="B181" t="str">
            <v>GFJK</v>
          </cell>
          <cell r="X181">
            <v>89.4</v>
          </cell>
          <cell r="AB181">
            <v>21.78</v>
          </cell>
        </row>
        <row r="182">
          <cell r="B182" t="str">
            <v>GFJK</v>
          </cell>
          <cell r="X182">
            <v>77.7</v>
          </cell>
          <cell r="AB182">
            <v>19.8</v>
          </cell>
        </row>
        <row r="183">
          <cell r="B183" t="str">
            <v>GFJK</v>
          </cell>
          <cell r="X183">
            <v>77.7</v>
          </cell>
          <cell r="AB183">
            <v>19.8</v>
          </cell>
        </row>
        <row r="184">
          <cell r="B184" t="str">
            <v>GWJK</v>
          </cell>
          <cell r="X184">
            <v>65.7</v>
          </cell>
          <cell r="AB184">
            <v>16.5</v>
          </cell>
        </row>
        <row r="185">
          <cell r="B185" t="str">
            <v>GWPD</v>
          </cell>
          <cell r="X185">
            <v>59.4</v>
          </cell>
          <cell r="AB185">
            <v>13.530000000000001</v>
          </cell>
        </row>
        <row r="186">
          <cell r="B186" t="str">
            <v>GWPD</v>
          </cell>
          <cell r="X186">
            <v>39.6</v>
          </cell>
          <cell r="AB186">
            <v>9.02</v>
          </cell>
        </row>
        <row r="187">
          <cell r="B187" t="str">
            <v>GWDW</v>
          </cell>
          <cell r="X187">
            <v>71.7</v>
          </cell>
          <cell r="AB187">
            <v>16.5</v>
          </cell>
        </row>
        <row r="188">
          <cell r="B188" t="str">
            <v>GWDW</v>
          </cell>
          <cell r="X188">
            <v>47.8</v>
          </cell>
          <cell r="AB188">
            <v>11</v>
          </cell>
        </row>
        <row r="189">
          <cell r="B189" t="str">
            <v>GWDW</v>
          </cell>
          <cell r="X189">
            <v>71.7</v>
          </cell>
          <cell r="AB189">
            <v>16.5</v>
          </cell>
        </row>
        <row r="190">
          <cell r="B190" t="str">
            <v>GWDW</v>
          </cell>
          <cell r="X190">
            <v>47.8</v>
          </cell>
          <cell r="AB190">
            <v>11</v>
          </cell>
        </row>
        <row r="191">
          <cell r="B191" t="str">
            <v>GWDW</v>
          </cell>
          <cell r="X191">
            <v>89.4</v>
          </cell>
          <cell r="AB191">
            <v>21.450000000000003</v>
          </cell>
        </row>
        <row r="192">
          <cell r="B192" t="str">
            <v>GWDW</v>
          </cell>
          <cell r="X192">
            <v>83.7</v>
          </cell>
          <cell r="AB192">
            <v>19.8</v>
          </cell>
        </row>
        <row r="193">
          <cell r="B193" t="str">
            <v>GWDW</v>
          </cell>
          <cell r="X193">
            <v>119.4</v>
          </cell>
          <cell r="AB193">
            <v>31.35</v>
          </cell>
        </row>
        <row r="194">
          <cell r="B194" t="str">
            <v>GWDW</v>
          </cell>
          <cell r="X194">
            <v>119.4</v>
          </cell>
          <cell r="AB194">
            <v>31.35</v>
          </cell>
        </row>
        <row r="195">
          <cell r="B195" t="str">
            <v>WFPT</v>
          </cell>
          <cell r="X195">
            <v>175.2</v>
          </cell>
          <cell r="AB195">
            <v>45.760000000000005</v>
          </cell>
        </row>
        <row r="196">
          <cell r="B196" t="str">
            <v>WFPT</v>
          </cell>
          <cell r="X196">
            <v>250.6</v>
          </cell>
          <cell r="AB196">
            <v>60.060000000000009</v>
          </cell>
        </row>
        <row r="197">
          <cell r="B197" t="str">
            <v>WFPT</v>
          </cell>
          <cell r="X197">
            <v>143.19999999999999</v>
          </cell>
          <cell r="AB197">
            <v>34.32</v>
          </cell>
        </row>
        <row r="198">
          <cell r="B198" t="str">
            <v>WFPT</v>
          </cell>
          <cell r="X198">
            <v>139.30000000000001</v>
          </cell>
          <cell r="AB198">
            <v>30.800000000000004</v>
          </cell>
        </row>
        <row r="199">
          <cell r="B199" t="str">
            <v>WFPT</v>
          </cell>
          <cell r="X199">
            <v>99.5</v>
          </cell>
          <cell r="AB199">
            <v>22</v>
          </cell>
        </row>
        <row r="200">
          <cell r="B200" t="str">
            <v>WFPT</v>
          </cell>
          <cell r="X200">
            <v>135.19999999999999</v>
          </cell>
          <cell r="AB200">
            <v>32.56</v>
          </cell>
        </row>
        <row r="201">
          <cell r="B201" t="str">
            <v>WFPT</v>
          </cell>
          <cell r="X201">
            <v>135.19999999999999</v>
          </cell>
          <cell r="AB201">
            <v>33.880000000000003</v>
          </cell>
        </row>
        <row r="202">
          <cell r="B202" t="str">
            <v>WFPT</v>
          </cell>
          <cell r="X202">
            <v>67.599999999999994</v>
          </cell>
          <cell r="AB202">
            <v>16.940000000000001</v>
          </cell>
        </row>
        <row r="203">
          <cell r="B203" t="str">
            <v>WFPT</v>
          </cell>
          <cell r="X203">
            <v>67.599999999999994</v>
          </cell>
          <cell r="AB203">
            <v>16.940000000000001</v>
          </cell>
        </row>
        <row r="204">
          <cell r="B204" t="str">
            <v>WFPT</v>
          </cell>
          <cell r="X204">
            <v>89.5</v>
          </cell>
          <cell r="AB204">
            <v>21.725000000000001</v>
          </cell>
        </row>
        <row r="205">
          <cell r="B205" t="str">
            <v>WFPT</v>
          </cell>
          <cell r="X205">
            <v>148.5</v>
          </cell>
          <cell r="AB205">
            <v>44.550000000000004</v>
          </cell>
        </row>
        <row r="206">
          <cell r="B206" t="str">
            <v>WFPT</v>
          </cell>
          <cell r="X206">
            <v>79.2</v>
          </cell>
          <cell r="AB206">
            <v>23.760000000000005</v>
          </cell>
        </row>
        <row r="207">
          <cell r="B207" t="str">
            <v>WFPT</v>
          </cell>
          <cell r="X207">
            <v>49.5</v>
          </cell>
          <cell r="AB207">
            <v>14.850000000000001</v>
          </cell>
        </row>
        <row r="208">
          <cell r="B208" t="str">
            <v>WFPT</v>
          </cell>
          <cell r="X208">
            <v>135.19999999999999</v>
          </cell>
          <cell r="AB208">
            <v>30.800000000000004</v>
          </cell>
        </row>
        <row r="209">
          <cell r="B209" t="str">
            <v>WFPT</v>
          </cell>
          <cell r="X209">
            <v>50.7</v>
          </cell>
          <cell r="AB209">
            <v>11.55</v>
          </cell>
        </row>
        <row r="210">
          <cell r="B210" t="str">
            <v>WWPT</v>
          </cell>
          <cell r="X210">
            <v>348.6</v>
          </cell>
          <cell r="AB210">
            <v>84.7</v>
          </cell>
        </row>
        <row r="211">
          <cell r="B211" t="str">
            <v>WWPT</v>
          </cell>
          <cell r="X211">
            <v>149.4</v>
          </cell>
          <cell r="AB211">
            <v>36.300000000000004</v>
          </cell>
        </row>
        <row r="212">
          <cell r="B212" t="str">
            <v>WWPT</v>
          </cell>
          <cell r="X212">
            <v>75.599999999999994</v>
          </cell>
          <cell r="AB212">
            <v>18.920000000000002</v>
          </cell>
        </row>
        <row r="213">
          <cell r="B213" t="str">
            <v>WWPT</v>
          </cell>
          <cell r="X213">
            <v>207.2</v>
          </cell>
          <cell r="AB213">
            <v>51.04</v>
          </cell>
        </row>
        <row r="214">
          <cell r="B214" t="str">
            <v>WWPT</v>
          </cell>
          <cell r="X214">
            <v>318.39999999999998</v>
          </cell>
          <cell r="AB214">
            <v>81.840000000000018</v>
          </cell>
        </row>
        <row r="215">
          <cell r="B215" t="str">
            <v>WWPT</v>
          </cell>
          <cell r="X215">
            <v>119.4</v>
          </cell>
          <cell r="AB215">
            <v>30.69</v>
          </cell>
        </row>
        <row r="216">
          <cell r="B216" t="str">
            <v>WWPT</v>
          </cell>
          <cell r="X216">
            <v>119.4</v>
          </cell>
          <cell r="AB216">
            <v>30.69</v>
          </cell>
        </row>
        <row r="217">
          <cell r="B217" t="str">
            <v>WWPT</v>
          </cell>
          <cell r="X217">
            <v>159.19999999999999</v>
          </cell>
          <cell r="AB217">
            <v>42.24</v>
          </cell>
        </row>
        <row r="218">
          <cell r="B218" t="str">
            <v>WWPT</v>
          </cell>
          <cell r="X218">
            <v>79.599999999999994</v>
          </cell>
          <cell r="AB218">
            <v>21.12</v>
          </cell>
        </row>
        <row r="219">
          <cell r="B219" t="str">
            <v>WWPT</v>
          </cell>
          <cell r="X219">
            <v>252</v>
          </cell>
          <cell r="AB219">
            <v>62.7</v>
          </cell>
        </row>
        <row r="220">
          <cell r="B220" t="str">
            <v>WWPT</v>
          </cell>
          <cell r="X220">
            <v>126</v>
          </cell>
          <cell r="AB220">
            <v>31.35</v>
          </cell>
        </row>
        <row r="221">
          <cell r="B221" t="str">
            <v>WWPT</v>
          </cell>
          <cell r="X221">
            <v>126</v>
          </cell>
          <cell r="AB221">
            <v>31.35</v>
          </cell>
        </row>
        <row r="222">
          <cell r="B222" t="str">
            <v>WWPT</v>
          </cell>
          <cell r="X222">
            <v>249</v>
          </cell>
          <cell r="AB222">
            <v>61.600000000000009</v>
          </cell>
        </row>
        <row r="223">
          <cell r="B223" t="str">
            <v>WWPT</v>
          </cell>
          <cell r="X223">
            <v>99.6</v>
          </cell>
          <cell r="AB223">
            <v>24.64</v>
          </cell>
        </row>
        <row r="224">
          <cell r="B224" t="str">
            <v>WWPT</v>
          </cell>
          <cell r="X224">
            <v>239.2</v>
          </cell>
          <cell r="AB224">
            <v>60.720000000000006</v>
          </cell>
        </row>
        <row r="225">
          <cell r="B225" t="str">
            <v>WWPT</v>
          </cell>
          <cell r="X225">
            <v>169</v>
          </cell>
          <cell r="AB225">
            <v>40.700000000000003</v>
          </cell>
        </row>
        <row r="226">
          <cell r="B226" t="str">
            <v>WWPT</v>
          </cell>
          <cell r="X226">
            <v>118.3</v>
          </cell>
          <cell r="AB226">
            <v>28.490000000000002</v>
          </cell>
        </row>
        <row r="227">
          <cell r="B227" t="str">
            <v>WWPT</v>
          </cell>
          <cell r="X227">
            <v>169</v>
          </cell>
          <cell r="AB227">
            <v>41.800000000000004</v>
          </cell>
        </row>
        <row r="228">
          <cell r="B228" t="str">
            <v>WWPT</v>
          </cell>
          <cell r="X228">
            <v>84.5</v>
          </cell>
          <cell r="AB228">
            <v>20.900000000000002</v>
          </cell>
        </row>
        <row r="229">
          <cell r="B229" t="str">
            <v>WWPT</v>
          </cell>
          <cell r="X229">
            <v>132.30000000000001</v>
          </cell>
          <cell r="AB229">
            <v>30.800000000000004</v>
          </cell>
        </row>
        <row r="230">
          <cell r="B230" t="str">
            <v>WWPT</v>
          </cell>
          <cell r="X230">
            <v>56.7</v>
          </cell>
          <cell r="AB230">
            <v>13.200000000000001</v>
          </cell>
        </row>
        <row r="231">
          <cell r="B231" t="str">
            <v>WWPT</v>
          </cell>
          <cell r="X231">
            <v>189</v>
          </cell>
          <cell r="AB231">
            <v>48.400000000000006</v>
          </cell>
        </row>
        <row r="232">
          <cell r="B232" t="str">
            <v>WWPT</v>
          </cell>
          <cell r="X232">
            <v>75.599999999999994</v>
          </cell>
          <cell r="AB232">
            <v>19.360000000000003</v>
          </cell>
        </row>
        <row r="233">
          <cell r="B233" t="str">
            <v>WWPT</v>
          </cell>
          <cell r="X233">
            <v>151.19999999999999</v>
          </cell>
          <cell r="AB233">
            <v>38.720000000000006</v>
          </cell>
        </row>
        <row r="234">
          <cell r="B234" t="str">
            <v>WWPT</v>
          </cell>
          <cell r="X234">
            <v>289</v>
          </cell>
          <cell r="AB234">
            <v>71.5</v>
          </cell>
        </row>
        <row r="235">
          <cell r="B235" t="str">
            <v>WWPT</v>
          </cell>
          <cell r="X235">
            <v>89.5</v>
          </cell>
          <cell r="AB235">
            <v>22</v>
          </cell>
        </row>
        <row r="236">
          <cell r="B236" t="str">
            <v>WWPT</v>
          </cell>
          <cell r="X236">
            <v>143.19999999999999</v>
          </cell>
          <cell r="AB236">
            <v>35.200000000000003</v>
          </cell>
        </row>
        <row r="237">
          <cell r="B237" t="str">
            <v>WWPT</v>
          </cell>
          <cell r="X237">
            <v>238</v>
          </cell>
          <cell r="AB237">
            <v>72.600000000000009</v>
          </cell>
        </row>
        <row r="238">
          <cell r="B238" t="str">
            <v>WWPT</v>
          </cell>
          <cell r="X238">
            <v>95.2</v>
          </cell>
          <cell r="AB238">
            <v>29.04</v>
          </cell>
        </row>
        <row r="239">
          <cell r="B239" t="str">
            <v>WWPT</v>
          </cell>
          <cell r="X239">
            <v>71.400000000000006</v>
          </cell>
          <cell r="AB239">
            <v>21.78</v>
          </cell>
        </row>
        <row r="240">
          <cell r="B240" t="str">
            <v>WWPT</v>
          </cell>
          <cell r="X240">
            <v>99</v>
          </cell>
          <cell r="AB240">
            <v>29.700000000000003</v>
          </cell>
        </row>
        <row r="241">
          <cell r="B241" t="str">
            <v>WWPT</v>
          </cell>
          <cell r="X241">
            <v>59.4</v>
          </cell>
          <cell r="AB241">
            <v>17.82</v>
          </cell>
        </row>
        <row r="242">
          <cell r="B242" t="str">
            <v>WWPT</v>
          </cell>
          <cell r="X242">
            <v>59.4</v>
          </cell>
          <cell r="AB242">
            <v>19.8</v>
          </cell>
        </row>
        <row r="243">
          <cell r="B243" t="str">
            <v>WWPT</v>
          </cell>
          <cell r="X243">
            <v>59.4</v>
          </cell>
          <cell r="AB243">
            <v>19.8</v>
          </cell>
        </row>
        <row r="244">
          <cell r="B244" t="str">
            <v>WWPT</v>
          </cell>
          <cell r="X244">
            <v>101.4</v>
          </cell>
          <cell r="AB244">
            <v>26.07</v>
          </cell>
        </row>
        <row r="245">
          <cell r="B245" t="str">
            <v>WWPS</v>
          </cell>
          <cell r="X245">
            <v>38.700000000000003</v>
          </cell>
          <cell r="AB245">
            <v>10.230000000000002</v>
          </cell>
        </row>
        <row r="246">
          <cell r="B246" t="str">
            <v>WWSK</v>
          </cell>
          <cell r="X246">
            <v>35.700000000000003</v>
          </cell>
          <cell r="AB246">
            <v>9.57</v>
          </cell>
        </row>
        <row r="247">
          <cell r="B247" t="str">
            <v>WWSK</v>
          </cell>
          <cell r="X247">
            <v>35.700000000000003</v>
          </cell>
          <cell r="AB247">
            <v>9.57</v>
          </cell>
        </row>
        <row r="248">
          <cell r="B248" t="str">
            <v>WWPS</v>
          </cell>
          <cell r="X248">
            <v>41.7</v>
          </cell>
          <cell r="AB248">
            <v>12.870000000000001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자료"/>
      <sheetName val="Sheet3"/>
      <sheetName val="사전원가"/>
      <sheetName val="16ss 의류&amp;용품"/>
      <sheetName val="sm"/>
      <sheetName val="주간분석"/>
    </sheetNames>
    <sheetDataSet>
      <sheetData sheetId="0"/>
      <sheetData sheetId="1">
        <row r="3">
          <cell r="D3" t="str">
            <v>수입</v>
          </cell>
        </row>
        <row r="4">
          <cell r="D4" t="str">
            <v>수입</v>
          </cell>
        </row>
        <row r="6">
          <cell r="D6" t="str">
            <v>수입</v>
          </cell>
        </row>
        <row r="7">
          <cell r="D7" t="str">
            <v>수입</v>
          </cell>
        </row>
        <row r="8">
          <cell r="D8" t="str">
            <v>수입</v>
          </cell>
        </row>
        <row r="9">
          <cell r="D9" t="str">
            <v>수입</v>
          </cell>
        </row>
        <row r="11">
          <cell r="D11" t="str">
            <v>수입</v>
          </cell>
        </row>
        <row r="13">
          <cell r="D13" t="str">
            <v>수입</v>
          </cell>
        </row>
        <row r="14">
          <cell r="D14" t="str">
            <v>수입</v>
          </cell>
        </row>
        <row r="16">
          <cell r="D16" t="str">
            <v>수입</v>
          </cell>
        </row>
        <row r="17">
          <cell r="D17" t="str">
            <v>수입</v>
          </cell>
        </row>
        <row r="19">
          <cell r="D19" t="str">
            <v>수입</v>
          </cell>
        </row>
        <row r="20">
          <cell r="D20" t="str">
            <v>수입</v>
          </cell>
        </row>
        <row r="22">
          <cell r="D22" t="str">
            <v>수입</v>
          </cell>
        </row>
        <row r="23">
          <cell r="D23" t="str">
            <v>수입</v>
          </cell>
        </row>
        <row r="25">
          <cell r="D25" t="str">
            <v>수입</v>
          </cell>
        </row>
        <row r="26">
          <cell r="D26" t="str">
            <v>수입</v>
          </cell>
        </row>
        <row r="28">
          <cell r="D28" t="str">
            <v>수입</v>
          </cell>
        </row>
        <row r="29">
          <cell r="D29" t="str">
            <v>수입</v>
          </cell>
        </row>
        <row r="30">
          <cell r="D30" t="str">
            <v>수입</v>
          </cell>
        </row>
        <row r="32">
          <cell r="D32" t="str">
            <v>국내</v>
          </cell>
        </row>
        <row r="33">
          <cell r="D33" t="str">
            <v>국내</v>
          </cell>
        </row>
        <row r="34">
          <cell r="D34" t="str">
            <v>국내</v>
          </cell>
        </row>
        <row r="35">
          <cell r="D35" t="str">
            <v>국내</v>
          </cell>
        </row>
        <row r="36">
          <cell r="D36" t="str">
            <v>국내</v>
          </cell>
        </row>
        <row r="38">
          <cell r="D38" t="str">
            <v>국내</v>
          </cell>
        </row>
        <row r="39">
          <cell r="D39" t="str">
            <v>국내</v>
          </cell>
        </row>
        <row r="40">
          <cell r="D40" t="str">
            <v>국내</v>
          </cell>
        </row>
        <row r="42">
          <cell r="D42" t="str">
            <v>국내</v>
          </cell>
        </row>
        <row r="43">
          <cell r="D43" t="str">
            <v>국내</v>
          </cell>
        </row>
        <row r="44">
          <cell r="D44" t="str">
            <v>국내</v>
          </cell>
        </row>
        <row r="46">
          <cell r="D46" t="str">
            <v>국내</v>
          </cell>
        </row>
        <row r="47">
          <cell r="D47" t="str">
            <v>국내</v>
          </cell>
        </row>
        <row r="49">
          <cell r="D49" t="str">
            <v>국내</v>
          </cell>
        </row>
        <row r="50">
          <cell r="D50" t="str">
            <v>국내</v>
          </cell>
        </row>
        <row r="52">
          <cell r="D52" t="str">
            <v>국내</v>
          </cell>
        </row>
        <row r="53">
          <cell r="D53" t="str">
            <v>국내</v>
          </cell>
        </row>
        <row r="55">
          <cell r="D55" t="str">
            <v>국내</v>
          </cell>
        </row>
        <row r="56">
          <cell r="D56" t="str">
            <v>국내</v>
          </cell>
        </row>
        <row r="58">
          <cell r="D58" t="str">
            <v>국내</v>
          </cell>
        </row>
        <row r="59">
          <cell r="D59" t="str">
            <v>국내</v>
          </cell>
        </row>
        <row r="60">
          <cell r="D60" t="str">
            <v>국내</v>
          </cell>
        </row>
        <row r="62">
          <cell r="D62" t="str">
            <v>국내</v>
          </cell>
        </row>
        <row r="63">
          <cell r="D63" t="str">
            <v>국내</v>
          </cell>
        </row>
        <row r="64">
          <cell r="D64" t="str">
            <v>국내</v>
          </cell>
        </row>
        <row r="66">
          <cell r="D66" t="str">
            <v>국내</v>
          </cell>
        </row>
        <row r="67">
          <cell r="D67" t="str">
            <v>국내</v>
          </cell>
        </row>
        <row r="68">
          <cell r="D68" t="str">
            <v>국내</v>
          </cell>
        </row>
        <row r="70">
          <cell r="D70" t="str">
            <v>국내</v>
          </cell>
        </row>
        <row r="72">
          <cell r="D72" t="str">
            <v>국내</v>
          </cell>
        </row>
        <row r="73">
          <cell r="D73" t="str">
            <v>국내</v>
          </cell>
        </row>
        <row r="74">
          <cell r="D74" t="str">
            <v>국내</v>
          </cell>
        </row>
        <row r="76">
          <cell r="D76" t="str">
            <v>국내</v>
          </cell>
        </row>
        <row r="77">
          <cell r="D77" t="str">
            <v>국내</v>
          </cell>
        </row>
        <row r="79">
          <cell r="D79" t="str">
            <v>국내</v>
          </cell>
        </row>
        <row r="80">
          <cell r="D80" t="str">
            <v>국내</v>
          </cell>
        </row>
        <row r="82">
          <cell r="D82" t="str">
            <v>국내</v>
          </cell>
        </row>
        <row r="83">
          <cell r="D83" t="str">
            <v>국내</v>
          </cell>
        </row>
        <row r="84">
          <cell r="D84" t="str">
            <v>국내</v>
          </cell>
        </row>
        <row r="86">
          <cell r="D86" t="str">
            <v>국내</v>
          </cell>
        </row>
        <row r="87">
          <cell r="D87" t="str">
            <v>국내</v>
          </cell>
        </row>
        <row r="88">
          <cell r="D88" t="str">
            <v>국내</v>
          </cell>
        </row>
        <row r="90">
          <cell r="D90" t="str">
            <v>국내</v>
          </cell>
        </row>
        <row r="91">
          <cell r="D91" t="str">
            <v>국내</v>
          </cell>
        </row>
        <row r="93">
          <cell r="D93" t="str">
            <v>국내</v>
          </cell>
        </row>
        <row r="94">
          <cell r="D94" t="str">
            <v>국내</v>
          </cell>
        </row>
        <row r="95">
          <cell r="D95" t="str">
            <v>국내</v>
          </cell>
        </row>
        <row r="97">
          <cell r="D97" t="str">
            <v>국내</v>
          </cell>
        </row>
        <row r="98">
          <cell r="D98" t="str">
            <v>국내</v>
          </cell>
        </row>
        <row r="100">
          <cell r="D100" t="str">
            <v>국내</v>
          </cell>
        </row>
        <row r="101">
          <cell r="D101" t="str">
            <v>국내</v>
          </cell>
        </row>
        <row r="102">
          <cell r="D102" t="str">
            <v>국내</v>
          </cell>
        </row>
        <row r="104">
          <cell r="D104" t="str">
            <v>국내</v>
          </cell>
        </row>
        <row r="105">
          <cell r="D105" t="str">
            <v>국내</v>
          </cell>
        </row>
        <row r="106">
          <cell r="D106" t="str">
            <v>국내</v>
          </cell>
        </row>
        <row r="108">
          <cell r="D108" t="str">
            <v>국내</v>
          </cell>
        </row>
        <row r="109">
          <cell r="D109" t="str">
            <v>국내</v>
          </cell>
        </row>
        <row r="110">
          <cell r="D110" t="str">
            <v>국내</v>
          </cell>
        </row>
        <row r="112">
          <cell r="D112" t="str">
            <v>국내</v>
          </cell>
        </row>
        <row r="113">
          <cell r="D113" t="str">
            <v>국내</v>
          </cell>
        </row>
        <row r="115">
          <cell r="D115" t="str">
            <v>국내</v>
          </cell>
        </row>
        <row r="117">
          <cell r="D117" t="str">
            <v>국내</v>
          </cell>
        </row>
        <row r="118">
          <cell r="D118" t="str">
            <v>국내</v>
          </cell>
        </row>
        <row r="119">
          <cell r="D119" t="str">
            <v>국내</v>
          </cell>
        </row>
        <row r="121">
          <cell r="D121" t="str">
            <v>국내</v>
          </cell>
        </row>
        <row r="122">
          <cell r="D122" t="str">
            <v>국내</v>
          </cell>
        </row>
        <row r="124">
          <cell r="D124" t="str">
            <v>국내</v>
          </cell>
        </row>
        <row r="125">
          <cell r="D125" t="str">
            <v>국내</v>
          </cell>
        </row>
        <row r="126">
          <cell r="D126" t="str">
            <v>국내</v>
          </cell>
        </row>
        <row r="128">
          <cell r="D128" t="str">
            <v>국내</v>
          </cell>
        </row>
        <row r="129">
          <cell r="D129" t="str">
            <v>국내</v>
          </cell>
        </row>
        <row r="131">
          <cell r="D131" t="str">
            <v>국내</v>
          </cell>
        </row>
        <row r="132">
          <cell r="D132" t="str">
            <v>국내</v>
          </cell>
        </row>
        <row r="134">
          <cell r="D134" t="str">
            <v>국내</v>
          </cell>
        </row>
        <row r="135">
          <cell r="D135" t="str">
            <v>국내</v>
          </cell>
        </row>
        <row r="137">
          <cell r="D137" t="str">
            <v>국내</v>
          </cell>
        </row>
        <row r="138">
          <cell r="D138" t="str">
            <v>국내</v>
          </cell>
        </row>
        <row r="140">
          <cell r="D140" t="str">
            <v>국내</v>
          </cell>
        </row>
        <row r="141">
          <cell r="D141" t="str">
            <v>국내</v>
          </cell>
        </row>
        <row r="143">
          <cell r="D143" t="str">
            <v>국내</v>
          </cell>
        </row>
        <row r="144">
          <cell r="D144" t="str">
            <v>국내</v>
          </cell>
        </row>
        <row r="145">
          <cell r="D145" t="str">
            <v>국내</v>
          </cell>
        </row>
        <row r="147">
          <cell r="D147" t="str">
            <v>국내</v>
          </cell>
        </row>
        <row r="149">
          <cell r="D149" t="str">
            <v>국내</v>
          </cell>
        </row>
        <row r="151">
          <cell r="D151" t="str">
            <v>국내</v>
          </cell>
        </row>
        <row r="153">
          <cell r="D153" t="str">
            <v>국내</v>
          </cell>
        </row>
        <row r="154">
          <cell r="D154" t="str">
            <v>국내</v>
          </cell>
        </row>
        <row r="156">
          <cell r="D156" t="str">
            <v>수입</v>
          </cell>
        </row>
        <row r="157">
          <cell r="D157" t="str">
            <v>수입</v>
          </cell>
        </row>
        <row r="159">
          <cell r="D159" t="str">
            <v>수입</v>
          </cell>
        </row>
        <row r="160">
          <cell r="D160" t="str">
            <v>수입</v>
          </cell>
        </row>
        <row r="161">
          <cell r="D161" t="str">
            <v>수입</v>
          </cell>
        </row>
        <row r="162">
          <cell r="D162" t="str">
            <v>수입</v>
          </cell>
        </row>
        <row r="163">
          <cell r="D163" t="str">
            <v>수입</v>
          </cell>
        </row>
        <row r="164">
          <cell r="D164" t="str">
            <v>수입</v>
          </cell>
        </row>
        <row r="165">
          <cell r="D165" t="str">
            <v>수입</v>
          </cell>
        </row>
        <row r="167">
          <cell r="D167" t="str">
            <v>수입</v>
          </cell>
        </row>
        <row r="168">
          <cell r="D168" t="str">
            <v>수입</v>
          </cell>
        </row>
        <row r="170">
          <cell r="D170" t="str">
            <v>수입</v>
          </cell>
        </row>
        <row r="171">
          <cell r="D171" t="str">
            <v>수입</v>
          </cell>
        </row>
        <row r="172">
          <cell r="D172" t="str">
            <v>수입</v>
          </cell>
        </row>
        <row r="173">
          <cell r="D173" t="str">
            <v>수입</v>
          </cell>
        </row>
        <row r="174">
          <cell r="D174" t="str">
            <v>수입</v>
          </cell>
        </row>
        <row r="175">
          <cell r="D175" t="str">
            <v>수입</v>
          </cell>
        </row>
        <row r="177">
          <cell r="D177" t="str">
            <v>수입</v>
          </cell>
        </row>
        <row r="178">
          <cell r="D178" t="str">
            <v>수입</v>
          </cell>
        </row>
        <row r="179">
          <cell r="D179" t="str">
            <v>수입</v>
          </cell>
        </row>
        <row r="181">
          <cell r="D181" t="str">
            <v>수입</v>
          </cell>
        </row>
        <row r="182">
          <cell r="D182" t="str">
            <v>수입</v>
          </cell>
        </row>
        <row r="183">
          <cell r="D183" t="str">
            <v>수입</v>
          </cell>
        </row>
        <row r="185">
          <cell r="D185" t="str">
            <v>수입</v>
          </cell>
        </row>
        <row r="186">
          <cell r="D186" t="str">
            <v>수입</v>
          </cell>
        </row>
        <row r="187">
          <cell r="D187" t="str">
            <v>수입</v>
          </cell>
        </row>
        <row r="188">
          <cell r="D188" t="str">
            <v>수입</v>
          </cell>
        </row>
        <row r="190">
          <cell r="D190" t="str">
            <v>수입</v>
          </cell>
        </row>
        <row r="191">
          <cell r="D191" t="str">
            <v>수입</v>
          </cell>
        </row>
        <row r="192">
          <cell r="D192" t="str">
            <v>수입</v>
          </cell>
        </row>
        <row r="193">
          <cell r="D193" t="str">
            <v>수입</v>
          </cell>
        </row>
        <row r="194">
          <cell r="D194" t="str">
            <v>수입</v>
          </cell>
        </row>
        <row r="195">
          <cell r="D195" t="str">
            <v>수입</v>
          </cell>
        </row>
        <row r="196">
          <cell r="D196" t="str">
            <v>수입</v>
          </cell>
        </row>
        <row r="197">
          <cell r="D197" t="str">
            <v>수입</v>
          </cell>
        </row>
        <row r="198">
          <cell r="D198" t="str">
            <v>수입</v>
          </cell>
        </row>
        <row r="200">
          <cell r="D200" t="str">
            <v>수입</v>
          </cell>
        </row>
        <row r="201">
          <cell r="D201" t="str">
            <v>수입</v>
          </cell>
        </row>
        <row r="202">
          <cell r="D202" t="str">
            <v>수입</v>
          </cell>
        </row>
        <row r="203">
          <cell r="D203" t="str">
            <v>수입</v>
          </cell>
        </row>
        <row r="205">
          <cell r="D205" t="str">
            <v>수입</v>
          </cell>
        </row>
        <row r="206">
          <cell r="D206" t="str">
            <v>수입</v>
          </cell>
        </row>
        <row r="208">
          <cell r="D208" t="str">
            <v>수입</v>
          </cell>
        </row>
        <row r="210">
          <cell r="D210" t="str">
            <v>수입</v>
          </cell>
        </row>
        <row r="212">
          <cell r="D212" t="str">
            <v>수입</v>
          </cell>
        </row>
        <row r="213">
          <cell r="D213" t="str">
            <v>수입</v>
          </cell>
        </row>
        <row r="214">
          <cell r="D214" t="str">
            <v>수입</v>
          </cell>
        </row>
        <row r="215">
          <cell r="D215" t="str">
            <v>수입</v>
          </cell>
        </row>
        <row r="217">
          <cell r="D217" t="str">
            <v>수입</v>
          </cell>
        </row>
        <row r="218">
          <cell r="D218" t="str">
            <v>수입</v>
          </cell>
        </row>
        <row r="219">
          <cell r="D219" t="str">
            <v>수입</v>
          </cell>
        </row>
        <row r="220">
          <cell r="D220" t="str">
            <v>수입</v>
          </cell>
        </row>
        <row r="222">
          <cell r="D222" t="str">
            <v>수입</v>
          </cell>
        </row>
        <row r="223">
          <cell r="D223" t="str">
            <v>수입</v>
          </cell>
        </row>
        <row r="224">
          <cell r="D224" t="str">
            <v>수입</v>
          </cell>
        </row>
        <row r="226">
          <cell r="D226" t="str">
            <v>수입</v>
          </cell>
        </row>
        <row r="227">
          <cell r="D227" t="str">
            <v>수입</v>
          </cell>
        </row>
        <row r="228">
          <cell r="D228" t="str">
            <v>수입</v>
          </cell>
        </row>
        <row r="230">
          <cell r="D230" t="str">
            <v>수입</v>
          </cell>
        </row>
        <row r="231">
          <cell r="D231" t="str">
            <v>수입</v>
          </cell>
        </row>
        <row r="232">
          <cell r="D232" t="str">
            <v>수입</v>
          </cell>
        </row>
        <row r="233">
          <cell r="D233" t="str">
            <v>수입</v>
          </cell>
        </row>
        <row r="234">
          <cell r="D234" t="str">
            <v>수입</v>
          </cell>
        </row>
        <row r="236">
          <cell r="D236" t="str">
            <v>수입</v>
          </cell>
        </row>
        <row r="237">
          <cell r="D237" t="str">
            <v>수입</v>
          </cell>
        </row>
        <row r="239">
          <cell r="D239" t="str">
            <v>수입</v>
          </cell>
        </row>
        <row r="240">
          <cell r="D240" t="str">
            <v>수입</v>
          </cell>
        </row>
        <row r="241">
          <cell r="D241" t="str">
            <v>수입</v>
          </cell>
        </row>
        <row r="242">
          <cell r="D242" t="str">
            <v>수입</v>
          </cell>
        </row>
        <row r="244">
          <cell r="D244" t="str">
            <v>수입</v>
          </cell>
        </row>
        <row r="245">
          <cell r="D245" t="str">
            <v>수입</v>
          </cell>
        </row>
        <row r="247">
          <cell r="D247" t="str">
            <v>국내</v>
          </cell>
        </row>
        <row r="248">
          <cell r="D248" t="str">
            <v>국내</v>
          </cell>
        </row>
        <row r="250">
          <cell r="D250" t="str">
            <v>국내</v>
          </cell>
        </row>
        <row r="252">
          <cell r="D252" t="str">
            <v>국내</v>
          </cell>
        </row>
        <row r="253">
          <cell r="D253" t="str">
            <v>국내</v>
          </cell>
        </row>
        <row r="254">
          <cell r="D254" t="str">
            <v>국내</v>
          </cell>
        </row>
        <row r="256">
          <cell r="D256" t="str">
            <v>국내</v>
          </cell>
        </row>
        <row r="257">
          <cell r="D257" t="str">
            <v>국내</v>
          </cell>
        </row>
        <row r="259">
          <cell r="D259" t="str">
            <v>국내</v>
          </cell>
        </row>
        <row r="260">
          <cell r="D260" t="str">
            <v>국내</v>
          </cell>
        </row>
        <row r="262">
          <cell r="D262" t="str">
            <v>국내</v>
          </cell>
        </row>
        <row r="263">
          <cell r="D263" t="str">
            <v>국내</v>
          </cell>
        </row>
        <row r="265">
          <cell r="D265" t="str">
            <v>국내</v>
          </cell>
        </row>
        <row r="266">
          <cell r="D266" t="str">
            <v>국내</v>
          </cell>
        </row>
        <row r="268">
          <cell r="D268" t="str">
            <v>국내</v>
          </cell>
        </row>
        <row r="269">
          <cell r="D269" t="str">
            <v>국내</v>
          </cell>
        </row>
        <row r="271">
          <cell r="D271" t="str">
            <v>수입</v>
          </cell>
        </row>
        <row r="272">
          <cell r="D272" t="str">
            <v>수입</v>
          </cell>
        </row>
        <row r="274">
          <cell r="D274" t="str">
            <v>수입</v>
          </cell>
        </row>
        <row r="275">
          <cell r="D275" t="str">
            <v>수입</v>
          </cell>
        </row>
        <row r="277">
          <cell r="D277" t="str">
            <v>수입</v>
          </cell>
        </row>
        <row r="278">
          <cell r="D278" t="str">
            <v>수입</v>
          </cell>
        </row>
        <row r="280">
          <cell r="D280" t="str">
            <v>수입</v>
          </cell>
        </row>
        <row r="281">
          <cell r="D281" t="str">
            <v>수입</v>
          </cell>
        </row>
        <row r="283">
          <cell r="D283" t="str">
            <v>수입</v>
          </cell>
        </row>
        <row r="284">
          <cell r="D284" t="str">
            <v>수입</v>
          </cell>
        </row>
        <row r="286">
          <cell r="D286" t="str">
            <v>수입</v>
          </cell>
        </row>
        <row r="287">
          <cell r="D287" t="str">
            <v>수입</v>
          </cell>
        </row>
        <row r="288">
          <cell r="D288" t="str">
            <v>수입</v>
          </cell>
        </row>
        <row r="290">
          <cell r="D290" t="str">
            <v>수입</v>
          </cell>
        </row>
        <row r="291">
          <cell r="D291" t="str">
            <v>수입</v>
          </cell>
        </row>
        <row r="292">
          <cell r="D292" t="str">
            <v>수입</v>
          </cell>
        </row>
        <row r="293">
          <cell r="D293" t="str">
            <v>수입</v>
          </cell>
        </row>
        <row r="294">
          <cell r="D294" t="str">
            <v>수입</v>
          </cell>
        </row>
        <row r="295">
          <cell r="D295" t="str">
            <v>수입</v>
          </cell>
        </row>
        <row r="296">
          <cell r="D296" t="str">
            <v>수입</v>
          </cell>
        </row>
        <row r="297">
          <cell r="D297" t="str">
            <v>수입</v>
          </cell>
        </row>
        <row r="299">
          <cell r="D299" t="str">
            <v>수입</v>
          </cell>
        </row>
        <row r="300">
          <cell r="D300" t="str">
            <v>수입</v>
          </cell>
        </row>
        <row r="301">
          <cell r="D301" t="str">
            <v>수입</v>
          </cell>
        </row>
        <row r="302">
          <cell r="D302" t="str">
            <v>수입</v>
          </cell>
        </row>
        <row r="303">
          <cell r="D303" t="str">
            <v>수입</v>
          </cell>
        </row>
        <row r="304">
          <cell r="D304" t="str">
            <v>수입</v>
          </cell>
        </row>
        <row r="305">
          <cell r="D305" t="str">
            <v>수입</v>
          </cell>
        </row>
        <row r="307">
          <cell r="D307" t="str">
            <v>수입</v>
          </cell>
        </row>
        <row r="308">
          <cell r="D308" t="str">
            <v>수입</v>
          </cell>
        </row>
        <row r="309">
          <cell r="D309" t="str">
            <v>수입</v>
          </cell>
        </row>
        <row r="310">
          <cell r="D310" t="str">
            <v>수입</v>
          </cell>
        </row>
        <row r="311">
          <cell r="D311" t="str">
            <v>수입</v>
          </cell>
        </row>
        <row r="313">
          <cell r="D313" t="str">
            <v>수입</v>
          </cell>
        </row>
        <row r="315">
          <cell r="D315" t="str">
            <v>수입</v>
          </cell>
        </row>
        <row r="316">
          <cell r="D316" t="str">
            <v>수입</v>
          </cell>
        </row>
        <row r="317">
          <cell r="D317" t="str">
            <v>수입</v>
          </cell>
        </row>
        <row r="319">
          <cell r="D319" t="str">
            <v>수입</v>
          </cell>
        </row>
        <row r="320">
          <cell r="D320" t="str">
            <v>수입</v>
          </cell>
        </row>
        <row r="321">
          <cell r="D321" t="str">
            <v>수입</v>
          </cell>
        </row>
        <row r="323">
          <cell r="D323" t="str">
            <v>수입</v>
          </cell>
        </row>
        <row r="324">
          <cell r="D324" t="str">
            <v>수입</v>
          </cell>
        </row>
        <row r="326">
          <cell r="D326" t="str">
            <v>수입</v>
          </cell>
        </row>
        <row r="327">
          <cell r="D327" t="str">
            <v>수입</v>
          </cell>
        </row>
        <row r="329">
          <cell r="D329" t="str">
            <v>수입</v>
          </cell>
        </row>
        <row r="330">
          <cell r="D330" t="str">
            <v>수입</v>
          </cell>
        </row>
        <row r="332">
          <cell r="D332" t="str">
            <v>수입</v>
          </cell>
        </row>
        <row r="333">
          <cell r="D333" t="str">
            <v>수입</v>
          </cell>
        </row>
        <row r="334">
          <cell r="D334" t="str">
            <v>수입</v>
          </cell>
        </row>
        <row r="336">
          <cell r="D336" t="str">
            <v>수입</v>
          </cell>
        </row>
        <row r="338">
          <cell r="D338" t="str">
            <v>수입</v>
          </cell>
        </row>
        <row r="339">
          <cell r="D339" t="str">
            <v>수입</v>
          </cell>
        </row>
        <row r="341">
          <cell r="D341" t="str">
            <v>수입</v>
          </cell>
        </row>
        <row r="342">
          <cell r="D342" t="str">
            <v>수입</v>
          </cell>
        </row>
        <row r="343">
          <cell r="D343" t="str">
            <v>수입</v>
          </cell>
        </row>
        <row r="345">
          <cell r="D345" t="str">
            <v>수입</v>
          </cell>
        </row>
        <row r="346">
          <cell r="D346" t="str">
            <v>수입</v>
          </cell>
        </row>
        <row r="348">
          <cell r="D348" t="str">
            <v>수입</v>
          </cell>
        </row>
        <row r="349">
          <cell r="D349" t="str">
            <v>수입</v>
          </cell>
        </row>
        <row r="351">
          <cell r="D351" t="str">
            <v>국내</v>
          </cell>
        </row>
        <row r="352">
          <cell r="D352" t="str">
            <v>국내</v>
          </cell>
        </row>
        <row r="354">
          <cell r="D354" t="str">
            <v>국내</v>
          </cell>
        </row>
        <row r="355">
          <cell r="D355" t="str">
            <v>국내</v>
          </cell>
        </row>
        <row r="356">
          <cell r="D356" t="str">
            <v>국내</v>
          </cell>
        </row>
        <row r="357">
          <cell r="D357" t="str">
            <v>국내</v>
          </cell>
        </row>
        <row r="358">
          <cell r="D358" t="str">
            <v>국내</v>
          </cell>
        </row>
        <row r="360">
          <cell r="D360" t="str">
            <v>국내</v>
          </cell>
        </row>
        <row r="362">
          <cell r="D362" t="str">
            <v>국내</v>
          </cell>
        </row>
        <row r="363">
          <cell r="D363" t="str">
            <v>국내</v>
          </cell>
        </row>
        <row r="364">
          <cell r="D364" t="str">
            <v>국내</v>
          </cell>
        </row>
        <row r="366">
          <cell r="D366" t="str">
            <v>국내</v>
          </cell>
        </row>
        <row r="368">
          <cell r="D368" t="str">
            <v>국내</v>
          </cell>
        </row>
        <row r="369">
          <cell r="D369" t="str">
            <v>국내</v>
          </cell>
        </row>
        <row r="371">
          <cell r="D371" t="str">
            <v>국내</v>
          </cell>
        </row>
        <row r="372">
          <cell r="D372" t="str">
            <v>국내</v>
          </cell>
        </row>
        <row r="373">
          <cell r="D373" t="str">
            <v>국내</v>
          </cell>
        </row>
        <row r="374">
          <cell r="D374" t="str">
            <v>국내</v>
          </cell>
        </row>
        <row r="376">
          <cell r="D376" t="str">
            <v>국내</v>
          </cell>
        </row>
        <row r="377">
          <cell r="D377" t="str">
            <v>국내</v>
          </cell>
        </row>
        <row r="379">
          <cell r="D379" t="str">
            <v>국내</v>
          </cell>
        </row>
        <row r="380">
          <cell r="D380" t="str">
            <v>국내</v>
          </cell>
        </row>
        <row r="381">
          <cell r="D381" t="str">
            <v>국내</v>
          </cell>
        </row>
        <row r="383">
          <cell r="D383" t="str">
            <v>국내</v>
          </cell>
        </row>
        <row r="384">
          <cell r="D384" t="str">
            <v>국내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 MD PLAN"/>
      <sheetName val="WV MD PLAN"/>
      <sheetName val="배분현황"/>
      <sheetName val="Sheet1"/>
      <sheetName val="생지 부킹관련"/>
    </sheetNames>
    <sheetDataSet>
      <sheetData sheetId="0"/>
      <sheetData sheetId="1"/>
      <sheetData sheetId="2" refreshError="1">
        <row r="12">
          <cell r="B12" t="str">
            <v>골드</v>
          </cell>
          <cell r="C12" t="str">
            <v>한국</v>
          </cell>
        </row>
        <row r="13">
          <cell r="B13" t="str">
            <v>이화</v>
          </cell>
          <cell r="C13" t="str">
            <v>베트남</v>
          </cell>
        </row>
        <row r="14">
          <cell r="B14" t="str">
            <v>풍신</v>
          </cell>
          <cell r="C14" t="str">
            <v>베트남</v>
          </cell>
        </row>
        <row r="15">
          <cell r="B15" t="str">
            <v>영텍스</v>
          </cell>
          <cell r="C15" t="str">
            <v>베트남</v>
          </cell>
        </row>
      </sheetData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칼라별"/>
      <sheetName val="카타고리별"/>
      <sheetName val="업체별 실적"/>
      <sheetName val="차순"/>
      <sheetName val="IMP"/>
      <sheetName val="원자재IMP"/>
      <sheetName val="07스타일별"/>
      <sheetName val="일자별 판매"/>
      <sheetName val="Sheet1"/>
      <sheetName val="06자료"/>
      <sheetName val="월별 판매"/>
      <sheetName val="주간판매자료"/>
      <sheetName val="QR"/>
      <sheetName val="item"/>
      <sheetName val="15ss mdplan 취합"/>
      <sheetName val="스타일별"/>
      <sheetName val="주간 판매 기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E5" t="str">
            <v>남성</v>
          </cell>
          <cell r="J5" t="str">
            <v>그린</v>
          </cell>
        </row>
        <row r="6">
          <cell r="E6" t="str">
            <v>남성</v>
          </cell>
          <cell r="J6" t="str">
            <v>그린</v>
          </cell>
        </row>
        <row r="7">
          <cell r="E7" t="str">
            <v>남성</v>
          </cell>
          <cell r="J7" t="str">
            <v>그린</v>
          </cell>
        </row>
        <row r="8">
          <cell r="E8" t="str">
            <v>남성</v>
          </cell>
          <cell r="J8" t="str">
            <v>그린</v>
          </cell>
        </row>
        <row r="9">
          <cell r="E9" t="str">
            <v>남성</v>
          </cell>
          <cell r="J9" t="str">
            <v>그린</v>
          </cell>
        </row>
        <row r="10">
          <cell r="E10" t="str">
            <v>여성</v>
          </cell>
          <cell r="J10" t="str">
            <v>그린</v>
          </cell>
        </row>
        <row r="11">
          <cell r="E11" t="str">
            <v>여성</v>
          </cell>
          <cell r="J11" t="str">
            <v>그린</v>
          </cell>
        </row>
        <row r="12">
          <cell r="E12" t="str">
            <v>여성</v>
          </cell>
          <cell r="J12" t="str">
            <v>그린</v>
          </cell>
        </row>
        <row r="13">
          <cell r="E13" t="str">
            <v>남성</v>
          </cell>
          <cell r="J13" t="str">
            <v>메트로</v>
          </cell>
        </row>
        <row r="14">
          <cell r="E14" t="str">
            <v>남성</v>
          </cell>
          <cell r="J14" t="str">
            <v>메트로</v>
          </cell>
        </row>
        <row r="15">
          <cell r="E15" t="str">
            <v>여성</v>
          </cell>
          <cell r="J15" t="str">
            <v>메트로</v>
          </cell>
        </row>
        <row r="16">
          <cell r="E16" t="str">
            <v>여성</v>
          </cell>
          <cell r="J16" t="str">
            <v>메트로</v>
          </cell>
        </row>
        <row r="17">
          <cell r="E17" t="str">
            <v>남성</v>
          </cell>
          <cell r="J17" t="str">
            <v>메트로</v>
          </cell>
        </row>
        <row r="18">
          <cell r="E18" t="str">
            <v>남성</v>
          </cell>
          <cell r="J18" t="str">
            <v>메트로</v>
          </cell>
        </row>
        <row r="19">
          <cell r="E19" t="str">
            <v>여성</v>
          </cell>
          <cell r="J19" t="str">
            <v>그린</v>
          </cell>
        </row>
        <row r="20">
          <cell r="E20" t="str">
            <v>여성</v>
          </cell>
          <cell r="J20" t="str">
            <v>그린</v>
          </cell>
        </row>
        <row r="21">
          <cell r="E21" t="str">
            <v>남성</v>
          </cell>
          <cell r="J21" t="str">
            <v>윤진</v>
          </cell>
        </row>
        <row r="22">
          <cell r="E22" t="str">
            <v>남성</v>
          </cell>
          <cell r="J22" t="str">
            <v>윤진</v>
          </cell>
        </row>
        <row r="23">
          <cell r="E23" t="str">
            <v>여성</v>
          </cell>
          <cell r="J23" t="str">
            <v>그린</v>
          </cell>
        </row>
        <row r="24">
          <cell r="E24" t="str">
            <v>여성</v>
          </cell>
          <cell r="J24" t="str">
            <v>그린</v>
          </cell>
        </row>
        <row r="25">
          <cell r="E25" t="str">
            <v>남성</v>
          </cell>
          <cell r="J25" t="str">
            <v>메트로</v>
          </cell>
        </row>
        <row r="26">
          <cell r="E26" t="str">
            <v>남성</v>
          </cell>
          <cell r="J26" t="str">
            <v>메트로</v>
          </cell>
        </row>
        <row r="27">
          <cell r="E27" t="str">
            <v>남성</v>
          </cell>
          <cell r="J27" t="str">
            <v>메트로</v>
          </cell>
        </row>
        <row r="28">
          <cell r="E28" t="str">
            <v>남성</v>
          </cell>
          <cell r="J28" t="e">
            <v>#N/A</v>
          </cell>
        </row>
        <row r="29">
          <cell r="E29" t="str">
            <v>여성</v>
          </cell>
          <cell r="J29" t="str">
            <v>메트로</v>
          </cell>
        </row>
        <row r="30">
          <cell r="E30" t="str">
            <v>여성</v>
          </cell>
          <cell r="J30" t="str">
            <v>메트로</v>
          </cell>
        </row>
        <row r="31">
          <cell r="E31" t="str">
            <v>여성</v>
          </cell>
          <cell r="J31" t="str">
            <v>메트로</v>
          </cell>
        </row>
        <row r="32">
          <cell r="E32" t="str">
            <v>남성</v>
          </cell>
          <cell r="J32" t="str">
            <v>장안</v>
          </cell>
        </row>
        <row r="33">
          <cell r="E33" t="str">
            <v>남성</v>
          </cell>
          <cell r="J33" t="str">
            <v>장안</v>
          </cell>
        </row>
        <row r="34">
          <cell r="E34" t="str">
            <v>남성</v>
          </cell>
          <cell r="J34" t="str">
            <v>장안</v>
          </cell>
        </row>
        <row r="35">
          <cell r="E35" t="str">
            <v>남성</v>
          </cell>
          <cell r="J35" t="str">
            <v>그린</v>
          </cell>
        </row>
        <row r="36">
          <cell r="E36" t="str">
            <v>남성</v>
          </cell>
          <cell r="J36" t="str">
            <v>그린</v>
          </cell>
        </row>
        <row r="37">
          <cell r="E37" t="str">
            <v>여성</v>
          </cell>
          <cell r="J37" t="str">
            <v>그린</v>
          </cell>
        </row>
        <row r="38">
          <cell r="E38" t="str">
            <v>여성</v>
          </cell>
          <cell r="J38" t="str">
            <v>그린</v>
          </cell>
        </row>
        <row r="39">
          <cell r="E39" t="str">
            <v>남성</v>
          </cell>
          <cell r="J39" t="str">
            <v>윤진</v>
          </cell>
        </row>
        <row r="40">
          <cell r="E40" t="str">
            <v>남성</v>
          </cell>
          <cell r="J40" t="str">
            <v>윤진</v>
          </cell>
        </row>
        <row r="41">
          <cell r="E41" t="str">
            <v>남성</v>
          </cell>
          <cell r="J41" t="str">
            <v>윤진</v>
          </cell>
        </row>
        <row r="42">
          <cell r="E42" t="str">
            <v>남성</v>
          </cell>
          <cell r="J42" t="e">
            <v>#N/A</v>
          </cell>
        </row>
        <row r="43">
          <cell r="E43" t="str">
            <v>남성</v>
          </cell>
          <cell r="J43" t="e">
            <v>#N/A</v>
          </cell>
        </row>
        <row r="44">
          <cell r="E44" t="str">
            <v>남성</v>
          </cell>
          <cell r="J44" t="str">
            <v>그린</v>
          </cell>
        </row>
        <row r="45">
          <cell r="E45" t="str">
            <v>남성</v>
          </cell>
          <cell r="J45" t="str">
            <v>그린</v>
          </cell>
        </row>
        <row r="46">
          <cell r="E46" t="str">
            <v>남성</v>
          </cell>
          <cell r="J46" t="str">
            <v>장안</v>
          </cell>
        </row>
        <row r="47">
          <cell r="E47" t="str">
            <v>여성</v>
          </cell>
          <cell r="J47" t="str">
            <v>장안</v>
          </cell>
        </row>
        <row r="48">
          <cell r="E48" t="str">
            <v>남성</v>
          </cell>
          <cell r="J48" t="e">
            <v>#N/A</v>
          </cell>
        </row>
        <row r="49">
          <cell r="E49" t="str">
            <v>남성</v>
          </cell>
          <cell r="J49" t="e">
            <v>#N/A</v>
          </cell>
        </row>
        <row r="50">
          <cell r="E50" t="str">
            <v>남성</v>
          </cell>
          <cell r="J50" t="e">
            <v>#N/A</v>
          </cell>
        </row>
        <row r="52">
          <cell r="E52" t="str">
            <v>남성</v>
          </cell>
          <cell r="J52" t="str">
            <v>윤진</v>
          </cell>
        </row>
        <row r="53">
          <cell r="E53" t="str">
            <v>남성</v>
          </cell>
          <cell r="J53" t="str">
            <v>윤진</v>
          </cell>
        </row>
        <row r="54">
          <cell r="E54" t="str">
            <v>남성</v>
          </cell>
          <cell r="J54" t="str">
            <v>메트로</v>
          </cell>
        </row>
        <row r="55">
          <cell r="E55" t="str">
            <v>남성</v>
          </cell>
          <cell r="J55" t="str">
            <v>메트로</v>
          </cell>
        </row>
        <row r="56">
          <cell r="E56" t="str">
            <v>여성</v>
          </cell>
          <cell r="J56" t="str">
            <v>메트로</v>
          </cell>
        </row>
        <row r="57">
          <cell r="E57" t="str">
            <v>여성</v>
          </cell>
          <cell r="J57" t="str">
            <v>메트로</v>
          </cell>
        </row>
        <row r="58">
          <cell r="E58" t="str">
            <v>여성</v>
          </cell>
          <cell r="J58" t="str">
            <v>그린</v>
          </cell>
        </row>
        <row r="59">
          <cell r="E59" t="str">
            <v>여성</v>
          </cell>
          <cell r="J59" t="str">
            <v>그린</v>
          </cell>
        </row>
        <row r="60">
          <cell r="E60" t="str">
            <v>남성</v>
          </cell>
          <cell r="J60" t="str">
            <v>윤진</v>
          </cell>
        </row>
        <row r="61">
          <cell r="E61" t="str">
            <v>남성</v>
          </cell>
          <cell r="J61" t="str">
            <v>윤진</v>
          </cell>
        </row>
        <row r="62">
          <cell r="E62" t="str">
            <v>남성</v>
          </cell>
          <cell r="J62" t="str">
            <v>윤진</v>
          </cell>
        </row>
        <row r="63">
          <cell r="E63" t="str">
            <v>여성</v>
          </cell>
          <cell r="J63" t="str">
            <v>윤진</v>
          </cell>
        </row>
        <row r="64">
          <cell r="E64" t="str">
            <v>여성</v>
          </cell>
          <cell r="J64" t="str">
            <v>윤진</v>
          </cell>
        </row>
        <row r="65">
          <cell r="E65" t="str">
            <v>여성</v>
          </cell>
          <cell r="J65" t="str">
            <v>윤진</v>
          </cell>
        </row>
        <row r="66">
          <cell r="E66" t="str">
            <v>남성</v>
          </cell>
          <cell r="J66" t="str">
            <v>메트로</v>
          </cell>
        </row>
        <row r="67">
          <cell r="E67" t="str">
            <v>남성</v>
          </cell>
          <cell r="J67" t="str">
            <v>메트로</v>
          </cell>
        </row>
        <row r="68">
          <cell r="E68" t="str">
            <v>남성</v>
          </cell>
          <cell r="J68" t="str">
            <v>메트로</v>
          </cell>
        </row>
        <row r="69">
          <cell r="E69" t="str">
            <v>여성</v>
          </cell>
          <cell r="J69" t="str">
            <v>메트로</v>
          </cell>
        </row>
        <row r="70">
          <cell r="E70" t="str">
            <v>여성</v>
          </cell>
          <cell r="J70" t="str">
            <v>메트로</v>
          </cell>
        </row>
        <row r="71">
          <cell r="E71" t="str">
            <v>여성</v>
          </cell>
          <cell r="J71" t="str">
            <v>메트로</v>
          </cell>
        </row>
        <row r="72">
          <cell r="E72" t="str">
            <v>남성</v>
          </cell>
          <cell r="J72" t="str">
            <v>그린</v>
          </cell>
        </row>
        <row r="73">
          <cell r="E73" t="str">
            <v>남성</v>
          </cell>
          <cell r="J73" t="str">
            <v>그린</v>
          </cell>
        </row>
        <row r="74">
          <cell r="E74" t="str">
            <v>남성</v>
          </cell>
          <cell r="J74" t="str">
            <v>그린</v>
          </cell>
        </row>
        <row r="75">
          <cell r="E75" t="str">
            <v>여성</v>
          </cell>
          <cell r="J75" t="str">
            <v>그린</v>
          </cell>
        </row>
        <row r="76">
          <cell r="E76" t="str">
            <v>여성</v>
          </cell>
          <cell r="J76" t="str">
            <v>그린</v>
          </cell>
        </row>
        <row r="77">
          <cell r="E77" t="str">
            <v>여성</v>
          </cell>
          <cell r="J77" t="str">
            <v>그린</v>
          </cell>
        </row>
        <row r="78">
          <cell r="E78" t="str">
            <v>남성</v>
          </cell>
          <cell r="J78" t="str">
            <v>그린</v>
          </cell>
        </row>
        <row r="79">
          <cell r="E79" t="str">
            <v>남성</v>
          </cell>
          <cell r="J79" t="str">
            <v>그린</v>
          </cell>
        </row>
        <row r="80">
          <cell r="E80" t="str">
            <v>남성</v>
          </cell>
          <cell r="J80" t="str">
            <v>그린</v>
          </cell>
        </row>
        <row r="81">
          <cell r="E81" t="str">
            <v>남성</v>
          </cell>
          <cell r="J81" t="str">
            <v>메트로</v>
          </cell>
        </row>
        <row r="82">
          <cell r="E82" t="str">
            <v>남성</v>
          </cell>
          <cell r="J82" t="str">
            <v>메트로</v>
          </cell>
        </row>
        <row r="83">
          <cell r="E83" t="str">
            <v>여성</v>
          </cell>
          <cell r="J83" t="str">
            <v>메트로</v>
          </cell>
        </row>
        <row r="84">
          <cell r="E84" t="str">
            <v>여성</v>
          </cell>
          <cell r="J84" t="str">
            <v>메트로</v>
          </cell>
        </row>
        <row r="85">
          <cell r="E85" t="str">
            <v>여성</v>
          </cell>
          <cell r="J85" t="e">
            <v>#N/A</v>
          </cell>
        </row>
        <row r="86">
          <cell r="E86" t="str">
            <v>여성</v>
          </cell>
          <cell r="J86" t="e">
            <v>#N/A</v>
          </cell>
        </row>
        <row r="87">
          <cell r="E87" t="str">
            <v>남성</v>
          </cell>
          <cell r="J87" t="e">
            <v>#N/A</v>
          </cell>
        </row>
        <row r="88">
          <cell r="E88" t="str">
            <v>남성</v>
          </cell>
          <cell r="J88" t="e">
            <v>#N/A</v>
          </cell>
        </row>
        <row r="89">
          <cell r="E89" t="str">
            <v>남성</v>
          </cell>
          <cell r="J89" t="e">
            <v>#N/A</v>
          </cell>
        </row>
        <row r="90">
          <cell r="E90" t="str">
            <v>여성</v>
          </cell>
          <cell r="J90" t="e">
            <v>#N/A</v>
          </cell>
        </row>
        <row r="91">
          <cell r="E91" t="str">
            <v>여성</v>
          </cell>
          <cell r="J91" t="e">
            <v>#N/A</v>
          </cell>
        </row>
        <row r="92">
          <cell r="E92" t="str">
            <v>여성</v>
          </cell>
          <cell r="J92" t="e">
            <v>#N/A</v>
          </cell>
        </row>
        <row r="93">
          <cell r="E93" t="str">
            <v>남성</v>
          </cell>
          <cell r="J93" t="e">
            <v>#N/A</v>
          </cell>
        </row>
        <row r="94">
          <cell r="E94" t="str">
            <v>남성</v>
          </cell>
          <cell r="J94" t="e">
            <v>#N/A</v>
          </cell>
        </row>
        <row r="95">
          <cell r="E95" t="str">
            <v>여성</v>
          </cell>
          <cell r="J95" t="e">
            <v>#N/A</v>
          </cell>
        </row>
        <row r="96">
          <cell r="E96" t="str">
            <v>여성</v>
          </cell>
          <cell r="J96" t="e">
            <v>#N/A</v>
          </cell>
        </row>
        <row r="98">
          <cell r="E98" t="str">
            <v>남성</v>
          </cell>
          <cell r="J98" t="str">
            <v>TBO</v>
          </cell>
        </row>
        <row r="99">
          <cell r="E99" t="str">
            <v>남성</v>
          </cell>
          <cell r="J99" t="str">
            <v>TBO</v>
          </cell>
        </row>
        <row r="100">
          <cell r="E100" t="str">
            <v>여성</v>
          </cell>
          <cell r="J100" t="str">
            <v>TBO</v>
          </cell>
        </row>
        <row r="101">
          <cell r="E101" t="str">
            <v>여성</v>
          </cell>
          <cell r="J101" t="str">
            <v>TBO</v>
          </cell>
        </row>
        <row r="102">
          <cell r="E102" t="str">
            <v>여성</v>
          </cell>
          <cell r="J102" t="str">
            <v>TBO</v>
          </cell>
        </row>
        <row r="103">
          <cell r="E103" t="str">
            <v>남성</v>
          </cell>
          <cell r="J103" t="str">
            <v>우진</v>
          </cell>
        </row>
        <row r="104">
          <cell r="E104" t="str">
            <v>남성</v>
          </cell>
          <cell r="J104" t="str">
            <v>우진</v>
          </cell>
        </row>
        <row r="105">
          <cell r="E105" t="str">
            <v>여성</v>
          </cell>
          <cell r="J105" t="str">
            <v>우진</v>
          </cell>
        </row>
        <row r="106">
          <cell r="E106" t="str">
            <v>여성</v>
          </cell>
          <cell r="J106" t="str">
            <v>우진</v>
          </cell>
        </row>
        <row r="107">
          <cell r="E107" t="str">
            <v>남성</v>
          </cell>
          <cell r="J107" t="str">
            <v>TBO</v>
          </cell>
        </row>
        <row r="108">
          <cell r="E108" t="str">
            <v>남성</v>
          </cell>
          <cell r="J108" t="str">
            <v>TBO</v>
          </cell>
        </row>
        <row r="109">
          <cell r="E109" t="str">
            <v>남성</v>
          </cell>
          <cell r="J109" t="str">
            <v>TBO</v>
          </cell>
        </row>
        <row r="110">
          <cell r="E110" t="str">
            <v>남성</v>
          </cell>
          <cell r="J110" t="e">
            <v>#N/A</v>
          </cell>
        </row>
        <row r="111">
          <cell r="E111" t="str">
            <v>남성</v>
          </cell>
          <cell r="J111" t="e">
            <v>#N/A</v>
          </cell>
        </row>
        <row r="112">
          <cell r="E112" t="str">
            <v>여성</v>
          </cell>
          <cell r="J112" t="str">
            <v>TBO</v>
          </cell>
        </row>
        <row r="113">
          <cell r="E113" t="str">
            <v>여성</v>
          </cell>
          <cell r="J113" t="str">
            <v>TBO</v>
          </cell>
        </row>
        <row r="114">
          <cell r="E114" t="str">
            <v>여성</v>
          </cell>
          <cell r="J114" t="str">
            <v>TBO</v>
          </cell>
        </row>
        <row r="115">
          <cell r="E115" t="str">
            <v>여성</v>
          </cell>
          <cell r="J115" t="e">
            <v>#N/A</v>
          </cell>
        </row>
        <row r="116">
          <cell r="E116" t="str">
            <v>남성</v>
          </cell>
          <cell r="J116" t="str">
            <v>유니코</v>
          </cell>
        </row>
        <row r="117">
          <cell r="E117" t="str">
            <v>남성</v>
          </cell>
          <cell r="J117" t="str">
            <v>유니코</v>
          </cell>
        </row>
        <row r="118">
          <cell r="E118" t="str">
            <v>여성</v>
          </cell>
          <cell r="J118" t="str">
            <v>유니코</v>
          </cell>
        </row>
        <row r="119">
          <cell r="E119" t="str">
            <v>여성</v>
          </cell>
          <cell r="J119" t="str">
            <v>유니코</v>
          </cell>
        </row>
        <row r="120">
          <cell r="E120" t="str">
            <v>남성</v>
          </cell>
          <cell r="J120" t="str">
            <v>TBO</v>
          </cell>
        </row>
        <row r="121">
          <cell r="E121" t="str">
            <v>남성</v>
          </cell>
          <cell r="J121" t="str">
            <v>TBO</v>
          </cell>
        </row>
        <row r="122">
          <cell r="E122" t="str">
            <v>여성</v>
          </cell>
          <cell r="J122" t="str">
            <v>TBO</v>
          </cell>
        </row>
        <row r="123">
          <cell r="E123" t="str">
            <v>여성</v>
          </cell>
          <cell r="J123" t="str">
            <v>TBO</v>
          </cell>
        </row>
        <row r="124">
          <cell r="E124" t="str">
            <v>여성</v>
          </cell>
          <cell r="J124" t="e">
            <v>#N/A</v>
          </cell>
        </row>
        <row r="125">
          <cell r="E125" t="str">
            <v>남성</v>
          </cell>
          <cell r="J125" t="str">
            <v>TBO</v>
          </cell>
        </row>
        <row r="126">
          <cell r="E126" t="str">
            <v>남성</v>
          </cell>
          <cell r="J126" t="str">
            <v>TBO</v>
          </cell>
        </row>
        <row r="127">
          <cell r="E127" t="str">
            <v>여성</v>
          </cell>
          <cell r="J127" t="str">
            <v>TBO</v>
          </cell>
        </row>
        <row r="128">
          <cell r="E128" t="str">
            <v>여성</v>
          </cell>
          <cell r="J128" t="str">
            <v>TBO</v>
          </cell>
        </row>
        <row r="130">
          <cell r="E130" t="str">
            <v>남성</v>
          </cell>
          <cell r="J130" t="str">
            <v>TBO</v>
          </cell>
        </row>
        <row r="131">
          <cell r="E131" t="str">
            <v>남성</v>
          </cell>
          <cell r="J131" t="str">
            <v>TBO</v>
          </cell>
        </row>
        <row r="132">
          <cell r="E132" t="str">
            <v>여성</v>
          </cell>
          <cell r="J132" t="str">
            <v>TBO</v>
          </cell>
        </row>
        <row r="133">
          <cell r="E133" t="str">
            <v>여성</v>
          </cell>
          <cell r="J133" t="str">
            <v>TBO</v>
          </cell>
        </row>
        <row r="134">
          <cell r="E134" t="str">
            <v>남성</v>
          </cell>
          <cell r="J134" t="e">
            <v>#N/A</v>
          </cell>
        </row>
        <row r="135">
          <cell r="E135" t="str">
            <v>여성</v>
          </cell>
          <cell r="J135" t="e">
            <v>#N/A</v>
          </cell>
        </row>
        <row r="136">
          <cell r="E136" t="str">
            <v>남성</v>
          </cell>
          <cell r="J136" t="str">
            <v>유니코</v>
          </cell>
        </row>
        <row r="137">
          <cell r="E137" t="str">
            <v>남성</v>
          </cell>
          <cell r="J137" t="str">
            <v>유니코</v>
          </cell>
        </row>
        <row r="138">
          <cell r="E138" t="str">
            <v>여성</v>
          </cell>
          <cell r="J138" t="str">
            <v>유니코</v>
          </cell>
        </row>
        <row r="139">
          <cell r="E139" t="str">
            <v>여성</v>
          </cell>
          <cell r="J139" t="str">
            <v>유니코</v>
          </cell>
        </row>
        <row r="140">
          <cell r="E140" t="str">
            <v>남성</v>
          </cell>
          <cell r="J140" t="e">
            <v>#N/A</v>
          </cell>
        </row>
        <row r="141">
          <cell r="E141" t="str">
            <v>여성</v>
          </cell>
          <cell r="J141" t="str">
            <v>유니코</v>
          </cell>
        </row>
        <row r="142">
          <cell r="E142" t="str">
            <v>남성</v>
          </cell>
          <cell r="J142" t="str">
            <v>원도</v>
          </cell>
        </row>
        <row r="143">
          <cell r="E143" t="str">
            <v>여성</v>
          </cell>
          <cell r="J143" t="str">
            <v>원도</v>
          </cell>
        </row>
        <row r="144">
          <cell r="E144" t="str">
            <v>남성</v>
          </cell>
        </row>
        <row r="146">
          <cell r="E146" t="str">
            <v>여성</v>
          </cell>
        </row>
        <row r="147">
          <cell r="E147" t="str">
            <v>여성</v>
          </cell>
        </row>
        <row r="148">
          <cell r="E148" t="str">
            <v>여성</v>
          </cell>
        </row>
        <row r="149">
          <cell r="E149" t="str">
            <v>여성</v>
          </cell>
        </row>
        <row r="150">
          <cell r="E150" t="str">
            <v>여성</v>
          </cell>
        </row>
        <row r="151">
          <cell r="E151" t="str">
            <v>여성</v>
          </cell>
        </row>
        <row r="152">
          <cell r="E152" t="str">
            <v>여성</v>
          </cell>
        </row>
        <row r="153">
          <cell r="E153" t="str">
            <v>여성</v>
          </cell>
        </row>
        <row r="154">
          <cell r="E154" t="str">
            <v>여성</v>
          </cell>
        </row>
        <row r="155">
          <cell r="E155" t="str">
            <v>여성</v>
          </cell>
        </row>
        <row r="156">
          <cell r="E156" t="str">
            <v>남성</v>
          </cell>
        </row>
        <row r="157">
          <cell r="E157" t="str">
            <v>남성</v>
          </cell>
        </row>
        <row r="158">
          <cell r="E158" t="str">
            <v>남성</v>
          </cell>
        </row>
        <row r="159">
          <cell r="E159" t="str">
            <v>남성</v>
          </cell>
        </row>
        <row r="160">
          <cell r="E160" t="str">
            <v>남성</v>
          </cell>
        </row>
        <row r="161">
          <cell r="E161" t="str">
            <v>남성</v>
          </cell>
        </row>
        <row r="162">
          <cell r="E162" t="str">
            <v>남성</v>
          </cell>
        </row>
        <row r="163">
          <cell r="E163" t="str">
            <v>남성</v>
          </cell>
        </row>
        <row r="165">
          <cell r="E165" t="str">
            <v>남성</v>
          </cell>
          <cell r="J165" t="str">
            <v>윤진</v>
          </cell>
        </row>
        <row r="166">
          <cell r="E166" t="str">
            <v>남성</v>
          </cell>
          <cell r="J166" t="str">
            <v>윤진</v>
          </cell>
        </row>
        <row r="167">
          <cell r="E167" t="str">
            <v>여성</v>
          </cell>
          <cell r="J167" t="str">
            <v>윤진</v>
          </cell>
        </row>
        <row r="168">
          <cell r="E168" t="str">
            <v>남성</v>
          </cell>
          <cell r="J168" t="e">
            <v>#N/A</v>
          </cell>
        </row>
        <row r="169">
          <cell r="E169" t="str">
            <v>여성</v>
          </cell>
          <cell r="J169" t="e">
            <v>#N/A</v>
          </cell>
        </row>
        <row r="170">
          <cell r="E170" t="str">
            <v>여성</v>
          </cell>
          <cell r="J170" t="str">
            <v>장안</v>
          </cell>
        </row>
        <row r="171">
          <cell r="E171" t="str">
            <v>여성</v>
          </cell>
          <cell r="J171" t="str">
            <v>장안</v>
          </cell>
        </row>
        <row r="172">
          <cell r="E172" t="str">
            <v>여성</v>
          </cell>
          <cell r="J172" t="str">
            <v>장안</v>
          </cell>
        </row>
        <row r="173">
          <cell r="E173" t="str">
            <v>여성</v>
          </cell>
          <cell r="J173" t="str">
            <v>윤진</v>
          </cell>
        </row>
        <row r="174">
          <cell r="E174" t="str">
            <v>여성</v>
          </cell>
          <cell r="J174" t="str">
            <v>윤진</v>
          </cell>
        </row>
        <row r="175">
          <cell r="E175" t="str">
            <v>여성</v>
          </cell>
          <cell r="J175" t="str">
            <v>윤진</v>
          </cell>
        </row>
        <row r="176">
          <cell r="E176" t="str">
            <v>남성</v>
          </cell>
          <cell r="J176" t="str">
            <v>그린</v>
          </cell>
        </row>
        <row r="177">
          <cell r="E177" t="str">
            <v>남성</v>
          </cell>
          <cell r="J177" t="str">
            <v>그린</v>
          </cell>
        </row>
        <row r="178">
          <cell r="E178" t="str">
            <v>여성</v>
          </cell>
          <cell r="J178" t="str">
            <v>그린</v>
          </cell>
        </row>
        <row r="179">
          <cell r="E179" t="str">
            <v>여성</v>
          </cell>
          <cell r="J179" t="str">
            <v>그린</v>
          </cell>
        </row>
        <row r="180">
          <cell r="E180" t="str">
            <v>여성</v>
          </cell>
          <cell r="J180" t="str">
            <v>그린</v>
          </cell>
        </row>
        <row r="181">
          <cell r="E181" t="str">
            <v>남성</v>
          </cell>
          <cell r="J181" t="str">
            <v>장안</v>
          </cell>
        </row>
        <row r="182">
          <cell r="E182" t="str">
            <v>남성</v>
          </cell>
          <cell r="J182" t="str">
            <v>장안</v>
          </cell>
        </row>
        <row r="183">
          <cell r="E183" t="str">
            <v>여성</v>
          </cell>
          <cell r="J183" t="str">
            <v>장안</v>
          </cell>
        </row>
        <row r="184">
          <cell r="E184" t="str">
            <v>여성</v>
          </cell>
          <cell r="J184" t="str">
            <v>장안</v>
          </cell>
        </row>
        <row r="185">
          <cell r="E185" t="str">
            <v>여성</v>
          </cell>
          <cell r="J185" t="e">
            <v>#N/A</v>
          </cell>
        </row>
        <row r="186">
          <cell r="E186" t="str">
            <v>여성</v>
          </cell>
          <cell r="J186" t="e">
            <v>#N/A</v>
          </cell>
        </row>
        <row r="187">
          <cell r="E187" t="str">
            <v>남성</v>
          </cell>
          <cell r="J187" t="str">
            <v>TBO</v>
          </cell>
        </row>
        <row r="188">
          <cell r="E188" t="str">
            <v>남성</v>
          </cell>
          <cell r="J188" t="str">
            <v>TBO</v>
          </cell>
        </row>
        <row r="189">
          <cell r="E189" t="str">
            <v>여성</v>
          </cell>
          <cell r="J189" t="str">
            <v>TBO</v>
          </cell>
        </row>
        <row r="190">
          <cell r="E190" t="str">
            <v>여성</v>
          </cell>
          <cell r="J190" t="str">
            <v>TBO</v>
          </cell>
        </row>
        <row r="191">
          <cell r="E191" t="str">
            <v>남성</v>
          </cell>
        </row>
        <row r="192">
          <cell r="E192" t="str">
            <v>남성</v>
          </cell>
        </row>
        <row r="193">
          <cell r="E193" t="str">
            <v>여성</v>
          </cell>
        </row>
        <row r="194">
          <cell r="E194" t="str">
            <v>여성</v>
          </cell>
        </row>
        <row r="195">
          <cell r="E195" t="str">
            <v>남성</v>
          </cell>
          <cell r="J195" t="str">
            <v>원도</v>
          </cell>
        </row>
        <row r="196">
          <cell r="E196" t="str">
            <v>남성</v>
          </cell>
          <cell r="J196" t="str">
            <v>원도</v>
          </cell>
        </row>
        <row r="197">
          <cell r="E197" t="str">
            <v>여성</v>
          </cell>
          <cell r="J197" t="str">
            <v>원도</v>
          </cell>
        </row>
        <row r="198">
          <cell r="E198" t="str">
            <v>여성</v>
          </cell>
          <cell r="J198" t="str">
            <v>원도</v>
          </cell>
        </row>
        <row r="199">
          <cell r="E199" t="str">
            <v>여성</v>
          </cell>
          <cell r="J199" t="e">
            <v>#N/A</v>
          </cell>
        </row>
        <row r="200">
          <cell r="E200" t="str">
            <v>남성</v>
          </cell>
          <cell r="J200" t="str">
            <v>유니코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컬러"/>
      <sheetName val="Sheet3"/>
      <sheetName val="Sheet1"/>
      <sheetName val="집계장"/>
      <sheetName val="입출고"/>
      <sheetName val="표지"/>
      <sheetName val="주간판매(요약)-SS"/>
      <sheetName val="주간판매(요약)-FW"/>
      <sheetName val="주간판매(요약)-11SS"/>
      <sheetName val="Sheet2(Down)"/>
      <sheetName val="일자별데이터"/>
      <sheetName val="주간판매기초(Dow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WJMTTM52074</v>
          </cell>
          <cell r="B2" t="str">
            <v>WJMTTM520</v>
          </cell>
          <cell r="C2" t="str">
            <v>74</v>
          </cell>
          <cell r="D2">
            <v>0</v>
          </cell>
          <cell r="E2">
            <v>0</v>
          </cell>
          <cell r="F2">
            <v>2</v>
          </cell>
          <cell r="G2">
            <v>0</v>
          </cell>
          <cell r="H2">
            <v>0</v>
          </cell>
          <cell r="I2">
            <v>3</v>
          </cell>
          <cell r="J2">
            <v>0</v>
          </cell>
          <cell r="K2">
            <v>0</v>
          </cell>
          <cell r="L2">
            <v>1</v>
          </cell>
          <cell r="M2">
            <v>1</v>
          </cell>
          <cell r="N2">
            <v>1</v>
          </cell>
          <cell r="O2">
            <v>0</v>
          </cell>
          <cell r="P2">
            <v>0</v>
          </cell>
          <cell r="Q2">
            <v>0</v>
          </cell>
          <cell r="R2">
            <v>1</v>
          </cell>
          <cell r="S2">
            <v>0</v>
          </cell>
          <cell r="T2">
            <v>1</v>
          </cell>
        </row>
        <row r="3">
          <cell r="A3" t="str">
            <v>WJMCPM07054</v>
          </cell>
          <cell r="B3" t="str">
            <v>WJMCPM070</v>
          </cell>
          <cell r="C3" t="str">
            <v>54</v>
          </cell>
          <cell r="D3">
            <v>4</v>
          </cell>
          <cell r="E3">
            <v>2</v>
          </cell>
          <cell r="F3">
            <v>0</v>
          </cell>
          <cell r="G3">
            <v>2</v>
          </cell>
          <cell r="H3">
            <v>2</v>
          </cell>
          <cell r="I3">
            <v>1</v>
          </cell>
          <cell r="J3">
            <v>2</v>
          </cell>
          <cell r="K3">
            <v>4</v>
          </cell>
          <cell r="L3">
            <v>3</v>
          </cell>
          <cell r="M3">
            <v>0</v>
          </cell>
          <cell r="N3">
            <v>1</v>
          </cell>
          <cell r="O3">
            <v>1</v>
          </cell>
          <cell r="P3">
            <v>3</v>
          </cell>
          <cell r="Q3">
            <v>6</v>
          </cell>
          <cell r="R3">
            <v>2</v>
          </cell>
          <cell r="S3">
            <v>0</v>
          </cell>
          <cell r="T3">
            <v>0</v>
          </cell>
        </row>
        <row r="4">
          <cell r="A4" t="str">
            <v>WJMVSM02053</v>
          </cell>
          <cell r="B4" t="str">
            <v>WJMVSM020</v>
          </cell>
          <cell r="C4" t="str">
            <v>53</v>
          </cell>
          <cell r="D4">
            <v>7</v>
          </cell>
          <cell r="E4">
            <v>4</v>
          </cell>
          <cell r="F4">
            <v>3</v>
          </cell>
          <cell r="G4">
            <v>11</v>
          </cell>
          <cell r="H4">
            <v>4</v>
          </cell>
          <cell r="I4">
            <v>5</v>
          </cell>
          <cell r="J4">
            <v>6</v>
          </cell>
          <cell r="K4">
            <v>19</v>
          </cell>
          <cell r="L4">
            <v>5</v>
          </cell>
          <cell r="M4">
            <v>6</v>
          </cell>
          <cell r="N4">
            <v>10</v>
          </cell>
          <cell r="O4">
            <v>9</v>
          </cell>
          <cell r="P4">
            <v>15</v>
          </cell>
          <cell r="Q4">
            <v>5</v>
          </cell>
          <cell r="R4">
            <v>5</v>
          </cell>
          <cell r="S4">
            <v>1</v>
          </cell>
          <cell r="T4">
            <v>0</v>
          </cell>
        </row>
        <row r="5">
          <cell r="A5" t="str">
            <v>WJMVSM02025</v>
          </cell>
          <cell r="B5" t="str">
            <v>WJMVSM020</v>
          </cell>
          <cell r="C5" t="str">
            <v>25</v>
          </cell>
          <cell r="D5">
            <v>1</v>
          </cell>
          <cell r="E5">
            <v>2</v>
          </cell>
          <cell r="F5">
            <v>3</v>
          </cell>
          <cell r="G5">
            <v>-1</v>
          </cell>
          <cell r="H5">
            <v>2</v>
          </cell>
          <cell r="I5">
            <v>3</v>
          </cell>
          <cell r="J5">
            <v>7</v>
          </cell>
          <cell r="K5">
            <v>8</v>
          </cell>
          <cell r="L5">
            <v>0</v>
          </cell>
          <cell r="M5">
            <v>2</v>
          </cell>
          <cell r="N5">
            <v>2</v>
          </cell>
          <cell r="O5">
            <v>1</v>
          </cell>
          <cell r="P5">
            <v>2</v>
          </cell>
          <cell r="Q5">
            <v>2</v>
          </cell>
          <cell r="R5">
            <v>0</v>
          </cell>
          <cell r="S5">
            <v>1</v>
          </cell>
          <cell r="T5">
            <v>2</v>
          </cell>
        </row>
        <row r="6">
          <cell r="A6" t="str">
            <v>WJMVSM40001</v>
          </cell>
          <cell r="B6" t="str">
            <v>WJMVSM400</v>
          </cell>
          <cell r="C6" t="str">
            <v>01</v>
          </cell>
          <cell r="D6">
            <v>1</v>
          </cell>
          <cell r="E6">
            <v>2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1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 t="str">
            <v>WJMTTM51007</v>
          </cell>
          <cell r="B7" t="str">
            <v>WJMTTM510</v>
          </cell>
          <cell r="C7" t="str">
            <v>07</v>
          </cell>
          <cell r="D7">
            <v>2</v>
          </cell>
          <cell r="E7">
            <v>0</v>
          </cell>
          <cell r="F7">
            <v>3</v>
          </cell>
          <cell r="G7">
            <v>0</v>
          </cell>
          <cell r="H7">
            <v>1</v>
          </cell>
          <cell r="I7">
            <v>2</v>
          </cell>
          <cell r="J7">
            <v>2</v>
          </cell>
          <cell r="K7">
            <v>4</v>
          </cell>
          <cell r="L7">
            <v>1</v>
          </cell>
          <cell r="M7">
            <v>1</v>
          </cell>
          <cell r="N7">
            <v>2</v>
          </cell>
          <cell r="O7">
            <v>3</v>
          </cell>
          <cell r="P7">
            <v>1</v>
          </cell>
          <cell r="Q7">
            <v>0</v>
          </cell>
          <cell r="R7">
            <v>2</v>
          </cell>
          <cell r="S7">
            <v>0</v>
          </cell>
          <cell r="T7">
            <v>1</v>
          </cell>
        </row>
        <row r="8">
          <cell r="A8" t="str">
            <v>WJMCPM06025</v>
          </cell>
          <cell r="B8" t="str">
            <v>WJMCPM060</v>
          </cell>
          <cell r="C8" t="str">
            <v>25</v>
          </cell>
          <cell r="D8">
            <v>3</v>
          </cell>
          <cell r="E8">
            <v>0</v>
          </cell>
          <cell r="F8">
            <v>3</v>
          </cell>
          <cell r="G8">
            <v>2</v>
          </cell>
          <cell r="H8">
            <v>4</v>
          </cell>
          <cell r="I8">
            <v>0</v>
          </cell>
          <cell r="J8">
            <v>1</v>
          </cell>
          <cell r="K8">
            <v>2</v>
          </cell>
          <cell r="L8">
            <v>0</v>
          </cell>
          <cell r="M8">
            <v>0</v>
          </cell>
          <cell r="N8">
            <v>1</v>
          </cell>
          <cell r="O8">
            <v>1</v>
          </cell>
          <cell r="P8">
            <v>2</v>
          </cell>
          <cell r="Q8">
            <v>2</v>
          </cell>
          <cell r="R8">
            <v>1</v>
          </cell>
          <cell r="S8">
            <v>1</v>
          </cell>
          <cell r="T8">
            <v>1</v>
          </cell>
        </row>
        <row r="9">
          <cell r="A9" t="str">
            <v>WJMTTM46043</v>
          </cell>
          <cell r="B9" t="str">
            <v>WJMTTM460</v>
          </cell>
          <cell r="C9" t="str">
            <v>43</v>
          </cell>
          <cell r="D9">
            <v>2</v>
          </cell>
          <cell r="E9">
            <v>5</v>
          </cell>
          <cell r="F9">
            <v>4</v>
          </cell>
          <cell r="G9">
            <v>3</v>
          </cell>
          <cell r="H9">
            <v>2</v>
          </cell>
          <cell r="I9">
            <v>0</v>
          </cell>
          <cell r="J9">
            <v>1</v>
          </cell>
          <cell r="K9">
            <v>3</v>
          </cell>
          <cell r="L9">
            <v>0</v>
          </cell>
          <cell r="M9">
            <v>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A10" t="str">
            <v>WJMCPM03025</v>
          </cell>
          <cell r="B10" t="str">
            <v>WJMCPM030</v>
          </cell>
          <cell r="C10" t="str">
            <v>25</v>
          </cell>
          <cell r="D10">
            <v>2</v>
          </cell>
          <cell r="E10">
            <v>3</v>
          </cell>
          <cell r="F10">
            <v>2</v>
          </cell>
          <cell r="G10">
            <v>3</v>
          </cell>
          <cell r="H10">
            <v>2</v>
          </cell>
          <cell r="I10">
            <v>2</v>
          </cell>
          <cell r="J10">
            <v>4</v>
          </cell>
          <cell r="K10">
            <v>4</v>
          </cell>
          <cell r="L10">
            <v>1</v>
          </cell>
          <cell r="M10">
            <v>4</v>
          </cell>
          <cell r="N10">
            <v>5</v>
          </cell>
          <cell r="O10">
            <v>5</v>
          </cell>
          <cell r="P10">
            <v>3</v>
          </cell>
          <cell r="Q10">
            <v>4</v>
          </cell>
          <cell r="R10">
            <v>3</v>
          </cell>
          <cell r="S10">
            <v>3</v>
          </cell>
          <cell r="T10">
            <v>1</v>
          </cell>
        </row>
        <row r="11">
          <cell r="A11" t="str">
            <v>WJMVSM03003</v>
          </cell>
          <cell r="B11" t="str">
            <v>WJMVSM030</v>
          </cell>
          <cell r="C11" t="str">
            <v>03</v>
          </cell>
          <cell r="D11">
            <v>3</v>
          </cell>
          <cell r="E11">
            <v>1</v>
          </cell>
          <cell r="F11">
            <v>1</v>
          </cell>
          <cell r="G11">
            <v>3</v>
          </cell>
          <cell r="H11">
            <v>8</v>
          </cell>
          <cell r="I11">
            <v>5</v>
          </cell>
          <cell r="J11">
            <v>3</v>
          </cell>
          <cell r="K11">
            <v>4</v>
          </cell>
          <cell r="L11">
            <v>1</v>
          </cell>
          <cell r="M11">
            <v>3</v>
          </cell>
          <cell r="N11">
            <v>2</v>
          </cell>
          <cell r="O11">
            <v>0</v>
          </cell>
          <cell r="P11">
            <v>1</v>
          </cell>
          <cell r="Q11">
            <v>0</v>
          </cell>
          <cell r="R11">
            <v>2</v>
          </cell>
          <cell r="S11">
            <v>1</v>
          </cell>
          <cell r="T11">
            <v>0</v>
          </cell>
        </row>
        <row r="12">
          <cell r="A12" t="str">
            <v>WJMTTM41001</v>
          </cell>
          <cell r="B12" t="str">
            <v>WJMTTM410</v>
          </cell>
          <cell r="C12" t="str">
            <v>01</v>
          </cell>
          <cell r="D12">
            <v>0</v>
          </cell>
          <cell r="E12">
            <v>1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 t="str">
            <v>WJMTSS22021</v>
          </cell>
          <cell r="B13" t="str">
            <v>WJMTSS220</v>
          </cell>
          <cell r="C13" t="str">
            <v>21</v>
          </cell>
          <cell r="D13">
            <v>2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 t="str">
            <v>WJMTSS22003</v>
          </cell>
          <cell r="B14" t="str">
            <v>WJMTSS220</v>
          </cell>
          <cell r="C14" t="str">
            <v>03</v>
          </cell>
          <cell r="D14">
            <v>2</v>
          </cell>
          <cell r="E14">
            <v>2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 t="str">
            <v>WJMTSS21008</v>
          </cell>
          <cell r="B15" t="str">
            <v>WJMTSS210</v>
          </cell>
          <cell r="C15" t="str">
            <v>08</v>
          </cell>
          <cell r="D15">
            <v>2</v>
          </cell>
          <cell r="E15">
            <v>3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WJMTSP71015</v>
          </cell>
          <cell r="B16" t="str">
            <v>WJMTSP710</v>
          </cell>
          <cell r="C16" t="str">
            <v>15</v>
          </cell>
          <cell r="D16">
            <v>1</v>
          </cell>
          <cell r="E16">
            <v>5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5</v>
          </cell>
          <cell r="K16">
            <v>1</v>
          </cell>
          <cell r="L16">
            <v>4</v>
          </cell>
          <cell r="M16">
            <v>5</v>
          </cell>
          <cell r="N16">
            <v>4</v>
          </cell>
          <cell r="O16">
            <v>3</v>
          </cell>
          <cell r="P16">
            <v>3</v>
          </cell>
          <cell r="Q16">
            <v>0</v>
          </cell>
          <cell r="R16">
            <v>2</v>
          </cell>
          <cell r="S16">
            <v>1</v>
          </cell>
          <cell r="T16">
            <v>1</v>
          </cell>
        </row>
        <row r="17">
          <cell r="A17" t="str">
            <v>WJMTSM33035</v>
          </cell>
          <cell r="B17" t="str">
            <v>WJMTSM330</v>
          </cell>
          <cell r="C17" t="str">
            <v>35</v>
          </cell>
          <cell r="D17">
            <v>5</v>
          </cell>
          <cell r="E17">
            <v>4</v>
          </cell>
          <cell r="F17">
            <v>5</v>
          </cell>
          <cell r="G17">
            <v>10</v>
          </cell>
          <cell r="H17">
            <v>4</v>
          </cell>
          <cell r="I17">
            <v>5</v>
          </cell>
          <cell r="J17">
            <v>2</v>
          </cell>
          <cell r="K17">
            <v>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 t="str">
            <v>WJMTSM31074</v>
          </cell>
          <cell r="B18" t="str">
            <v>WJMTSM310</v>
          </cell>
          <cell r="C18" t="str">
            <v>74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-1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 t="str">
            <v>WJMCPM13007</v>
          </cell>
          <cell r="B19" t="str">
            <v>WJMCPM130</v>
          </cell>
          <cell r="C19" t="str">
            <v>07</v>
          </cell>
          <cell r="D19">
            <v>3</v>
          </cell>
          <cell r="E19">
            <v>1</v>
          </cell>
          <cell r="F19">
            <v>2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2</v>
          </cell>
          <cell r="L19">
            <v>2</v>
          </cell>
          <cell r="M19">
            <v>3</v>
          </cell>
          <cell r="N19">
            <v>2</v>
          </cell>
          <cell r="O19">
            <v>0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2</v>
          </cell>
        </row>
        <row r="20">
          <cell r="A20" t="str">
            <v>WJMTSM21060</v>
          </cell>
          <cell r="B20" t="str">
            <v>WJMTSM210</v>
          </cell>
          <cell r="C20" t="str">
            <v>60</v>
          </cell>
          <cell r="D20">
            <v>4</v>
          </cell>
          <cell r="E20">
            <v>2</v>
          </cell>
          <cell r="F20">
            <v>3</v>
          </cell>
          <cell r="G20">
            <v>6</v>
          </cell>
          <cell r="H20">
            <v>5</v>
          </cell>
          <cell r="I20">
            <v>1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>WJMTSM06025</v>
          </cell>
          <cell r="B21" t="str">
            <v>WJMTSM060</v>
          </cell>
          <cell r="C21" t="str">
            <v>25</v>
          </cell>
          <cell r="D21">
            <v>3</v>
          </cell>
          <cell r="E21">
            <v>6</v>
          </cell>
          <cell r="F21">
            <v>6</v>
          </cell>
          <cell r="G21">
            <v>12</v>
          </cell>
          <cell r="H21">
            <v>9</v>
          </cell>
          <cell r="I21">
            <v>9</v>
          </cell>
          <cell r="J21">
            <v>11</v>
          </cell>
          <cell r="K21">
            <v>4</v>
          </cell>
          <cell r="L21">
            <v>1</v>
          </cell>
          <cell r="M21">
            <v>4</v>
          </cell>
          <cell r="N21">
            <v>4</v>
          </cell>
          <cell r="O21">
            <v>1</v>
          </cell>
          <cell r="P21">
            <v>4</v>
          </cell>
          <cell r="Q21">
            <v>6</v>
          </cell>
          <cell r="R21">
            <v>3</v>
          </cell>
          <cell r="S21">
            <v>0</v>
          </cell>
          <cell r="T21">
            <v>1</v>
          </cell>
        </row>
        <row r="22">
          <cell r="A22" t="str">
            <v>WJMTSM04015</v>
          </cell>
          <cell r="B22" t="str">
            <v>WJMTSM040</v>
          </cell>
          <cell r="C22" t="str">
            <v>15</v>
          </cell>
          <cell r="D22">
            <v>3</v>
          </cell>
          <cell r="E22">
            <v>1</v>
          </cell>
          <cell r="F22">
            <v>1</v>
          </cell>
          <cell r="G22">
            <v>3</v>
          </cell>
          <cell r="H22">
            <v>7</v>
          </cell>
          <cell r="I22">
            <v>4</v>
          </cell>
          <cell r="J22">
            <v>6</v>
          </cell>
          <cell r="K22">
            <v>1</v>
          </cell>
          <cell r="L22">
            <v>2</v>
          </cell>
          <cell r="M22">
            <v>1</v>
          </cell>
          <cell r="N22">
            <v>4</v>
          </cell>
          <cell r="O22">
            <v>0</v>
          </cell>
          <cell r="P22">
            <v>2</v>
          </cell>
          <cell r="Q22">
            <v>1</v>
          </cell>
          <cell r="R22">
            <v>0</v>
          </cell>
          <cell r="S22">
            <v>1</v>
          </cell>
          <cell r="T22">
            <v>5</v>
          </cell>
        </row>
        <row r="23">
          <cell r="A23" t="str">
            <v>WJMCPM21043</v>
          </cell>
          <cell r="B23" t="str">
            <v>WJMCPM210</v>
          </cell>
          <cell r="C23" t="str">
            <v>43</v>
          </cell>
          <cell r="D23">
            <v>1</v>
          </cell>
          <cell r="E23">
            <v>4</v>
          </cell>
          <cell r="F23">
            <v>4</v>
          </cell>
          <cell r="G23">
            <v>6</v>
          </cell>
          <cell r="H23">
            <v>5</v>
          </cell>
          <cell r="I23">
            <v>1</v>
          </cell>
          <cell r="J23">
            <v>0</v>
          </cell>
          <cell r="K23">
            <v>3</v>
          </cell>
          <cell r="L23">
            <v>0</v>
          </cell>
          <cell r="M23">
            <v>1</v>
          </cell>
          <cell r="N23">
            <v>6</v>
          </cell>
          <cell r="O23">
            <v>0</v>
          </cell>
          <cell r="P23">
            <v>-1</v>
          </cell>
          <cell r="Q23">
            <v>3</v>
          </cell>
          <cell r="R23">
            <v>2</v>
          </cell>
          <cell r="S23">
            <v>3</v>
          </cell>
          <cell r="T23">
            <v>1</v>
          </cell>
        </row>
        <row r="24">
          <cell r="A24" t="str">
            <v>WJMCPM21046</v>
          </cell>
          <cell r="B24" t="str">
            <v>WJMCPM210</v>
          </cell>
          <cell r="C24" t="str">
            <v>46</v>
          </cell>
          <cell r="D24">
            <v>4</v>
          </cell>
          <cell r="E24">
            <v>9</v>
          </cell>
          <cell r="F24">
            <v>9</v>
          </cell>
          <cell r="G24">
            <v>11</v>
          </cell>
          <cell r="H24">
            <v>10</v>
          </cell>
          <cell r="I24">
            <v>8</v>
          </cell>
          <cell r="J24">
            <v>9</v>
          </cell>
          <cell r="K24">
            <v>13</v>
          </cell>
          <cell r="L24">
            <v>12</v>
          </cell>
          <cell r="M24">
            <v>14</v>
          </cell>
          <cell r="N24">
            <v>16</v>
          </cell>
          <cell r="O24">
            <v>8</v>
          </cell>
          <cell r="P24">
            <v>5</v>
          </cell>
          <cell r="Q24">
            <v>8</v>
          </cell>
          <cell r="R24">
            <v>5</v>
          </cell>
          <cell r="S24">
            <v>1</v>
          </cell>
          <cell r="T24">
            <v>0</v>
          </cell>
        </row>
        <row r="25">
          <cell r="A25" t="str">
            <v>WJMTSM03053</v>
          </cell>
          <cell r="B25" t="str">
            <v>WJMTSM030</v>
          </cell>
          <cell r="C25" t="str">
            <v>53</v>
          </cell>
          <cell r="D25">
            <v>6</v>
          </cell>
          <cell r="E25">
            <v>12</v>
          </cell>
          <cell r="F25">
            <v>4</v>
          </cell>
          <cell r="G25">
            <v>2</v>
          </cell>
          <cell r="H25">
            <v>7</v>
          </cell>
          <cell r="I25">
            <v>8</v>
          </cell>
          <cell r="J25">
            <v>2</v>
          </cell>
          <cell r="K25">
            <v>5</v>
          </cell>
          <cell r="L25">
            <v>3</v>
          </cell>
          <cell r="M25">
            <v>1</v>
          </cell>
          <cell r="N25">
            <v>2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 t="str">
            <v>WJMTSM01046</v>
          </cell>
          <cell r="B26" t="str">
            <v>WJMTSM010</v>
          </cell>
          <cell r="C26" t="str">
            <v>46</v>
          </cell>
          <cell r="D26">
            <v>7</v>
          </cell>
          <cell r="E26">
            <v>11</v>
          </cell>
          <cell r="F26">
            <v>6</v>
          </cell>
          <cell r="G26">
            <v>5</v>
          </cell>
          <cell r="H26">
            <v>10</v>
          </cell>
          <cell r="I26">
            <v>9</v>
          </cell>
          <cell r="J26">
            <v>11</v>
          </cell>
          <cell r="K26">
            <v>8</v>
          </cell>
          <cell r="L26">
            <v>7</v>
          </cell>
          <cell r="M26">
            <v>8</v>
          </cell>
          <cell r="N26">
            <v>16</v>
          </cell>
          <cell r="O26">
            <v>19</v>
          </cell>
          <cell r="P26">
            <v>7</v>
          </cell>
          <cell r="Q26">
            <v>11</v>
          </cell>
          <cell r="R26">
            <v>2</v>
          </cell>
          <cell r="S26">
            <v>2</v>
          </cell>
          <cell r="T26">
            <v>2</v>
          </cell>
        </row>
        <row r="27">
          <cell r="A27" t="str">
            <v>WJMSTM01046</v>
          </cell>
          <cell r="B27" t="str">
            <v>WJMSTM010</v>
          </cell>
          <cell r="C27" t="str">
            <v>46</v>
          </cell>
          <cell r="D27">
            <v>2</v>
          </cell>
          <cell r="E27">
            <v>1</v>
          </cell>
          <cell r="F27">
            <v>5</v>
          </cell>
          <cell r="G27">
            <v>2</v>
          </cell>
          <cell r="H27">
            <v>4</v>
          </cell>
          <cell r="I27">
            <v>5</v>
          </cell>
          <cell r="J27">
            <v>3</v>
          </cell>
          <cell r="K27">
            <v>2</v>
          </cell>
          <cell r="L27">
            <v>2</v>
          </cell>
          <cell r="M27">
            <v>4</v>
          </cell>
          <cell r="N27">
            <v>2</v>
          </cell>
          <cell r="O27">
            <v>2</v>
          </cell>
          <cell r="P27">
            <v>1</v>
          </cell>
          <cell r="Q27">
            <v>0</v>
          </cell>
          <cell r="R27">
            <v>1</v>
          </cell>
          <cell r="S27">
            <v>0</v>
          </cell>
          <cell r="T27">
            <v>4</v>
          </cell>
        </row>
        <row r="28">
          <cell r="A28" t="str">
            <v>WJMSHM35054</v>
          </cell>
          <cell r="B28" t="str">
            <v>WJMSHM350</v>
          </cell>
          <cell r="C28" t="str">
            <v>54</v>
          </cell>
          <cell r="D28">
            <v>2</v>
          </cell>
          <cell r="E28">
            <v>1</v>
          </cell>
          <cell r="F28">
            <v>3</v>
          </cell>
          <cell r="G28">
            <v>0</v>
          </cell>
          <cell r="H28">
            <v>3</v>
          </cell>
          <cell r="I28">
            <v>0</v>
          </cell>
          <cell r="J28">
            <v>0</v>
          </cell>
          <cell r="K28">
            <v>2</v>
          </cell>
          <cell r="L28">
            <v>1</v>
          </cell>
          <cell r="M28">
            <v>0</v>
          </cell>
          <cell r="N28">
            <v>2</v>
          </cell>
          <cell r="O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 t="str">
            <v>WJMVSM41007</v>
          </cell>
          <cell r="B29" t="str">
            <v>WJMVSM410</v>
          </cell>
          <cell r="C29" t="str">
            <v>07</v>
          </cell>
          <cell r="D29">
            <v>6</v>
          </cell>
          <cell r="E29">
            <v>1</v>
          </cell>
          <cell r="F29">
            <v>4</v>
          </cell>
          <cell r="G29">
            <v>1</v>
          </cell>
          <cell r="H29">
            <v>0</v>
          </cell>
          <cell r="I29">
            <v>4</v>
          </cell>
          <cell r="J29">
            <v>3</v>
          </cell>
          <cell r="K29">
            <v>1</v>
          </cell>
          <cell r="L29">
            <v>2</v>
          </cell>
          <cell r="M29">
            <v>6</v>
          </cell>
          <cell r="N29">
            <v>2</v>
          </cell>
          <cell r="O29">
            <v>7</v>
          </cell>
          <cell r="P29">
            <v>10</v>
          </cell>
          <cell r="Q29">
            <v>3</v>
          </cell>
          <cell r="R29">
            <v>3</v>
          </cell>
          <cell r="S29">
            <v>2</v>
          </cell>
          <cell r="T29">
            <v>3</v>
          </cell>
        </row>
        <row r="30">
          <cell r="A30" t="str">
            <v>WJMPTS08007</v>
          </cell>
          <cell r="B30" t="str">
            <v>WJMPTS080</v>
          </cell>
          <cell r="C30" t="str">
            <v>07</v>
          </cell>
          <cell r="D30">
            <v>6</v>
          </cell>
          <cell r="E30">
            <v>4</v>
          </cell>
          <cell r="F30">
            <v>7</v>
          </cell>
          <cell r="G30">
            <v>5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WJMPTM51007</v>
          </cell>
          <cell r="B31" t="str">
            <v>WJMPTM510</v>
          </cell>
          <cell r="C31" t="str">
            <v>07</v>
          </cell>
          <cell r="D31">
            <v>4</v>
          </cell>
          <cell r="E31">
            <v>4</v>
          </cell>
          <cell r="F31">
            <v>5</v>
          </cell>
          <cell r="G31">
            <v>1</v>
          </cell>
          <cell r="H31">
            <v>0</v>
          </cell>
          <cell r="I31">
            <v>5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2</v>
          </cell>
          <cell r="O31">
            <v>0</v>
          </cell>
          <cell r="P31">
            <v>0</v>
          </cell>
          <cell r="Q31">
            <v>1</v>
          </cell>
          <cell r="R31">
            <v>0</v>
          </cell>
          <cell r="S31">
            <v>0</v>
          </cell>
          <cell r="T31">
            <v>3</v>
          </cell>
        </row>
        <row r="32">
          <cell r="A32" t="str">
            <v>WJMCPS43024</v>
          </cell>
          <cell r="B32" t="str">
            <v>WJMCPS430</v>
          </cell>
          <cell r="C32" t="str">
            <v>24</v>
          </cell>
          <cell r="D32">
            <v>5</v>
          </cell>
          <cell r="E32">
            <v>5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WJMPTM23007</v>
          </cell>
          <cell r="B33" t="str">
            <v>WJMPTM230</v>
          </cell>
          <cell r="C33" t="str">
            <v>07</v>
          </cell>
          <cell r="D33">
            <v>8</v>
          </cell>
          <cell r="E33">
            <v>4</v>
          </cell>
          <cell r="F33">
            <v>4</v>
          </cell>
          <cell r="G33">
            <v>5</v>
          </cell>
          <cell r="H33">
            <v>5</v>
          </cell>
          <cell r="I33">
            <v>3</v>
          </cell>
          <cell r="J33">
            <v>6</v>
          </cell>
          <cell r="K33">
            <v>5</v>
          </cell>
          <cell r="L33">
            <v>1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 t="str">
            <v>WJMPTM22016</v>
          </cell>
          <cell r="B34" t="str">
            <v>WJMPTM220</v>
          </cell>
          <cell r="C34" t="str">
            <v>16</v>
          </cell>
          <cell r="D34">
            <v>4</v>
          </cell>
          <cell r="E34">
            <v>2</v>
          </cell>
          <cell r="F34">
            <v>6</v>
          </cell>
          <cell r="G34">
            <v>2</v>
          </cell>
          <cell r="H34">
            <v>2</v>
          </cell>
          <cell r="I34">
            <v>2</v>
          </cell>
          <cell r="J34">
            <v>2</v>
          </cell>
          <cell r="K34">
            <v>0</v>
          </cell>
          <cell r="L34">
            <v>-1</v>
          </cell>
          <cell r="M34">
            <v>3</v>
          </cell>
          <cell r="N34">
            <v>1</v>
          </cell>
          <cell r="O34">
            <v>1</v>
          </cell>
          <cell r="P34">
            <v>1</v>
          </cell>
          <cell r="Q34">
            <v>2</v>
          </cell>
          <cell r="R34">
            <v>1</v>
          </cell>
          <cell r="S34">
            <v>1</v>
          </cell>
          <cell r="T34">
            <v>2</v>
          </cell>
        </row>
        <row r="35">
          <cell r="A35" t="str">
            <v>WJMGLM11072</v>
          </cell>
          <cell r="B35" t="str">
            <v>WJMGLM110</v>
          </cell>
          <cell r="C35" t="str">
            <v>72</v>
          </cell>
          <cell r="D35">
            <v>2</v>
          </cell>
          <cell r="E35">
            <v>1</v>
          </cell>
          <cell r="F35">
            <v>1</v>
          </cell>
          <cell r="G35">
            <v>-1</v>
          </cell>
          <cell r="H35">
            <v>3</v>
          </cell>
          <cell r="I35">
            <v>4</v>
          </cell>
          <cell r="J35">
            <v>4</v>
          </cell>
          <cell r="K35">
            <v>3</v>
          </cell>
          <cell r="L35">
            <v>5</v>
          </cell>
          <cell r="M35">
            <v>3</v>
          </cell>
          <cell r="N35">
            <v>1</v>
          </cell>
          <cell r="O35">
            <v>1</v>
          </cell>
          <cell r="P35">
            <v>0</v>
          </cell>
          <cell r="Q35">
            <v>4</v>
          </cell>
          <cell r="R35">
            <v>2</v>
          </cell>
          <cell r="S35">
            <v>1</v>
          </cell>
          <cell r="T35">
            <v>0</v>
          </cell>
        </row>
        <row r="36">
          <cell r="A36" t="str">
            <v>WJMPTM06007</v>
          </cell>
          <cell r="B36" t="str">
            <v>WJMPTM060</v>
          </cell>
          <cell r="C36" t="str">
            <v>07</v>
          </cell>
          <cell r="D36">
            <v>2</v>
          </cell>
          <cell r="E36">
            <v>2</v>
          </cell>
          <cell r="F36">
            <v>9</v>
          </cell>
          <cell r="G36">
            <v>3</v>
          </cell>
          <cell r="H36">
            <v>2</v>
          </cell>
          <cell r="I36">
            <v>2</v>
          </cell>
          <cell r="J36">
            <v>1</v>
          </cell>
          <cell r="K36">
            <v>2</v>
          </cell>
          <cell r="L36">
            <v>1</v>
          </cell>
          <cell r="M36">
            <v>1</v>
          </cell>
          <cell r="N36">
            <v>1</v>
          </cell>
          <cell r="O36">
            <v>0</v>
          </cell>
          <cell r="P36">
            <v>0</v>
          </cell>
          <cell r="Q36">
            <v>2</v>
          </cell>
          <cell r="R36">
            <v>1</v>
          </cell>
          <cell r="S36">
            <v>0</v>
          </cell>
          <cell r="T36">
            <v>0</v>
          </cell>
        </row>
        <row r="37">
          <cell r="A37" t="str">
            <v>WJMPTM01007</v>
          </cell>
          <cell r="B37" t="str">
            <v>WJMPTM010</v>
          </cell>
          <cell r="C37" t="str">
            <v>07</v>
          </cell>
          <cell r="D37">
            <v>2</v>
          </cell>
          <cell r="E37">
            <v>7</v>
          </cell>
          <cell r="F37">
            <v>2</v>
          </cell>
          <cell r="G37">
            <v>8</v>
          </cell>
          <cell r="H37">
            <v>3</v>
          </cell>
          <cell r="I37">
            <v>1</v>
          </cell>
          <cell r="J37">
            <v>1</v>
          </cell>
          <cell r="K37">
            <v>1</v>
          </cell>
          <cell r="L37">
            <v>3</v>
          </cell>
          <cell r="M37">
            <v>1</v>
          </cell>
          <cell r="N37">
            <v>5</v>
          </cell>
          <cell r="O37">
            <v>3</v>
          </cell>
          <cell r="P37">
            <v>7</v>
          </cell>
          <cell r="Q37">
            <v>6</v>
          </cell>
          <cell r="R37">
            <v>4</v>
          </cell>
          <cell r="S37">
            <v>0</v>
          </cell>
          <cell r="T37">
            <v>0</v>
          </cell>
        </row>
        <row r="38">
          <cell r="A38" t="str">
            <v>WJMJKM43001</v>
          </cell>
          <cell r="B38" t="str">
            <v>WJMJKM430</v>
          </cell>
          <cell r="C38" t="str">
            <v>01</v>
          </cell>
          <cell r="D38">
            <v>2</v>
          </cell>
          <cell r="E38">
            <v>1</v>
          </cell>
          <cell r="F38">
            <v>2</v>
          </cell>
          <cell r="G38">
            <v>1</v>
          </cell>
          <cell r="H38">
            <v>3</v>
          </cell>
          <cell r="I38">
            <v>3</v>
          </cell>
          <cell r="J38">
            <v>4</v>
          </cell>
          <cell r="K38">
            <v>4</v>
          </cell>
          <cell r="L38">
            <v>2</v>
          </cell>
          <cell r="M38">
            <v>1</v>
          </cell>
          <cell r="N38">
            <v>3</v>
          </cell>
          <cell r="O38">
            <v>0</v>
          </cell>
          <cell r="P38">
            <v>3</v>
          </cell>
          <cell r="Q38">
            <v>0</v>
          </cell>
          <cell r="R38">
            <v>1</v>
          </cell>
          <cell r="S38">
            <v>0</v>
          </cell>
          <cell r="T38">
            <v>0</v>
          </cell>
        </row>
        <row r="39">
          <cell r="A39" t="str">
            <v>WJMJKM40015</v>
          </cell>
          <cell r="B39" t="str">
            <v>WJMJKM400</v>
          </cell>
          <cell r="C39" t="str">
            <v>15</v>
          </cell>
          <cell r="D39">
            <v>4</v>
          </cell>
          <cell r="E39">
            <v>4</v>
          </cell>
          <cell r="F39">
            <v>1</v>
          </cell>
          <cell r="G39">
            <v>3</v>
          </cell>
          <cell r="H39">
            <v>6</v>
          </cell>
          <cell r="I39">
            <v>18</v>
          </cell>
          <cell r="J39">
            <v>16</v>
          </cell>
          <cell r="K39">
            <v>2</v>
          </cell>
          <cell r="L39">
            <v>3</v>
          </cell>
          <cell r="M39">
            <v>2</v>
          </cell>
          <cell r="N39">
            <v>0</v>
          </cell>
          <cell r="O39">
            <v>0</v>
          </cell>
          <cell r="P39">
            <v>2</v>
          </cell>
          <cell r="Q39">
            <v>2</v>
          </cell>
          <cell r="R39">
            <v>0</v>
          </cell>
          <cell r="S39">
            <v>0</v>
          </cell>
          <cell r="T39">
            <v>0</v>
          </cell>
        </row>
        <row r="40">
          <cell r="A40" t="str">
            <v>WJMJKM22016</v>
          </cell>
          <cell r="B40" t="str">
            <v>WJMJKM220</v>
          </cell>
          <cell r="C40" t="str">
            <v>16</v>
          </cell>
          <cell r="D40">
            <v>4</v>
          </cell>
          <cell r="E40">
            <v>6</v>
          </cell>
          <cell r="F40">
            <v>0</v>
          </cell>
          <cell r="G40">
            <v>3</v>
          </cell>
          <cell r="H40">
            <v>2</v>
          </cell>
          <cell r="I40">
            <v>10</v>
          </cell>
          <cell r="J40">
            <v>16</v>
          </cell>
          <cell r="K40">
            <v>3</v>
          </cell>
          <cell r="L40">
            <v>1</v>
          </cell>
          <cell r="M40">
            <v>3</v>
          </cell>
          <cell r="N40">
            <v>0</v>
          </cell>
          <cell r="O40">
            <v>2</v>
          </cell>
          <cell r="P40">
            <v>1</v>
          </cell>
          <cell r="Q40">
            <v>0</v>
          </cell>
          <cell r="R40">
            <v>2</v>
          </cell>
          <cell r="S40">
            <v>0</v>
          </cell>
          <cell r="T40">
            <v>2</v>
          </cell>
        </row>
        <row r="41">
          <cell r="A41" t="str">
            <v>WJMJKM16124</v>
          </cell>
          <cell r="B41" t="str">
            <v>WJMJKM161</v>
          </cell>
          <cell r="C41" t="str">
            <v>24</v>
          </cell>
          <cell r="D41">
            <v>3</v>
          </cell>
          <cell r="E41">
            <v>7</v>
          </cell>
          <cell r="F41">
            <v>2</v>
          </cell>
          <cell r="G41">
            <v>2</v>
          </cell>
          <cell r="H41">
            <v>0</v>
          </cell>
          <cell r="I41">
            <v>7</v>
          </cell>
          <cell r="J41">
            <v>5</v>
          </cell>
          <cell r="K41">
            <v>2</v>
          </cell>
          <cell r="L41">
            <v>3</v>
          </cell>
          <cell r="M41">
            <v>1</v>
          </cell>
          <cell r="N41">
            <v>1</v>
          </cell>
          <cell r="O41">
            <v>0</v>
          </cell>
          <cell r="P41">
            <v>0</v>
          </cell>
          <cell r="Q41">
            <v>0</v>
          </cell>
          <cell r="R41">
            <v>1</v>
          </cell>
          <cell r="S41">
            <v>0</v>
          </cell>
          <cell r="T41">
            <v>3</v>
          </cell>
        </row>
        <row r="42">
          <cell r="A42" t="str">
            <v>WJMJKM16108</v>
          </cell>
          <cell r="B42" t="str">
            <v>WJMJKM161</v>
          </cell>
          <cell r="C42" t="str">
            <v>08</v>
          </cell>
          <cell r="D42">
            <v>3</v>
          </cell>
          <cell r="E42">
            <v>7</v>
          </cell>
          <cell r="F42">
            <v>2</v>
          </cell>
          <cell r="G42">
            <v>1</v>
          </cell>
          <cell r="H42">
            <v>1</v>
          </cell>
          <cell r="I42">
            <v>7</v>
          </cell>
          <cell r="J42">
            <v>6</v>
          </cell>
          <cell r="K42">
            <v>1</v>
          </cell>
          <cell r="L42">
            <v>0</v>
          </cell>
          <cell r="M42">
            <v>2</v>
          </cell>
          <cell r="N42">
            <v>3</v>
          </cell>
          <cell r="O42">
            <v>0</v>
          </cell>
          <cell r="P42">
            <v>0</v>
          </cell>
          <cell r="Q42">
            <v>0</v>
          </cell>
          <cell r="R42">
            <v>2</v>
          </cell>
          <cell r="S42">
            <v>0</v>
          </cell>
          <cell r="T42">
            <v>1</v>
          </cell>
        </row>
        <row r="43">
          <cell r="A43" t="str">
            <v>WJMJKM15073</v>
          </cell>
          <cell r="B43" t="str">
            <v>WJMJKM150</v>
          </cell>
          <cell r="C43" t="str">
            <v>73</v>
          </cell>
          <cell r="D43">
            <v>9</v>
          </cell>
          <cell r="E43">
            <v>12</v>
          </cell>
          <cell r="F43">
            <v>11</v>
          </cell>
          <cell r="G43">
            <v>15</v>
          </cell>
          <cell r="H43">
            <v>12</v>
          </cell>
          <cell r="I43">
            <v>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 t="str">
            <v>WJMJKM10003</v>
          </cell>
          <cell r="B44" t="str">
            <v>WJMJKM100</v>
          </cell>
          <cell r="C44" t="str">
            <v>03</v>
          </cell>
          <cell r="D44">
            <v>5</v>
          </cell>
          <cell r="E44">
            <v>7</v>
          </cell>
          <cell r="F44">
            <v>9</v>
          </cell>
          <cell r="G44">
            <v>6</v>
          </cell>
          <cell r="H44">
            <v>5</v>
          </cell>
          <cell r="I44">
            <v>24</v>
          </cell>
          <cell r="J44">
            <v>12</v>
          </cell>
          <cell r="K44">
            <v>3</v>
          </cell>
          <cell r="L44">
            <v>3</v>
          </cell>
          <cell r="M44">
            <v>9</v>
          </cell>
          <cell r="N44">
            <v>0</v>
          </cell>
          <cell r="O44">
            <v>2</v>
          </cell>
          <cell r="P44">
            <v>0</v>
          </cell>
          <cell r="Q44">
            <v>0</v>
          </cell>
          <cell r="R44">
            <v>1</v>
          </cell>
          <cell r="S44">
            <v>1</v>
          </cell>
          <cell r="T44">
            <v>0</v>
          </cell>
        </row>
        <row r="45">
          <cell r="A45" t="str">
            <v>WJMJKM07053</v>
          </cell>
          <cell r="B45" t="str">
            <v>WJMJKM070</v>
          </cell>
          <cell r="C45" t="str">
            <v>53</v>
          </cell>
          <cell r="D45">
            <v>6</v>
          </cell>
          <cell r="E45">
            <v>35</v>
          </cell>
          <cell r="F45">
            <v>1</v>
          </cell>
          <cell r="G45">
            <v>5</v>
          </cell>
          <cell r="H45">
            <v>4</v>
          </cell>
          <cell r="I45">
            <v>7</v>
          </cell>
          <cell r="J45">
            <v>5</v>
          </cell>
          <cell r="K45">
            <v>9</v>
          </cell>
          <cell r="L45">
            <v>4</v>
          </cell>
          <cell r="M45">
            <v>2</v>
          </cell>
          <cell r="N45">
            <v>3</v>
          </cell>
          <cell r="O45">
            <v>8</v>
          </cell>
          <cell r="P45">
            <v>11</v>
          </cell>
          <cell r="Q45">
            <v>4</v>
          </cell>
          <cell r="R45">
            <v>5</v>
          </cell>
          <cell r="S45">
            <v>3</v>
          </cell>
          <cell r="T45">
            <v>3</v>
          </cell>
        </row>
        <row r="46">
          <cell r="A46" t="str">
            <v>WJMJKM07025</v>
          </cell>
          <cell r="B46" t="str">
            <v>WJMJKM070</v>
          </cell>
          <cell r="C46" t="str">
            <v>25</v>
          </cell>
          <cell r="D46">
            <v>5</v>
          </cell>
          <cell r="E46">
            <v>35</v>
          </cell>
          <cell r="F46">
            <v>1</v>
          </cell>
          <cell r="G46">
            <v>5</v>
          </cell>
          <cell r="H46">
            <v>3</v>
          </cell>
          <cell r="I46">
            <v>5</v>
          </cell>
          <cell r="J46">
            <v>10</v>
          </cell>
          <cell r="K46">
            <v>5</v>
          </cell>
          <cell r="L46">
            <v>2</v>
          </cell>
          <cell r="M46">
            <v>6</v>
          </cell>
          <cell r="N46">
            <v>6</v>
          </cell>
          <cell r="O46">
            <v>3</v>
          </cell>
          <cell r="P46">
            <v>4</v>
          </cell>
          <cell r="Q46">
            <v>0</v>
          </cell>
          <cell r="R46">
            <v>2</v>
          </cell>
          <cell r="S46">
            <v>0</v>
          </cell>
          <cell r="T46">
            <v>3</v>
          </cell>
        </row>
        <row r="47">
          <cell r="A47" t="str">
            <v>WJMJKM06073</v>
          </cell>
          <cell r="B47" t="str">
            <v>WJMJKM060</v>
          </cell>
          <cell r="C47" t="str">
            <v>73</v>
          </cell>
          <cell r="D47">
            <v>4</v>
          </cell>
          <cell r="E47">
            <v>12</v>
          </cell>
          <cell r="F47">
            <v>3</v>
          </cell>
          <cell r="G47">
            <v>5</v>
          </cell>
          <cell r="H47">
            <v>4</v>
          </cell>
          <cell r="I47">
            <v>7</v>
          </cell>
          <cell r="J47">
            <v>6</v>
          </cell>
          <cell r="K47">
            <v>13</v>
          </cell>
          <cell r="L47">
            <v>10</v>
          </cell>
          <cell r="M47">
            <v>1</v>
          </cell>
          <cell r="N47">
            <v>9</v>
          </cell>
          <cell r="O47">
            <v>5</v>
          </cell>
          <cell r="P47">
            <v>2</v>
          </cell>
          <cell r="Q47">
            <v>3</v>
          </cell>
          <cell r="R47">
            <v>3</v>
          </cell>
          <cell r="S47">
            <v>0</v>
          </cell>
          <cell r="T47">
            <v>1</v>
          </cell>
        </row>
        <row r="48">
          <cell r="A48" t="str">
            <v>WJMJKM06001</v>
          </cell>
          <cell r="B48" t="str">
            <v>WJMJKM060</v>
          </cell>
          <cell r="C48" t="str">
            <v>01</v>
          </cell>
          <cell r="D48">
            <v>5</v>
          </cell>
          <cell r="E48">
            <v>1</v>
          </cell>
          <cell r="F48">
            <v>5</v>
          </cell>
          <cell r="G48">
            <v>3</v>
          </cell>
          <cell r="H48">
            <v>2</v>
          </cell>
          <cell r="I48">
            <v>4</v>
          </cell>
          <cell r="J48">
            <v>6</v>
          </cell>
          <cell r="K48">
            <v>8</v>
          </cell>
          <cell r="L48">
            <v>0</v>
          </cell>
          <cell r="M48">
            <v>3</v>
          </cell>
          <cell r="N48">
            <v>3</v>
          </cell>
          <cell r="O48">
            <v>3</v>
          </cell>
          <cell r="P48">
            <v>2</v>
          </cell>
          <cell r="Q48">
            <v>0</v>
          </cell>
          <cell r="R48">
            <v>0</v>
          </cell>
          <cell r="S48">
            <v>0</v>
          </cell>
          <cell r="T48">
            <v>2</v>
          </cell>
        </row>
        <row r="49">
          <cell r="A49" t="str">
            <v>WJMCPM04054</v>
          </cell>
          <cell r="B49" t="str">
            <v>WJMCPM040</v>
          </cell>
          <cell r="C49" t="str">
            <v>54</v>
          </cell>
          <cell r="D49">
            <v>6</v>
          </cell>
          <cell r="E49">
            <v>10</v>
          </cell>
          <cell r="F49">
            <v>10</v>
          </cell>
          <cell r="G49">
            <v>14</v>
          </cell>
          <cell r="H49">
            <v>5</v>
          </cell>
          <cell r="I49">
            <v>11</v>
          </cell>
          <cell r="J49">
            <v>11</v>
          </cell>
          <cell r="K49">
            <v>5</v>
          </cell>
          <cell r="L49">
            <v>7</v>
          </cell>
          <cell r="M49">
            <v>2</v>
          </cell>
          <cell r="N49">
            <v>3</v>
          </cell>
          <cell r="O49">
            <v>3</v>
          </cell>
          <cell r="P49">
            <v>3</v>
          </cell>
          <cell r="Q49">
            <v>2</v>
          </cell>
          <cell r="R49">
            <v>3</v>
          </cell>
          <cell r="S49">
            <v>1</v>
          </cell>
          <cell r="T49">
            <v>1</v>
          </cell>
        </row>
        <row r="50">
          <cell r="A50" t="str">
            <v>WJMTTM48015</v>
          </cell>
          <cell r="B50" t="str">
            <v>WJMTTM480</v>
          </cell>
          <cell r="C50" t="str">
            <v>15</v>
          </cell>
          <cell r="D50">
            <v>12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 t="str">
            <v>WJMTSP71024</v>
          </cell>
          <cell r="B51" t="str">
            <v>WJMTSP710</v>
          </cell>
          <cell r="C51" t="str">
            <v>24</v>
          </cell>
          <cell r="D51">
            <v>9</v>
          </cell>
          <cell r="E51">
            <v>5</v>
          </cell>
          <cell r="F51">
            <v>8</v>
          </cell>
          <cell r="G51">
            <v>5</v>
          </cell>
          <cell r="H51">
            <v>2</v>
          </cell>
          <cell r="I51">
            <v>9</v>
          </cell>
          <cell r="J51">
            <v>12</v>
          </cell>
          <cell r="K51">
            <v>4</v>
          </cell>
          <cell r="L51">
            <v>10</v>
          </cell>
          <cell r="M51">
            <v>2</v>
          </cell>
          <cell r="N51">
            <v>5</v>
          </cell>
          <cell r="O51">
            <v>10</v>
          </cell>
          <cell r="P51">
            <v>6</v>
          </cell>
          <cell r="Q51">
            <v>5</v>
          </cell>
          <cell r="R51">
            <v>8</v>
          </cell>
          <cell r="S51">
            <v>5</v>
          </cell>
          <cell r="T51">
            <v>3</v>
          </cell>
        </row>
        <row r="52">
          <cell r="A52" t="str">
            <v>WJMTSP71007</v>
          </cell>
          <cell r="B52" t="str">
            <v>WJMTSP710</v>
          </cell>
          <cell r="C52" t="str">
            <v>07</v>
          </cell>
          <cell r="D52">
            <v>7</v>
          </cell>
          <cell r="E52">
            <v>7</v>
          </cell>
          <cell r="F52">
            <v>6</v>
          </cell>
          <cell r="G52">
            <v>2</v>
          </cell>
          <cell r="H52">
            <v>10</v>
          </cell>
          <cell r="I52">
            <v>10</v>
          </cell>
          <cell r="J52">
            <v>8</v>
          </cell>
          <cell r="K52">
            <v>4</v>
          </cell>
          <cell r="L52">
            <v>11</v>
          </cell>
          <cell r="M52">
            <v>8</v>
          </cell>
          <cell r="N52">
            <v>4</v>
          </cell>
          <cell r="O52">
            <v>2</v>
          </cell>
          <cell r="P52">
            <v>8</v>
          </cell>
          <cell r="Q52">
            <v>4</v>
          </cell>
          <cell r="R52">
            <v>6</v>
          </cell>
          <cell r="S52">
            <v>4</v>
          </cell>
          <cell r="T52">
            <v>4</v>
          </cell>
        </row>
        <row r="53">
          <cell r="A53" t="str">
            <v>WJMTSM33074</v>
          </cell>
          <cell r="B53" t="str">
            <v>WJMTSM330</v>
          </cell>
          <cell r="C53" t="str">
            <v>74</v>
          </cell>
          <cell r="D53">
            <v>7</v>
          </cell>
          <cell r="E53">
            <v>6</v>
          </cell>
          <cell r="F53">
            <v>10</v>
          </cell>
          <cell r="G53">
            <v>6</v>
          </cell>
          <cell r="H53">
            <v>2</v>
          </cell>
          <cell r="I53">
            <v>2</v>
          </cell>
          <cell r="J53">
            <v>9</v>
          </cell>
          <cell r="K53">
            <v>13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 t="str">
            <v>WJMTSM25024</v>
          </cell>
          <cell r="B54" t="str">
            <v>WJMTSM250</v>
          </cell>
          <cell r="C54" t="str">
            <v>24</v>
          </cell>
          <cell r="D54">
            <v>4</v>
          </cell>
          <cell r="E54">
            <v>2</v>
          </cell>
          <cell r="F54">
            <v>2</v>
          </cell>
          <cell r="G54">
            <v>2</v>
          </cell>
          <cell r="H54">
            <v>0</v>
          </cell>
          <cell r="I54">
            <v>9</v>
          </cell>
          <cell r="J54">
            <v>6</v>
          </cell>
          <cell r="K54">
            <v>1</v>
          </cell>
          <cell r="L54">
            <v>0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 t="str">
            <v>WJMJKM08024</v>
          </cell>
          <cell r="B55" t="str">
            <v>WJMJKM080</v>
          </cell>
          <cell r="C55" t="str">
            <v>24</v>
          </cell>
          <cell r="D55">
            <v>8</v>
          </cell>
          <cell r="E55">
            <v>5</v>
          </cell>
          <cell r="F55">
            <v>4</v>
          </cell>
          <cell r="G55">
            <v>0</v>
          </cell>
          <cell r="H55">
            <v>3</v>
          </cell>
          <cell r="I55">
            <v>6</v>
          </cell>
          <cell r="J55">
            <v>4</v>
          </cell>
          <cell r="K55">
            <v>7</v>
          </cell>
          <cell r="L55">
            <v>4</v>
          </cell>
          <cell r="M55">
            <v>5</v>
          </cell>
          <cell r="N55">
            <v>3</v>
          </cell>
          <cell r="O55">
            <v>8</v>
          </cell>
          <cell r="P55">
            <v>11</v>
          </cell>
          <cell r="Q55">
            <v>2</v>
          </cell>
          <cell r="R55">
            <v>4</v>
          </cell>
          <cell r="S55">
            <v>3</v>
          </cell>
          <cell r="T55">
            <v>8</v>
          </cell>
        </row>
        <row r="56">
          <cell r="A56" t="str">
            <v>WJMTSM05025</v>
          </cell>
          <cell r="B56" t="str">
            <v>WJMTSM050</v>
          </cell>
          <cell r="C56" t="str">
            <v>25</v>
          </cell>
          <cell r="D56">
            <v>4</v>
          </cell>
          <cell r="E56">
            <v>6</v>
          </cell>
          <cell r="F56">
            <v>1</v>
          </cell>
          <cell r="G56">
            <v>5</v>
          </cell>
          <cell r="H56">
            <v>0</v>
          </cell>
          <cell r="I56">
            <v>4</v>
          </cell>
          <cell r="J56">
            <v>4</v>
          </cell>
          <cell r="K56">
            <v>4</v>
          </cell>
          <cell r="L56">
            <v>4</v>
          </cell>
          <cell r="M56">
            <v>3</v>
          </cell>
          <cell r="N56">
            <v>3</v>
          </cell>
          <cell r="O56">
            <v>5</v>
          </cell>
          <cell r="P56">
            <v>6</v>
          </cell>
          <cell r="Q56">
            <v>3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>WJMVSM04024</v>
          </cell>
          <cell r="B57" t="str">
            <v>WJMVSM040</v>
          </cell>
          <cell r="C57" t="str">
            <v>24</v>
          </cell>
          <cell r="D57">
            <v>5</v>
          </cell>
          <cell r="E57">
            <v>1</v>
          </cell>
          <cell r="F57">
            <v>5</v>
          </cell>
          <cell r="G57">
            <v>4</v>
          </cell>
          <cell r="H57">
            <v>5</v>
          </cell>
          <cell r="I57">
            <v>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 t="str">
            <v>WJMPTM07005</v>
          </cell>
          <cell r="B58" t="str">
            <v>WJMPTM070</v>
          </cell>
          <cell r="C58" t="str">
            <v>05</v>
          </cell>
          <cell r="D58">
            <v>3</v>
          </cell>
          <cell r="E58">
            <v>6</v>
          </cell>
          <cell r="F58">
            <v>4</v>
          </cell>
          <cell r="G58">
            <v>4</v>
          </cell>
          <cell r="H58">
            <v>1</v>
          </cell>
          <cell r="I58">
            <v>2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 t="str">
            <v>WJMPTM04007</v>
          </cell>
          <cell r="B59" t="str">
            <v>WJMPTM040</v>
          </cell>
          <cell r="C59" t="str">
            <v>07</v>
          </cell>
          <cell r="D59">
            <v>27</v>
          </cell>
          <cell r="E59">
            <v>23</v>
          </cell>
          <cell r="F59">
            <v>18</v>
          </cell>
          <cell r="G59">
            <v>13</v>
          </cell>
          <cell r="H59">
            <v>17</v>
          </cell>
          <cell r="I59">
            <v>11</v>
          </cell>
          <cell r="J59">
            <v>4</v>
          </cell>
          <cell r="K59">
            <v>4</v>
          </cell>
          <cell r="L59">
            <v>7</v>
          </cell>
          <cell r="M59">
            <v>5</v>
          </cell>
          <cell r="N59">
            <v>1</v>
          </cell>
          <cell r="O59">
            <v>0</v>
          </cell>
          <cell r="P59">
            <v>1</v>
          </cell>
          <cell r="Q59">
            <v>1</v>
          </cell>
          <cell r="R59">
            <v>1</v>
          </cell>
          <cell r="S59">
            <v>0</v>
          </cell>
          <cell r="T59">
            <v>4</v>
          </cell>
        </row>
        <row r="60">
          <cell r="A60" t="str">
            <v>WJMPTM03025</v>
          </cell>
          <cell r="B60" t="str">
            <v>WJMPTM030</v>
          </cell>
          <cell r="C60" t="str">
            <v>25</v>
          </cell>
          <cell r="D60">
            <v>4</v>
          </cell>
          <cell r="E60">
            <v>2</v>
          </cell>
          <cell r="F60">
            <v>3</v>
          </cell>
          <cell r="G60">
            <v>6</v>
          </cell>
          <cell r="H60">
            <v>5</v>
          </cell>
          <cell r="I60">
            <v>2</v>
          </cell>
          <cell r="J60">
            <v>2</v>
          </cell>
          <cell r="K60">
            <v>5</v>
          </cell>
          <cell r="L60">
            <v>4</v>
          </cell>
          <cell r="M60">
            <v>1</v>
          </cell>
          <cell r="N60">
            <v>1</v>
          </cell>
          <cell r="O60">
            <v>0</v>
          </cell>
          <cell r="P60">
            <v>1</v>
          </cell>
          <cell r="Q60">
            <v>0</v>
          </cell>
          <cell r="R60">
            <v>1</v>
          </cell>
          <cell r="S60">
            <v>0</v>
          </cell>
          <cell r="T60">
            <v>0</v>
          </cell>
        </row>
        <row r="61">
          <cell r="A61" t="str">
            <v>WJMPTM02005</v>
          </cell>
          <cell r="B61" t="str">
            <v>WJMPTM020</v>
          </cell>
          <cell r="C61" t="str">
            <v>05</v>
          </cell>
          <cell r="D61">
            <v>2</v>
          </cell>
          <cell r="E61">
            <v>0</v>
          </cell>
          <cell r="F61">
            <v>3</v>
          </cell>
          <cell r="G61">
            <v>5</v>
          </cell>
          <cell r="H61">
            <v>3</v>
          </cell>
          <cell r="I61">
            <v>5</v>
          </cell>
          <cell r="J61">
            <v>1</v>
          </cell>
          <cell r="K61">
            <v>4</v>
          </cell>
          <cell r="L61">
            <v>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 t="str">
            <v>WJMJKM41001</v>
          </cell>
          <cell r="B62" t="str">
            <v>WJMJKM410</v>
          </cell>
          <cell r="C62" t="str">
            <v>01</v>
          </cell>
          <cell r="D62">
            <v>7</v>
          </cell>
          <cell r="E62">
            <v>5</v>
          </cell>
          <cell r="F62">
            <v>4</v>
          </cell>
          <cell r="G62">
            <v>4</v>
          </cell>
          <cell r="H62">
            <v>3</v>
          </cell>
          <cell r="I62">
            <v>5</v>
          </cell>
          <cell r="J62">
            <v>0</v>
          </cell>
          <cell r="K62">
            <v>3</v>
          </cell>
          <cell r="L62">
            <v>1</v>
          </cell>
          <cell r="M62">
            <v>6</v>
          </cell>
          <cell r="N62">
            <v>0</v>
          </cell>
          <cell r="O62">
            <v>1</v>
          </cell>
          <cell r="P62">
            <v>2</v>
          </cell>
          <cell r="Q62">
            <v>0</v>
          </cell>
          <cell r="R62">
            <v>0</v>
          </cell>
          <cell r="S62">
            <v>-1</v>
          </cell>
          <cell r="T62">
            <v>3</v>
          </cell>
        </row>
        <row r="63">
          <cell r="A63" t="str">
            <v>WJMPTM05075</v>
          </cell>
          <cell r="B63" t="str">
            <v>WJMPTM050</v>
          </cell>
          <cell r="C63" t="str">
            <v>75</v>
          </cell>
          <cell r="D63">
            <v>8</v>
          </cell>
          <cell r="E63">
            <v>8</v>
          </cell>
          <cell r="F63">
            <v>7</v>
          </cell>
          <cell r="G63">
            <v>6</v>
          </cell>
          <cell r="H63">
            <v>10</v>
          </cell>
          <cell r="I63">
            <v>8</v>
          </cell>
          <cell r="J63">
            <v>8</v>
          </cell>
          <cell r="K63">
            <v>6</v>
          </cell>
          <cell r="L63">
            <v>5</v>
          </cell>
          <cell r="M63">
            <v>0</v>
          </cell>
          <cell r="N63">
            <v>2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WJMJKM15024</v>
          </cell>
          <cell r="B64" t="str">
            <v>WJMJKM150</v>
          </cell>
          <cell r="C64" t="str">
            <v>24</v>
          </cell>
          <cell r="D64">
            <v>13</v>
          </cell>
          <cell r="E64">
            <v>11</v>
          </cell>
          <cell r="F64">
            <v>12</v>
          </cell>
          <cell r="G64">
            <v>20</v>
          </cell>
          <cell r="H64">
            <v>15</v>
          </cell>
          <cell r="I64">
            <v>7</v>
          </cell>
          <cell r="J64">
            <v>2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WJMPTS09007</v>
          </cell>
          <cell r="B65" t="str">
            <v>WJMPTS090</v>
          </cell>
          <cell r="C65" t="str">
            <v>07</v>
          </cell>
          <cell r="D65">
            <v>19</v>
          </cell>
          <cell r="E65">
            <v>62</v>
          </cell>
          <cell r="F65">
            <v>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A66" t="str">
            <v>WJMPTM04014</v>
          </cell>
          <cell r="B66" t="str">
            <v>WJMPTM040</v>
          </cell>
          <cell r="C66" t="str">
            <v>14</v>
          </cell>
          <cell r="D66">
            <v>12</v>
          </cell>
          <cell r="E66">
            <v>23</v>
          </cell>
          <cell r="F66">
            <v>17</v>
          </cell>
          <cell r="G66">
            <v>17</v>
          </cell>
          <cell r="H66">
            <v>14</v>
          </cell>
          <cell r="I66">
            <v>16</v>
          </cell>
          <cell r="J66">
            <v>8</v>
          </cell>
          <cell r="K66">
            <v>14</v>
          </cell>
          <cell r="L66">
            <v>4</v>
          </cell>
          <cell r="M66">
            <v>6</v>
          </cell>
          <cell r="N66">
            <v>6</v>
          </cell>
          <cell r="O66">
            <v>1</v>
          </cell>
          <cell r="P66">
            <v>3</v>
          </cell>
          <cell r="Q66">
            <v>1</v>
          </cell>
          <cell r="R66">
            <v>1</v>
          </cell>
          <cell r="S66">
            <v>0</v>
          </cell>
          <cell r="T66">
            <v>4</v>
          </cell>
        </row>
        <row r="67">
          <cell r="A67" t="str">
            <v>WJMJKM16034</v>
          </cell>
          <cell r="B67" t="str">
            <v>WJMJKM160</v>
          </cell>
          <cell r="C67" t="str">
            <v>34</v>
          </cell>
          <cell r="D67">
            <v>1</v>
          </cell>
          <cell r="E67">
            <v>4</v>
          </cell>
          <cell r="F67">
            <v>1</v>
          </cell>
          <cell r="G67">
            <v>1</v>
          </cell>
          <cell r="H67">
            <v>0</v>
          </cell>
          <cell r="I67">
            <v>7</v>
          </cell>
          <cell r="J67">
            <v>8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 t="str">
            <v>WJMJKI04001</v>
          </cell>
          <cell r="B68" t="str">
            <v>WJMJKI040</v>
          </cell>
          <cell r="C68" t="str">
            <v>01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 t="str">
            <v>WJMJKI01076</v>
          </cell>
          <cell r="B69" t="str">
            <v>WJMJKI010</v>
          </cell>
          <cell r="C69" t="str">
            <v>76</v>
          </cell>
          <cell r="D69">
            <v>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2</v>
          </cell>
          <cell r="L69">
            <v>0</v>
          </cell>
          <cell r="M69">
            <v>0</v>
          </cell>
          <cell r="N69">
            <v>0</v>
          </cell>
          <cell r="O69">
            <v>1</v>
          </cell>
          <cell r="P69">
            <v>4</v>
          </cell>
          <cell r="Q69">
            <v>0</v>
          </cell>
          <cell r="R69">
            <v>0</v>
          </cell>
          <cell r="S69">
            <v>2</v>
          </cell>
          <cell r="T69">
            <v>4</v>
          </cell>
        </row>
        <row r="70">
          <cell r="A70" t="str">
            <v>WJMJKM16134</v>
          </cell>
          <cell r="B70" t="str">
            <v>WJMJKM161</v>
          </cell>
          <cell r="C70" t="str">
            <v>34</v>
          </cell>
          <cell r="D70">
            <v>2</v>
          </cell>
          <cell r="E70">
            <v>5</v>
          </cell>
          <cell r="F70">
            <v>4</v>
          </cell>
          <cell r="G70">
            <v>3</v>
          </cell>
          <cell r="H70">
            <v>1</v>
          </cell>
          <cell r="I70">
            <v>2</v>
          </cell>
          <cell r="J70">
            <v>1</v>
          </cell>
          <cell r="K70">
            <v>3</v>
          </cell>
          <cell r="L70">
            <v>5</v>
          </cell>
          <cell r="M70">
            <v>6</v>
          </cell>
          <cell r="N70">
            <v>6</v>
          </cell>
          <cell r="O70">
            <v>2</v>
          </cell>
          <cell r="P70">
            <v>4</v>
          </cell>
          <cell r="Q70">
            <v>3</v>
          </cell>
          <cell r="R70">
            <v>1</v>
          </cell>
          <cell r="S70">
            <v>0</v>
          </cell>
          <cell r="T70">
            <v>0</v>
          </cell>
        </row>
        <row r="71">
          <cell r="A71" t="str">
            <v>WJMJKM17073</v>
          </cell>
          <cell r="B71" t="str">
            <v>WJMJKM170</v>
          </cell>
          <cell r="C71" t="str">
            <v>73</v>
          </cell>
          <cell r="D71">
            <v>1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</v>
          </cell>
          <cell r="M71">
            <v>0</v>
          </cell>
          <cell r="N71">
            <v>1</v>
          </cell>
          <cell r="O71">
            <v>2</v>
          </cell>
          <cell r="P71">
            <v>2</v>
          </cell>
          <cell r="Q71">
            <v>2</v>
          </cell>
          <cell r="R71">
            <v>3</v>
          </cell>
          <cell r="S71">
            <v>1</v>
          </cell>
          <cell r="T71">
            <v>4</v>
          </cell>
        </row>
        <row r="72">
          <cell r="A72" t="str">
            <v>WJMJKM21027</v>
          </cell>
          <cell r="B72" t="str">
            <v>WJMJKM210</v>
          </cell>
          <cell r="C72" t="str">
            <v>27</v>
          </cell>
          <cell r="D72">
            <v>0</v>
          </cell>
          <cell r="E72">
            <v>0</v>
          </cell>
          <cell r="F72">
            <v>0</v>
          </cell>
          <cell r="G72">
            <v>1</v>
          </cell>
          <cell r="H72">
            <v>2</v>
          </cell>
          <cell r="I72">
            <v>0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 t="str">
            <v>WJMJKM21072</v>
          </cell>
          <cell r="B73" t="str">
            <v>WJMJKM210</v>
          </cell>
          <cell r="C73" t="str">
            <v>72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A74" t="str">
            <v>WJMJKM22008</v>
          </cell>
          <cell r="B74" t="str">
            <v>WJMJKM220</v>
          </cell>
          <cell r="C74" t="str">
            <v>08</v>
          </cell>
          <cell r="D74">
            <v>3</v>
          </cell>
          <cell r="E74">
            <v>2</v>
          </cell>
          <cell r="F74">
            <v>0</v>
          </cell>
          <cell r="G74">
            <v>1</v>
          </cell>
          <cell r="H74">
            <v>2</v>
          </cell>
          <cell r="I74">
            <v>1</v>
          </cell>
          <cell r="J74">
            <v>3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1</v>
          </cell>
          <cell r="S74">
            <v>0</v>
          </cell>
          <cell r="T74">
            <v>1</v>
          </cell>
        </row>
        <row r="75">
          <cell r="A75" t="str">
            <v>WJMJKI01074</v>
          </cell>
          <cell r="B75" t="str">
            <v>WJMJKI010</v>
          </cell>
          <cell r="C75" t="str">
            <v>74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</v>
          </cell>
          <cell r="Q75">
            <v>0</v>
          </cell>
          <cell r="R75">
            <v>-1</v>
          </cell>
          <cell r="S75">
            <v>1</v>
          </cell>
          <cell r="T75">
            <v>3</v>
          </cell>
        </row>
        <row r="76">
          <cell r="A76" t="str">
            <v>WJMJKM24016</v>
          </cell>
          <cell r="B76" t="str">
            <v>WJMJKM240</v>
          </cell>
          <cell r="C76" t="str">
            <v>16</v>
          </cell>
          <cell r="D76">
            <v>0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2</v>
          </cell>
          <cell r="L76">
            <v>1</v>
          </cell>
          <cell r="M76">
            <v>1</v>
          </cell>
          <cell r="N76">
            <v>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 t="str">
            <v>WJMJKM24072</v>
          </cell>
          <cell r="B77" t="str">
            <v>WJMJKM240</v>
          </cell>
          <cell r="C77" t="str">
            <v>72</v>
          </cell>
          <cell r="D77">
            <v>0</v>
          </cell>
          <cell r="E77">
            <v>0</v>
          </cell>
          <cell r="F77">
            <v>1</v>
          </cell>
          <cell r="G77">
            <v>0</v>
          </cell>
          <cell r="H77">
            <v>0</v>
          </cell>
          <cell r="I77">
            <v>1</v>
          </cell>
          <cell r="J77">
            <v>1</v>
          </cell>
          <cell r="K77">
            <v>2</v>
          </cell>
          <cell r="L77">
            <v>3</v>
          </cell>
          <cell r="M77">
            <v>2</v>
          </cell>
          <cell r="N77">
            <v>0</v>
          </cell>
          <cell r="O77">
            <v>0</v>
          </cell>
          <cell r="P77">
            <v>1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 t="str">
            <v>WJMJKM25024</v>
          </cell>
          <cell r="B78" t="str">
            <v>WJMJKM250</v>
          </cell>
          <cell r="C78" t="str">
            <v>24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-1</v>
          </cell>
          <cell r="L78">
            <v>1</v>
          </cell>
          <cell r="M78">
            <v>-1</v>
          </cell>
          <cell r="N78">
            <v>1</v>
          </cell>
          <cell r="O78">
            <v>0</v>
          </cell>
          <cell r="P78">
            <v>2</v>
          </cell>
          <cell r="Q78">
            <v>2</v>
          </cell>
          <cell r="R78">
            <v>1</v>
          </cell>
          <cell r="S78">
            <v>0</v>
          </cell>
          <cell r="T78">
            <v>4</v>
          </cell>
        </row>
        <row r="79">
          <cell r="A79" t="str">
            <v>WJMJKM25025</v>
          </cell>
          <cell r="B79" t="str">
            <v>WJMJKM250</v>
          </cell>
          <cell r="C79" t="str">
            <v>25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0</v>
          </cell>
          <cell r="P79">
            <v>2</v>
          </cell>
          <cell r="Q79">
            <v>1</v>
          </cell>
          <cell r="R79">
            <v>2</v>
          </cell>
          <cell r="S79">
            <v>0</v>
          </cell>
          <cell r="T79">
            <v>3</v>
          </cell>
        </row>
        <row r="80">
          <cell r="A80" t="str">
            <v>WJMJKM26014</v>
          </cell>
          <cell r="B80" t="str">
            <v>WJMJKM260</v>
          </cell>
          <cell r="C80" t="str">
            <v>14</v>
          </cell>
          <cell r="D80">
            <v>1</v>
          </cell>
          <cell r="E80">
            <v>3</v>
          </cell>
          <cell r="F80">
            <v>4</v>
          </cell>
          <cell r="G80">
            <v>1</v>
          </cell>
          <cell r="H80">
            <v>2</v>
          </cell>
          <cell r="I80">
            <v>2</v>
          </cell>
          <cell r="J80">
            <v>0</v>
          </cell>
          <cell r="K80">
            <v>1</v>
          </cell>
          <cell r="L80">
            <v>1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 t="str">
            <v>WJMJKM26074</v>
          </cell>
          <cell r="B81" t="str">
            <v>WJMJKM260</v>
          </cell>
          <cell r="C81" t="str">
            <v>74</v>
          </cell>
          <cell r="D81">
            <v>2</v>
          </cell>
          <cell r="E81">
            <v>0</v>
          </cell>
          <cell r="F81">
            <v>1</v>
          </cell>
          <cell r="G81">
            <v>1</v>
          </cell>
          <cell r="H81">
            <v>7</v>
          </cell>
          <cell r="I81">
            <v>3</v>
          </cell>
          <cell r="J81">
            <v>0</v>
          </cell>
          <cell r="K81">
            <v>1</v>
          </cell>
          <cell r="L81">
            <v>3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 t="str">
            <v>WJMJKM30007</v>
          </cell>
          <cell r="B82" t="str">
            <v>WJMJKM300</v>
          </cell>
          <cell r="C82" t="str">
            <v>07</v>
          </cell>
          <cell r="D82">
            <v>3</v>
          </cell>
          <cell r="E82">
            <v>0</v>
          </cell>
          <cell r="F82">
            <v>2</v>
          </cell>
          <cell r="G82">
            <v>2</v>
          </cell>
          <cell r="H82">
            <v>1</v>
          </cell>
          <cell r="I82">
            <v>0</v>
          </cell>
          <cell r="J82">
            <v>0</v>
          </cell>
          <cell r="K82">
            <v>2</v>
          </cell>
          <cell r="L82">
            <v>0</v>
          </cell>
          <cell r="M82">
            <v>2</v>
          </cell>
          <cell r="N82">
            <v>1</v>
          </cell>
          <cell r="O82">
            <v>3</v>
          </cell>
          <cell r="P82">
            <v>2</v>
          </cell>
          <cell r="Q82">
            <v>1</v>
          </cell>
          <cell r="R82">
            <v>0</v>
          </cell>
          <cell r="S82">
            <v>1</v>
          </cell>
          <cell r="T82">
            <v>1</v>
          </cell>
        </row>
        <row r="83">
          <cell r="A83" t="str">
            <v>WJMJKM30073</v>
          </cell>
          <cell r="B83" t="str">
            <v>WJMJKM300</v>
          </cell>
          <cell r="C83" t="str">
            <v>73</v>
          </cell>
          <cell r="D83">
            <v>0</v>
          </cell>
          <cell r="E83">
            <v>2</v>
          </cell>
          <cell r="F83">
            <v>0</v>
          </cell>
          <cell r="G83">
            <v>1</v>
          </cell>
          <cell r="H83">
            <v>1</v>
          </cell>
          <cell r="I83">
            <v>0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>WJMGLM13073</v>
          </cell>
          <cell r="B84" t="str">
            <v>WJMGLM130</v>
          </cell>
          <cell r="C84" t="str">
            <v>73</v>
          </cell>
          <cell r="D84">
            <v>4</v>
          </cell>
          <cell r="E84">
            <v>11</v>
          </cell>
          <cell r="F84">
            <v>2</v>
          </cell>
          <cell r="G84">
            <v>3</v>
          </cell>
          <cell r="H84">
            <v>5</v>
          </cell>
          <cell r="I84">
            <v>1</v>
          </cell>
          <cell r="J84">
            <v>4</v>
          </cell>
          <cell r="K84">
            <v>2</v>
          </cell>
          <cell r="L84">
            <v>1</v>
          </cell>
          <cell r="M84">
            <v>3</v>
          </cell>
          <cell r="N84">
            <v>1</v>
          </cell>
          <cell r="O84">
            <v>2</v>
          </cell>
          <cell r="P84">
            <v>0</v>
          </cell>
          <cell r="Q84">
            <v>2</v>
          </cell>
          <cell r="R84">
            <v>3</v>
          </cell>
          <cell r="S84">
            <v>1</v>
          </cell>
          <cell r="T84">
            <v>0</v>
          </cell>
        </row>
        <row r="85">
          <cell r="A85" t="str">
            <v>WJMJKM40025</v>
          </cell>
          <cell r="B85" t="str">
            <v>WJMJKM400</v>
          </cell>
          <cell r="C85" t="str">
            <v>25</v>
          </cell>
          <cell r="D85">
            <v>9</v>
          </cell>
          <cell r="E85">
            <v>8</v>
          </cell>
          <cell r="F85">
            <v>7</v>
          </cell>
          <cell r="G85">
            <v>10</v>
          </cell>
          <cell r="H85">
            <v>6</v>
          </cell>
          <cell r="I85">
            <v>12</v>
          </cell>
          <cell r="J85">
            <v>27</v>
          </cell>
          <cell r="K85">
            <v>7</v>
          </cell>
          <cell r="L85">
            <v>3</v>
          </cell>
          <cell r="M85">
            <v>4</v>
          </cell>
          <cell r="N85">
            <v>1</v>
          </cell>
          <cell r="O85">
            <v>2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A86" t="str">
            <v>WJMJKM11053</v>
          </cell>
          <cell r="B86" t="str">
            <v>WJMJKM110</v>
          </cell>
          <cell r="C86" t="str">
            <v>53</v>
          </cell>
          <cell r="D86">
            <v>0</v>
          </cell>
          <cell r="E86">
            <v>2</v>
          </cell>
          <cell r="F86">
            <v>2</v>
          </cell>
          <cell r="G86">
            <v>2</v>
          </cell>
          <cell r="H86">
            <v>4</v>
          </cell>
          <cell r="I86">
            <v>1</v>
          </cell>
          <cell r="J86">
            <v>2</v>
          </cell>
          <cell r="K86">
            <v>4</v>
          </cell>
          <cell r="L86">
            <v>0</v>
          </cell>
          <cell r="M86">
            <v>2</v>
          </cell>
          <cell r="N86">
            <v>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A87" t="str">
            <v>WJMJKM41007</v>
          </cell>
          <cell r="B87" t="str">
            <v>WJMJKM410</v>
          </cell>
          <cell r="C87" t="str">
            <v>07</v>
          </cell>
          <cell r="D87">
            <v>3</v>
          </cell>
          <cell r="E87">
            <v>19</v>
          </cell>
          <cell r="F87">
            <v>7</v>
          </cell>
          <cell r="G87">
            <v>9</v>
          </cell>
          <cell r="H87">
            <v>8</v>
          </cell>
          <cell r="I87">
            <v>3</v>
          </cell>
          <cell r="J87">
            <v>9</v>
          </cell>
          <cell r="K87">
            <v>9</v>
          </cell>
          <cell r="L87">
            <v>12</v>
          </cell>
          <cell r="M87">
            <v>4</v>
          </cell>
          <cell r="N87">
            <v>8</v>
          </cell>
          <cell r="O87">
            <v>5</v>
          </cell>
          <cell r="P87">
            <v>7</v>
          </cell>
          <cell r="Q87">
            <v>4</v>
          </cell>
          <cell r="R87">
            <v>4</v>
          </cell>
          <cell r="S87">
            <v>1</v>
          </cell>
          <cell r="T87">
            <v>5</v>
          </cell>
        </row>
        <row r="88">
          <cell r="A88" t="str">
            <v>WJMJKM42015</v>
          </cell>
          <cell r="B88" t="str">
            <v>WJMJKM420</v>
          </cell>
          <cell r="C88" t="str">
            <v>15</v>
          </cell>
          <cell r="D88">
            <v>0</v>
          </cell>
          <cell r="E88">
            <v>1</v>
          </cell>
          <cell r="F88">
            <v>4</v>
          </cell>
          <cell r="G88">
            <v>6</v>
          </cell>
          <cell r="H88">
            <v>1</v>
          </cell>
          <cell r="I88">
            <v>0</v>
          </cell>
          <cell r="J88">
            <v>4</v>
          </cell>
          <cell r="K88">
            <v>10</v>
          </cell>
          <cell r="L88">
            <v>0</v>
          </cell>
          <cell r="M88">
            <v>7</v>
          </cell>
          <cell r="N88">
            <v>1</v>
          </cell>
          <cell r="O88">
            <v>1</v>
          </cell>
          <cell r="P88">
            <v>7</v>
          </cell>
          <cell r="Q88">
            <v>3</v>
          </cell>
          <cell r="R88">
            <v>1</v>
          </cell>
          <cell r="S88">
            <v>0</v>
          </cell>
          <cell r="T88">
            <v>0</v>
          </cell>
        </row>
        <row r="89">
          <cell r="A89" t="str">
            <v>WJMJKM42024</v>
          </cell>
          <cell r="B89" t="str">
            <v>WJMJKM420</v>
          </cell>
          <cell r="C89" t="str">
            <v>24</v>
          </cell>
          <cell r="D89">
            <v>2</v>
          </cell>
          <cell r="E89">
            <v>2</v>
          </cell>
          <cell r="F89">
            <v>1</v>
          </cell>
          <cell r="G89">
            <v>2</v>
          </cell>
          <cell r="H89">
            <v>0</v>
          </cell>
          <cell r="I89">
            <v>2</v>
          </cell>
          <cell r="J89">
            <v>4</v>
          </cell>
          <cell r="K89">
            <v>1</v>
          </cell>
          <cell r="L89">
            <v>4</v>
          </cell>
          <cell r="M89">
            <v>7</v>
          </cell>
          <cell r="N89">
            <v>6</v>
          </cell>
          <cell r="O89">
            <v>2</v>
          </cell>
          <cell r="P89">
            <v>8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</row>
        <row r="90">
          <cell r="A90" t="str">
            <v>WJMGLM13024</v>
          </cell>
          <cell r="B90" t="str">
            <v>WJMGLM130</v>
          </cell>
          <cell r="C90" t="str">
            <v>24</v>
          </cell>
          <cell r="D90">
            <v>5</v>
          </cell>
          <cell r="E90">
            <v>8</v>
          </cell>
          <cell r="F90">
            <v>1</v>
          </cell>
          <cell r="G90">
            <v>1</v>
          </cell>
          <cell r="H90">
            <v>5</v>
          </cell>
          <cell r="I90">
            <v>4</v>
          </cell>
          <cell r="J90">
            <v>2</v>
          </cell>
          <cell r="K90">
            <v>2</v>
          </cell>
          <cell r="L90">
            <v>2</v>
          </cell>
          <cell r="M90">
            <v>3</v>
          </cell>
          <cell r="N90">
            <v>4</v>
          </cell>
          <cell r="O90">
            <v>0</v>
          </cell>
          <cell r="P90">
            <v>1</v>
          </cell>
          <cell r="Q90">
            <v>0</v>
          </cell>
          <cell r="R90">
            <v>3</v>
          </cell>
          <cell r="S90">
            <v>0</v>
          </cell>
          <cell r="T90">
            <v>0</v>
          </cell>
        </row>
        <row r="91">
          <cell r="A91" t="str">
            <v>WJMJKM43025</v>
          </cell>
          <cell r="B91" t="str">
            <v>WJMJKM430</v>
          </cell>
          <cell r="C91" t="str">
            <v>25</v>
          </cell>
          <cell r="D91">
            <v>1</v>
          </cell>
          <cell r="E91">
            <v>3</v>
          </cell>
          <cell r="F91">
            <v>1</v>
          </cell>
          <cell r="G91">
            <v>0</v>
          </cell>
          <cell r="H91">
            <v>5</v>
          </cell>
          <cell r="I91">
            <v>3</v>
          </cell>
          <cell r="J91">
            <v>2</v>
          </cell>
          <cell r="K91">
            <v>3</v>
          </cell>
          <cell r="L91">
            <v>1</v>
          </cell>
          <cell r="M91">
            <v>4</v>
          </cell>
          <cell r="N91">
            <v>5</v>
          </cell>
          <cell r="O91">
            <v>4</v>
          </cell>
          <cell r="P91">
            <v>4</v>
          </cell>
          <cell r="Q91">
            <v>3</v>
          </cell>
          <cell r="R91">
            <v>2</v>
          </cell>
          <cell r="S91">
            <v>0</v>
          </cell>
          <cell r="T91">
            <v>0</v>
          </cell>
        </row>
        <row r="92">
          <cell r="A92" t="str">
            <v>WJMPTI02007</v>
          </cell>
          <cell r="B92" t="str">
            <v>WJMPTI020</v>
          </cell>
          <cell r="C92" t="str">
            <v>07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</v>
          </cell>
          <cell r="S92">
            <v>0</v>
          </cell>
          <cell r="T92">
            <v>0</v>
          </cell>
        </row>
        <row r="93">
          <cell r="A93" t="str">
            <v>WJMPTI07007</v>
          </cell>
          <cell r="B93" t="str">
            <v>WJMPTI070</v>
          </cell>
          <cell r="C93" t="str">
            <v>07</v>
          </cell>
          <cell r="D93">
            <v>1</v>
          </cell>
          <cell r="E93">
            <v>3</v>
          </cell>
          <cell r="F93">
            <v>2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A94" t="str">
            <v>WJMPTI07026</v>
          </cell>
          <cell r="B94" t="str">
            <v>WJMPTI070</v>
          </cell>
          <cell r="C94" t="str">
            <v>26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 t="str">
            <v>WJMPTI08042</v>
          </cell>
          <cell r="B95" t="str">
            <v>WJMPTI080</v>
          </cell>
          <cell r="C95" t="str">
            <v>42</v>
          </cell>
          <cell r="D95">
            <v>0</v>
          </cell>
          <cell r="E95">
            <v>0</v>
          </cell>
          <cell r="F95">
            <v>3</v>
          </cell>
          <cell r="G95">
            <v>1</v>
          </cell>
          <cell r="H95">
            <v>1</v>
          </cell>
          <cell r="I95">
            <v>0</v>
          </cell>
          <cell r="J95">
            <v>0</v>
          </cell>
          <cell r="K95">
            <v>1</v>
          </cell>
          <cell r="L95">
            <v>1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 t="str">
            <v>WJMPTI08073</v>
          </cell>
          <cell r="B96" t="str">
            <v>WJMPTI080</v>
          </cell>
          <cell r="C96" t="str">
            <v>73</v>
          </cell>
          <cell r="D96">
            <v>1</v>
          </cell>
          <cell r="E96">
            <v>0</v>
          </cell>
          <cell r="F96">
            <v>1</v>
          </cell>
          <cell r="G96">
            <v>0</v>
          </cell>
          <cell r="H96">
            <v>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 t="str">
            <v>WJMPTI09016</v>
          </cell>
          <cell r="B97" t="str">
            <v>WJMPTI090</v>
          </cell>
          <cell r="C97" t="str">
            <v>16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 t="str">
            <v>WJMPTI09064</v>
          </cell>
          <cell r="B98" t="str">
            <v>WJMPTI090</v>
          </cell>
          <cell r="C98" t="str">
            <v>64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 t="str">
            <v>WJMGLM12073</v>
          </cell>
          <cell r="B99" t="str">
            <v>WJMGLM120</v>
          </cell>
          <cell r="C99" t="str">
            <v>73</v>
          </cell>
          <cell r="D99">
            <v>5</v>
          </cell>
          <cell r="E99">
            <v>5</v>
          </cell>
          <cell r="F99">
            <v>4</v>
          </cell>
          <cell r="G99">
            <v>2</v>
          </cell>
          <cell r="H99">
            <v>1</v>
          </cell>
          <cell r="I99">
            <v>5</v>
          </cell>
          <cell r="J99">
            <v>5</v>
          </cell>
          <cell r="K99">
            <v>4</v>
          </cell>
          <cell r="L99">
            <v>2</v>
          </cell>
          <cell r="M99">
            <v>1</v>
          </cell>
          <cell r="N99">
            <v>0</v>
          </cell>
          <cell r="O99">
            <v>0</v>
          </cell>
          <cell r="P99">
            <v>3</v>
          </cell>
          <cell r="Q99">
            <v>0</v>
          </cell>
          <cell r="R99">
            <v>0</v>
          </cell>
          <cell r="S99">
            <v>0</v>
          </cell>
          <cell r="T99">
            <v>1</v>
          </cell>
        </row>
        <row r="100">
          <cell r="A100" t="str">
            <v>WJMPTM01014</v>
          </cell>
          <cell r="B100" t="str">
            <v>WJMPTM010</v>
          </cell>
          <cell r="C100" t="str">
            <v>14</v>
          </cell>
          <cell r="D100">
            <v>1</v>
          </cell>
          <cell r="E100">
            <v>0</v>
          </cell>
          <cell r="F100">
            <v>1</v>
          </cell>
          <cell r="G100">
            <v>1</v>
          </cell>
          <cell r="H100">
            <v>2</v>
          </cell>
          <cell r="I100">
            <v>1</v>
          </cell>
          <cell r="J100">
            <v>0</v>
          </cell>
          <cell r="K100">
            <v>0</v>
          </cell>
          <cell r="L100">
            <v>1</v>
          </cell>
          <cell r="M100">
            <v>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0</v>
          </cell>
        </row>
        <row r="101">
          <cell r="A101" t="str">
            <v>WJMJKM16008</v>
          </cell>
          <cell r="B101" t="str">
            <v>WJMJKM160</v>
          </cell>
          <cell r="C101" t="str">
            <v>08</v>
          </cell>
          <cell r="D101">
            <v>0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 t="str">
            <v>WJMJKM11034</v>
          </cell>
          <cell r="B102" t="str">
            <v>WJMJKM110</v>
          </cell>
          <cell r="C102" t="str">
            <v>34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 t="str">
            <v>WJMPTM02046</v>
          </cell>
          <cell r="B103" t="str">
            <v>WJMPTM020</v>
          </cell>
          <cell r="C103" t="str">
            <v>46</v>
          </cell>
          <cell r="D103">
            <v>3</v>
          </cell>
          <cell r="E103">
            <v>2</v>
          </cell>
          <cell r="F103">
            <v>0</v>
          </cell>
          <cell r="G103">
            <v>2</v>
          </cell>
          <cell r="H103">
            <v>4</v>
          </cell>
          <cell r="I103">
            <v>5</v>
          </cell>
          <cell r="J103">
            <v>2</v>
          </cell>
          <cell r="K103">
            <v>7</v>
          </cell>
          <cell r="L103">
            <v>3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 t="str">
            <v>WJMJKM10076</v>
          </cell>
          <cell r="B104" t="str">
            <v>WJMJKM100</v>
          </cell>
          <cell r="C104" t="str">
            <v>76</v>
          </cell>
          <cell r="D104">
            <v>2</v>
          </cell>
          <cell r="E104">
            <v>1</v>
          </cell>
          <cell r="F104">
            <v>1</v>
          </cell>
          <cell r="G104">
            <v>1</v>
          </cell>
          <cell r="H104">
            <v>4</v>
          </cell>
          <cell r="I104">
            <v>7</v>
          </cell>
          <cell r="J104">
            <v>7</v>
          </cell>
          <cell r="K104">
            <v>0</v>
          </cell>
          <cell r="L104">
            <v>3</v>
          </cell>
          <cell r="M104">
            <v>0</v>
          </cell>
          <cell r="N104">
            <v>2</v>
          </cell>
          <cell r="O104">
            <v>2</v>
          </cell>
          <cell r="P104">
            <v>1</v>
          </cell>
          <cell r="Q104">
            <v>0</v>
          </cell>
          <cell r="R104">
            <v>-1</v>
          </cell>
          <cell r="S104">
            <v>1</v>
          </cell>
          <cell r="T104">
            <v>2</v>
          </cell>
        </row>
        <row r="105">
          <cell r="A105" t="str">
            <v>WJMPTM03046</v>
          </cell>
          <cell r="B105" t="str">
            <v>WJMPTM030</v>
          </cell>
          <cell r="C105" t="str">
            <v>46</v>
          </cell>
          <cell r="D105">
            <v>4</v>
          </cell>
          <cell r="E105">
            <v>12</v>
          </cell>
          <cell r="F105">
            <v>9</v>
          </cell>
          <cell r="G105">
            <v>11</v>
          </cell>
          <cell r="H105">
            <v>13</v>
          </cell>
          <cell r="I105">
            <v>5</v>
          </cell>
          <cell r="J105">
            <v>9</v>
          </cell>
          <cell r="K105">
            <v>9</v>
          </cell>
          <cell r="L105">
            <v>7</v>
          </cell>
          <cell r="M105">
            <v>4</v>
          </cell>
          <cell r="N105">
            <v>11</v>
          </cell>
          <cell r="O105">
            <v>5</v>
          </cell>
          <cell r="P105">
            <v>3</v>
          </cell>
          <cell r="Q105">
            <v>5</v>
          </cell>
          <cell r="R105">
            <v>4</v>
          </cell>
          <cell r="S105">
            <v>2</v>
          </cell>
          <cell r="T105">
            <v>0</v>
          </cell>
        </row>
        <row r="106">
          <cell r="A106" t="str">
            <v>WJMJKI04073</v>
          </cell>
          <cell r="B106" t="str">
            <v>WJMJKI040</v>
          </cell>
          <cell r="C106" t="str">
            <v>73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-1</v>
          </cell>
          <cell r="M106">
            <v>1</v>
          </cell>
          <cell r="N106">
            <v>2</v>
          </cell>
          <cell r="O106">
            <v>2</v>
          </cell>
          <cell r="P106">
            <v>1</v>
          </cell>
          <cell r="Q106">
            <v>1</v>
          </cell>
          <cell r="R106">
            <v>4</v>
          </cell>
          <cell r="S106">
            <v>1</v>
          </cell>
          <cell r="T106">
            <v>0</v>
          </cell>
        </row>
        <row r="107">
          <cell r="A107" t="str">
            <v>WJMJKM16024</v>
          </cell>
          <cell r="B107" t="str">
            <v>WJMJKM160</v>
          </cell>
          <cell r="C107" t="str">
            <v>24</v>
          </cell>
          <cell r="D107">
            <v>1</v>
          </cell>
          <cell r="E107">
            <v>0</v>
          </cell>
          <cell r="F107">
            <v>2</v>
          </cell>
          <cell r="G107">
            <v>0</v>
          </cell>
          <cell r="H107">
            <v>0</v>
          </cell>
          <cell r="I107">
            <v>0</v>
          </cell>
          <cell r="J107">
            <v>2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 t="str">
            <v>WJMPTM05007</v>
          </cell>
          <cell r="B108" t="str">
            <v>WJMPTM050</v>
          </cell>
          <cell r="C108" t="str">
            <v>07</v>
          </cell>
          <cell r="D108">
            <v>9</v>
          </cell>
          <cell r="E108">
            <v>12</v>
          </cell>
          <cell r="F108">
            <v>5</v>
          </cell>
          <cell r="G108">
            <v>7</v>
          </cell>
          <cell r="H108">
            <v>5</v>
          </cell>
          <cell r="I108">
            <v>3</v>
          </cell>
          <cell r="J108">
            <v>4</v>
          </cell>
          <cell r="K108">
            <v>2</v>
          </cell>
          <cell r="L108">
            <v>4</v>
          </cell>
          <cell r="M108">
            <v>0</v>
          </cell>
          <cell r="N108">
            <v>1</v>
          </cell>
          <cell r="O108">
            <v>1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 t="str">
            <v>WJMJKI04027</v>
          </cell>
          <cell r="B109" t="str">
            <v>WJMJKI040</v>
          </cell>
          <cell r="C109" t="str">
            <v>27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1</v>
          </cell>
        </row>
        <row r="110">
          <cell r="A110" t="str">
            <v>WJMGLM12054</v>
          </cell>
          <cell r="B110" t="str">
            <v>WJMGLM120</v>
          </cell>
          <cell r="C110" t="str">
            <v>54</v>
          </cell>
          <cell r="D110">
            <v>0</v>
          </cell>
          <cell r="E110">
            <v>5</v>
          </cell>
          <cell r="F110">
            <v>2</v>
          </cell>
          <cell r="G110">
            <v>4</v>
          </cell>
          <cell r="H110">
            <v>0</v>
          </cell>
          <cell r="I110">
            <v>5</v>
          </cell>
          <cell r="J110">
            <v>4</v>
          </cell>
          <cell r="K110">
            <v>1</v>
          </cell>
          <cell r="L110">
            <v>3</v>
          </cell>
          <cell r="M110">
            <v>2</v>
          </cell>
          <cell r="N110">
            <v>4</v>
          </cell>
          <cell r="O110">
            <v>3</v>
          </cell>
          <cell r="P110">
            <v>2</v>
          </cell>
          <cell r="Q110">
            <v>1</v>
          </cell>
          <cell r="R110">
            <v>1</v>
          </cell>
          <cell r="S110">
            <v>0</v>
          </cell>
          <cell r="T110">
            <v>2</v>
          </cell>
        </row>
        <row r="111">
          <cell r="A111" t="str">
            <v>WJMPTM06046</v>
          </cell>
          <cell r="B111" t="str">
            <v>WJMPTM060</v>
          </cell>
          <cell r="C111" t="str">
            <v>46</v>
          </cell>
          <cell r="D111">
            <v>3</v>
          </cell>
          <cell r="E111">
            <v>2</v>
          </cell>
          <cell r="F111">
            <v>4</v>
          </cell>
          <cell r="G111">
            <v>2</v>
          </cell>
          <cell r="H111">
            <v>1</v>
          </cell>
          <cell r="I111">
            <v>2</v>
          </cell>
          <cell r="J111">
            <v>1</v>
          </cell>
          <cell r="K111">
            <v>0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 t="str">
            <v>WJMJKM09053</v>
          </cell>
          <cell r="B112" t="str">
            <v>WJMJKM090</v>
          </cell>
          <cell r="C112" t="str">
            <v>53</v>
          </cell>
          <cell r="D112">
            <v>1</v>
          </cell>
          <cell r="E112">
            <v>2</v>
          </cell>
          <cell r="F112">
            <v>0</v>
          </cell>
          <cell r="G112">
            <v>4</v>
          </cell>
          <cell r="H112">
            <v>3</v>
          </cell>
          <cell r="I112">
            <v>3</v>
          </cell>
          <cell r="J112">
            <v>5</v>
          </cell>
          <cell r="K112">
            <v>8</v>
          </cell>
          <cell r="L112">
            <v>1</v>
          </cell>
          <cell r="M112">
            <v>4</v>
          </cell>
          <cell r="N112">
            <v>2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 t="str">
            <v>WJMPTM07007</v>
          </cell>
          <cell r="B113" t="str">
            <v>WJMPTM070</v>
          </cell>
          <cell r="C113" t="str">
            <v>07</v>
          </cell>
          <cell r="D113">
            <v>5</v>
          </cell>
          <cell r="E113">
            <v>7</v>
          </cell>
          <cell r="F113">
            <v>3</v>
          </cell>
          <cell r="G113">
            <v>4</v>
          </cell>
          <cell r="H113">
            <v>1</v>
          </cell>
          <cell r="I113">
            <v>3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0</v>
          </cell>
          <cell r="P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 t="str">
            <v>WJMPTM21002</v>
          </cell>
          <cell r="B114" t="str">
            <v>WJMPTM210</v>
          </cell>
          <cell r="C114" t="str">
            <v>02</v>
          </cell>
          <cell r="D114">
            <v>2</v>
          </cell>
          <cell r="E114">
            <v>0</v>
          </cell>
          <cell r="F114">
            <v>1</v>
          </cell>
          <cell r="G114">
            <v>0</v>
          </cell>
          <cell r="H114">
            <v>2</v>
          </cell>
          <cell r="I114">
            <v>1</v>
          </cell>
          <cell r="J114">
            <v>0</v>
          </cell>
          <cell r="K114">
            <v>2</v>
          </cell>
          <cell r="L114">
            <v>0</v>
          </cell>
          <cell r="M114">
            <v>0</v>
          </cell>
          <cell r="N114">
            <v>2</v>
          </cell>
          <cell r="O114">
            <v>0</v>
          </cell>
          <cell r="P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A115" t="str">
            <v>WJMPTM21046</v>
          </cell>
          <cell r="B115" t="str">
            <v>WJMPTM210</v>
          </cell>
          <cell r="C115" t="str">
            <v>46</v>
          </cell>
          <cell r="D115">
            <v>0</v>
          </cell>
          <cell r="E115">
            <v>1</v>
          </cell>
          <cell r="F115">
            <v>0</v>
          </cell>
          <cell r="G115">
            <v>0</v>
          </cell>
          <cell r="H115">
            <v>1</v>
          </cell>
          <cell r="I115">
            <v>2</v>
          </cell>
          <cell r="J115">
            <v>1</v>
          </cell>
          <cell r="K115">
            <v>0</v>
          </cell>
          <cell r="L115">
            <v>0</v>
          </cell>
          <cell r="M115">
            <v>2</v>
          </cell>
          <cell r="N115">
            <v>0</v>
          </cell>
          <cell r="O115">
            <v>2</v>
          </cell>
          <cell r="P115">
            <v>3</v>
          </cell>
          <cell r="Q115">
            <v>1</v>
          </cell>
          <cell r="R115">
            <v>0</v>
          </cell>
          <cell r="S115">
            <v>1</v>
          </cell>
          <cell r="T115">
            <v>4</v>
          </cell>
        </row>
        <row r="116">
          <cell r="A116" t="str">
            <v>WJMGLM11071</v>
          </cell>
          <cell r="B116" t="str">
            <v>WJMGLM110</v>
          </cell>
          <cell r="C116" t="str">
            <v>71</v>
          </cell>
          <cell r="D116">
            <v>1</v>
          </cell>
          <cell r="E116">
            <v>0</v>
          </cell>
          <cell r="F116">
            <v>6</v>
          </cell>
          <cell r="G116">
            <v>4</v>
          </cell>
          <cell r="H116">
            <v>0</v>
          </cell>
          <cell r="I116">
            <v>3</v>
          </cell>
          <cell r="J116">
            <v>2</v>
          </cell>
          <cell r="K116">
            <v>0</v>
          </cell>
          <cell r="L116">
            <v>0</v>
          </cell>
          <cell r="M116">
            <v>4</v>
          </cell>
          <cell r="N116">
            <v>1</v>
          </cell>
          <cell r="O116">
            <v>2</v>
          </cell>
          <cell r="P116">
            <v>2</v>
          </cell>
          <cell r="Q116">
            <v>1</v>
          </cell>
          <cell r="R116">
            <v>3</v>
          </cell>
          <cell r="S116">
            <v>0</v>
          </cell>
          <cell r="T116">
            <v>2</v>
          </cell>
        </row>
        <row r="117">
          <cell r="A117" t="str">
            <v>WJMPTM22035</v>
          </cell>
          <cell r="B117" t="str">
            <v>WJMPTM220</v>
          </cell>
          <cell r="C117" t="str">
            <v>35</v>
          </cell>
          <cell r="D117">
            <v>2</v>
          </cell>
          <cell r="E117">
            <v>1</v>
          </cell>
          <cell r="F117">
            <v>3</v>
          </cell>
          <cell r="G117">
            <v>0</v>
          </cell>
          <cell r="H117">
            <v>0</v>
          </cell>
          <cell r="I117">
            <v>2</v>
          </cell>
          <cell r="J117">
            <v>0</v>
          </cell>
          <cell r="K117">
            <v>-1</v>
          </cell>
          <cell r="L117">
            <v>3</v>
          </cell>
          <cell r="M117">
            <v>2</v>
          </cell>
          <cell r="N117">
            <v>1</v>
          </cell>
          <cell r="O117">
            <v>2</v>
          </cell>
          <cell r="P117">
            <v>3</v>
          </cell>
          <cell r="Q117">
            <v>1</v>
          </cell>
          <cell r="R117">
            <v>1</v>
          </cell>
          <cell r="S117">
            <v>0</v>
          </cell>
          <cell r="T117">
            <v>2</v>
          </cell>
        </row>
        <row r="118">
          <cell r="A118" t="str">
            <v>WJMCPS71035</v>
          </cell>
          <cell r="B118" t="str">
            <v>WJMCPS710</v>
          </cell>
          <cell r="C118" t="str">
            <v>35</v>
          </cell>
          <cell r="D118">
            <v>2</v>
          </cell>
          <cell r="E118">
            <v>3</v>
          </cell>
          <cell r="F118">
            <v>4</v>
          </cell>
          <cell r="G118">
            <v>6</v>
          </cell>
          <cell r="H118">
            <v>1</v>
          </cell>
          <cell r="I118">
            <v>10</v>
          </cell>
          <cell r="J118">
            <v>8</v>
          </cell>
          <cell r="K118">
            <v>1</v>
          </cell>
          <cell r="L118">
            <v>4</v>
          </cell>
          <cell r="M118">
            <v>2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A119" t="str">
            <v>WJMPTM23016</v>
          </cell>
          <cell r="B119" t="str">
            <v>WJMPTM230</v>
          </cell>
          <cell r="C119" t="str">
            <v>16</v>
          </cell>
          <cell r="D119">
            <v>0</v>
          </cell>
          <cell r="E119">
            <v>3</v>
          </cell>
          <cell r="F119">
            <v>2</v>
          </cell>
          <cell r="G119">
            <v>2</v>
          </cell>
          <cell r="H119">
            <v>2</v>
          </cell>
          <cell r="I119">
            <v>2</v>
          </cell>
          <cell r="J119">
            <v>1</v>
          </cell>
          <cell r="K119">
            <v>0</v>
          </cell>
          <cell r="L119">
            <v>2</v>
          </cell>
          <cell r="M119">
            <v>1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A120" t="str">
            <v>WJMPTM24015</v>
          </cell>
          <cell r="B120" t="str">
            <v>WJMPTM240</v>
          </cell>
          <cell r="C120" t="str">
            <v>15</v>
          </cell>
          <cell r="D120">
            <v>1</v>
          </cell>
          <cell r="E120">
            <v>0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0</v>
          </cell>
          <cell r="N120">
            <v>0</v>
          </cell>
          <cell r="O120">
            <v>0</v>
          </cell>
          <cell r="P120">
            <v>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A121" t="str">
            <v>WJMPTM24060</v>
          </cell>
          <cell r="B121" t="str">
            <v>WJMPTM240</v>
          </cell>
          <cell r="C121" t="str">
            <v>60</v>
          </cell>
          <cell r="D121">
            <v>1</v>
          </cell>
          <cell r="E121">
            <v>2</v>
          </cell>
          <cell r="F121">
            <v>1</v>
          </cell>
          <cell r="G121">
            <v>1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A122" t="str">
            <v>WJMPTM25027</v>
          </cell>
          <cell r="B122" t="str">
            <v>WJMPTM250</v>
          </cell>
          <cell r="C122" t="str">
            <v>27</v>
          </cell>
          <cell r="D122">
            <v>0</v>
          </cell>
          <cell r="E122">
            <v>1</v>
          </cell>
          <cell r="F122">
            <v>0</v>
          </cell>
          <cell r="G122">
            <v>0</v>
          </cell>
          <cell r="H122">
            <v>0</v>
          </cell>
          <cell r="I122">
            <v>1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A123" t="str">
            <v>WJMPTM25046</v>
          </cell>
          <cell r="B123" t="str">
            <v>WJMPTM250</v>
          </cell>
          <cell r="C123" t="str">
            <v>46</v>
          </cell>
          <cell r="D123">
            <v>0</v>
          </cell>
          <cell r="E123">
            <v>2</v>
          </cell>
          <cell r="F123">
            <v>0</v>
          </cell>
          <cell r="G123">
            <v>0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A124" t="str">
            <v>WJMPTM26003</v>
          </cell>
          <cell r="B124" t="str">
            <v>WJMPTM260</v>
          </cell>
          <cell r="C124" t="str">
            <v>03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WJMPTM26013</v>
          </cell>
          <cell r="B125" t="str">
            <v>WJMPTM260</v>
          </cell>
          <cell r="C125" t="str">
            <v>13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A126" t="str">
            <v>WJMPTM26016</v>
          </cell>
          <cell r="B126" t="str">
            <v>WJMPTM260</v>
          </cell>
          <cell r="C126" t="str">
            <v>16</v>
          </cell>
          <cell r="D126">
            <v>1</v>
          </cell>
          <cell r="E126">
            <v>0</v>
          </cell>
          <cell r="F126">
            <v>1</v>
          </cell>
          <cell r="G126">
            <v>2</v>
          </cell>
          <cell r="H126">
            <v>2</v>
          </cell>
          <cell r="I126">
            <v>4</v>
          </cell>
          <cell r="J126">
            <v>0</v>
          </cell>
          <cell r="K126">
            <v>0</v>
          </cell>
          <cell r="L126">
            <v>1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A127" t="str">
            <v>WJMPTM30007</v>
          </cell>
          <cell r="B127" t="str">
            <v>WJMPTM300</v>
          </cell>
          <cell r="C127" t="str">
            <v>07</v>
          </cell>
          <cell r="D127">
            <v>0</v>
          </cell>
          <cell r="E127">
            <v>1</v>
          </cell>
          <cell r="F127">
            <v>-1</v>
          </cell>
          <cell r="G127">
            <v>1</v>
          </cell>
          <cell r="H127">
            <v>3</v>
          </cell>
          <cell r="I127">
            <v>0</v>
          </cell>
          <cell r="J127">
            <v>0</v>
          </cell>
          <cell r="K127">
            <v>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A128" t="str">
            <v>WJMPTM31007</v>
          </cell>
          <cell r="B128" t="str">
            <v>WJMPTM310</v>
          </cell>
          <cell r="C128" t="str">
            <v>07</v>
          </cell>
          <cell r="D128">
            <v>0</v>
          </cell>
          <cell r="E128">
            <v>0</v>
          </cell>
          <cell r="F128">
            <v>1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A129" t="str">
            <v>WJMCPS43015</v>
          </cell>
          <cell r="B129" t="str">
            <v>WJMCPS430</v>
          </cell>
          <cell r="C129" t="str">
            <v>15</v>
          </cell>
          <cell r="D129">
            <v>4</v>
          </cell>
          <cell r="E129">
            <v>6</v>
          </cell>
          <cell r="F129">
            <v>4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A130" t="str">
            <v>WJMPTM51077</v>
          </cell>
          <cell r="B130" t="str">
            <v>WJMPTM510</v>
          </cell>
          <cell r="C130" t="str">
            <v>77</v>
          </cell>
          <cell r="D130">
            <v>2</v>
          </cell>
          <cell r="E130">
            <v>1</v>
          </cell>
          <cell r="F130">
            <v>2</v>
          </cell>
          <cell r="G130">
            <v>1</v>
          </cell>
          <cell r="H130">
            <v>2</v>
          </cell>
          <cell r="I130">
            <v>3</v>
          </cell>
          <cell r="J130">
            <v>2</v>
          </cell>
          <cell r="K130">
            <v>1</v>
          </cell>
          <cell r="L130">
            <v>1</v>
          </cell>
          <cell r="M130">
            <v>2</v>
          </cell>
          <cell r="N130">
            <v>0</v>
          </cell>
          <cell r="O130">
            <v>-1</v>
          </cell>
          <cell r="P130">
            <v>1</v>
          </cell>
          <cell r="Q130">
            <v>1</v>
          </cell>
          <cell r="R130">
            <v>2</v>
          </cell>
          <cell r="S130">
            <v>0</v>
          </cell>
          <cell r="T130">
            <v>2</v>
          </cell>
        </row>
        <row r="131">
          <cell r="A131" t="str">
            <v>WJMPTM52007</v>
          </cell>
          <cell r="B131" t="str">
            <v>WJMPTM520</v>
          </cell>
          <cell r="C131" t="str">
            <v>07</v>
          </cell>
          <cell r="D131">
            <v>0</v>
          </cell>
          <cell r="E131">
            <v>1</v>
          </cell>
          <cell r="F131">
            <v>3</v>
          </cell>
          <cell r="G131">
            <v>2</v>
          </cell>
          <cell r="H131">
            <v>3</v>
          </cell>
          <cell r="I131">
            <v>2</v>
          </cell>
          <cell r="J131">
            <v>-1</v>
          </cell>
          <cell r="K131">
            <v>1</v>
          </cell>
          <cell r="L131">
            <v>0</v>
          </cell>
          <cell r="M131">
            <v>0</v>
          </cell>
          <cell r="N131">
            <v>1</v>
          </cell>
          <cell r="O131">
            <v>1</v>
          </cell>
          <cell r="P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3</v>
          </cell>
        </row>
        <row r="132">
          <cell r="A132" t="str">
            <v>WJMPTM52076</v>
          </cell>
          <cell r="B132" t="str">
            <v>WJMPTM520</v>
          </cell>
          <cell r="C132" t="str">
            <v>76</v>
          </cell>
          <cell r="D132">
            <v>0</v>
          </cell>
          <cell r="E132">
            <v>0</v>
          </cell>
          <cell r="F132">
            <v>4</v>
          </cell>
          <cell r="G132">
            <v>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1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-1</v>
          </cell>
          <cell r="S132">
            <v>0</v>
          </cell>
          <cell r="T132">
            <v>2</v>
          </cell>
        </row>
        <row r="133">
          <cell r="A133" t="str">
            <v>WJMPTP71001</v>
          </cell>
          <cell r="B133" t="str">
            <v>WJMPTP710</v>
          </cell>
          <cell r="C133" t="str">
            <v>01</v>
          </cell>
          <cell r="D133">
            <v>2</v>
          </cell>
          <cell r="E133">
            <v>1</v>
          </cell>
          <cell r="F133">
            <v>2</v>
          </cell>
          <cell r="G133">
            <v>1</v>
          </cell>
          <cell r="H133">
            <v>1</v>
          </cell>
          <cell r="I133">
            <v>4</v>
          </cell>
          <cell r="J133">
            <v>0</v>
          </cell>
          <cell r="K133">
            <v>2</v>
          </cell>
          <cell r="L133">
            <v>0</v>
          </cell>
          <cell r="M133">
            <v>-1</v>
          </cell>
          <cell r="N133">
            <v>2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A134" t="str">
            <v>WJMPTP71007</v>
          </cell>
          <cell r="B134" t="str">
            <v>WJMPTP710</v>
          </cell>
          <cell r="C134" t="str">
            <v>07</v>
          </cell>
          <cell r="D134">
            <v>3</v>
          </cell>
          <cell r="E134">
            <v>5</v>
          </cell>
          <cell r="F134">
            <v>1</v>
          </cell>
          <cell r="G134">
            <v>5</v>
          </cell>
          <cell r="H134">
            <v>3</v>
          </cell>
          <cell r="I134">
            <v>12</v>
          </cell>
          <cell r="J134">
            <v>11</v>
          </cell>
          <cell r="K134">
            <v>2</v>
          </cell>
          <cell r="L134">
            <v>3</v>
          </cell>
          <cell r="M134">
            <v>0</v>
          </cell>
          <cell r="N134">
            <v>2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A135" t="str">
            <v>WJMPTP71034</v>
          </cell>
          <cell r="B135" t="str">
            <v>WJMPTP710</v>
          </cell>
          <cell r="C135" t="str">
            <v>34</v>
          </cell>
          <cell r="D135">
            <v>2</v>
          </cell>
          <cell r="E135">
            <v>0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2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1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A136" t="str">
            <v>WJMCPS42058</v>
          </cell>
          <cell r="B136" t="str">
            <v>WJMCPS420</v>
          </cell>
          <cell r="C136" t="str">
            <v>58</v>
          </cell>
          <cell r="D136">
            <v>3</v>
          </cell>
          <cell r="E136">
            <v>1</v>
          </cell>
          <cell r="F136">
            <v>5</v>
          </cell>
          <cell r="G136">
            <v>3</v>
          </cell>
          <cell r="H136">
            <v>4</v>
          </cell>
          <cell r="I136">
            <v>5</v>
          </cell>
          <cell r="J136">
            <v>1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A137" t="str">
            <v>WJMPTS08053</v>
          </cell>
          <cell r="B137" t="str">
            <v>WJMPTS080</v>
          </cell>
          <cell r="C137" t="str">
            <v>53</v>
          </cell>
          <cell r="D137">
            <v>-1</v>
          </cell>
          <cell r="E137">
            <v>0</v>
          </cell>
          <cell r="F137">
            <v>2</v>
          </cell>
          <cell r="G137">
            <v>0</v>
          </cell>
          <cell r="H137">
            <v>4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A138" t="str">
            <v>WJMPTM01024</v>
          </cell>
          <cell r="B138" t="str">
            <v>WJMPTM010</v>
          </cell>
          <cell r="C138" t="str">
            <v>24</v>
          </cell>
          <cell r="D138">
            <v>0</v>
          </cell>
          <cell r="E138">
            <v>1</v>
          </cell>
          <cell r="F138">
            <v>0</v>
          </cell>
          <cell r="G138">
            <v>1</v>
          </cell>
          <cell r="H138">
            <v>5</v>
          </cell>
          <cell r="I138">
            <v>0</v>
          </cell>
          <cell r="J138">
            <v>1</v>
          </cell>
          <cell r="K138">
            <v>1</v>
          </cell>
          <cell r="L138">
            <v>0</v>
          </cell>
          <cell r="M138">
            <v>2</v>
          </cell>
          <cell r="N138">
            <v>1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A139" t="str">
            <v>WJMPTS21008</v>
          </cell>
          <cell r="B139" t="str">
            <v>WJMPTS210</v>
          </cell>
          <cell r="C139" t="str">
            <v>08</v>
          </cell>
          <cell r="D139">
            <v>0</v>
          </cell>
          <cell r="E139">
            <v>1</v>
          </cell>
          <cell r="F139">
            <v>4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A140" t="str">
            <v>WJMPTS21014</v>
          </cell>
          <cell r="B140" t="str">
            <v>WJMPTS210</v>
          </cell>
          <cell r="C140" t="str">
            <v>14</v>
          </cell>
          <cell r="D140">
            <v>-1</v>
          </cell>
          <cell r="E140">
            <v>0</v>
          </cell>
          <cell r="F140">
            <v>1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A141" t="str">
            <v>WJMPTS22006</v>
          </cell>
          <cell r="B141" t="str">
            <v>WJMPTS220</v>
          </cell>
          <cell r="C141" t="str">
            <v>06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A142" t="str">
            <v>WJMSHM31014</v>
          </cell>
          <cell r="B142" t="str">
            <v>WJMSHM310</v>
          </cell>
          <cell r="C142" t="str">
            <v>14</v>
          </cell>
          <cell r="D142">
            <v>0</v>
          </cell>
          <cell r="E142">
            <v>2</v>
          </cell>
          <cell r="F142">
            <v>2</v>
          </cell>
          <cell r="G142">
            <v>0</v>
          </cell>
          <cell r="H142">
            <v>0</v>
          </cell>
          <cell r="I142">
            <v>1</v>
          </cell>
          <cell r="J142">
            <v>1</v>
          </cell>
          <cell r="K142">
            <v>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</v>
          </cell>
        </row>
        <row r="143">
          <cell r="A143" t="str">
            <v>WJMCPS41050</v>
          </cell>
          <cell r="B143" t="str">
            <v>WJMCPS410</v>
          </cell>
          <cell r="C143" t="str">
            <v>50</v>
          </cell>
          <cell r="D143">
            <v>1</v>
          </cell>
          <cell r="E143">
            <v>0</v>
          </cell>
          <cell r="F143">
            <v>1</v>
          </cell>
          <cell r="G143">
            <v>1</v>
          </cell>
          <cell r="H143">
            <v>2</v>
          </cell>
          <cell r="I143">
            <v>2</v>
          </cell>
          <cell r="J143">
            <v>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A144" t="str">
            <v>WJMSHM32007</v>
          </cell>
          <cell r="B144" t="str">
            <v>WJMSHM320</v>
          </cell>
          <cell r="C144" t="str">
            <v>07</v>
          </cell>
          <cell r="D144">
            <v>3</v>
          </cell>
          <cell r="E144">
            <v>2</v>
          </cell>
          <cell r="F144">
            <v>3</v>
          </cell>
          <cell r="G144">
            <v>2</v>
          </cell>
          <cell r="H144">
            <v>5</v>
          </cell>
          <cell r="I144">
            <v>2</v>
          </cell>
          <cell r="J144">
            <v>1</v>
          </cell>
          <cell r="K144">
            <v>0</v>
          </cell>
          <cell r="L144">
            <v>2</v>
          </cell>
          <cell r="M144">
            <v>0</v>
          </cell>
          <cell r="N144">
            <v>1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A145" t="str">
            <v>WJMSHM32024</v>
          </cell>
          <cell r="B145" t="str">
            <v>WJMSHM320</v>
          </cell>
          <cell r="C145" t="str">
            <v>24</v>
          </cell>
          <cell r="D145">
            <v>2</v>
          </cell>
          <cell r="E145">
            <v>0</v>
          </cell>
          <cell r="F145">
            <v>7</v>
          </cell>
          <cell r="G145">
            <v>2</v>
          </cell>
          <cell r="H145">
            <v>2</v>
          </cell>
          <cell r="I145">
            <v>0</v>
          </cell>
          <cell r="J145">
            <v>4</v>
          </cell>
          <cell r="K145">
            <v>4</v>
          </cell>
          <cell r="L145">
            <v>0</v>
          </cell>
          <cell r="M145">
            <v>1</v>
          </cell>
          <cell r="N145">
            <v>1</v>
          </cell>
          <cell r="O145">
            <v>2</v>
          </cell>
          <cell r="P145">
            <v>1</v>
          </cell>
          <cell r="Q145">
            <v>1</v>
          </cell>
          <cell r="R145">
            <v>1</v>
          </cell>
          <cell r="S145">
            <v>0</v>
          </cell>
          <cell r="T145">
            <v>0</v>
          </cell>
        </row>
        <row r="146">
          <cell r="A146" t="str">
            <v>WJMSHM32041</v>
          </cell>
          <cell r="B146" t="str">
            <v>WJMSHM320</v>
          </cell>
          <cell r="C146" t="str">
            <v>41</v>
          </cell>
          <cell r="D146">
            <v>2</v>
          </cell>
          <cell r="E146">
            <v>3</v>
          </cell>
          <cell r="F146">
            <v>1</v>
          </cell>
          <cell r="G146">
            <v>2</v>
          </cell>
          <cell r="H146">
            <v>1</v>
          </cell>
          <cell r="I146">
            <v>1</v>
          </cell>
          <cell r="J146">
            <v>2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A147" t="str">
            <v>WJMSHM33005</v>
          </cell>
          <cell r="B147" t="str">
            <v>WJMSHM330</v>
          </cell>
          <cell r="C147" t="str">
            <v>05</v>
          </cell>
          <cell r="D147">
            <v>5</v>
          </cell>
          <cell r="E147">
            <v>4</v>
          </cell>
          <cell r="F147">
            <v>4</v>
          </cell>
          <cell r="G147">
            <v>3</v>
          </cell>
          <cell r="H147">
            <v>5</v>
          </cell>
          <cell r="I147">
            <v>3</v>
          </cell>
          <cell r="J147">
            <v>0</v>
          </cell>
          <cell r="K147">
            <v>5</v>
          </cell>
          <cell r="L147">
            <v>1</v>
          </cell>
          <cell r="M147">
            <v>1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A148" t="str">
            <v>WJMSHM33025</v>
          </cell>
          <cell r="B148" t="str">
            <v>WJMSHM330</v>
          </cell>
          <cell r="C148" t="str">
            <v>25</v>
          </cell>
          <cell r="D148">
            <v>5</v>
          </cell>
          <cell r="E148">
            <v>2</v>
          </cell>
          <cell r="F148">
            <v>3</v>
          </cell>
          <cell r="G148">
            <v>1</v>
          </cell>
          <cell r="H148">
            <v>1</v>
          </cell>
          <cell r="I148">
            <v>1</v>
          </cell>
          <cell r="J148">
            <v>2</v>
          </cell>
          <cell r="K148">
            <v>0</v>
          </cell>
          <cell r="L148">
            <v>1</v>
          </cell>
          <cell r="M148">
            <v>2</v>
          </cell>
          <cell r="N148">
            <v>0</v>
          </cell>
          <cell r="O148">
            <v>-1</v>
          </cell>
          <cell r="P148">
            <v>1</v>
          </cell>
          <cell r="Q148">
            <v>0</v>
          </cell>
          <cell r="R148">
            <v>1</v>
          </cell>
          <cell r="S148">
            <v>0</v>
          </cell>
          <cell r="T148">
            <v>1</v>
          </cell>
        </row>
        <row r="149">
          <cell r="A149" t="str">
            <v>WJMSHM34007</v>
          </cell>
          <cell r="B149" t="str">
            <v>WJMSHM340</v>
          </cell>
          <cell r="C149" t="str">
            <v>07</v>
          </cell>
          <cell r="D149">
            <v>0</v>
          </cell>
          <cell r="E149">
            <v>1</v>
          </cell>
          <cell r="F149">
            <v>2</v>
          </cell>
          <cell r="G149">
            <v>0</v>
          </cell>
          <cell r="H149">
            <v>4</v>
          </cell>
          <cell r="I149">
            <v>1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A150" t="str">
            <v>WJMSHM34034</v>
          </cell>
          <cell r="B150" t="str">
            <v>WJMSHM340</v>
          </cell>
          <cell r="C150" t="str">
            <v>34</v>
          </cell>
          <cell r="D150">
            <v>0</v>
          </cell>
          <cell r="E150">
            <v>0</v>
          </cell>
          <cell r="F150">
            <v>1</v>
          </cell>
          <cell r="G150">
            <v>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A151" t="str">
            <v>WJMSHM35008</v>
          </cell>
          <cell r="B151" t="str">
            <v>WJMSHM350</v>
          </cell>
          <cell r="C151" t="str">
            <v>08</v>
          </cell>
          <cell r="D151">
            <v>0</v>
          </cell>
          <cell r="E151">
            <v>0</v>
          </cell>
          <cell r="F151">
            <v>1</v>
          </cell>
          <cell r="G151">
            <v>2</v>
          </cell>
          <cell r="H151">
            <v>2</v>
          </cell>
          <cell r="I151">
            <v>1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A152" t="str">
            <v>WJMCPM22072</v>
          </cell>
          <cell r="B152" t="str">
            <v>WJMCPM220</v>
          </cell>
          <cell r="C152" t="str">
            <v>72</v>
          </cell>
          <cell r="D152">
            <v>3</v>
          </cell>
          <cell r="E152">
            <v>0</v>
          </cell>
          <cell r="F152">
            <v>3</v>
          </cell>
          <cell r="G152">
            <v>2</v>
          </cell>
          <cell r="H152">
            <v>4</v>
          </cell>
          <cell r="I152">
            <v>1</v>
          </cell>
          <cell r="J152">
            <v>3</v>
          </cell>
          <cell r="K152">
            <v>5</v>
          </cell>
          <cell r="L152">
            <v>5</v>
          </cell>
          <cell r="M152">
            <v>2</v>
          </cell>
          <cell r="N152">
            <v>2</v>
          </cell>
          <cell r="O152">
            <v>2</v>
          </cell>
          <cell r="P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</row>
        <row r="153">
          <cell r="A153" t="str">
            <v>WJMCPM22054</v>
          </cell>
          <cell r="B153" t="str">
            <v>WJMCPM220</v>
          </cell>
          <cell r="C153" t="str">
            <v>54</v>
          </cell>
          <cell r="D153">
            <v>2</v>
          </cell>
          <cell r="E153">
            <v>0</v>
          </cell>
          <cell r="F153">
            <v>4</v>
          </cell>
          <cell r="G153">
            <v>3</v>
          </cell>
          <cell r="H153">
            <v>2</v>
          </cell>
          <cell r="I153">
            <v>1</v>
          </cell>
          <cell r="J153">
            <v>5</v>
          </cell>
          <cell r="K153">
            <v>2</v>
          </cell>
          <cell r="L153">
            <v>0</v>
          </cell>
          <cell r="M153">
            <v>2</v>
          </cell>
          <cell r="N153">
            <v>4</v>
          </cell>
          <cell r="O153">
            <v>1</v>
          </cell>
          <cell r="P153">
            <v>3</v>
          </cell>
          <cell r="Q153">
            <v>0</v>
          </cell>
          <cell r="R153">
            <v>4</v>
          </cell>
          <cell r="S153">
            <v>0</v>
          </cell>
          <cell r="T153">
            <v>3</v>
          </cell>
        </row>
        <row r="154">
          <cell r="A154" t="str">
            <v>WJMTPM41011</v>
          </cell>
          <cell r="B154" t="str">
            <v>WJMTPM410</v>
          </cell>
          <cell r="C154" t="str">
            <v>11</v>
          </cell>
          <cell r="D154">
            <v>0</v>
          </cell>
          <cell r="E154">
            <v>0</v>
          </cell>
          <cell r="F154">
            <v>0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A155" t="str">
            <v>WJMTPM41021</v>
          </cell>
          <cell r="B155" t="str">
            <v>WJMTPM410</v>
          </cell>
          <cell r="C155" t="str">
            <v>21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1</v>
          </cell>
          <cell r="K155">
            <v>0</v>
          </cell>
          <cell r="L155">
            <v>1</v>
          </cell>
          <cell r="M155">
            <v>0</v>
          </cell>
          <cell r="N155">
            <v>1</v>
          </cell>
          <cell r="O155">
            <v>0</v>
          </cell>
          <cell r="P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A156" t="str">
            <v>WJMTPM42043</v>
          </cell>
          <cell r="B156" t="str">
            <v>WJMTPM420</v>
          </cell>
          <cell r="C156" t="str">
            <v>43</v>
          </cell>
          <cell r="D156">
            <v>1</v>
          </cell>
          <cell r="E156">
            <v>2</v>
          </cell>
          <cell r="F156">
            <v>3</v>
          </cell>
          <cell r="G156">
            <v>2</v>
          </cell>
          <cell r="H156">
            <v>0</v>
          </cell>
          <cell r="I156">
            <v>0</v>
          </cell>
          <cell r="J156">
            <v>1</v>
          </cell>
          <cell r="K156">
            <v>2</v>
          </cell>
          <cell r="L156">
            <v>0</v>
          </cell>
          <cell r="M156">
            <v>1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A157" t="str">
            <v>WJMTPM43007</v>
          </cell>
          <cell r="B157" t="str">
            <v>WJMTPM430</v>
          </cell>
          <cell r="C157" t="str">
            <v>07</v>
          </cell>
          <cell r="D157">
            <v>1</v>
          </cell>
          <cell r="E157">
            <v>2</v>
          </cell>
          <cell r="F157">
            <v>0</v>
          </cell>
          <cell r="G157">
            <v>1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0</v>
          </cell>
          <cell r="N157">
            <v>0</v>
          </cell>
          <cell r="O157">
            <v>1</v>
          </cell>
          <cell r="P157">
            <v>0</v>
          </cell>
          <cell r="Q157">
            <v>1</v>
          </cell>
          <cell r="R157">
            <v>0</v>
          </cell>
          <cell r="S157">
            <v>0</v>
          </cell>
          <cell r="T157">
            <v>0</v>
          </cell>
        </row>
        <row r="158">
          <cell r="A158" t="str">
            <v>WJMTPM44007</v>
          </cell>
          <cell r="B158" t="str">
            <v>WJMTPM440</v>
          </cell>
          <cell r="C158" t="str">
            <v>07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</v>
          </cell>
          <cell r="I158">
            <v>1</v>
          </cell>
          <cell r="J158">
            <v>0</v>
          </cell>
          <cell r="K158">
            <v>1</v>
          </cell>
          <cell r="L158">
            <v>0</v>
          </cell>
          <cell r="M158">
            <v>0</v>
          </cell>
          <cell r="N158">
            <v>0</v>
          </cell>
          <cell r="O158">
            <v>1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A159" t="str">
            <v>WJMTSM01034</v>
          </cell>
          <cell r="B159" t="str">
            <v>WJMTSM010</v>
          </cell>
          <cell r="C159" t="str">
            <v>34</v>
          </cell>
          <cell r="D159">
            <v>2</v>
          </cell>
          <cell r="E159">
            <v>4</v>
          </cell>
          <cell r="F159">
            <v>1</v>
          </cell>
          <cell r="G159">
            <v>3</v>
          </cell>
          <cell r="H159">
            <v>2</v>
          </cell>
          <cell r="I159">
            <v>5</v>
          </cell>
          <cell r="J159">
            <v>1</v>
          </cell>
          <cell r="K159">
            <v>1</v>
          </cell>
          <cell r="L159">
            <v>7</v>
          </cell>
          <cell r="M159">
            <v>4</v>
          </cell>
          <cell r="N159">
            <v>6</v>
          </cell>
          <cell r="O159">
            <v>7</v>
          </cell>
          <cell r="P159">
            <v>4</v>
          </cell>
          <cell r="Q159">
            <v>4</v>
          </cell>
          <cell r="R159">
            <v>-1</v>
          </cell>
          <cell r="S159">
            <v>2</v>
          </cell>
          <cell r="T159">
            <v>2</v>
          </cell>
        </row>
        <row r="160">
          <cell r="A160" t="str">
            <v>WJMCPM22024</v>
          </cell>
          <cell r="B160" t="str">
            <v>WJMCPM220</v>
          </cell>
          <cell r="C160" t="str">
            <v>24</v>
          </cell>
          <cell r="D160">
            <v>0</v>
          </cell>
          <cell r="E160">
            <v>0</v>
          </cell>
          <cell r="F160">
            <v>1</v>
          </cell>
          <cell r="G160">
            <v>0</v>
          </cell>
          <cell r="H160">
            <v>0</v>
          </cell>
          <cell r="I160">
            <v>5</v>
          </cell>
          <cell r="J160">
            <v>0</v>
          </cell>
          <cell r="K160">
            <v>1</v>
          </cell>
          <cell r="L160">
            <v>2</v>
          </cell>
          <cell r="M160">
            <v>2</v>
          </cell>
          <cell r="N160">
            <v>3</v>
          </cell>
          <cell r="O160">
            <v>0</v>
          </cell>
          <cell r="P160">
            <v>2</v>
          </cell>
          <cell r="Q160">
            <v>2</v>
          </cell>
          <cell r="R160">
            <v>2</v>
          </cell>
          <cell r="S160">
            <v>1</v>
          </cell>
          <cell r="T160">
            <v>0</v>
          </cell>
        </row>
        <row r="161">
          <cell r="A161" t="str">
            <v>WJMJKM09015</v>
          </cell>
          <cell r="B161" t="str">
            <v>WJMJKM090</v>
          </cell>
          <cell r="C161" t="str">
            <v>15</v>
          </cell>
          <cell r="D161">
            <v>3</v>
          </cell>
          <cell r="E161">
            <v>1</v>
          </cell>
          <cell r="F161">
            <v>9</v>
          </cell>
          <cell r="G161">
            <v>2</v>
          </cell>
          <cell r="H161">
            <v>1</v>
          </cell>
          <cell r="I161">
            <v>4</v>
          </cell>
          <cell r="J161">
            <v>3</v>
          </cell>
          <cell r="K161">
            <v>5</v>
          </cell>
          <cell r="L161">
            <v>5</v>
          </cell>
          <cell r="M161">
            <v>1</v>
          </cell>
          <cell r="N161">
            <v>5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A162" t="str">
            <v>WJMTSM02003</v>
          </cell>
          <cell r="B162" t="str">
            <v>WJMTSM020</v>
          </cell>
          <cell r="C162" t="str">
            <v>03</v>
          </cell>
          <cell r="D162">
            <v>5</v>
          </cell>
          <cell r="E162">
            <v>8</v>
          </cell>
          <cell r="F162">
            <v>4</v>
          </cell>
          <cell r="G162">
            <v>6</v>
          </cell>
          <cell r="H162">
            <v>13</v>
          </cell>
          <cell r="I162">
            <v>16</v>
          </cell>
          <cell r="J162">
            <v>12</v>
          </cell>
          <cell r="K162">
            <v>1</v>
          </cell>
          <cell r="L162">
            <v>2</v>
          </cell>
          <cell r="M162">
            <v>5</v>
          </cell>
          <cell r="N162">
            <v>3</v>
          </cell>
          <cell r="O162">
            <v>1</v>
          </cell>
          <cell r="P162">
            <v>3</v>
          </cell>
          <cell r="Q162">
            <v>0</v>
          </cell>
          <cell r="R162">
            <v>0</v>
          </cell>
          <cell r="S162">
            <v>0</v>
          </cell>
          <cell r="T162">
            <v>2</v>
          </cell>
        </row>
        <row r="163">
          <cell r="A163" t="str">
            <v>WJMTSM02025</v>
          </cell>
          <cell r="B163" t="str">
            <v>WJMTSM020</v>
          </cell>
          <cell r="C163" t="str">
            <v>25</v>
          </cell>
          <cell r="D163">
            <v>10</v>
          </cell>
          <cell r="E163">
            <v>4</v>
          </cell>
          <cell r="F163">
            <v>8</v>
          </cell>
          <cell r="G163">
            <v>5</v>
          </cell>
          <cell r="H163">
            <v>6</v>
          </cell>
          <cell r="I163">
            <v>11</v>
          </cell>
          <cell r="J163">
            <v>10</v>
          </cell>
          <cell r="K163">
            <v>5</v>
          </cell>
          <cell r="L163">
            <v>3</v>
          </cell>
          <cell r="M163">
            <v>2</v>
          </cell>
          <cell r="N163">
            <v>6</v>
          </cell>
          <cell r="O163">
            <v>0</v>
          </cell>
          <cell r="P163">
            <v>0</v>
          </cell>
          <cell r="Q163">
            <v>1</v>
          </cell>
          <cell r="R163">
            <v>0</v>
          </cell>
          <cell r="S163">
            <v>1</v>
          </cell>
          <cell r="T163">
            <v>1</v>
          </cell>
        </row>
        <row r="164">
          <cell r="A164" t="str">
            <v>WJMTSM02076</v>
          </cell>
          <cell r="B164" t="str">
            <v>WJMTSM020</v>
          </cell>
          <cell r="C164" t="str">
            <v>76</v>
          </cell>
          <cell r="D164">
            <v>2</v>
          </cell>
          <cell r="E164">
            <v>2</v>
          </cell>
          <cell r="F164">
            <v>3</v>
          </cell>
          <cell r="G164">
            <v>0</v>
          </cell>
          <cell r="H164">
            <v>1</v>
          </cell>
          <cell r="I164">
            <v>2</v>
          </cell>
          <cell r="J164">
            <v>1</v>
          </cell>
          <cell r="K164">
            <v>0</v>
          </cell>
          <cell r="L164">
            <v>2</v>
          </cell>
          <cell r="M164">
            <v>-1</v>
          </cell>
          <cell r="N164">
            <v>3</v>
          </cell>
          <cell r="O164">
            <v>1</v>
          </cell>
          <cell r="P164">
            <v>1</v>
          </cell>
          <cell r="Q164">
            <v>0</v>
          </cell>
          <cell r="R164">
            <v>0</v>
          </cell>
          <cell r="S164">
            <v>1</v>
          </cell>
          <cell r="T164">
            <v>2</v>
          </cell>
        </row>
        <row r="165">
          <cell r="A165" t="str">
            <v>WJMTSM03005</v>
          </cell>
          <cell r="B165" t="str">
            <v>WJMTSM030</v>
          </cell>
          <cell r="C165" t="str">
            <v>05</v>
          </cell>
          <cell r="D165">
            <v>2</v>
          </cell>
          <cell r="E165">
            <v>24</v>
          </cell>
          <cell r="F165">
            <v>7</v>
          </cell>
          <cell r="G165">
            <v>2</v>
          </cell>
          <cell r="H165">
            <v>5</v>
          </cell>
          <cell r="I165">
            <v>2</v>
          </cell>
          <cell r="J165">
            <v>3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0</v>
          </cell>
          <cell r="P165">
            <v>2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A166" t="str">
            <v>WJMCPM21071</v>
          </cell>
          <cell r="B166" t="str">
            <v>WJMCPM210</v>
          </cell>
          <cell r="C166" t="str">
            <v>71</v>
          </cell>
          <cell r="D166">
            <v>1</v>
          </cell>
          <cell r="E166">
            <v>2</v>
          </cell>
          <cell r="F166">
            <v>14</v>
          </cell>
          <cell r="G166">
            <v>1</v>
          </cell>
          <cell r="H166">
            <v>3</v>
          </cell>
          <cell r="I166">
            <v>3</v>
          </cell>
          <cell r="J166">
            <v>4</v>
          </cell>
          <cell r="K166">
            <v>4</v>
          </cell>
          <cell r="L166">
            <v>4</v>
          </cell>
          <cell r="M166">
            <v>2</v>
          </cell>
          <cell r="N166">
            <v>3</v>
          </cell>
          <cell r="O166">
            <v>3</v>
          </cell>
          <cell r="P166">
            <v>4</v>
          </cell>
          <cell r="Q166">
            <v>2</v>
          </cell>
          <cell r="R166">
            <v>1</v>
          </cell>
          <cell r="S166">
            <v>1</v>
          </cell>
          <cell r="T166">
            <v>2</v>
          </cell>
        </row>
        <row r="167">
          <cell r="A167" t="str">
            <v>WJMCPM14141</v>
          </cell>
          <cell r="B167" t="str">
            <v>WJMCPM141</v>
          </cell>
          <cell r="C167" t="str">
            <v>41</v>
          </cell>
          <cell r="D167">
            <v>1</v>
          </cell>
          <cell r="E167">
            <v>3</v>
          </cell>
          <cell r="F167">
            <v>0</v>
          </cell>
          <cell r="G167">
            <v>3</v>
          </cell>
          <cell r="H167">
            <v>1</v>
          </cell>
          <cell r="I167">
            <v>1</v>
          </cell>
          <cell r="J167">
            <v>1</v>
          </cell>
          <cell r="K167">
            <v>2</v>
          </cell>
          <cell r="L167">
            <v>0</v>
          </cell>
          <cell r="M167">
            <v>0</v>
          </cell>
          <cell r="N167">
            <v>1</v>
          </cell>
          <cell r="O167">
            <v>1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A168" t="str">
            <v>WJMTSM04053</v>
          </cell>
          <cell r="B168" t="str">
            <v>WJMTSM040</v>
          </cell>
          <cell r="C168" t="str">
            <v>53</v>
          </cell>
          <cell r="D168">
            <v>2</v>
          </cell>
          <cell r="E168">
            <v>4</v>
          </cell>
          <cell r="F168">
            <v>4</v>
          </cell>
          <cell r="G168">
            <v>1</v>
          </cell>
          <cell r="H168">
            <v>6</v>
          </cell>
          <cell r="I168">
            <v>4</v>
          </cell>
          <cell r="J168">
            <v>5</v>
          </cell>
          <cell r="K168">
            <v>0</v>
          </cell>
          <cell r="L168">
            <v>0</v>
          </cell>
          <cell r="M168">
            <v>1</v>
          </cell>
          <cell r="N168">
            <v>0</v>
          </cell>
          <cell r="O168">
            <v>1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4</v>
          </cell>
        </row>
        <row r="169">
          <cell r="A169" t="str">
            <v>WJMTSM05001</v>
          </cell>
          <cell r="B169" t="str">
            <v>WJMTSM050</v>
          </cell>
          <cell r="C169" t="str">
            <v>01</v>
          </cell>
          <cell r="D169">
            <v>2</v>
          </cell>
          <cell r="E169">
            <v>5</v>
          </cell>
          <cell r="F169">
            <v>4</v>
          </cell>
          <cell r="G169">
            <v>2</v>
          </cell>
          <cell r="H169">
            <v>0</v>
          </cell>
          <cell r="I169">
            <v>1</v>
          </cell>
          <cell r="J169">
            <v>2</v>
          </cell>
          <cell r="K169">
            <v>3</v>
          </cell>
          <cell r="L169">
            <v>0</v>
          </cell>
          <cell r="M169">
            <v>0</v>
          </cell>
          <cell r="N169">
            <v>1</v>
          </cell>
          <cell r="O169">
            <v>1</v>
          </cell>
          <cell r="P169">
            <v>1</v>
          </cell>
          <cell r="Q169">
            <v>0</v>
          </cell>
          <cell r="R169">
            <v>0</v>
          </cell>
          <cell r="S169">
            <v>0</v>
          </cell>
          <cell r="T169">
            <v>2</v>
          </cell>
        </row>
        <row r="170">
          <cell r="A170" t="str">
            <v>WJMJKM08034</v>
          </cell>
          <cell r="B170" t="str">
            <v>WJMJKM080</v>
          </cell>
          <cell r="C170" t="str">
            <v>34</v>
          </cell>
          <cell r="D170">
            <v>2</v>
          </cell>
          <cell r="E170">
            <v>5</v>
          </cell>
          <cell r="F170">
            <v>4</v>
          </cell>
          <cell r="G170">
            <v>0</v>
          </cell>
          <cell r="H170">
            <v>1</v>
          </cell>
          <cell r="I170">
            <v>2</v>
          </cell>
          <cell r="J170">
            <v>4</v>
          </cell>
          <cell r="K170">
            <v>4</v>
          </cell>
          <cell r="L170">
            <v>5</v>
          </cell>
          <cell r="M170">
            <v>5</v>
          </cell>
          <cell r="N170">
            <v>6</v>
          </cell>
          <cell r="O170">
            <v>5</v>
          </cell>
          <cell r="P170">
            <v>13</v>
          </cell>
          <cell r="Q170">
            <v>8</v>
          </cell>
          <cell r="R170">
            <v>1</v>
          </cell>
          <cell r="S170">
            <v>4</v>
          </cell>
          <cell r="T170">
            <v>5</v>
          </cell>
        </row>
        <row r="171">
          <cell r="A171" t="str">
            <v>WJMTSM06008</v>
          </cell>
          <cell r="B171" t="str">
            <v>WJMTSM060</v>
          </cell>
          <cell r="C171" t="str">
            <v>08</v>
          </cell>
          <cell r="D171">
            <v>1</v>
          </cell>
          <cell r="E171">
            <v>3</v>
          </cell>
          <cell r="F171">
            <v>0</v>
          </cell>
          <cell r="G171">
            <v>1</v>
          </cell>
          <cell r="H171">
            <v>3</v>
          </cell>
          <cell r="I171">
            <v>3</v>
          </cell>
          <cell r="J171">
            <v>1</v>
          </cell>
          <cell r="K171">
            <v>0</v>
          </cell>
          <cell r="L171">
            <v>1</v>
          </cell>
          <cell r="M171">
            <v>1</v>
          </cell>
          <cell r="N171">
            <v>3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2</v>
          </cell>
        </row>
        <row r="172">
          <cell r="A172" t="str">
            <v>WJMCPM14033</v>
          </cell>
          <cell r="B172" t="str">
            <v>WJMCPM140</v>
          </cell>
          <cell r="C172" t="str">
            <v>33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1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0</v>
          </cell>
        </row>
        <row r="173">
          <cell r="A173" t="str">
            <v>WJMTSM07007</v>
          </cell>
          <cell r="B173" t="str">
            <v>WJMTSM070</v>
          </cell>
          <cell r="C173" t="str">
            <v>07</v>
          </cell>
          <cell r="D173">
            <v>0</v>
          </cell>
          <cell r="E173">
            <v>1</v>
          </cell>
          <cell r="F173">
            <v>2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1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A174" t="str">
            <v>WJMTSM21046</v>
          </cell>
          <cell r="B174" t="str">
            <v>WJMTSM210</v>
          </cell>
          <cell r="C174" t="str">
            <v>46</v>
          </cell>
          <cell r="D174">
            <v>2</v>
          </cell>
          <cell r="E174">
            <v>4</v>
          </cell>
          <cell r="F174">
            <v>2</v>
          </cell>
          <cell r="G174">
            <v>2</v>
          </cell>
          <cell r="H174">
            <v>4</v>
          </cell>
          <cell r="I174">
            <v>2</v>
          </cell>
          <cell r="J174">
            <v>1</v>
          </cell>
          <cell r="K174">
            <v>1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A175" t="str">
            <v>WJMCPM13025</v>
          </cell>
          <cell r="B175" t="str">
            <v>WJMCPM130</v>
          </cell>
          <cell r="C175" t="str">
            <v>25</v>
          </cell>
          <cell r="D175">
            <v>5</v>
          </cell>
          <cell r="E175">
            <v>2</v>
          </cell>
          <cell r="F175">
            <v>6</v>
          </cell>
          <cell r="G175">
            <v>4</v>
          </cell>
          <cell r="H175">
            <v>7</v>
          </cell>
          <cell r="I175">
            <v>3</v>
          </cell>
          <cell r="J175">
            <v>1</v>
          </cell>
          <cell r="K175">
            <v>8</v>
          </cell>
          <cell r="L175">
            <v>8</v>
          </cell>
          <cell r="M175">
            <v>7</v>
          </cell>
          <cell r="N175">
            <v>3</v>
          </cell>
          <cell r="O175">
            <v>7</v>
          </cell>
          <cell r="P175">
            <v>5</v>
          </cell>
          <cell r="Q175">
            <v>7</v>
          </cell>
          <cell r="R175">
            <v>5</v>
          </cell>
          <cell r="S175">
            <v>0</v>
          </cell>
          <cell r="T175">
            <v>4</v>
          </cell>
        </row>
        <row r="176">
          <cell r="A176" t="str">
            <v>WJMTSM22007</v>
          </cell>
          <cell r="B176" t="str">
            <v>WJMTSM220</v>
          </cell>
          <cell r="C176" t="str">
            <v>07</v>
          </cell>
          <cell r="D176">
            <v>5</v>
          </cell>
          <cell r="E176">
            <v>4</v>
          </cell>
          <cell r="F176">
            <v>5</v>
          </cell>
          <cell r="G176">
            <v>11</v>
          </cell>
          <cell r="H176">
            <v>1</v>
          </cell>
          <cell r="I176">
            <v>7</v>
          </cell>
          <cell r="J176">
            <v>6</v>
          </cell>
          <cell r="K176">
            <v>6</v>
          </cell>
          <cell r="L176">
            <v>2</v>
          </cell>
          <cell r="M176">
            <v>5</v>
          </cell>
          <cell r="N176">
            <v>1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A177" t="str">
            <v>WJMTSM22008</v>
          </cell>
          <cell r="B177" t="str">
            <v>WJMTSM220</v>
          </cell>
          <cell r="C177" t="str">
            <v>08</v>
          </cell>
          <cell r="D177">
            <v>7</v>
          </cell>
          <cell r="E177">
            <v>6</v>
          </cell>
          <cell r="F177">
            <v>5</v>
          </cell>
          <cell r="G177">
            <v>8</v>
          </cell>
          <cell r="H177">
            <v>2</v>
          </cell>
          <cell r="I177">
            <v>4</v>
          </cell>
          <cell r="J177">
            <v>9</v>
          </cell>
          <cell r="K177">
            <v>9</v>
          </cell>
          <cell r="L177">
            <v>4</v>
          </cell>
          <cell r="M177">
            <v>4</v>
          </cell>
          <cell r="N177">
            <v>4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A178" t="str">
            <v>WJMTSM22073</v>
          </cell>
          <cell r="B178" t="str">
            <v>WJMTSM220</v>
          </cell>
          <cell r="C178" t="str">
            <v>73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A179" t="str">
            <v>WJMTSM23024</v>
          </cell>
          <cell r="B179" t="str">
            <v>WJMTSM230</v>
          </cell>
          <cell r="C179" t="str">
            <v>24</v>
          </cell>
          <cell r="D179">
            <v>2</v>
          </cell>
          <cell r="E179">
            <v>2</v>
          </cell>
          <cell r="F179">
            <v>2</v>
          </cell>
          <cell r="G179">
            <v>1</v>
          </cell>
          <cell r="H179">
            <v>3</v>
          </cell>
          <cell r="I179">
            <v>4</v>
          </cell>
          <cell r="J179">
            <v>3</v>
          </cell>
          <cell r="K179">
            <v>7</v>
          </cell>
          <cell r="L179">
            <v>1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A180" t="str">
            <v>WJMTSM23053</v>
          </cell>
          <cell r="B180" t="str">
            <v>WJMTSM230</v>
          </cell>
          <cell r="C180" t="str">
            <v>53</v>
          </cell>
          <cell r="D180">
            <v>3</v>
          </cell>
          <cell r="E180">
            <v>3</v>
          </cell>
          <cell r="F180">
            <v>1</v>
          </cell>
          <cell r="G180">
            <v>0</v>
          </cell>
          <cell r="H180">
            <v>3</v>
          </cell>
          <cell r="I180">
            <v>5</v>
          </cell>
          <cell r="J180">
            <v>1</v>
          </cell>
          <cell r="K180">
            <v>1</v>
          </cell>
          <cell r="L180">
            <v>1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A181" t="str">
            <v>WJMTSM24003</v>
          </cell>
          <cell r="B181" t="str">
            <v>WJMTSM240</v>
          </cell>
          <cell r="C181" t="str">
            <v>03</v>
          </cell>
          <cell r="D181">
            <v>0</v>
          </cell>
          <cell r="E181">
            <v>0</v>
          </cell>
          <cell r="F181">
            <v>0</v>
          </cell>
          <cell r="G181">
            <v>1</v>
          </cell>
          <cell r="H181">
            <v>3</v>
          </cell>
          <cell r="I181">
            <v>0</v>
          </cell>
          <cell r="J181">
            <v>0</v>
          </cell>
          <cell r="K181">
            <v>3</v>
          </cell>
          <cell r="L181">
            <v>1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A182" t="str">
            <v>WJMTSM24013</v>
          </cell>
          <cell r="B182" t="str">
            <v>WJMTSM240</v>
          </cell>
          <cell r="C182" t="str">
            <v>13</v>
          </cell>
          <cell r="D182">
            <v>1</v>
          </cell>
          <cell r="E182">
            <v>1</v>
          </cell>
          <cell r="F182">
            <v>0</v>
          </cell>
          <cell r="G182">
            <v>1</v>
          </cell>
          <cell r="H182">
            <v>2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A183" t="str">
            <v>WJMTSM24031</v>
          </cell>
          <cell r="B183" t="str">
            <v>WJMTSM240</v>
          </cell>
          <cell r="C183" t="str">
            <v>31</v>
          </cell>
          <cell r="D183">
            <v>0</v>
          </cell>
          <cell r="E183">
            <v>2</v>
          </cell>
          <cell r="F183">
            <v>1</v>
          </cell>
          <cell r="G183">
            <v>0</v>
          </cell>
          <cell r="H183">
            <v>0</v>
          </cell>
          <cell r="I183">
            <v>1</v>
          </cell>
          <cell r="J183">
            <v>1</v>
          </cell>
          <cell r="K183">
            <v>2</v>
          </cell>
          <cell r="L183">
            <v>2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A184" t="str">
            <v>WJMJKM08007</v>
          </cell>
          <cell r="B184" t="str">
            <v>WJMJKM080</v>
          </cell>
          <cell r="C184" t="str">
            <v>07</v>
          </cell>
          <cell r="D184">
            <v>0</v>
          </cell>
          <cell r="E184">
            <v>1</v>
          </cell>
          <cell r="F184">
            <v>1</v>
          </cell>
          <cell r="G184">
            <v>3</v>
          </cell>
          <cell r="H184">
            <v>0</v>
          </cell>
          <cell r="I184">
            <v>4</v>
          </cell>
          <cell r="J184">
            <v>1</v>
          </cell>
          <cell r="K184">
            <v>3</v>
          </cell>
          <cell r="L184">
            <v>2</v>
          </cell>
          <cell r="M184">
            <v>4</v>
          </cell>
          <cell r="N184">
            <v>0</v>
          </cell>
          <cell r="O184">
            <v>1</v>
          </cell>
          <cell r="P184">
            <v>2</v>
          </cell>
          <cell r="Q184">
            <v>2</v>
          </cell>
          <cell r="R184">
            <v>6</v>
          </cell>
          <cell r="S184">
            <v>0</v>
          </cell>
          <cell r="T184">
            <v>2</v>
          </cell>
        </row>
        <row r="185">
          <cell r="A185" t="str">
            <v>WJMTSM25027</v>
          </cell>
          <cell r="B185" t="str">
            <v>WJMTSM250</v>
          </cell>
          <cell r="C185" t="str">
            <v>27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A186" t="str">
            <v>WJMTSM26013</v>
          </cell>
          <cell r="B186" t="str">
            <v>WJMTSM260</v>
          </cell>
          <cell r="C186" t="str">
            <v>13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A187" t="str">
            <v>WJMTSM26046</v>
          </cell>
          <cell r="B187" t="str">
            <v>WJMTSM260</v>
          </cell>
          <cell r="C187" t="str">
            <v>46</v>
          </cell>
          <cell r="D187">
            <v>2</v>
          </cell>
          <cell r="E187">
            <v>3</v>
          </cell>
          <cell r="F187">
            <v>1</v>
          </cell>
          <cell r="G187">
            <v>4</v>
          </cell>
          <cell r="H187">
            <v>3</v>
          </cell>
          <cell r="I187">
            <v>1</v>
          </cell>
          <cell r="J187">
            <v>4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A188" t="str">
            <v>WJMTSM26060</v>
          </cell>
          <cell r="B188" t="str">
            <v>WJMTSM260</v>
          </cell>
          <cell r="C188" t="str">
            <v>60</v>
          </cell>
          <cell r="D188">
            <v>3</v>
          </cell>
          <cell r="E188">
            <v>3</v>
          </cell>
          <cell r="F188">
            <v>3</v>
          </cell>
          <cell r="G188">
            <v>0</v>
          </cell>
          <cell r="H188">
            <v>2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A189" t="str">
            <v>WJMTSM27013</v>
          </cell>
          <cell r="B189" t="str">
            <v>WJMTSM270</v>
          </cell>
          <cell r="C189" t="str">
            <v>13</v>
          </cell>
          <cell r="D189">
            <v>2</v>
          </cell>
          <cell r="E189">
            <v>1</v>
          </cell>
          <cell r="F189">
            <v>2</v>
          </cell>
          <cell r="G189">
            <v>0</v>
          </cell>
          <cell r="H189">
            <v>1</v>
          </cell>
          <cell r="I189">
            <v>3</v>
          </cell>
          <cell r="J189">
            <v>2</v>
          </cell>
          <cell r="K189">
            <v>1</v>
          </cell>
          <cell r="L189">
            <v>1</v>
          </cell>
          <cell r="M189">
            <v>3</v>
          </cell>
          <cell r="N189">
            <v>0</v>
          </cell>
          <cell r="O189">
            <v>1</v>
          </cell>
          <cell r="P189">
            <v>1</v>
          </cell>
          <cell r="Q189">
            <v>0</v>
          </cell>
          <cell r="R189">
            <v>0</v>
          </cell>
          <cell r="S189">
            <v>0</v>
          </cell>
          <cell r="T189">
            <v>2</v>
          </cell>
        </row>
        <row r="190">
          <cell r="A190" t="str">
            <v>WJMTSM27028</v>
          </cell>
          <cell r="B190" t="str">
            <v>WJMTSM270</v>
          </cell>
          <cell r="C190" t="str">
            <v>28</v>
          </cell>
          <cell r="D190">
            <v>0</v>
          </cell>
          <cell r="E190">
            <v>2</v>
          </cell>
          <cell r="F190">
            <v>-1</v>
          </cell>
          <cell r="G190">
            <v>1</v>
          </cell>
          <cell r="H190">
            <v>2</v>
          </cell>
          <cell r="I190">
            <v>1</v>
          </cell>
          <cell r="J190">
            <v>1</v>
          </cell>
          <cell r="K190">
            <v>2</v>
          </cell>
          <cell r="L190">
            <v>0</v>
          </cell>
          <cell r="M190">
            <v>2</v>
          </cell>
          <cell r="N190">
            <v>3</v>
          </cell>
          <cell r="O190">
            <v>1</v>
          </cell>
          <cell r="P190">
            <v>3</v>
          </cell>
          <cell r="Q190">
            <v>0</v>
          </cell>
          <cell r="R190">
            <v>1</v>
          </cell>
          <cell r="S190">
            <v>0</v>
          </cell>
          <cell r="T190">
            <v>3</v>
          </cell>
        </row>
        <row r="191">
          <cell r="A191" t="str">
            <v>WJMTSM27046</v>
          </cell>
          <cell r="B191" t="str">
            <v>WJMTSM270</v>
          </cell>
          <cell r="C191" t="str">
            <v>46</v>
          </cell>
          <cell r="D191">
            <v>1</v>
          </cell>
          <cell r="E191">
            <v>0</v>
          </cell>
          <cell r="F191">
            <v>1</v>
          </cell>
          <cell r="G191">
            <v>2</v>
          </cell>
          <cell r="H191">
            <v>1</v>
          </cell>
          <cell r="I191">
            <v>1</v>
          </cell>
          <cell r="J191">
            <v>2</v>
          </cell>
          <cell r="K191">
            <v>3</v>
          </cell>
          <cell r="L191">
            <v>1</v>
          </cell>
          <cell r="M191">
            <v>0</v>
          </cell>
          <cell r="N191">
            <v>0</v>
          </cell>
          <cell r="O191">
            <v>1</v>
          </cell>
          <cell r="P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3</v>
          </cell>
        </row>
        <row r="192">
          <cell r="A192" t="str">
            <v>WJMTSM28013</v>
          </cell>
          <cell r="B192" t="str">
            <v>WJMTSM280</v>
          </cell>
          <cell r="C192" t="str">
            <v>13</v>
          </cell>
          <cell r="D192">
            <v>1</v>
          </cell>
          <cell r="E192">
            <v>0</v>
          </cell>
          <cell r="F192">
            <v>2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1</v>
          </cell>
          <cell r="N192">
            <v>1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A193" t="str">
            <v>WJMTSM28028</v>
          </cell>
          <cell r="B193" t="str">
            <v>WJMTSM280</v>
          </cell>
          <cell r="C193" t="str">
            <v>28</v>
          </cell>
          <cell r="D193">
            <v>1</v>
          </cell>
          <cell r="E193">
            <v>3</v>
          </cell>
          <cell r="F193">
            <v>0</v>
          </cell>
          <cell r="G193">
            <v>3</v>
          </cell>
          <cell r="H193">
            <v>2</v>
          </cell>
          <cell r="I193">
            <v>0</v>
          </cell>
          <cell r="J193">
            <v>0</v>
          </cell>
          <cell r="K193">
            <v>3</v>
          </cell>
          <cell r="L193">
            <v>2</v>
          </cell>
          <cell r="M193">
            <v>1</v>
          </cell>
          <cell r="N193">
            <v>3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A194" t="str">
            <v>WJMTSM29046</v>
          </cell>
          <cell r="B194" t="str">
            <v>WJMTSM290</v>
          </cell>
          <cell r="C194" t="str">
            <v>46</v>
          </cell>
          <cell r="D194">
            <v>3</v>
          </cell>
          <cell r="E194">
            <v>4</v>
          </cell>
          <cell r="F194">
            <v>1</v>
          </cell>
          <cell r="G194">
            <v>2</v>
          </cell>
          <cell r="H194">
            <v>3</v>
          </cell>
          <cell r="I194">
            <v>0</v>
          </cell>
          <cell r="J194">
            <v>4</v>
          </cell>
          <cell r="K194">
            <v>0</v>
          </cell>
          <cell r="L194">
            <v>2</v>
          </cell>
          <cell r="M194">
            <v>1</v>
          </cell>
          <cell r="N194">
            <v>1</v>
          </cell>
          <cell r="O194">
            <v>2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0</v>
          </cell>
        </row>
        <row r="195">
          <cell r="A195" t="str">
            <v>WJMTSM29060</v>
          </cell>
          <cell r="B195" t="str">
            <v>WJMTSM290</v>
          </cell>
          <cell r="C195" t="str">
            <v>60</v>
          </cell>
          <cell r="D195">
            <v>1</v>
          </cell>
          <cell r="E195">
            <v>1</v>
          </cell>
          <cell r="F195">
            <v>1</v>
          </cell>
          <cell r="G195">
            <v>2</v>
          </cell>
          <cell r="H195">
            <v>0</v>
          </cell>
          <cell r="I195">
            <v>0</v>
          </cell>
          <cell r="J195">
            <v>3</v>
          </cell>
          <cell r="K195">
            <v>3</v>
          </cell>
          <cell r="L195">
            <v>0</v>
          </cell>
          <cell r="M195">
            <v>1</v>
          </cell>
          <cell r="N195">
            <v>0</v>
          </cell>
          <cell r="O195">
            <v>0</v>
          </cell>
          <cell r="P195">
            <v>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A196" t="str">
            <v>WJMTSM30014</v>
          </cell>
          <cell r="B196" t="str">
            <v>WJMTSM300</v>
          </cell>
          <cell r="C196" t="str">
            <v>14</v>
          </cell>
          <cell r="D196">
            <v>1</v>
          </cell>
          <cell r="E196">
            <v>0</v>
          </cell>
          <cell r="F196">
            <v>1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A197" t="str">
            <v>WJMTSM30053</v>
          </cell>
          <cell r="B197" t="str">
            <v>WJMTSM300</v>
          </cell>
          <cell r="C197" t="str">
            <v>53</v>
          </cell>
          <cell r="D197">
            <v>1</v>
          </cell>
          <cell r="E197">
            <v>0</v>
          </cell>
          <cell r="F197">
            <v>0</v>
          </cell>
          <cell r="G197">
            <v>-1</v>
          </cell>
          <cell r="H197">
            <v>1</v>
          </cell>
          <cell r="I197">
            <v>0</v>
          </cell>
          <cell r="J197">
            <v>1</v>
          </cell>
          <cell r="K197">
            <v>1</v>
          </cell>
          <cell r="L197">
            <v>2</v>
          </cell>
          <cell r="M197">
            <v>0</v>
          </cell>
          <cell r="N197">
            <v>2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A198" t="str">
            <v>WJMTSM31007</v>
          </cell>
          <cell r="B198" t="str">
            <v>WJMTSM310</v>
          </cell>
          <cell r="C198" t="str">
            <v>07</v>
          </cell>
          <cell r="D198">
            <v>0</v>
          </cell>
          <cell r="E198">
            <v>1</v>
          </cell>
          <cell r="F198">
            <v>1</v>
          </cell>
          <cell r="G198">
            <v>1</v>
          </cell>
          <cell r="H198">
            <v>0</v>
          </cell>
          <cell r="I198">
            <v>0</v>
          </cell>
          <cell r="J198">
            <v>0</v>
          </cell>
          <cell r="K198">
            <v>2</v>
          </cell>
          <cell r="L198">
            <v>2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A199" t="str">
            <v>WJMCPM11073</v>
          </cell>
          <cell r="B199" t="str">
            <v>WJMCPM110</v>
          </cell>
          <cell r="C199" t="str">
            <v>73</v>
          </cell>
          <cell r="D199">
            <v>1</v>
          </cell>
          <cell r="E199">
            <v>0</v>
          </cell>
          <cell r="F199">
            <v>3</v>
          </cell>
          <cell r="G199">
            <v>3</v>
          </cell>
          <cell r="H199">
            <v>1</v>
          </cell>
          <cell r="I199">
            <v>3</v>
          </cell>
          <cell r="J199">
            <v>5</v>
          </cell>
          <cell r="K199">
            <v>7</v>
          </cell>
          <cell r="L199">
            <v>1</v>
          </cell>
          <cell r="M199">
            <v>1</v>
          </cell>
          <cell r="N199">
            <v>3</v>
          </cell>
          <cell r="O199">
            <v>2</v>
          </cell>
          <cell r="P199">
            <v>2</v>
          </cell>
          <cell r="Q199">
            <v>0</v>
          </cell>
          <cell r="R199">
            <v>3</v>
          </cell>
          <cell r="S199">
            <v>1</v>
          </cell>
          <cell r="T199">
            <v>1</v>
          </cell>
        </row>
        <row r="200">
          <cell r="A200" t="str">
            <v>WJMTSM32046</v>
          </cell>
          <cell r="B200" t="str">
            <v>WJMTSM320</v>
          </cell>
          <cell r="C200" t="str">
            <v>46</v>
          </cell>
          <cell r="D200">
            <v>1</v>
          </cell>
          <cell r="E200">
            <v>1</v>
          </cell>
          <cell r="F200">
            <v>2</v>
          </cell>
          <cell r="G200">
            <v>3</v>
          </cell>
          <cell r="H200">
            <v>2</v>
          </cell>
          <cell r="I200">
            <v>0</v>
          </cell>
          <cell r="J200">
            <v>1</v>
          </cell>
          <cell r="K200">
            <v>2</v>
          </cell>
          <cell r="L200">
            <v>2</v>
          </cell>
          <cell r="M200">
            <v>0</v>
          </cell>
          <cell r="N200">
            <v>0</v>
          </cell>
          <cell r="O200">
            <v>1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A201" t="str">
            <v>WJMTSM32074</v>
          </cell>
          <cell r="B201" t="str">
            <v>WJMTSM320</v>
          </cell>
          <cell r="C201" t="str">
            <v>74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1</v>
          </cell>
          <cell r="N201">
            <v>0</v>
          </cell>
          <cell r="O201">
            <v>0</v>
          </cell>
          <cell r="P201">
            <v>1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A202" t="str">
            <v>WJMTSM33008</v>
          </cell>
          <cell r="B202" t="str">
            <v>WJMTSM330</v>
          </cell>
          <cell r="C202" t="str">
            <v>08</v>
          </cell>
          <cell r="D202">
            <v>12</v>
          </cell>
          <cell r="E202">
            <v>7</v>
          </cell>
          <cell r="F202">
            <v>7</v>
          </cell>
          <cell r="G202">
            <v>4</v>
          </cell>
          <cell r="H202">
            <v>12</v>
          </cell>
          <cell r="I202">
            <v>2</v>
          </cell>
          <cell r="J202">
            <v>9</v>
          </cell>
          <cell r="K202">
            <v>16</v>
          </cell>
          <cell r="L202">
            <v>2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A203" t="str">
            <v>WJMTSM33016</v>
          </cell>
          <cell r="B203" t="str">
            <v>WJMTSM330</v>
          </cell>
          <cell r="C203" t="str">
            <v>16</v>
          </cell>
          <cell r="D203">
            <v>7</v>
          </cell>
          <cell r="E203">
            <v>2</v>
          </cell>
          <cell r="F203">
            <v>9</v>
          </cell>
          <cell r="G203">
            <v>8</v>
          </cell>
          <cell r="H203">
            <v>11</v>
          </cell>
          <cell r="I203">
            <v>4</v>
          </cell>
          <cell r="J203">
            <v>6</v>
          </cell>
          <cell r="K203">
            <v>10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WJMCPM11024</v>
          </cell>
          <cell r="B204" t="str">
            <v>WJMCPM110</v>
          </cell>
          <cell r="C204" t="str">
            <v>24</v>
          </cell>
          <cell r="D204">
            <v>3</v>
          </cell>
          <cell r="E204">
            <v>2</v>
          </cell>
          <cell r="F204">
            <v>1</v>
          </cell>
          <cell r="G204">
            <v>3</v>
          </cell>
          <cell r="H204">
            <v>0</v>
          </cell>
          <cell r="I204">
            <v>1</v>
          </cell>
          <cell r="J204">
            <v>2</v>
          </cell>
          <cell r="K204">
            <v>2</v>
          </cell>
          <cell r="L204">
            <v>3</v>
          </cell>
          <cell r="M204">
            <v>1</v>
          </cell>
          <cell r="N204">
            <v>2</v>
          </cell>
          <cell r="O204">
            <v>2</v>
          </cell>
          <cell r="P204">
            <v>3</v>
          </cell>
          <cell r="Q204">
            <v>3</v>
          </cell>
          <cell r="R204">
            <v>4</v>
          </cell>
          <cell r="S204">
            <v>-1</v>
          </cell>
          <cell r="T204">
            <v>2</v>
          </cell>
        </row>
        <row r="205">
          <cell r="A205" t="str">
            <v>WJMJKM07076</v>
          </cell>
          <cell r="B205" t="str">
            <v>WJMJKM070</v>
          </cell>
          <cell r="C205" t="str">
            <v>76</v>
          </cell>
          <cell r="D205">
            <v>1</v>
          </cell>
          <cell r="E205">
            <v>36</v>
          </cell>
          <cell r="F205">
            <v>6</v>
          </cell>
          <cell r="G205">
            <v>4</v>
          </cell>
          <cell r="H205">
            <v>4</v>
          </cell>
          <cell r="I205">
            <v>4</v>
          </cell>
          <cell r="J205">
            <v>-3</v>
          </cell>
          <cell r="K205">
            <v>3</v>
          </cell>
          <cell r="L205">
            <v>2</v>
          </cell>
          <cell r="M205">
            <v>4</v>
          </cell>
          <cell r="N205">
            <v>3</v>
          </cell>
          <cell r="O205">
            <v>4</v>
          </cell>
          <cell r="P205">
            <v>10</v>
          </cell>
          <cell r="Q205">
            <v>4</v>
          </cell>
          <cell r="R205">
            <v>5</v>
          </cell>
          <cell r="S205">
            <v>1</v>
          </cell>
          <cell r="T205">
            <v>2</v>
          </cell>
        </row>
        <row r="206">
          <cell r="A206" t="str">
            <v>WJMTSM34008</v>
          </cell>
          <cell r="B206" t="str">
            <v>WJMTSM340</v>
          </cell>
          <cell r="C206" t="str">
            <v>08</v>
          </cell>
          <cell r="D206">
            <v>0</v>
          </cell>
          <cell r="E206">
            <v>2</v>
          </cell>
          <cell r="F206">
            <v>0</v>
          </cell>
          <cell r="G206">
            <v>1</v>
          </cell>
          <cell r="H206">
            <v>0</v>
          </cell>
          <cell r="I206">
            <v>2</v>
          </cell>
          <cell r="J206">
            <v>1</v>
          </cell>
          <cell r="K206">
            <v>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A207" t="str">
            <v>WJMTSM34015</v>
          </cell>
          <cell r="B207" t="str">
            <v>WJMTSM340</v>
          </cell>
          <cell r="C207" t="str">
            <v>15</v>
          </cell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H207">
            <v>2</v>
          </cell>
          <cell r="I207">
            <v>2</v>
          </cell>
          <cell r="J207">
            <v>1</v>
          </cell>
          <cell r="K207">
            <v>0</v>
          </cell>
          <cell r="L207">
            <v>2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A208" t="str">
            <v>WJMJKI08014</v>
          </cell>
          <cell r="B208" t="str">
            <v>WJMJKI080</v>
          </cell>
          <cell r="C208" t="str">
            <v>14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A209" t="str">
            <v>WJMTSP71008</v>
          </cell>
          <cell r="B209" t="str">
            <v>WJMTSP710</v>
          </cell>
          <cell r="C209" t="str">
            <v>08</v>
          </cell>
          <cell r="D209">
            <v>4</v>
          </cell>
          <cell r="E209">
            <v>8</v>
          </cell>
          <cell r="F209">
            <v>7</v>
          </cell>
          <cell r="G209">
            <v>4</v>
          </cell>
          <cell r="H209">
            <v>5</v>
          </cell>
          <cell r="I209">
            <v>4</v>
          </cell>
          <cell r="J209">
            <v>5</v>
          </cell>
          <cell r="K209">
            <v>3</v>
          </cell>
          <cell r="L209">
            <v>7</v>
          </cell>
          <cell r="M209">
            <v>1</v>
          </cell>
          <cell r="N209">
            <v>4</v>
          </cell>
          <cell r="O209">
            <v>6</v>
          </cell>
          <cell r="P209">
            <v>0</v>
          </cell>
          <cell r="Q209">
            <v>1</v>
          </cell>
          <cell r="R209">
            <v>1</v>
          </cell>
          <cell r="S209">
            <v>0</v>
          </cell>
          <cell r="T209">
            <v>2</v>
          </cell>
        </row>
        <row r="210">
          <cell r="A210" t="str">
            <v>WJMCPM11007</v>
          </cell>
          <cell r="B210" t="str">
            <v>WJMCPM110</v>
          </cell>
          <cell r="C210" t="str">
            <v>07</v>
          </cell>
          <cell r="D210">
            <v>0</v>
          </cell>
          <cell r="E210">
            <v>1</v>
          </cell>
          <cell r="F210">
            <v>2</v>
          </cell>
          <cell r="G210">
            <v>1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2</v>
          </cell>
          <cell r="R210">
            <v>2</v>
          </cell>
          <cell r="S210">
            <v>3</v>
          </cell>
          <cell r="T210">
            <v>0</v>
          </cell>
        </row>
        <row r="211">
          <cell r="A211" t="str">
            <v>WJMJKI10001</v>
          </cell>
          <cell r="B211" t="str">
            <v>WJMJKI100</v>
          </cell>
          <cell r="C211" t="str">
            <v>01</v>
          </cell>
          <cell r="D211">
            <v>0</v>
          </cell>
          <cell r="E211">
            <v>1</v>
          </cell>
          <cell r="F211">
            <v>3</v>
          </cell>
          <cell r="G211">
            <v>1</v>
          </cell>
          <cell r="H211">
            <v>3</v>
          </cell>
          <cell r="I211">
            <v>5</v>
          </cell>
          <cell r="J211">
            <v>3</v>
          </cell>
          <cell r="K211">
            <v>1</v>
          </cell>
          <cell r="L211">
            <v>3</v>
          </cell>
          <cell r="M211">
            <v>6</v>
          </cell>
          <cell r="N211">
            <v>3</v>
          </cell>
          <cell r="O211">
            <v>3</v>
          </cell>
          <cell r="P211">
            <v>1</v>
          </cell>
          <cell r="Q211">
            <v>6</v>
          </cell>
          <cell r="R211">
            <v>2</v>
          </cell>
          <cell r="S211">
            <v>1</v>
          </cell>
          <cell r="T211">
            <v>0</v>
          </cell>
        </row>
        <row r="212">
          <cell r="A212" t="str">
            <v>WJMTSP71034</v>
          </cell>
          <cell r="B212" t="str">
            <v>WJMTSP710</v>
          </cell>
          <cell r="C212" t="str">
            <v>34</v>
          </cell>
          <cell r="D212">
            <v>4</v>
          </cell>
          <cell r="E212">
            <v>3</v>
          </cell>
          <cell r="F212">
            <v>2</v>
          </cell>
          <cell r="G212">
            <v>0</v>
          </cell>
          <cell r="H212">
            <v>2</v>
          </cell>
          <cell r="I212">
            <v>1</v>
          </cell>
          <cell r="J212">
            <v>5</v>
          </cell>
          <cell r="K212">
            <v>0</v>
          </cell>
          <cell r="L212">
            <v>3</v>
          </cell>
          <cell r="M212">
            <v>1</v>
          </cell>
          <cell r="N212">
            <v>3</v>
          </cell>
          <cell r="O212">
            <v>1</v>
          </cell>
          <cell r="P212">
            <v>3</v>
          </cell>
          <cell r="Q212">
            <v>1</v>
          </cell>
          <cell r="R212">
            <v>3</v>
          </cell>
          <cell r="S212">
            <v>0</v>
          </cell>
          <cell r="T212">
            <v>1</v>
          </cell>
        </row>
        <row r="213">
          <cell r="A213" t="str">
            <v>WJMTSS08027</v>
          </cell>
          <cell r="B213" t="str">
            <v>WJMTSS080</v>
          </cell>
          <cell r="C213" t="str">
            <v>27</v>
          </cell>
          <cell r="D213">
            <v>7</v>
          </cell>
          <cell r="E213">
            <v>13</v>
          </cell>
          <cell r="F213">
            <v>5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A214" t="str">
            <v>WJMTSS08073</v>
          </cell>
          <cell r="B214" t="str">
            <v>WJMTSS080</v>
          </cell>
          <cell r="C214" t="str">
            <v>73</v>
          </cell>
          <cell r="D214">
            <v>3</v>
          </cell>
          <cell r="E214">
            <v>11</v>
          </cell>
          <cell r="F214">
            <v>5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A215" t="str">
            <v>WJMTSS09007</v>
          </cell>
          <cell r="B215" t="str">
            <v>WJMTSS090</v>
          </cell>
          <cell r="C215" t="str">
            <v>07</v>
          </cell>
          <cell r="D215">
            <v>0</v>
          </cell>
          <cell r="E215">
            <v>23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A216" t="str">
            <v>WJMTSS09053</v>
          </cell>
          <cell r="B216" t="str">
            <v>WJMTSS090</v>
          </cell>
          <cell r="C216" t="str">
            <v>53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A217" t="str">
            <v>WJMCPM09007</v>
          </cell>
          <cell r="B217" t="str">
            <v>WJMCPM090</v>
          </cell>
          <cell r="C217" t="str">
            <v>07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A218" t="str">
            <v>WJMTSS21014</v>
          </cell>
          <cell r="B218" t="str">
            <v>WJMTSS210</v>
          </cell>
          <cell r="C218" t="str">
            <v>14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A219" t="str">
            <v>WJMCPM09005</v>
          </cell>
          <cell r="B219" t="str">
            <v>WJMCPM090</v>
          </cell>
          <cell r="C219" t="str">
            <v>05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A220" t="str">
            <v>WJMCPM08046</v>
          </cell>
          <cell r="B220" t="str">
            <v>WJMCPM080</v>
          </cell>
          <cell r="C220" t="str">
            <v>46</v>
          </cell>
          <cell r="D220">
            <v>0</v>
          </cell>
          <cell r="E220">
            <v>1</v>
          </cell>
          <cell r="F220">
            <v>2</v>
          </cell>
          <cell r="G220">
            <v>1</v>
          </cell>
          <cell r="H220">
            <v>5</v>
          </cell>
          <cell r="I220">
            <v>0</v>
          </cell>
          <cell r="J220">
            <v>2</v>
          </cell>
          <cell r="K220">
            <v>0</v>
          </cell>
          <cell r="L220">
            <v>1</v>
          </cell>
          <cell r="M220">
            <v>1</v>
          </cell>
          <cell r="N220">
            <v>0</v>
          </cell>
          <cell r="O220">
            <v>2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A221" t="str">
            <v>WJMTSS23008</v>
          </cell>
          <cell r="B221" t="str">
            <v>WJMTSS230</v>
          </cell>
          <cell r="C221" t="str">
            <v>08</v>
          </cell>
          <cell r="D221">
            <v>3</v>
          </cell>
          <cell r="E221">
            <v>1</v>
          </cell>
          <cell r="F221">
            <v>-1</v>
          </cell>
          <cell r="G221">
            <v>2</v>
          </cell>
          <cell r="H221">
            <v>1</v>
          </cell>
          <cell r="I221">
            <v>3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A222" t="str">
            <v>WJMTSS23021</v>
          </cell>
          <cell r="B222" t="str">
            <v>WJMTSS230</v>
          </cell>
          <cell r="C222" t="str">
            <v>21</v>
          </cell>
          <cell r="D222">
            <v>2</v>
          </cell>
          <cell r="E222">
            <v>1</v>
          </cell>
          <cell r="F222">
            <v>6</v>
          </cell>
          <cell r="G222">
            <v>2</v>
          </cell>
          <cell r="H222">
            <v>3</v>
          </cell>
          <cell r="I222">
            <v>4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A223" t="str">
            <v>WJMTTI02001</v>
          </cell>
          <cell r="B223" t="str">
            <v>WJMTTI020</v>
          </cell>
          <cell r="C223" t="str">
            <v>01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0</v>
          </cell>
          <cell r="I223">
            <v>2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0</v>
          </cell>
        </row>
        <row r="224">
          <cell r="A224" t="str">
            <v>WJMTTI02074</v>
          </cell>
          <cell r="B224" t="str">
            <v>WJMTTI020</v>
          </cell>
          <cell r="C224" t="str">
            <v>74</v>
          </cell>
          <cell r="D224">
            <v>0</v>
          </cell>
          <cell r="E224">
            <v>0</v>
          </cell>
          <cell r="F224">
            <v>-1</v>
          </cell>
          <cell r="G224">
            <v>1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A225" t="str">
            <v>WJMTTI02076</v>
          </cell>
          <cell r="B225" t="str">
            <v>WJMTTI020</v>
          </cell>
          <cell r="C225" t="str">
            <v>76</v>
          </cell>
          <cell r="D225">
            <v>0</v>
          </cell>
          <cell r="E225">
            <v>0</v>
          </cell>
          <cell r="F225">
            <v>1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A226" t="str">
            <v>WJMTTI03002</v>
          </cell>
          <cell r="B226" t="str">
            <v>WJMTTI030</v>
          </cell>
          <cell r="C226" t="str">
            <v>02</v>
          </cell>
          <cell r="D226">
            <v>1</v>
          </cell>
          <cell r="E226">
            <v>0</v>
          </cell>
          <cell r="F226">
            <v>0</v>
          </cell>
          <cell r="G226">
            <v>0</v>
          </cell>
          <cell r="H226">
            <v>3</v>
          </cell>
          <cell r="I226">
            <v>1</v>
          </cell>
          <cell r="J226">
            <v>0</v>
          </cell>
          <cell r="K226">
            <v>0</v>
          </cell>
          <cell r="L226">
            <v>2</v>
          </cell>
          <cell r="M226">
            <v>1</v>
          </cell>
          <cell r="N226">
            <v>2</v>
          </cell>
          <cell r="O226">
            <v>3</v>
          </cell>
          <cell r="P226">
            <v>2</v>
          </cell>
          <cell r="Q226">
            <v>1</v>
          </cell>
          <cell r="R226">
            <v>0</v>
          </cell>
          <cell r="S226">
            <v>1</v>
          </cell>
          <cell r="T226">
            <v>0</v>
          </cell>
        </row>
        <row r="227">
          <cell r="A227" t="str">
            <v>WJMTTI03053</v>
          </cell>
          <cell r="B227" t="str">
            <v>WJMTTI030</v>
          </cell>
          <cell r="C227" t="str">
            <v>53</v>
          </cell>
          <cell r="D227">
            <v>0</v>
          </cell>
          <cell r="E227">
            <v>1</v>
          </cell>
          <cell r="F227">
            <v>-1</v>
          </cell>
          <cell r="G227">
            <v>1</v>
          </cell>
          <cell r="H227">
            <v>0</v>
          </cell>
          <cell r="I227">
            <v>1</v>
          </cell>
          <cell r="J227">
            <v>0</v>
          </cell>
          <cell r="K227">
            <v>0</v>
          </cell>
          <cell r="L227">
            <v>1</v>
          </cell>
          <cell r="M227">
            <v>1</v>
          </cell>
          <cell r="N227">
            <v>1</v>
          </cell>
          <cell r="O227">
            <v>0</v>
          </cell>
          <cell r="P227">
            <v>2</v>
          </cell>
          <cell r="Q227">
            <v>1</v>
          </cell>
          <cell r="R227">
            <v>0</v>
          </cell>
          <cell r="S227">
            <v>2</v>
          </cell>
          <cell r="T227">
            <v>0</v>
          </cell>
        </row>
        <row r="228">
          <cell r="A228" t="str">
            <v>WJMTTI04033</v>
          </cell>
          <cell r="B228" t="str">
            <v>WJMTTI040</v>
          </cell>
          <cell r="C228" t="str">
            <v>33</v>
          </cell>
          <cell r="D228">
            <v>0</v>
          </cell>
          <cell r="E228">
            <v>0</v>
          </cell>
          <cell r="F228">
            <v>1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A229" t="str">
            <v>WJMTTI04074</v>
          </cell>
          <cell r="B229" t="str">
            <v>WJMTTI040</v>
          </cell>
          <cell r="C229" t="str">
            <v>74</v>
          </cell>
          <cell r="D229">
            <v>0</v>
          </cell>
          <cell r="E229">
            <v>0</v>
          </cell>
          <cell r="F229">
            <v>0</v>
          </cell>
          <cell r="G229">
            <v>2</v>
          </cell>
          <cell r="H229">
            <v>0</v>
          </cell>
          <cell r="I229">
            <v>-1</v>
          </cell>
          <cell r="J229">
            <v>1</v>
          </cell>
          <cell r="K229">
            <v>0</v>
          </cell>
          <cell r="L229">
            <v>1</v>
          </cell>
          <cell r="M229">
            <v>1</v>
          </cell>
          <cell r="N229">
            <v>1</v>
          </cell>
          <cell r="O229">
            <v>2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A230" t="str">
            <v>WJMTTI05002</v>
          </cell>
          <cell r="B230" t="str">
            <v>WJMTTI050</v>
          </cell>
          <cell r="C230" t="str">
            <v>02</v>
          </cell>
          <cell r="D230">
            <v>2</v>
          </cell>
          <cell r="E230">
            <v>0</v>
          </cell>
          <cell r="F230">
            <v>0</v>
          </cell>
          <cell r="G230">
            <v>2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2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WJMTTI05074</v>
          </cell>
          <cell r="B231" t="str">
            <v>WJMTTI050</v>
          </cell>
          <cell r="C231" t="str">
            <v>74</v>
          </cell>
          <cell r="D231">
            <v>0</v>
          </cell>
          <cell r="E231">
            <v>0</v>
          </cell>
          <cell r="F231">
            <v>2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-1</v>
          </cell>
          <cell r="N231">
            <v>0</v>
          </cell>
          <cell r="O231">
            <v>0</v>
          </cell>
          <cell r="P231">
            <v>1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WJMTTI06024</v>
          </cell>
          <cell r="B232" t="str">
            <v>WJMTTI060</v>
          </cell>
          <cell r="C232" t="str">
            <v>24</v>
          </cell>
          <cell r="D232">
            <v>1</v>
          </cell>
          <cell r="E232">
            <v>2</v>
          </cell>
          <cell r="F232">
            <v>1</v>
          </cell>
          <cell r="G232">
            <v>0</v>
          </cell>
          <cell r="H232">
            <v>0</v>
          </cell>
          <cell r="I232">
            <v>1</v>
          </cell>
          <cell r="J232">
            <v>0</v>
          </cell>
          <cell r="K232">
            <v>1</v>
          </cell>
          <cell r="L232">
            <v>0</v>
          </cell>
          <cell r="M232">
            <v>3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WJMTTI06073</v>
          </cell>
          <cell r="B233" t="str">
            <v>WJMTTI060</v>
          </cell>
          <cell r="C233" t="str">
            <v>73</v>
          </cell>
          <cell r="D233">
            <v>1</v>
          </cell>
          <cell r="E233">
            <v>0</v>
          </cell>
          <cell r="F233">
            <v>1</v>
          </cell>
          <cell r="G233">
            <v>1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1</v>
          </cell>
          <cell r="M233">
            <v>2</v>
          </cell>
          <cell r="N233">
            <v>3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WJMTTI07073</v>
          </cell>
          <cell r="B234" t="str">
            <v>WJMTTI070</v>
          </cell>
          <cell r="C234" t="str">
            <v>73</v>
          </cell>
          <cell r="D234">
            <v>0</v>
          </cell>
          <cell r="E234">
            <v>0</v>
          </cell>
          <cell r="F234">
            <v>2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A235" t="str">
            <v>WJMTTI07076</v>
          </cell>
          <cell r="B235" t="str">
            <v>WJMTTI070</v>
          </cell>
          <cell r="C235" t="str">
            <v>76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1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WJMTTI08001</v>
          </cell>
          <cell r="B236" t="str">
            <v>WJMTTI080</v>
          </cell>
          <cell r="C236" t="str">
            <v>01</v>
          </cell>
          <cell r="D236">
            <v>0</v>
          </cell>
          <cell r="E236">
            <v>0</v>
          </cell>
          <cell r="F236">
            <v>1</v>
          </cell>
          <cell r="G236">
            <v>0</v>
          </cell>
          <cell r="H236">
            <v>1</v>
          </cell>
          <cell r="I236">
            <v>0</v>
          </cell>
          <cell r="J236">
            <v>1</v>
          </cell>
          <cell r="K236">
            <v>0</v>
          </cell>
          <cell r="L236">
            <v>0</v>
          </cell>
          <cell r="M236">
            <v>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WJMTTI08076</v>
          </cell>
          <cell r="B237" t="str">
            <v>WJMTTI080</v>
          </cell>
          <cell r="C237" t="str">
            <v>76</v>
          </cell>
          <cell r="D237">
            <v>0</v>
          </cell>
          <cell r="E237">
            <v>0</v>
          </cell>
          <cell r="F237">
            <v>-1</v>
          </cell>
          <cell r="G237">
            <v>2</v>
          </cell>
          <cell r="H237">
            <v>1</v>
          </cell>
          <cell r="I237">
            <v>0</v>
          </cell>
          <cell r="J237">
            <v>0</v>
          </cell>
          <cell r="K237">
            <v>1</v>
          </cell>
          <cell r="L237">
            <v>-1</v>
          </cell>
          <cell r="M237">
            <v>1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WJMTTI09001</v>
          </cell>
          <cell r="B238" t="str">
            <v>WJMTTI090</v>
          </cell>
          <cell r="C238" t="str">
            <v>01</v>
          </cell>
          <cell r="D238">
            <v>1</v>
          </cell>
          <cell r="E238">
            <v>2</v>
          </cell>
          <cell r="F238">
            <v>2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1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WJMTTI09007</v>
          </cell>
          <cell r="B239" t="str">
            <v>WJMTTI090</v>
          </cell>
          <cell r="C239" t="str">
            <v>07</v>
          </cell>
          <cell r="D239">
            <v>0</v>
          </cell>
          <cell r="E239">
            <v>1</v>
          </cell>
          <cell r="F239">
            <v>2</v>
          </cell>
          <cell r="G239">
            <v>2</v>
          </cell>
          <cell r="H239">
            <v>0</v>
          </cell>
          <cell r="I239">
            <v>1</v>
          </cell>
          <cell r="J239">
            <v>0</v>
          </cell>
          <cell r="K239">
            <v>1</v>
          </cell>
          <cell r="L239">
            <v>0</v>
          </cell>
          <cell r="M239">
            <v>0</v>
          </cell>
          <cell r="N239">
            <v>1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WJMTTI09024</v>
          </cell>
          <cell r="B240" t="str">
            <v>WJMTTI090</v>
          </cell>
          <cell r="C240" t="str">
            <v>24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1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A241" t="str">
            <v>WJMTTI11024</v>
          </cell>
          <cell r="B241" t="str">
            <v>WJMTTI110</v>
          </cell>
          <cell r="C241" t="str">
            <v>24</v>
          </cell>
          <cell r="D241">
            <v>0</v>
          </cell>
          <cell r="E241">
            <v>0</v>
          </cell>
          <cell r="F241">
            <v>1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A242" t="str">
            <v>WJMTTI12053</v>
          </cell>
          <cell r="B242" t="str">
            <v>WJMTTI120</v>
          </cell>
          <cell r="C242" t="str">
            <v>53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WJMTTI12076</v>
          </cell>
          <cell r="B243" t="str">
            <v>WJMTTI120</v>
          </cell>
          <cell r="C243" t="str">
            <v>76</v>
          </cell>
          <cell r="D243">
            <v>0</v>
          </cell>
          <cell r="E243">
            <v>0</v>
          </cell>
          <cell r="F243">
            <v>0</v>
          </cell>
          <cell r="G243">
            <v>1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WJMTTM30007</v>
          </cell>
          <cell r="B244" t="str">
            <v>WJMTTM300</v>
          </cell>
          <cell r="C244" t="str">
            <v>07</v>
          </cell>
          <cell r="D244">
            <v>0</v>
          </cell>
          <cell r="E244">
            <v>0</v>
          </cell>
          <cell r="F244">
            <v>3</v>
          </cell>
          <cell r="G244">
            <v>0</v>
          </cell>
          <cell r="H244">
            <v>2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1</v>
          </cell>
          <cell r="N244">
            <v>1</v>
          </cell>
          <cell r="O244">
            <v>1</v>
          </cell>
          <cell r="P244">
            <v>3</v>
          </cell>
          <cell r="Q244">
            <v>0</v>
          </cell>
          <cell r="R244">
            <v>1</v>
          </cell>
          <cell r="S244">
            <v>1</v>
          </cell>
          <cell r="T244">
            <v>0</v>
          </cell>
        </row>
        <row r="245">
          <cell r="A245" t="str">
            <v>WJMTTM30073</v>
          </cell>
          <cell r="B245" t="str">
            <v>WJMTTM300</v>
          </cell>
          <cell r="C245" t="str">
            <v>73</v>
          </cell>
          <cell r="D245">
            <v>1</v>
          </cell>
          <cell r="E245">
            <v>0</v>
          </cell>
          <cell r="F245">
            <v>1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>
            <v>0</v>
          </cell>
        </row>
        <row r="246">
          <cell r="A246" t="str">
            <v>WJMTTM31001</v>
          </cell>
          <cell r="B246" t="str">
            <v>WJMTTM310</v>
          </cell>
          <cell r="C246" t="str">
            <v>01</v>
          </cell>
          <cell r="D246">
            <v>0</v>
          </cell>
          <cell r="E246">
            <v>0</v>
          </cell>
          <cell r="F246">
            <v>0</v>
          </cell>
          <cell r="G246">
            <v>1</v>
          </cell>
          <cell r="H246">
            <v>1</v>
          </cell>
          <cell r="I246">
            <v>1</v>
          </cell>
          <cell r="J246">
            <v>0</v>
          </cell>
          <cell r="K246">
            <v>2</v>
          </cell>
          <cell r="L246">
            <v>1</v>
          </cell>
          <cell r="M246">
            <v>-1</v>
          </cell>
          <cell r="N246">
            <v>1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A247" t="str">
            <v>WJMTTM31007</v>
          </cell>
          <cell r="B247" t="str">
            <v>WJMTTM310</v>
          </cell>
          <cell r="C247" t="str">
            <v>07</v>
          </cell>
          <cell r="D247">
            <v>0</v>
          </cell>
          <cell r="E247">
            <v>0</v>
          </cell>
          <cell r="F247">
            <v>2</v>
          </cell>
          <cell r="G247">
            <v>2</v>
          </cell>
          <cell r="H247">
            <v>2</v>
          </cell>
          <cell r="I247">
            <v>1</v>
          </cell>
          <cell r="J247">
            <v>0</v>
          </cell>
          <cell r="K247">
            <v>0</v>
          </cell>
          <cell r="L247">
            <v>-1</v>
          </cell>
          <cell r="M247">
            <v>2</v>
          </cell>
          <cell r="N247">
            <v>0</v>
          </cell>
          <cell r="O247">
            <v>1</v>
          </cell>
          <cell r="P247">
            <v>4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WJMCPM08014</v>
          </cell>
          <cell r="B248" t="str">
            <v>WJMCPM080</v>
          </cell>
          <cell r="C248" t="str">
            <v>14</v>
          </cell>
          <cell r="D248">
            <v>5</v>
          </cell>
          <cell r="E248">
            <v>6</v>
          </cell>
          <cell r="F248">
            <v>6</v>
          </cell>
          <cell r="G248">
            <v>2</v>
          </cell>
          <cell r="H248">
            <v>4</v>
          </cell>
          <cell r="I248">
            <v>3</v>
          </cell>
          <cell r="J248">
            <v>6</v>
          </cell>
          <cell r="K248">
            <v>4</v>
          </cell>
          <cell r="L248">
            <v>2</v>
          </cell>
          <cell r="M248">
            <v>1</v>
          </cell>
          <cell r="N248">
            <v>1</v>
          </cell>
          <cell r="O248">
            <v>4</v>
          </cell>
          <cell r="P248">
            <v>0</v>
          </cell>
          <cell r="Q248">
            <v>2</v>
          </cell>
          <cell r="R248">
            <v>2</v>
          </cell>
          <cell r="S248">
            <v>0</v>
          </cell>
          <cell r="T248">
            <v>3</v>
          </cell>
        </row>
        <row r="249">
          <cell r="A249" t="str">
            <v>WJMTTM41007</v>
          </cell>
          <cell r="B249" t="str">
            <v>WJMTTM410</v>
          </cell>
          <cell r="C249" t="str">
            <v>07</v>
          </cell>
          <cell r="D249">
            <v>3</v>
          </cell>
          <cell r="E249">
            <v>2</v>
          </cell>
          <cell r="F249">
            <v>3</v>
          </cell>
          <cell r="G249">
            <v>3</v>
          </cell>
          <cell r="H249">
            <v>4</v>
          </cell>
          <cell r="I249">
            <v>2</v>
          </cell>
          <cell r="J249">
            <v>0</v>
          </cell>
          <cell r="K249">
            <v>1</v>
          </cell>
          <cell r="L249">
            <v>3</v>
          </cell>
          <cell r="M249">
            <v>2</v>
          </cell>
          <cell r="N249">
            <v>1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WJMTTM42001</v>
          </cell>
          <cell r="B250" t="str">
            <v>WJMTTM420</v>
          </cell>
          <cell r="C250" t="str">
            <v>01</v>
          </cell>
          <cell r="D250">
            <v>1</v>
          </cell>
          <cell r="E250">
            <v>3</v>
          </cell>
          <cell r="F250">
            <v>1</v>
          </cell>
          <cell r="G250">
            <v>4</v>
          </cell>
          <cell r="H250">
            <v>0</v>
          </cell>
          <cell r="I250">
            <v>2</v>
          </cell>
          <cell r="J250">
            <v>1</v>
          </cell>
          <cell r="K250">
            <v>0</v>
          </cell>
          <cell r="L250">
            <v>1</v>
          </cell>
          <cell r="M250">
            <v>1</v>
          </cell>
          <cell r="N250">
            <v>2</v>
          </cell>
          <cell r="O250">
            <v>1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WJMTTM42007</v>
          </cell>
          <cell r="B251" t="str">
            <v>WJMTTM420</v>
          </cell>
          <cell r="C251" t="str">
            <v>07</v>
          </cell>
          <cell r="D251">
            <v>1</v>
          </cell>
          <cell r="E251">
            <v>2</v>
          </cell>
          <cell r="F251">
            <v>3</v>
          </cell>
          <cell r="G251">
            <v>1</v>
          </cell>
          <cell r="H251">
            <v>7</v>
          </cell>
          <cell r="I251">
            <v>3</v>
          </cell>
          <cell r="J251">
            <v>2</v>
          </cell>
          <cell r="K251">
            <v>1</v>
          </cell>
          <cell r="L251">
            <v>2</v>
          </cell>
          <cell r="M251">
            <v>4</v>
          </cell>
          <cell r="N251">
            <v>0</v>
          </cell>
          <cell r="O251">
            <v>2</v>
          </cell>
          <cell r="P251">
            <v>3</v>
          </cell>
          <cell r="Q251">
            <v>1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WJMTTM43007</v>
          </cell>
          <cell r="B252" t="str">
            <v>WJMTTM430</v>
          </cell>
          <cell r="C252" t="str">
            <v>07</v>
          </cell>
          <cell r="D252">
            <v>1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1</v>
          </cell>
          <cell r="S252">
            <v>0</v>
          </cell>
          <cell r="T252">
            <v>3</v>
          </cell>
        </row>
        <row r="253">
          <cell r="A253" t="str">
            <v>WJMTTM43025</v>
          </cell>
          <cell r="B253" t="str">
            <v>WJMTTM430</v>
          </cell>
          <cell r="C253" t="str">
            <v>25</v>
          </cell>
          <cell r="D253">
            <v>0</v>
          </cell>
          <cell r="E253">
            <v>1</v>
          </cell>
          <cell r="F253">
            <v>0</v>
          </cell>
          <cell r="G253">
            <v>1</v>
          </cell>
          <cell r="H253">
            <v>0</v>
          </cell>
          <cell r="I253">
            <v>0</v>
          </cell>
          <cell r="J253">
            <v>0</v>
          </cell>
          <cell r="K253">
            <v>2</v>
          </cell>
          <cell r="L253">
            <v>1</v>
          </cell>
          <cell r="M253">
            <v>1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1</v>
          </cell>
          <cell r="S253">
            <v>0</v>
          </cell>
          <cell r="T253">
            <v>0</v>
          </cell>
        </row>
        <row r="254">
          <cell r="A254" t="str">
            <v>WJMTTM44001</v>
          </cell>
          <cell r="B254" t="str">
            <v>WJMTTM440</v>
          </cell>
          <cell r="C254" t="str">
            <v>01</v>
          </cell>
          <cell r="D254">
            <v>0</v>
          </cell>
          <cell r="E254">
            <v>1</v>
          </cell>
          <cell r="F254">
            <v>0</v>
          </cell>
          <cell r="G254">
            <v>0</v>
          </cell>
          <cell r="H254">
            <v>-1</v>
          </cell>
          <cell r="I254">
            <v>1</v>
          </cell>
          <cell r="J254">
            <v>1</v>
          </cell>
          <cell r="K254">
            <v>0</v>
          </cell>
          <cell r="L254">
            <v>2</v>
          </cell>
          <cell r="M254">
            <v>1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WJMTTM44015</v>
          </cell>
          <cell r="B255" t="str">
            <v>WJMTTM440</v>
          </cell>
          <cell r="C255" t="str">
            <v>15</v>
          </cell>
          <cell r="D255">
            <v>1</v>
          </cell>
          <cell r="E255">
            <v>2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</v>
          </cell>
          <cell r="K255">
            <v>0</v>
          </cell>
          <cell r="L255">
            <v>2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WJMTTM45015</v>
          </cell>
          <cell r="B256" t="str">
            <v>WJMTTM450</v>
          </cell>
          <cell r="C256" t="str">
            <v>15</v>
          </cell>
          <cell r="D256">
            <v>0</v>
          </cell>
          <cell r="E256">
            <v>0</v>
          </cell>
          <cell r="F256">
            <v>1</v>
          </cell>
          <cell r="G256">
            <v>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A257" t="str">
            <v>WJMTTM45025</v>
          </cell>
          <cell r="B257" t="str">
            <v>WJMTTM450</v>
          </cell>
          <cell r="C257" t="str">
            <v>25</v>
          </cell>
          <cell r="D257">
            <v>0</v>
          </cell>
          <cell r="E257">
            <v>1</v>
          </cell>
          <cell r="F257">
            <v>1</v>
          </cell>
          <cell r="G257">
            <v>0</v>
          </cell>
          <cell r="H257">
            <v>0</v>
          </cell>
          <cell r="I257">
            <v>1</v>
          </cell>
          <cell r="J257">
            <v>0</v>
          </cell>
          <cell r="K257">
            <v>1</v>
          </cell>
          <cell r="L257">
            <v>0</v>
          </cell>
          <cell r="M257">
            <v>1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A258" t="str">
            <v>WJMCPM07014</v>
          </cell>
          <cell r="B258" t="str">
            <v>WJMCPM070</v>
          </cell>
          <cell r="C258" t="str">
            <v>14</v>
          </cell>
          <cell r="D258">
            <v>3</v>
          </cell>
          <cell r="E258">
            <v>0</v>
          </cell>
          <cell r="F258">
            <v>1</v>
          </cell>
          <cell r="G258">
            <v>4</v>
          </cell>
          <cell r="H258">
            <v>0</v>
          </cell>
          <cell r="I258">
            <v>1</v>
          </cell>
          <cell r="J258">
            <v>0</v>
          </cell>
          <cell r="K258">
            <v>1</v>
          </cell>
          <cell r="L258">
            <v>2</v>
          </cell>
          <cell r="M258">
            <v>4</v>
          </cell>
          <cell r="N258">
            <v>1</v>
          </cell>
          <cell r="O258">
            <v>5</v>
          </cell>
          <cell r="P258">
            <v>4</v>
          </cell>
          <cell r="Q258">
            <v>3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WJMTTM47007</v>
          </cell>
          <cell r="B259" t="str">
            <v>WJMTTM470</v>
          </cell>
          <cell r="C259" t="str">
            <v>07</v>
          </cell>
          <cell r="D259">
            <v>4</v>
          </cell>
          <cell r="E259">
            <v>2</v>
          </cell>
          <cell r="F259">
            <v>2</v>
          </cell>
          <cell r="G259">
            <v>6</v>
          </cell>
          <cell r="H259">
            <v>2</v>
          </cell>
          <cell r="I259">
            <v>3</v>
          </cell>
          <cell r="J259">
            <v>1</v>
          </cell>
          <cell r="K259">
            <v>6</v>
          </cell>
          <cell r="L259">
            <v>2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WJMTTM47008</v>
          </cell>
          <cell r="B260" t="str">
            <v>WJMTTM470</v>
          </cell>
          <cell r="C260" t="str">
            <v>08</v>
          </cell>
          <cell r="D260">
            <v>0</v>
          </cell>
          <cell r="E260">
            <v>3</v>
          </cell>
          <cell r="F260">
            <v>1</v>
          </cell>
          <cell r="G260">
            <v>2</v>
          </cell>
          <cell r="H260">
            <v>2</v>
          </cell>
          <cell r="I260">
            <v>1</v>
          </cell>
          <cell r="J260">
            <v>1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WJMTTM48008</v>
          </cell>
          <cell r="B261" t="str">
            <v>WJMTTM480</v>
          </cell>
          <cell r="C261" t="str">
            <v>08</v>
          </cell>
          <cell r="D261">
            <v>3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WJMJKM06074</v>
          </cell>
          <cell r="B262" t="str">
            <v>WJMJKM060</v>
          </cell>
          <cell r="C262" t="str">
            <v>74</v>
          </cell>
          <cell r="D262">
            <v>0</v>
          </cell>
          <cell r="E262">
            <v>0</v>
          </cell>
          <cell r="F262">
            <v>2</v>
          </cell>
          <cell r="G262">
            <v>4</v>
          </cell>
          <cell r="H262">
            <v>3</v>
          </cell>
          <cell r="I262">
            <v>2</v>
          </cell>
          <cell r="J262">
            <v>2</v>
          </cell>
          <cell r="K262">
            <v>3</v>
          </cell>
          <cell r="L262">
            <v>3</v>
          </cell>
          <cell r="M262">
            <v>4</v>
          </cell>
          <cell r="N262">
            <v>1</v>
          </cell>
          <cell r="O262">
            <v>2</v>
          </cell>
          <cell r="P262">
            <v>2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A263" t="str">
            <v>WJMCPM06024</v>
          </cell>
          <cell r="B263" t="str">
            <v>WJMCPM060</v>
          </cell>
          <cell r="C263" t="str">
            <v>24</v>
          </cell>
          <cell r="D263">
            <v>1</v>
          </cell>
          <cell r="E263">
            <v>0</v>
          </cell>
          <cell r="F263">
            <v>0</v>
          </cell>
          <cell r="G263">
            <v>1</v>
          </cell>
          <cell r="H263">
            <v>1</v>
          </cell>
          <cell r="I263">
            <v>1</v>
          </cell>
          <cell r="J263">
            <v>4</v>
          </cell>
          <cell r="K263">
            <v>1</v>
          </cell>
          <cell r="L263">
            <v>0</v>
          </cell>
          <cell r="M263">
            <v>4</v>
          </cell>
          <cell r="N263">
            <v>2</v>
          </cell>
          <cell r="O263">
            <v>3</v>
          </cell>
          <cell r="P263">
            <v>1</v>
          </cell>
          <cell r="Q263">
            <v>1</v>
          </cell>
          <cell r="R263">
            <v>0</v>
          </cell>
          <cell r="S263">
            <v>1</v>
          </cell>
          <cell r="T263">
            <v>1</v>
          </cell>
        </row>
        <row r="264">
          <cell r="A264" t="str">
            <v>WJMTTM51076</v>
          </cell>
          <cell r="B264" t="str">
            <v>WJMTTM510</v>
          </cell>
          <cell r="C264" t="str">
            <v>76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1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WJMTTM52007</v>
          </cell>
          <cell r="B265" t="str">
            <v>WJMTTM520</v>
          </cell>
          <cell r="C265" t="str">
            <v>07</v>
          </cell>
          <cell r="D265">
            <v>1</v>
          </cell>
          <cell r="E265">
            <v>1</v>
          </cell>
          <cell r="F265">
            <v>2</v>
          </cell>
          <cell r="G265">
            <v>0</v>
          </cell>
          <cell r="H265">
            <v>1</v>
          </cell>
          <cell r="I265">
            <v>1</v>
          </cell>
          <cell r="J265">
            <v>0</v>
          </cell>
          <cell r="K265">
            <v>1</v>
          </cell>
          <cell r="L265">
            <v>1</v>
          </cell>
          <cell r="M265">
            <v>2</v>
          </cell>
          <cell r="N265">
            <v>0</v>
          </cell>
          <cell r="O265">
            <v>0</v>
          </cell>
          <cell r="P265">
            <v>2</v>
          </cell>
          <cell r="Q265">
            <v>2</v>
          </cell>
          <cell r="R265">
            <v>3</v>
          </cell>
          <cell r="S265">
            <v>0</v>
          </cell>
          <cell r="T265">
            <v>2</v>
          </cell>
        </row>
        <row r="266">
          <cell r="A266" t="str">
            <v>WJMCPM06015</v>
          </cell>
          <cell r="B266" t="str">
            <v>WJMCPM060</v>
          </cell>
          <cell r="C266" t="str">
            <v>15</v>
          </cell>
          <cell r="D266">
            <v>2</v>
          </cell>
          <cell r="E266">
            <v>6</v>
          </cell>
          <cell r="F266">
            <v>6</v>
          </cell>
          <cell r="G266">
            <v>7</v>
          </cell>
          <cell r="H266">
            <v>7</v>
          </cell>
          <cell r="I266">
            <v>8</v>
          </cell>
          <cell r="J266">
            <v>4</v>
          </cell>
          <cell r="K266">
            <v>4</v>
          </cell>
          <cell r="L266">
            <v>1</v>
          </cell>
          <cell r="M266">
            <v>5</v>
          </cell>
          <cell r="N266">
            <v>1</v>
          </cell>
          <cell r="O266">
            <v>1</v>
          </cell>
          <cell r="P266">
            <v>4</v>
          </cell>
          <cell r="Q266">
            <v>1</v>
          </cell>
          <cell r="R266">
            <v>2</v>
          </cell>
          <cell r="S266">
            <v>0</v>
          </cell>
          <cell r="T266">
            <v>3</v>
          </cell>
        </row>
        <row r="267">
          <cell r="A267" t="str">
            <v>WJMTTM53076</v>
          </cell>
          <cell r="B267" t="str">
            <v>WJMTTM530</v>
          </cell>
          <cell r="C267" t="str">
            <v>76</v>
          </cell>
          <cell r="D267">
            <v>0</v>
          </cell>
          <cell r="E267">
            <v>0</v>
          </cell>
          <cell r="F267">
            <v>4</v>
          </cell>
          <cell r="G267">
            <v>2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1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1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WJMTTM53077</v>
          </cell>
          <cell r="B268" t="str">
            <v>WJMTTM530</v>
          </cell>
          <cell r="C268" t="str">
            <v>77</v>
          </cell>
          <cell r="D268">
            <v>2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3</v>
          </cell>
          <cell r="J268">
            <v>0</v>
          </cell>
          <cell r="K268">
            <v>1</v>
          </cell>
          <cell r="L268">
            <v>0</v>
          </cell>
          <cell r="M268">
            <v>1</v>
          </cell>
          <cell r="N268">
            <v>0</v>
          </cell>
          <cell r="O268">
            <v>-1</v>
          </cell>
          <cell r="P268">
            <v>1</v>
          </cell>
          <cell r="Q268">
            <v>2</v>
          </cell>
          <cell r="R268">
            <v>0</v>
          </cell>
          <cell r="S268">
            <v>0</v>
          </cell>
          <cell r="T268">
            <v>1</v>
          </cell>
        </row>
        <row r="269">
          <cell r="A269" t="str">
            <v>WJMCPM05073</v>
          </cell>
          <cell r="B269" t="str">
            <v>WJMCPM050</v>
          </cell>
          <cell r="C269" t="str">
            <v>73</v>
          </cell>
          <cell r="D269">
            <v>0</v>
          </cell>
          <cell r="E269">
            <v>0</v>
          </cell>
          <cell r="F269">
            <v>1</v>
          </cell>
          <cell r="G269">
            <v>3</v>
          </cell>
          <cell r="H269">
            <v>2</v>
          </cell>
          <cell r="I269">
            <v>2</v>
          </cell>
          <cell r="J269">
            <v>4</v>
          </cell>
          <cell r="K269">
            <v>2</v>
          </cell>
          <cell r="L269">
            <v>2</v>
          </cell>
          <cell r="M269">
            <v>2</v>
          </cell>
          <cell r="N269">
            <v>6</v>
          </cell>
          <cell r="O269">
            <v>5</v>
          </cell>
          <cell r="P269">
            <v>5</v>
          </cell>
          <cell r="Q269">
            <v>0</v>
          </cell>
          <cell r="R269">
            <v>2</v>
          </cell>
          <cell r="S269">
            <v>0</v>
          </cell>
          <cell r="T269">
            <v>0</v>
          </cell>
        </row>
        <row r="270">
          <cell r="A270" t="str">
            <v>WJMCPM05025</v>
          </cell>
          <cell r="B270" t="str">
            <v>WJMCPM050</v>
          </cell>
          <cell r="C270" t="str">
            <v>25</v>
          </cell>
          <cell r="D270">
            <v>2</v>
          </cell>
          <cell r="E270">
            <v>1</v>
          </cell>
          <cell r="F270">
            <v>1</v>
          </cell>
          <cell r="G270">
            <v>1</v>
          </cell>
          <cell r="H270">
            <v>2</v>
          </cell>
          <cell r="I270">
            <v>3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0</v>
          </cell>
          <cell r="O270">
            <v>1</v>
          </cell>
          <cell r="P270">
            <v>2</v>
          </cell>
          <cell r="Q270">
            <v>2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WJMCPM05021</v>
          </cell>
          <cell r="B271" t="str">
            <v>WJMCPM050</v>
          </cell>
          <cell r="C271" t="str">
            <v>21</v>
          </cell>
          <cell r="D271">
            <v>1</v>
          </cell>
          <cell r="E271">
            <v>0</v>
          </cell>
          <cell r="F271">
            <v>-1</v>
          </cell>
          <cell r="G271">
            <v>3</v>
          </cell>
          <cell r="H271">
            <v>1</v>
          </cell>
          <cell r="I271">
            <v>0</v>
          </cell>
          <cell r="J271">
            <v>4</v>
          </cell>
          <cell r="K271">
            <v>6</v>
          </cell>
          <cell r="L271">
            <v>10</v>
          </cell>
          <cell r="M271">
            <v>1</v>
          </cell>
          <cell r="N271">
            <v>4</v>
          </cell>
          <cell r="O271">
            <v>4</v>
          </cell>
          <cell r="P271">
            <v>3</v>
          </cell>
          <cell r="Q271">
            <v>6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WJMVSM03076</v>
          </cell>
          <cell r="B272" t="str">
            <v>WJMVSM030</v>
          </cell>
          <cell r="C272" t="str">
            <v>76</v>
          </cell>
          <cell r="D272">
            <v>0</v>
          </cell>
          <cell r="E272">
            <v>1</v>
          </cell>
          <cell r="F272">
            <v>0</v>
          </cell>
          <cell r="G272">
            <v>1</v>
          </cell>
          <cell r="H272">
            <v>1</v>
          </cell>
          <cell r="I272">
            <v>1</v>
          </cell>
          <cell r="J272">
            <v>0</v>
          </cell>
          <cell r="K272">
            <v>1</v>
          </cell>
          <cell r="L272">
            <v>3</v>
          </cell>
          <cell r="M272">
            <v>3</v>
          </cell>
          <cell r="N272">
            <v>0</v>
          </cell>
          <cell r="O272">
            <v>1</v>
          </cell>
          <cell r="P272">
            <v>0</v>
          </cell>
          <cell r="Q272">
            <v>0</v>
          </cell>
          <cell r="R272">
            <v>-1</v>
          </cell>
          <cell r="S272">
            <v>2</v>
          </cell>
          <cell r="T272">
            <v>1</v>
          </cell>
        </row>
        <row r="273">
          <cell r="A273" t="str">
            <v>WJMTSM01107</v>
          </cell>
          <cell r="B273" t="str">
            <v>WJMTSM011</v>
          </cell>
          <cell r="C273" t="str">
            <v>07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WJMVSM04073</v>
          </cell>
          <cell r="B274" t="str">
            <v>WJMVSM040</v>
          </cell>
          <cell r="C274" t="str">
            <v>73</v>
          </cell>
          <cell r="D274">
            <v>4</v>
          </cell>
          <cell r="E274">
            <v>3</v>
          </cell>
          <cell r="F274">
            <v>4</v>
          </cell>
          <cell r="G274">
            <v>2</v>
          </cell>
          <cell r="H274">
            <v>5</v>
          </cell>
          <cell r="I274">
            <v>2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A275" t="str">
            <v>WJMVSM20014</v>
          </cell>
          <cell r="B275" t="str">
            <v>WJMVSM200</v>
          </cell>
          <cell r="C275" t="str">
            <v>14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WJMVSM20072</v>
          </cell>
          <cell r="B276" t="str">
            <v>WJMVSM200</v>
          </cell>
          <cell r="C276" t="str">
            <v>72</v>
          </cell>
          <cell r="D276">
            <v>0</v>
          </cell>
          <cell r="E276">
            <v>2</v>
          </cell>
          <cell r="F276">
            <v>2</v>
          </cell>
          <cell r="G276">
            <v>3</v>
          </cell>
          <cell r="H276">
            <v>-1</v>
          </cell>
          <cell r="I276">
            <v>1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WJMVSM21025</v>
          </cell>
          <cell r="B277" t="str">
            <v>WJMVSM210</v>
          </cell>
          <cell r="C277" t="str">
            <v>25</v>
          </cell>
          <cell r="D277">
            <v>0</v>
          </cell>
          <cell r="E277">
            <v>0</v>
          </cell>
          <cell r="F277">
            <v>2</v>
          </cell>
          <cell r="G277">
            <v>3</v>
          </cell>
          <cell r="H277">
            <v>2</v>
          </cell>
          <cell r="I277">
            <v>2</v>
          </cell>
          <cell r="J277">
            <v>0</v>
          </cell>
          <cell r="K277">
            <v>1</v>
          </cell>
          <cell r="L277">
            <v>0</v>
          </cell>
          <cell r="M277">
            <v>1</v>
          </cell>
          <cell r="N277">
            <v>2</v>
          </cell>
          <cell r="O277">
            <v>0</v>
          </cell>
          <cell r="P277">
            <v>2</v>
          </cell>
          <cell r="Q277">
            <v>2</v>
          </cell>
          <cell r="R277">
            <v>3</v>
          </cell>
          <cell r="S277">
            <v>0</v>
          </cell>
          <cell r="T277">
            <v>0</v>
          </cell>
        </row>
        <row r="278">
          <cell r="A278" t="str">
            <v>WJMVSM21073</v>
          </cell>
          <cell r="B278" t="str">
            <v>WJMVSM210</v>
          </cell>
          <cell r="C278" t="str">
            <v>73</v>
          </cell>
          <cell r="D278">
            <v>1</v>
          </cell>
          <cell r="E278">
            <v>2</v>
          </cell>
          <cell r="F278">
            <v>2</v>
          </cell>
          <cell r="G278">
            <v>4</v>
          </cell>
          <cell r="H278">
            <v>2</v>
          </cell>
          <cell r="I278">
            <v>1</v>
          </cell>
          <cell r="J278">
            <v>2</v>
          </cell>
          <cell r="K278">
            <v>5</v>
          </cell>
          <cell r="L278">
            <v>0</v>
          </cell>
          <cell r="M278">
            <v>3</v>
          </cell>
          <cell r="N278">
            <v>1</v>
          </cell>
          <cell r="O278">
            <v>0</v>
          </cell>
          <cell r="P278">
            <v>8</v>
          </cell>
          <cell r="Q278">
            <v>6</v>
          </cell>
          <cell r="R278">
            <v>6</v>
          </cell>
          <cell r="S278">
            <v>2</v>
          </cell>
          <cell r="T278">
            <v>1</v>
          </cell>
        </row>
        <row r="279">
          <cell r="A279" t="str">
            <v>WJMVSM30007</v>
          </cell>
          <cell r="B279" t="str">
            <v>WJMVSM300</v>
          </cell>
          <cell r="C279" t="str">
            <v>07</v>
          </cell>
          <cell r="D279">
            <v>5</v>
          </cell>
          <cell r="E279">
            <v>1</v>
          </cell>
          <cell r="F279">
            <v>0</v>
          </cell>
          <cell r="G279">
            <v>3</v>
          </cell>
          <cell r="H279">
            <v>1</v>
          </cell>
          <cell r="I279">
            <v>2</v>
          </cell>
          <cell r="J279">
            <v>1</v>
          </cell>
          <cell r="K279">
            <v>3</v>
          </cell>
          <cell r="L279">
            <v>2</v>
          </cell>
          <cell r="M279">
            <v>1</v>
          </cell>
          <cell r="N279">
            <v>0</v>
          </cell>
          <cell r="O279">
            <v>0</v>
          </cell>
          <cell r="P279">
            <v>0</v>
          </cell>
          <cell r="Q279">
            <v>1</v>
          </cell>
          <cell r="R279">
            <v>0</v>
          </cell>
          <cell r="S279">
            <v>0</v>
          </cell>
          <cell r="T279">
            <v>1</v>
          </cell>
        </row>
        <row r="280">
          <cell r="A280" t="str">
            <v>WJMVSM30025</v>
          </cell>
          <cell r="B280" t="str">
            <v>WJMVSM300</v>
          </cell>
          <cell r="C280" t="str">
            <v>25</v>
          </cell>
          <cell r="D280">
            <v>3</v>
          </cell>
          <cell r="E280">
            <v>4</v>
          </cell>
          <cell r="F280">
            <v>4</v>
          </cell>
          <cell r="G280">
            <v>5</v>
          </cell>
          <cell r="H280">
            <v>0</v>
          </cell>
          <cell r="I280">
            <v>1</v>
          </cell>
          <cell r="J280">
            <v>5</v>
          </cell>
          <cell r="K280">
            <v>2</v>
          </cell>
          <cell r="L280">
            <v>4</v>
          </cell>
          <cell r="M280">
            <v>-1</v>
          </cell>
          <cell r="N280">
            <v>3</v>
          </cell>
          <cell r="O280">
            <v>2</v>
          </cell>
          <cell r="P280">
            <v>4</v>
          </cell>
          <cell r="Q280">
            <v>0</v>
          </cell>
          <cell r="R280">
            <v>0</v>
          </cell>
          <cell r="S280">
            <v>1</v>
          </cell>
          <cell r="T280">
            <v>1</v>
          </cell>
        </row>
        <row r="281">
          <cell r="A281" t="str">
            <v>WJMJKI10026</v>
          </cell>
          <cell r="B281" t="str">
            <v>WJMJKI100</v>
          </cell>
          <cell r="C281" t="str">
            <v>26</v>
          </cell>
          <cell r="D281">
            <v>0</v>
          </cell>
          <cell r="E281">
            <v>1</v>
          </cell>
          <cell r="F281">
            <v>0</v>
          </cell>
          <cell r="G281">
            <v>0</v>
          </cell>
          <cell r="H281">
            <v>1</v>
          </cell>
          <cell r="I281">
            <v>2</v>
          </cell>
          <cell r="J281">
            <v>-1</v>
          </cell>
          <cell r="K281">
            <v>2</v>
          </cell>
          <cell r="L281">
            <v>2</v>
          </cell>
          <cell r="M281">
            <v>1</v>
          </cell>
          <cell r="N281">
            <v>3</v>
          </cell>
          <cell r="O281">
            <v>3</v>
          </cell>
          <cell r="P281">
            <v>1</v>
          </cell>
          <cell r="Q281">
            <v>0</v>
          </cell>
          <cell r="R281">
            <v>2</v>
          </cell>
          <cell r="S281">
            <v>0</v>
          </cell>
          <cell r="T281">
            <v>0</v>
          </cell>
        </row>
        <row r="282">
          <cell r="A282" t="str">
            <v>WJMVSM40025</v>
          </cell>
          <cell r="B282" t="str">
            <v>WJMVSM400</v>
          </cell>
          <cell r="C282" t="str">
            <v>25</v>
          </cell>
          <cell r="D282">
            <v>2</v>
          </cell>
          <cell r="E282">
            <v>2</v>
          </cell>
          <cell r="F282">
            <v>-1</v>
          </cell>
          <cell r="G282">
            <v>0</v>
          </cell>
          <cell r="H282">
            <v>2</v>
          </cell>
          <cell r="I282">
            <v>2</v>
          </cell>
          <cell r="J282">
            <v>0</v>
          </cell>
          <cell r="K282">
            <v>2</v>
          </cell>
          <cell r="L282">
            <v>0</v>
          </cell>
          <cell r="M282">
            <v>3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WJMSHM31043</v>
          </cell>
          <cell r="B283" t="str">
            <v>WJMSHM310</v>
          </cell>
          <cell r="C283" t="str">
            <v>43</v>
          </cell>
          <cell r="D283">
            <v>0</v>
          </cell>
          <cell r="E283">
            <v>1</v>
          </cell>
          <cell r="F283">
            <v>1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1</v>
          </cell>
          <cell r="L283">
            <v>3</v>
          </cell>
          <cell r="M283">
            <v>0</v>
          </cell>
          <cell r="N283">
            <v>1</v>
          </cell>
          <cell r="O283">
            <v>0</v>
          </cell>
          <cell r="P283">
            <v>1</v>
          </cell>
          <cell r="Q283">
            <v>0</v>
          </cell>
          <cell r="R283">
            <v>1</v>
          </cell>
          <cell r="S283">
            <v>0</v>
          </cell>
          <cell r="T283">
            <v>0</v>
          </cell>
        </row>
        <row r="284">
          <cell r="A284" t="str">
            <v>WJMVSM41025</v>
          </cell>
          <cell r="B284" t="str">
            <v>WJMVSM410</v>
          </cell>
          <cell r="C284" t="str">
            <v>25</v>
          </cell>
          <cell r="D284">
            <v>0</v>
          </cell>
          <cell r="E284">
            <v>-1</v>
          </cell>
          <cell r="F284">
            <v>0</v>
          </cell>
          <cell r="G284">
            <v>1</v>
          </cell>
          <cell r="H284">
            <v>0</v>
          </cell>
          <cell r="I284">
            <v>1</v>
          </cell>
          <cell r="J284">
            <v>0</v>
          </cell>
          <cell r="K284">
            <v>3</v>
          </cell>
          <cell r="L284">
            <v>-1</v>
          </cell>
          <cell r="M284">
            <v>2</v>
          </cell>
          <cell r="N284">
            <v>2</v>
          </cell>
          <cell r="O284">
            <v>3</v>
          </cell>
          <cell r="P284">
            <v>15</v>
          </cell>
          <cell r="Q284">
            <v>-1</v>
          </cell>
          <cell r="R284">
            <v>5</v>
          </cell>
          <cell r="S284">
            <v>3</v>
          </cell>
          <cell r="T284">
            <v>4</v>
          </cell>
        </row>
        <row r="285">
          <cell r="A285" t="str">
            <v>WJABEM96027</v>
          </cell>
          <cell r="B285" t="str">
            <v>WJABEM960</v>
          </cell>
          <cell r="C285" t="str">
            <v>27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WJABGM01034</v>
          </cell>
          <cell r="B286" t="str">
            <v>WJABGM010</v>
          </cell>
          <cell r="C286" t="str">
            <v>34</v>
          </cell>
          <cell r="D286">
            <v>6</v>
          </cell>
          <cell r="E286">
            <v>3</v>
          </cell>
          <cell r="F286">
            <v>4</v>
          </cell>
          <cell r="G286">
            <v>3</v>
          </cell>
          <cell r="H286">
            <v>3</v>
          </cell>
          <cell r="I286">
            <v>7</v>
          </cell>
          <cell r="J286">
            <v>3</v>
          </cell>
          <cell r="K286">
            <v>2</v>
          </cell>
          <cell r="L286">
            <v>1</v>
          </cell>
          <cell r="M286">
            <v>2</v>
          </cell>
          <cell r="N286">
            <v>1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WJABGM01054</v>
          </cell>
          <cell r="B287" t="str">
            <v>WJABGM010</v>
          </cell>
          <cell r="C287" t="str">
            <v>54</v>
          </cell>
          <cell r="D287">
            <v>1</v>
          </cell>
          <cell r="E287">
            <v>0</v>
          </cell>
          <cell r="F287">
            <v>7</v>
          </cell>
          <cell r="G287">
            <v>8</v>
          </cell>
          <cell r="H287">
            <v>2</v>
          </cell>
          <cell r="I287">
            <v>0</v>
          </cell>
          <cell r="J287">
            <v>4</v>
          </cell>
          <cell r="K287">
            <v>2</v>
          </cell>
          <cell r="L287">
            <v>2</v>
          </cell>
          <cell r="M287">
            <v>5</v>
          </cell>
          <cell r="N287">
            <v>2</v>
          </cell>
          <cell r="O287">
            <v>1</v>
          </cell>
          <cell r="P287">
            <v>1</v>
          </cell>
          <cell r="Q287">
            <v>0</v>
          </cell>
          <cell r="R287">
            <v>1</v>
          </cell>
          <cell r="S287">
            <v>0</v>
          </cell>
          <cell r="T287">
            <v>0</v>
          </cell>
        </row>
        <row r="288">
          <cell r="A288" t="str">
            <v>WJABGM02007</v>
          </cell>
          <cell r="B288" t="str">
            <v>WJABGM020</v>
          </cell>
          <cell r="C288" t="str">
            <v>07</v>
          </cell>
          <cell r="D288">
            <v>0</v>
          </cell>
          <cell r="E288">
            <v>0</v>
          </cell>
          <cell r="F288">
            <v>1</v>
          </cell>
          <cell r="G288">
            <v>0</v>
          </cell>
          <cell r="H288">
            <v>0</v>
          </cell>
          <cell r="I288">
            <v>0</v>
          </cell>
          <cell r="J288">
            <v>2</v>
          </cell>
          <cell r="K288">
            <v>1</v>
          </cell>
          <cell r="L288">
            <v>0</v>
          </cell>
          <cell r="M288">
            <v>0</v>
          </cell>
          <cell r="N288">
            <v>0</v>
          </cell>
          <cell r="O288">
            <v>1</v>
          </cell>
          <cell r="P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WJABGM02073</v>
          </cell>
          <cell r="B289" t="str">
            <v>WJABGM020</v>
          </cell>
          <cell r="C289" t="str">
            <v>73</v>
          </cell>
          <cell r="D289">
            <v>0</v>
          </cell>
          <cell r="E289">
            <v>0</v>
          </cell>
          <cell r="F289">
            <v>-1</v>
          </cell>
          <cell r="G289">
            <v>1</v>
          </cell>
          <cell r="H289">
            <v>1</v>
          </cell>
          <cell r="I289">
            <v>3</v>
          </cell>
          <cell r="J289">
            <v>1</v>
          </cell>
          <cell r="K289">
            <v>2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1</v>
          </cell>
          <cell r="S289">
            <v>0</v>
          </cell>
          <cell r="T289">
            <v>0</v>
          </cell>
        </row>
        <row r="290">
          <cell r="A290" t="str">
            <v>WJABGM03005</v>
          </cell>
          <cell r="B290" t="str">
            <v>WJABGM030</v>
          </cell>
          <cell r="C290" t="str">
            <v>05</v>
          </cell>
          <cell r="D290">
            <v>1</v>
          </cell>
          <cell r="E290">
            <v>5</v>
          </cell>
          <cell r="F290">
            <v>2</v>
          </cell>
          <cell r="G290">
            <v>1</v>
          </cell>
          <cell r="H290">
            <v>1</v>
          </cell>
          <cell r="I290">
            <v>1</v>
          </cell>
          <cell r="J290">
            <v>1</v>
          </cell>
          <cell r="K290">
            <v>3</v>
          </cell>
          <cell r="L290">
            <v>0</v>
          </cell>
          <cell r="M290">
            <v>3</v>
          </cell>
          <cell r="N290">
            <v>1</v>
          </cell>
          <cell r="O290">
            <v>2</v>
          </cell>
          <cell r="P290">
            <v>0</v>
          </cell>
          <cell r="Q290">
            <v>2</v>
          </cell>
          <cell r="R290">
            <v>0</v>
          </cell>
          <cell r="S290">
            <v>0</v>
          </cell>
          <cell r="T290">
            <v>3</v>
          </cell>
        </row>
        <row r="291">
          <cell r="A291" t="str">
            <v>WJABGM03024</v>
          </cell>
          <cell r="B291" t="str">
            <v>WJABGM030</v>
          </cell>
          <cell r="C291" t="str">
            <v>24</v>
          </cell>
          <cell r="D291">
            <v>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1</v>
          </cell>
          <cell r="M291">
            <v>0</v>
          </cell>
          <cell r="N291">
            <v>1</v>
          </cell>
          <cell r="O291">
            <v>1</v>
          </cell>
          <cell r="P291">
            <v>0</v>
          </cell>
          <cell r="Q291">
            <v>1</v>
          </cell>
          <cell r="R291">
            <v>0</v>
          </cell>
          <cell r="S291">
            <v>1</v>
          </cell>
          <cell r="T291">
            <v>2</v>
          </cell>
        </row>
        <row r="292">
          <cell r="A292" t="str">
            <v>WJABGM04005</v>
          </cell>
          <cell r="B292" t="str">
            <v>WJABGM040</v>
          </cell>
          <cell r="C292" t="str">
            <v>05</v>
          </cell>
          <cell r="D292">
            <v>1</v>
          </cell>
          <cell r="E292">
            <v>0</v>
          </cell>
          <cell r="F292">
            <v>1</v>
          </cell>
          <cell r="G292">
            <v>2</v>
          </cell>
          <cell r="H292">
            <v>0</v>
          </cell>
          <cell r="I292">
            <v>1</v>
          </cell>
          <cell r="J292">
            <v>1</v>
          </cell>
          <cell r="K292">
            <v>0</v>
          </cell>
          <cell r="L292">
            <v>0</v>
          </cell>
          <cell r="M292">
            <v>2</v>
          </cell>
          <cell r="N292">
            <v>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3</v>
          </cell>
        </row>
        <row r="293">
          <cell r="A293" t="str">
            <v>WJABGM04054</v>
          </cell>
          <cell r="B293" t="str">
            <v>WJABGM040</v>
          </cell>
          <cell r="C293" t="str">
            <v>54</v>
          </cell>
          <cell r="D293">
            <v>0</v>
          </cell>
          <cell r="E293">
            <v>1</v>
          </cell>
          <cell r="F293">
            <v>0</v>
          </cell>
          <cell r="G293">
            <v>1</v>
          </cell>
          <cell r="H293">
            <v>1</v>
          </cell>
          <cell r="I293">
            <v>0</v>
          </cell>
          <cell r="J293">
            <v>2</v>
          </cell>
          <cell r="K293">
            <v>0</v>
          </cell>
          <cell r="L293">
            <v>1</v>
          </cell>
          <cell r="M293">
            <v>1</v>
          </cell>
          <cell r="N293">
            <v>1</v>
          </cell>
          <cell r="O293">
            <v>0</v>
          </cell>
          <cell r="P293">
            <v>1</v>
          </cell>
          <cell r="Q293">
            <v>0</v>
          </cell>
          <cell r="R293">
            <v>0</v>
          </cell>
          <cell r="S293">
            <v>0</v>
          </cell>
          <cell r="T293">
            <v>3</v>
          </cell>
        </row>
        <row r="294">
          <cell r="A294" t="str">
            <v>WJABGM05007</v>
          </cell>
          <cell r="B294" t="str">
            <v>WJABGM050</v>
          </cell>
          <cell r="C294" t="str">
            <v>07</v>
          </cell>
          <cell r="D294">
            <v>6</v>
          </cell>
          <cell r="E294">
            <v>5</v>
          </cell>
          <cell r="F294">
            <v>9</v>
          </cell>
          <cell r="G294">
            <v>7</v>
          </cell>
          <cell r="H294">
            <v>3</v>
          </cell>
          <cell r="I294">
            <v>1</v>
          </cell>
          <cell r="J294">
            <v>1</v>
          </cell>
          <cell r="K294">
            <v>3</v>
          </cell>
          <cell r="L294">
            <v>2</v>
          </cell>
          <cell r="M294">
            <v>4</v>
          </cell>
          <cell r="N294">
            <v>5</v>
          </cell>
          <cell r="O294">
            <v>4</v>
          </cell>
          <cell r="P294">
            <v>3</v>
          </cell>
          <cell r="Q294">
            <v>1</v>
          </cell>
          <cell r="R294">
            <v>3</v>
          </cell>
          <cell r="S294">
            <v>2</v>
          </cell>
          <cell r="T294">
            <v>2</v>
          </cell>
        </row>
        <row r="295">
          <cell r="A295" t="str">
            <v>WJABGM05014</v>
          </cell>
          <cell r="B295" t="str">
            <v>WJABGM050</v>
          </cell>
          <cell r="C295" t="str">
            <v>14</v>
          </cell>
          <cell r="D295">
            <v>2</v>
          </cell>
          <cell r="E295">
            <v>2</v>
          </cell>
          <cell r="F295">
            <v>3</v>
          </cell>
          <cell r="G295">
            <v>2</v>
          </cell>
          <cell r="H295">
            <v>0</v>
          </cell>
          <cell r="I295">
            <v>0</v>
          </cell>
          <cell r="J295">
            <v>1</v>
          </cell>
          <cell r="K295">
            <v>1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1</v>
          </cell>
          <cell r="Q295">
            <v>0</v>
          </cell>
          <cell r="R295">
            <v>0</v>
          </cell>
          <cell r="S295">
            <v>0</v>
          </cell>
          <cell r="T295">
            <v>3</v>
          </cell>
        </row>
        <row r="296">
          <cell r="A296" t="str">
            <v>WJABGM06005</v>
          </cell>
          <cell r="B296" t="str">
            <v>WJABGM060</v>
          </cell>
          <cell r="C296" t="str">
            <v>05</v>
          </cell>
          <cell r="D296">
            <v>2</v>
          </cell>
          <cell r="E296">
            <v>1</v>
          </cell>
          <cell r="F296">
            <v>2</v>
          </cell>
          <cell r="G296">
            <v>3</v>
          </cell>
          <cell r="H296">
            <v>0</v>
          </cell>
          <cell r="I296">
            <v>3</v>
          </cell>
          <cell r="J296">
            <v>2</v>
          </cell>
          <cell r="K296">
            <v>2</v>
          </cell>
          <cell r="L296">
            <v>1</v>
          </cell>
          <cell r="M296">
            <v>3</v>
          </cell>
          <cell r="N296">
            <v>0</v>
          </cell>
          <cell r="O296">
            <v>1</v>
          </cell>
          <cell r="P296">
            <v>2</v>
          </cell>
          <cell r="Q296">
            <v>1</v>
          </cell>
          <cell r="R296">
            <v>2</v>
          </cell>
          <cell r="S296">
            <v>0</v>
          </cell>
          <cell r="T296">
            <v>0</v>
          </cell>
        </row>
        <row r="297">
          <cell r="A297" t="str">
            <v>WJABGM06007</v>
          </cell>
          <cell r="B297" t="str">
            <v>WJABGM060</v>
          </cell>
          <cell r="C297" t="str">
            <v>07</v>
          </cell>
          <cell r="D297">
            <v>6</v>
          </cell>
          <cell r="E297">
            <v>0</v>
          </cell>
          <cell r="F297">
            <v>1</v>
          </cell>
          <cell r="G297">
            <v>1</v>
          </cell>
          <cell r="H297">
            <v>1</v>
          </cell>
          <cell r="I297">
            <v>0</v>
          </cell>
          <cell r="J297">
            <v>1</v>
          </cell>
          <cell r="K297">
            <v>0</v>
          </cell>
          <cell r="L297">
            <v>1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3</v>
          </cell>
          <cell r="S297">
            <v>0</v>
          </cell>
          <cell r="T297">
            <v>1</v>
          </cell>
        </row>
        <row r="298">
          <cell r="A298" t="str">
            <v>WJABGM06024</v>
          </cell>
          <cell r="B298" t="str">
            <v>WJABGM060</v>
          </cell>
          <cell r="C298" t="str">
            <v>24</v>
          </cell>
          <cell r="D298">
            <v>3</v>
          </cell>
          <cell r="E298">
            <v>0</v>
          </cell>
          <cell r="F298">
            <v>2</v>
          </cell>
          <cell r="G298">
            <v>1</v>
          </cell>
          <cell r="H298">
            <v>0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O298">
            <v>0</v>
          </cell>
          <cell r="P298">
            <v>0</v>
          </cell>
          <cell r="Q298">
            <v>1</v>
          </cell>
          <cell r="R298">
            <v>0</v>
          </cell>
          <cell r="S298">
            <v>0</v>
          </cell>
          <cell r="T298">
            <v>2</v>
          </cell>
        </row>
        <row r="299">
          <cell r="A299" t="str">
            <v>WJABGM07015</v>
          </cell>
          <cell r="B299" t="str">
            <v>WJABGM070</v>
          </cell>
          <cell r="C299" t="str">
            <v>15</v>
          </cell>
          <cell r="D299">
            <v>1</v>
          </cell>
          <cell r="E299">
            <v>2</v>
          </cell>
          <cell r="F299">
            <v>4</v>
          </cell>
          <cell r="G299">
            <v>0</v>
          </cell>
          <cell r="H299">
            <v>3</v>
          </cell>
          <cell r="I299">
            <v>2</v>
          </cell>
          <cell r="J299">
            <v>2</v>
          </cell>
          <cell r="K299">
            <v>0</v>
          </cell>
          <cell r="L299">
            <v>2</v>
          </cell>
          <cell r="M299">
            <v>2</v>
          </cell>
          <cell r="N299">
            <v>1</v>
          </cell>
          <cell r="O299">
            <v>3</v>
          </cell>
          <cell r="P299">
            <v>2</v>
          </cell>
          <cell r="Q299">
            <v>2</v>
          </cell>
          <cell r="R299">
            <v>1</v>
          </cell>
          <cell r="S299">
            <v>0</v>
          </cell>
          <cell r="T299">
            <v>3</v>
          </cell>
        </row>
        <row r="300">
          <cell r="A300" t="str">
            <v>WJABGM07024</v>
          </cell>
          <cell r="B300" t="str">
            <v>WJABGM070</v>
          </cell>
          <cell r="C300" t="str">
            <v>24</v>
          </cell>
          <cell r="D300">
            <v>3</v>
          </cell>
          <cell r="E300">
            <v>3</v>
          </cell>
          <cell r="F300">
            <v>4</v>
          </cell>
          <cell r="G300">
            <v>3</v>
          </cell>
          <cell r="H300">
            <v>1</v>
          </cell>
          <cell r="I300">
            <v>1</v>
          </cell>
          <cell r="J300">
            <v>0</v>
          </cell>
          <cell r="K300">
            <v>2</v>
          </cell>
          <cell r="L300">
            <v>1</v>
          </cell>
          <cell r="M300">
            <v>2</v>
          </cell>
          <cell r="N300">
            <v>1</v>
          </cell>
          <cell r="O300">
            <v>1</v>
          </cell>
          <cell r="P300">
            <v>5</v>
          </cell>
          <cell r="Q300">
            <v>1</v>
          </cell>
          <cell r="R300">
            <v>3</v>
          </cell>
          <cell r="S300">
            <v>0</v>
          </cell>
          <cell r="T300">
            <v>2</v>
          </cell>
        </row>
        <row r="301">
          <cell r="A301" t="str">
            <v>WJABGM08024</v>
          </cell>
          <cell r="B301" t="str">
            <v>WJABGM080</v>
          </cell>
          <cell r="C301" t="str">
            <v>24</v>
          </cell>
          <cell r="D301">
            <v>0</v>
          </cell>
          <cell r="E301">
            <v>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2</v>
          </cell>
          <cell r="K301">
            <v>0</v>
          </cell>
          <cell r="L301">
            <v>0</v>
          </cell>
          <cell r="M301">
            <v>0</v>
          </cell>
          <cell r="N301">
            <v>1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WJABGM08043</v>
          </cell>
          <cell r="B302" t="str">
            <v>WJABGM080</v>
          </cell>
          <cell r="C302" t="str">
            <v>43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1</v>
          </cell>
          <cell r="I302">
            <v>1</v>
          </cell>
          <cell r="J302">
            <v>2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WJABKM01007</v>
          </cell>
          <cell r="B303" t="str">
            <v>WJABKM010</v>
          </cell>
          <cell r="C303" t="str">
            <v>07</v>
          </cell>
          <cell r="D303">
            <v>1</v>
          </cell>
          <cell r="E303">
            <v>17</v>
          </cell>
          <cell r="F303">
            <v>0</v>
          </cell>
          <cell r="G303">
            <v>1</v>
          </cell>
          <cell r="H303">
            <v>0</v>
          </cell>
          <cell r="I303">
            <v>2</v>
          </cell>
          <cell r="J303">
            <v>0</v>
          </cell>
          <cell r="K303">
            <v>0</v>
          </cell>
          <cell r="L303">
            <v>1</v>
          </cell>
          <cell r="M303">
            <v>2</v>
          </cell>
          <cell r="N303">
            <v>0</v>
          </cell>
          <cell r="O303">
            <v>1</v>
          </cell>
          <cell r="P303">
            <v>0</v>
          </cell>
          <cell r="Q303">
            <v>10</v>
          </cell>
          <cell r="R303">
            <v>3</v>
          </cell>
          <cell r="S303">
            <v>0</v>
          </cell>
          <cell r="T303">
            <v>2</v>
          </cell>
        </row>
        <row r="304">
          <cell r="A304" t="str">
            <v>WJABKM01054</v>
          </cell>
          <cell r="B304" t="str">
            <v>WJABKM010</v>
          </cell>
          <cell r="C304" t="str">
            <v>54</v>
          </cell>
          <cell r="D304">
            <v>0</v>
          </cell>
          <cell r="E304">
            <v>1</v>
          </cell>
          <cell r="F304">
            <v>0</v>
          </cell>
          <cell r="G304">
            <v>1</v>
          </cell>
          <cell r="H304">
            <v>0</v>
          </cell>
          <cell r="I304">
            <v>2</v>
          </cell>
          <cell r="J304">
            <v>0</v>
          </cell>
          <cell r="K304">
            <v>1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1</v>
          </cell>
          <cell r="R304">
            <v>1</v>
          </cell>
          <cell r="S304">
            <v>0</v>
          </cell>
          <cell r="T304">
            <v>0</v>
          </cell>
        </row>
        <row r="305">
          <cell r="A305" t="str">
            <v>WJABKM02025</v>
          </cell>
          <cell r="B305" t="str">
            <v>WJABKM020</v>
          </cell>
          <cell r="C305" t="str">
            <v>25</v>
          </cell>
          <cell r="D305">
            <v>4</v>
          </cell>
          <cell r="E305">
            <v>6</v>
          </cell>
          <cell r="F305">
            <v>2</v>
          </cell>
          <cell r="G305">
            <v>1</v>
          </cell>
          <cell r="H305">
            <v>1</v>
          </cell>
          <cell r="I305">
            <v>2</v>
          </cell>
          <cell r="J305">
            <v>3</v>
          </cell>
          <cell r="K305">
            <v>0</v>
          </cell>
          <cell r="L305">
            <v>2</v>
          </cell>
          <cell r="M305">
            <v>2</v>
          </cell>
          <cell r="N305">
            <v>4</v>
          </cell>
          <cell r="O305">
            <v>0</v>
          </cell>
          <cell r="P305">
            <v>2</v>
          </cell>
          <cell r="Q305">
            <v>1</v>
          </cell>
          <cell r="R305">
            <v>1</v>
          </cell>
          <cell r="S305">
            <v>1</v>
          </cell>
          <cell r="T305">
            <v>2</v>
          </cell>
        </row>
        <row r="306">
          <cell r="A306" t="str">
            <v>WJABKM02034</v>
          </cell>
          <cell r="B306" t="str">
            <v>WJABKM020</v>
          </cell>
          <cell r="C306" t="str">
            <v>34</v>
          </cell>
          <cell r="D306">
            <v>1</v>
          </cell>
          <cell r="E306">
            <v>14</v>
          </cell>
          <cell r="F306">
            <v>3</v>
          </cell>
          <cell r="G306">
            <v>7</v>
          </cell>
          <cell r="H306">
            <v>2</v>
          </cell>
          <cell r="I306">
            <v>4</v>
          </cell>
          <cell r="J306">
            <v>7</v>
          </cell>
          <cell r="K306">
            <v>6</v>
          </cell>
          <cell r="L306">
            <v>0</v>
          </cell>
          <cell r="M306">
            <v>2</v>
          </cell>
          <cell r="N306">
            <v>1</v>
          </cell>
          <cell r="O306">
            <v>1</v>
          </cell>
          <cell r="P306">
            <v>2</v>
          </cell>
          <cell r="Q306">
            <v>6</v>
          </cell>
          <cell r="R306">
            <v>2</v>
          </cell>
          <cell r="S306">
            <v>0</v>
          </cell>
          <cell r="T306">
            <v>0</v>
          </cell>
        </row>
        <row r="307">
          <cell r="A307" t="str">
            <v>WJABKM02054</v>
          </cell>
          <cell r="B307" t="str">
            <v>WJABKM020</v>
          </cell>
          <cell r="C307" t="str">
            <v>54</v>
          </cell>
          <cell r="D307">
            <v>1</v>
          </cell>
          <cell r="E307">
            <v>9</v>
          </cell>
          <cell r="F307">
            <v>2</v>
          </cell>
          <cell r="G307">
            <v>5</v>
          </cell>
          <cell r="H307">
            <v>2</v>
          </cell>
          <cell r="I307">
            <v>3</v>
          </cell>
          <cell r="J307">
            <v>4</v>
          </cell>
          <cell r="K307">
            <v>3</v>
          </cell>
          <cell r="L307">
            <v>1</v>
          </cell>
          <cell r="M307">
            <v>0</v>
          </cell>
          <cell r="N307">
            <v>1</v>
          </cell>
          <cell r="O307">
            <v>2</v>
          </cell>
          <cell r="P307">
            <v>2</v>
          </cell>
          <cell r="Q307">
            <v>2</v>
          </cell>
          <cell r="R307">
            <v>1</v>
          </cell>
          <cell r="S307">
            <v>2</v>
          </cell>
          <cell r="T307">
            <v>0</v>
          </cell>
        </row>
        <row r="308">
          <cell r="A308" t="str">
            <v>WJABKM03015</v>
          </cell>
          <cell r="B308" t="str">
            <v>WJABKM030</v>
          </cell>
          <cell r="C308" t="str">
            <v>15</v>
          </cell>
          <cell r="D308">
            <v>0</v>
          </cell>
          <cell r="E308">
            <v>0</v>
          </cell>
          <cell r="F308">
            <v>0</v>
          </cell>
          <cell r="G308">
            <v>1</v>
          </cell>
          <cell r="H308">
            <v>1</v>
          </cell>
          <cell r="I308">
            <v>1</v>
          </cell>
          <cell r="J308">
            <v>0</v>
          </cell>
          <cell r="K308">
            <v>1</v>
          </cell>
          <cell r="L308">
            <v>0</v>
          </cell>
          <cell r="M308">
            <v>1</v>
          </cell>
          <cell r="N308">
            <v>1</v>
          </cell>
          <cell r="O308">
            <v>0</v>
          </cell>
          <cell r="P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WJABKM03024</v>
          </cell>
          <cell r="B309" t="str">
            <v>WJABKM030</v>
          </cell>
          <cell r="C309" t="str">
            <v>24</v>
          </cell>
          <cell r="D309">
            <v>2</v>
          </cell>
          <cell r="E309">
            <v>2</v>
          </cell>
          <cell r="F309">
            <v>0</v>
          </cell>
          <cell r="G309">
            <v>1</v>
          </cell>
          <cell r="H309">
            <v>1</v>
          </cell>
          <cell r="I309">
            <v>0</v>
          </cell>
          <cell r="J309">
            <v>0</v>
          </cell>
          <cell r="K309">
            <v>4</v>
          </cell>
          <cell r="L309">
            <v>0</v>
          </cell>
          <cell r="M309">
            <v>0</v>
          </cell>
          <cell r="N309">
            <v>1</v>
          </cell>
          <cell r="O309">
            <v>0</v>
          </cell>
          <cell r="P309">
            <v>1</v>
          </cell>
          <cell r="Q309">
            <v>2</v>
          </cell>
          <cell r="R309">
            <v>2</v>
          </cell>
          <cell r="S309">
            <v>0</v>
          </cell>
          <cell r="T309">
            <v>1</v>
          </cell>
        </row>
        <row r="310">
          <cell r="A310" t="str">
            <v>WJABKM04024</v>
          </cell>
          <cell r="B310" t="str">
            <v>WJABKM040</v>
          </cell>
          <cell r="C310" t="str">
            <v>24</v>
          </cell>
          <cell r="D310">
            <v>1</v>
          </cell>
          <cell r="E310">
            <v>2</v>
          </cell>
          <cell r="F310">
            <v>1</v>
          </cell>
          <cell r="G310">
            <v>1</v>
          </cell>
          <cell r="H310">
            <v>1</v>
          </cell>
          <cell r="I310">
            <v>0</v>
          </cell>
          <cell r="J310">
            <v>1</v>
          </cell>
          <cell r="K310">
            <v>0</v>
          </cell>
          <cell r="L310">
            <v>3</v>
          </cell>
          <cell r="M310">
            <v>2</v>
          </cell>
          <cell r="N310">
            <v>1</v>
          </cell>
          <cell r="O310">
            <v>1</v>
          </cell>
          <cell r="P310">
            <v>1</v>
          </cell>
          <cell r="Q310">
            <v>0</v>
          </cell>
          <cell r="R310">
            <v>0</v>
          </cell>
          <cell r="S310">
            <v>1</v>
          </cell>
          <cell r="T310">
            <v>0</v>
          </cell>
        </row>
        <row r="311">
          <cell r="A311" t="str">
            <v>WJABKM04025</v>
          </cell>
          <cell r="B311" t="str">
            <v>WJABKM040</v>
          </cell>
          <cell r="C311" t="str">
            <v>25</v>
          </cell>
          <cell r="D311">
            <v>0</v>
          </cell>
          <cell r="E311">
            <v>1</v>
          </cell>
          <cell r="F311">
            <v>2</v>
          </cell>
          <cell r="G311">
            <v>1</v>
          </cell>
          <cell r="H311">
            <v>1</v>
          </cell>
          <cell r="I311">
            <v>1</v>
          </cell>
          <cell r="J311">
            <v>0</v>
          </cell>
          <cell r="K311">
            <v>0</v>
          </cell>
          <cell r="L311">
            <v>1</v>
          </cell>
          <cell r="M311">
            <v>0</v>
          </cell>
          <cell r="N311">
            <v>0</v>
          </cell>
          <cell r="O311">
            <v>2</v>
          </cell>
          <cell r="P311">
            <v>1</v>
          </cell>
          <cell r="Q311">
            <v>0</v>
          </cell>
          <cell r="R311">
            <v>2</v>
          </cell>
          <cell r="S311">
            <v>0</v>
          </cell>
          <cell r="T311">
            <v>0</v>
          </cell>
        </row>
        <row r="312">
          <cell r="A312" t="str">
            <v>WJABKM04043</v>
          </cell>
          <cell r="B312" t="str">
            <v>WJABKM040</v>
          </cell>
          <cell r="C312" t="str">
            <v>43</v>
          </cell>
          <cell r="D312">
            <v>0</v>
          </cell>
          <cell r="E312">
            <v>0</v>
          </cell>
          <cell r="F312">
            <v>0</v>
          </cell>
          <cell r="G312">
            <v>1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1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WJABKM05007</v>
          </cell>
          <cell r="B313" t="str">
            <v>WJABKM050</v>
          </cell>
          <cell r="C313" t="str">
            <v>07</v>
          </cell>
          <cell r="D313">
            <v>1</v>
          </cell>
          <cell r="E313">
            <v>2</v>
          </cell>
          <cell r="F313">
            <v>1</v>
          </cell>
          <cell r="G313">
            <v>2</v>
          </cell>
          <cell r="H313">
            <v>4</v>
          </cell>
          <cell r="I313">
            <v>0</v>
          </cell>
          <cell r="J313">
            <v>3</v>
          </cell>
          <cell r="K313">
            <v>5</v>
          </cell>
          <cell r="L313">
            <v>1</v>
          </cell>
          <cell r="M313">
            <v>3</v>
          </cell>
          <cell r="N313">
            <v>1</v>
          </cell>
          <cell r="O313">
            <v>2</v>
          </cell>
          <cell r="P313">
            <v>2</v>
          </cell>
          <cell r="Q313">
            <v>2</v>
          </cell>
          <cell r="R313">
            <v>3</v>
          </cell>
          <cell r="S313">
            <v>0</v>
          </cell>
          <cell r="T313">
            <v>1</v>
          </cell>
        </row>
        <row r="314">
          <cell r="A314" t="str">
            <v>WJABKM05024</v>
          </cell>
          <cell r="B314" t="str">
            <v>WJABKM050</v>
          </cell>
          <cell r="C314" t="str">
            <v>24</v>
          </cell>
          <cell r="D314">
            <v>2</v>
          </cell>
          <cell r="E314">
            <v>0</v>
          </cell>
          <cell r="F314">
            <v>0</v>
          </cell>
          <cell r="G314">
            <v>1</v>
          </cell>
          <cell r="H314">
            <v>0</v>
          </cell>
          <cell r="I314">
            <v>3</v>
          </cell>
          <cell r="J314">
            <v>0</v>
          </cell>
          <cell r="K314">
            <v>0</v>
          </cell>
          <cell r="L314">
            <v>2</v>
          </cell>
          <cell r="M314">
            <v>0</v>
          </cell>
          <cell r="N314">
            <v>1</v>
          </cell>
          <cell r="O314">
            <v>1</v>
          </cell>
          <cell r="P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WJABKM06027</v>
          </cell>
          <cell r="B315" t="str">
            <v>WJABKM060</v>
          </cell>
          <cell r="C315" t="str">
            <v>27</v>
          </cell>
          <cell r="D315">
            <v>1</v>
          </cell>
          <cell r="E315">
            <v>0</v>
          </cell>
          <cell r="F315">
            <v>3</v>
          </cell>
          <cell r="G315">
            <v>1</v>
          </cell>
          <cell r="H315">
            <v>2</v>
          </cell>
          <cell r="I315">
            <v>0</v>
          </cell>
          <cell r="J315">
            <v>0</v>
          </cell>
          <cell r="K315">
            <v>1</v>
          </cell>
          <cell r="L315">
            <v>2</v>
          </cell>
          <cell r="M315">
            <v>1</v>
          </cell>
          <cell r="N315">
            <v>0</v>
          </cell>
          <cell r="O315">
            <v>1</v>
          </cell>
          <cell r="P315">
            <v>1</v>
          </cell>
          <cell r="Q315">
            <v>2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WJABKM06034</v>
          </cell>
          <cell r="B316" t="str">
            <v>WJABKM060</v>
          </cell>
          <cell r="C316" t="str">
            <v>34</v>
          </cell>
          <cell r="D316">
            <v>6</v>
          </cell>
          <cell r="E316">
            <v>5</v>
          </cell>
          <cell r="F316">
            <v>3</v>
          </cell>
          <cell r="G316">
            <v>0</v>
          </cell>
          <cell r="H316">
            <v>4</v>
          </cell>
          <cell r="I316">
            <v>2</v>
          </cell>
          <cell r="J316">
            <v>0</v>
          </cell>
          <cell r="K316">
            <v>2</v>
          </cell>
          <cell r="L316">
            <v>2</v>
          </cell>
          <cell r="M316">
            <v>1</v>
          </cell>
          <cell r="N316">
            <v>1</v>
          </cell>
          <cell r="O316">
            <v>0</v>
          </cell>
          <cell r="P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WJABKM07007</v>
          </cell>
          <cell r="B317" t="str">
            <v>WJABKM070</v>
          </cell>
          <cell r="C317" t="str">
            <v>07</v>
          </cell>
          <cell r="D317">
            <v>1</v>
          </cell>
          <cell r="E317">
            <v>1</v>
          </cell>
          <cell r="F317">
            <v>1</v>
          </cell>
          <cell r="G317">
            <v>0</v>
          </cell>
          <cell r="H317">
            <v>2</v>
          </cell>
          <cell r="I317">
            <v>1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2</v>
          </cell>
          <cell r="P317">
            <v>1</v>
          </cell>
          <cell r="Q317">
            <v>1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WJABKM07072</v>
          </cell>
          <cell r="B318" t="str">
            <v>WJABKM070</v>
          </cell>
          <cell r="C318" t="str">
            <v>72</v>
          </cell>
          <cell r="D318">
            <v>2</v>
          </cell>
          <cell r="E318">
            <v>2</v>
          </cell>
          <cell r="F318">
            <v>0</v>
          </cell>
          <cell r="G318">
            <v>1</v>
          </cell>
          <cell r="H318">
            <v>3</v>
          </cell>
          <cell r="I318">
            <v>4</v>
          </cell>
          <cell r="J318">
            <v>2</v>
          </cell>
          <cell r="K318">
            <v>3</v>
          </cell>
          <cell r="L318">
            <v>2</v>
          </cell>
          <cell r="M318">
            <v>1</v>
          </cell>
          <cell r="N318">
            <v>1</v>
          </cell>
          <cell r="O318">
            <v>1</v>
          </cell>
          <cell r="P318">
            <v>2</v>
          </cell>
          <cell r="Q318">
            <v>2</v>
          </cell>
          <cell r="R318">
            <v>1</v>
          </cell>
          <cell r="S318">
            <v>0</v>
          </cell>
          <cell r="T318">
            <v>0</v>
          </cell>
        </row>
        <row r="319">
          <cell r="A319" t="str">
            <v>WJACBM01025</v>
          </cell>
          <cell r="B319" t="str">
            <v>WJACBM010</v>
          </cell>
          <cell r="C319" t="str">
            <v>25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WJACBM02025</v>
          </cell>
          <cell r="B320" t="str">
            <v>WJACBM020</v>
          </cell>
          <cell r="C320" t="str">
            <v>25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WJACBM03064</v>
          </cell>
          <cell r="B321" t="str">
            <v>WJACBM030</v>
          </cell>
          <cell r="C321" t="str">
            <v>64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WJACBM04043</v>
          </cell>
          <cell r="B322" t="str">
            <v>WJACBM040</v>
          </cell>
          <cell r="C322" t="str">
            <v>43</v>
          </cell>
          <cell r="D322">
            <v>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WJACBM05034</v>
          </cell>
          <cell r="B323" t="str">
            <v>WJACBM050</v>
          </cell>
          <cell r="C323" t="str">
            <v>34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WJACBM06027</v>
          </cell>
          <cell r="B324" t="str">
            <v>WJACBM060</v>
          </cell>
          <cell r="C324" t="str">
            <v>27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WJACBM07027</v>
          </cell>
          <cell r="B325" t="str">
            <v>WJACBM070</v>
          </cell>
          <cell r="C325" t="str">
            <v>27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WJACBM07043</v>
          </cell>
          <cell r="B326" t="str">
            <v>WJACBM070</v>
          </cell>
          <cell r="C326" t="str">
            <v>43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WJACBM08064</v>
          </cell>
          <cell r="B327" t="str">
            <v>WJACBM080</v>
          </cell>
          <cell r="C327" t="str">
            <v>64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WJACBM09007</v>
          </cell>
          <cell r="B328" t="str">
            <v>WJACBM090</v>
          </cell>
          <cell r="C328" t="str">
            <v>07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WJACBM10064</v>
          </cell>
          <cell r="B329" t="str">
            <v>WJACBM100</v>
          </cell>
          <cell r="C329" t="str">
            <v>64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WJACBM11007</v>
          </cell>
          <cell r="B330" t="str">
            <v>WJACBM110</v>
          </cell>
          <cell r="C330" t="str">
            <v>07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WJACBM12064</v>
          </cell>
          <cell r="B331" t="str">
            <v>WJACBM120</v>
          </cell>
          <cell r="C331" t="str">
            <v>64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WJACBM13043</v>
          </cell>
          <cell r="B332" t="str">
            <v>WJACBM130</v>
          </cell>
          <cell r="C332" t="str">
            <v>43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WJACBM14043</v>
          </cell>
          <cell r="B333" t="str">
            <v>WJACBM140</v>
          </cell>
          <cell r="C333" t="str">
            <v>43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WJACBM15027</v>
          </cell>
          <cell r="B334" t="str">
            <v>WJACBM150</v>
          </cell>
          <cell r="C334" t="str">
            <v>27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WJACBM16034</v>
          </cell>
          <cell r="B335" t="str">
            <v>WJACBM160</v>
          </cell>
          <cell r="C335" t="str">
            <v>34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WJACBM17007</v>
          </cell>
          <cell r="B336" t="str">
            <v>WJACBM170</v>
          </cell>
          <cell r="C336" t="str">
            <v>07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WJACBM18035</v>
          </cell>
          <cell r="B337" t="str">
            <v>WJACBM180</v>
          </cell>
          <cell r="C337" t="str">
            <v>35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WJACBM19035</v>
          </cell>
          <cell r="B338" t="str">
            <v>WJACBM190</v>
          </cell>
          <cell r="C338" t="str">
            <v>35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WJACBM20015</v>
          </cell>
          <cell r="B339" t="str">
            <v>WJACBM200</v>
          </cell>
          <cell r="C339" t="str">
            <v>15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WJACBM21007</v>
          </cell>
          <cell r="B340" t="str">
            <v>WJACBM210</v>
          </cell>
          <cell r="C340" t="str">
            <v>07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WJACBM22005</v>
          </cell>
          <cell r="B341" t="str">
            <v>WJACBM220</v>
          </cell>
          <cell r="C341" t="str">
            <v>05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WJACBM23034</v>
          </cell>
          <cell r="B342" t="str">
            <v>WJACBM230</v>
          </cell>
          <cell r="C342" t="str">
            <v>34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WJACBM24007</v>
          </cell>
          <cell r="B343" t="str">
            <v>WJACBM240</v>
          </cell>
          <cell r="C343" t="str">
            <v>07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WJACBM25043</v>
          </cell>
          <cell r="B344" t="str">
            <v>WJACBM250</v>
          </cell>
          <cell r="C344" t="str">
            <v>43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WJACBM26005</v>
          </cell>
          <cell r="B345" t="str">
            <v>WJACBM260</v>
          </cell>
          <cell r="C345" t="str">
            <v>05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WJACBM27053</v>
          </cell>
          <cell r="B346" t="str">
            <v>WJACBM270</v>
          </cell>
          <cell r="C346" t="str">
            <v>53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WJACBM28034</v>
          </cell>
          <cell r="B347" t="str">
            <v>WJACBM280</v>
          </cell>
          <cell r="C347" t="str">
            <v>34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WJACBM29027</v>
          </cell>
          <cell r="B348" t="str">
            <v>WJACBM290</v>
          </cell>
          <cell r="C348" t="str">
            <v>27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WJACBM30015</v>
          </cell>
          <cell r="B349" t="str">
            <v>WJACBM300</v>
          </cell>
          <cell r="C349" t="str">
            <v>15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WJACBM31043</v>
          </cell>
          <cell r="B350" t="str">
            <v>WJACBM310</v>
          </cell>
          <cell r="C350" t="str">
            <v>43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WJACBM32001</v>
          </cell>
          <cell r="B351" t="str">
            <v>WJACBM320</v>
          </cell>
          <cell r="C351" t="str">
            <v>01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WJACBM33043</v>
          </cell>
          <cell r="B352" t="str">
            <v>WJACBM330</v>
          </cell>
          <cell r="C352" t="str">
            <v>43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WJACBM34043</v>
          </cell>
          <cell r="B353" t="str">
            <v>WJACBM340</v>
          </cell>
          <cell r="C353" t="str">
            <v>43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WJACBM35043</v>
          </cell>
          <cell r="B354" t="str">
            <v>WJACBM350</v>
          </cell>
          <cell r="C354" t="str">
            <v>43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WJACBM36043</v>
          </cell>
          <cell r="B355" t="str">
            <v>WJACBM360</v>
          </cell>
          <cell r="C355" t="str">
            <v>43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WJACBM37034</v>
          </cell>
          <cell r="B356" t="str">
            <v>WJACBM370</v>
          </cell>
          <cell r="C356" t="str">
            <v>34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WJACBM38015</v>
          </cell>
          <cell r="B357" t="str">
            <v>WJACBM380</v>
          </cell>
          <cell r="C357" t="str">
            <v>15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A358" t="str">
            <v>WJACBM39025</v>
          </cell>
          <cell r="B358" t="str">
            <v>WJACBM390</v>
          </cell>
          <cell r="C358" t="str">
            <v>25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</row>
        <row r="359">
          <cell r="A359" t="str">
            <v>WJACBM40064</v>
          </cell>
          <cell r="B359" t="str">
            <v>WJACBM400</v>
          </cell>
          <cell r="C359" t="str">
            <v>64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A360" t="str">
            <v>WJACBM41008</v>
          </cell>
          <cell r="B360" t="str">
            <v>WJACBM410</v>
          </cell>
          <cell r="C360" t="str">
            <v>08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</row>
        <row r="361">
          <cell r="A361" t="str">
            <v>WJACBM42005</v>
          </cell>
          <cell r="B361" t="str">
            <v>WJACBM420</v>
          </cell>
          <cell r="C361" t="str">
            <v>05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A362" t="str">
            <v>WJACBM42008</v>
          </cell>
          <cell r="B362" t="str">
            <v>WJACBM420</v>
          </cell>
          <cell r="C362" t="str">
            <v>08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A363" t="str">
            <v>WJACBM42025</v>
          </cell>
          <cell r="B363" t="str">
            <v>WJACBM420</v>
          </cell>
          <cell r="C363" t="str">
            <v>25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A364" t="str">
            <v>WJACBM42043</v>
          </cell>
          <cell r="B364" t="str">
            <v>WJACBM420</v>
          </cell>
          <cell r="C364" t="str">
            <v>43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</row>
        <row r="365">
          <cell r="A365" t="str">
            <v>WJACBM43064</v>
          </cell>
          <cell r="B365" t="str">
            <v>WJACBM430</v>
          </cell>
          <cell r="C365" t="str">
            <v>64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A366" t="str">
            <v>WJACBM44043</v>
          </cell>
          <cell r="B366" t="str">
            <v>WJACBM440</v>
          </cell>
          <cell r="C366" t="str">
            <v>43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</row>
        <row r="367">
          <cell r="A367" t="str">
            <v>WJACBM45025</v>
          </cell>
          <cell r="B367" t="str">
            <v>WJACBM450</v>
          </cell>
          <cell r="C367" t="str">
            <v>25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</row>
        <row r="368">
          <cell r="A368" t="str">
            <v>WJACBM46025</v>
          </cell>
          <cell r="B368" t="str">
            <v>WJACBM460</v>
          </cell>
          <cell r="C368" t="str">
            <v>25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A369" t="str">
            <v>WJACBM47034</v>
          </cell>
          <cell r="B369" t="str">
            <v>WJACBM470</v>
          </cell>
          <cell r="C369" t="str">
            <v>34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</row>
        <row r="370">
          <cell r="A370" t="str">
            <v>WJACBM48034</v>
          </cell>
          <cell r="B370" t="str">
            <v>WJACBM480</v>
          </cell>
          <cell r="C370" t="str">
            <v>34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</row>
        <row r="371">
          <cell r="A371" t="str">
            <v>WJACBM49034</v>
          </cell>
          <cell r="B371" t="str">
            <v>WJACBM490</v>
          </cell>
          <cell r="C371" t="str">
            <v>34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</row>
        <row r="372">
          <cell r="A372" t="str">
            <v>WJACBM50001</v>
          </cell>
          <cell r="B372" t="str">
            <v>WJACBM500</v>
          </cell>
          <cell r="C372" t="str">
            <v>01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</row>
        <row r="373">
          <cell r="A373" t="str">
            <v>WJACBM51034</v>
          </cell>
          <cell r="B373" t="str">
            <v>WJACBM510</v>
          </cell>
          <cell r="C373" t="str">
            <v>34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</row>
        <row r="374">
          <cell r="A374" t="str">
            <v>WJACBM52034</v>
          </cell>
          <cell r="B374" t="str">
            <v>WJACBM520</v>
          </cell>
          <cell r="C374" t="str">
            <v>34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</row>
        <row r="375">
          <cell r="A375" t="str">
            <v>WJACBM53064</v>
          </cell>
          <cell r="B375" t="str">
            <v>WJACBM530</v>
          </cell>
          <cell r="C375" t="str">
            <v>64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</row>
        <row r="376">
          <cell r="A376" t="str">
            <v>WJACBM54005</v>
          </cell>
          <cell r="B376" t="str">
            <v>WJACBM540</v>
          </cell>
          <cell r="C376" t="str">
            <v>05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</row>
        <row r="377">
          <cell r="A377" t="str">
            <v>WJACBM55034</v>
          </cell>
          <cell r="B377" t="str">
            <v>WJACBM550</v>
          </cell>
          <cell r="C377" t="str">
            <v>34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</row>
        <row r="378">
          <cell r="A378" t="str">
            <v>WJACBM56008</v>
          </cell>
          <cell r="B378" t="str">
            <v>WJACBM560</v>
          </cell>
          <cell r="C378" t="str">
            <v>08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</row>
        <row r="379">
          <cell r="A379" t="str">
            <v>WJACBM57043</v>
          </cell>
          <cell r="B379" t="str">
            <v>WJACBM570</v>
          </cell>
          <cell r="C379" t="str">
            <v>43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</row>
        <row r="380">
          <cell r="A380" t="str">
            <v>WJACBM58025</v>
          </cell>
          <cell r="B380" t="str">
            <v>WJACBM580</v>
          </cell>
          <cell r="C380" t="str">
            <v>25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A381" t="str">
            <v>WJACBM59027</v>
          </cell>
          <cell r="B381" t="str">
            <v>WJACBM590</v>
          </cell>
          <cell r="C381" t="str">
            <v>27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A382" t="str">
            <v>WJACBM60008</v>
          </cell>
          <cell r="B382" t="str">
            <v>WJACBM600</v>
          </cell>
          <cell r="C382" t="str">
            <v>08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A383" t="str">
            <v>WJACBM61008</v>
          </cell>
          <cell r="B383" t="str">
            <v>WJACBM610</v>
          </cell>
          <cell r="C383" t="str">
            <v>08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4">
          <cell r="A384" t="str">
            <v>WJACBM62008</v>
          </cell>
          <cell r="B384" t="str">
            <v>WJACBM620</v>
          </cell>
          <cell r="C384" t="str">
            <v>08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</row>
        <row r="385">
          <cell r="A385" t="str">
            <v>WJACBM63001</v>
          </cell>
          <cell r="B385" t="str">
            <v>WJACBM630</v>
          </cell>
          <cell r="C385" t="str">
            <v>01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A386" t="str">
            <v>WJACBM63027</v>
          </cell>
          <cell r="B386" t="str">
            <v>WJACBM630</v>
          </cell>
          <cell r="C386" t="str">
            <v>27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A387" t="str">
            <v>WJACBM64027</v>
          </cell>
          <cell r="B387" t="str">
            <v>WJACBM640</v>
          </cell>
          <cell r="C387" t="str">
            <v>27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88">
          <cell r="A388" t="str">
            <v>WJACBM65006</v>
          </cell>
          <cell r="B388" t="str">
            <v>WJACBM650</v>
          </cell>
          <cell r="C388" t="str">
            <v>06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</row>
        <row r="389">
          <cell r="A389" t="str">
            <v>WJACBM66005</v>
          </cell>
          <cell r="B389" t="str">
            <v>WJACBM660</v>
          </cell>
          <cell r="C389" t="str">
            <v>05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</row>
        <row r="390">
          <cell r="A390" t="str">
            <v>WJACBM66015</v>
          </cell>
          <cell r="B390" t="str">
            <v>WJACBM660</v>
          </cell>
          <cell r="C390" t="str">
            <v>15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A391" t="str">
            <v>WJACBM67005</v>
          </cell>
          <cell r="B391" t="str">
            <v>WJACBM670</v>
          </cell>
          <cell r="C391" t="str">
            <v>05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</row>
        <row r="392">
          <cell r="A392" t="str">
            <v>WJACBM68015</v>
          </cell>
          <cell r="B392" t="str">
            <v>WJACBM680</v>
          </cell>
          <cell r="C392" t="str">
            <v>15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A393" t="str">
            <v>WJACBM68054</v>
          </cell>
          <cell r="B393" t="str">
            <v>WJACBM680</v>
          </cell>
          <cell r="C393" t="str">
            <v>54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</row>
        <row r="394">
          <cell r="A394" t="str">
            <v>WJACBM69017</v>
          </cell>
          <cell r="B394" t="str">
            <v>WJACBM690</v>
          </cell>
          <cell r="C394" t="str">
            <v>17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</row>
        <row r="395">
          <cell r="A395" t="str">
            <v>WJACBM70034</v>
          </cell>
          <cell r="B395" t="str">
            <v>WJACBM700</v>
          </cell>
          <cell r="C395" t="str">
            <v>34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</row>
        <row r="396">
          <cell r="A396" t="str">
            <v>WJACBM71007</v>
          </cell>
          <cell r="B396" t="str">
            <v>WJACBM710</v>
          </cell>
          <cell r="C396" t="str">
            <v>07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</row>
        <row r="397">
          <cell r="A397" t="str">
            <v>WJACBM72064</v>
          </cell>
          <cell r="B397" t="str">
            <v>WJACBM720</v>
          </cell>
          <cell r="C397" t="str">
            <v>64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</row>
        <row r="398">
          <cell r="A398" t="str">
            <v>WJACBM73064</v>
          </cell>
          <cell r="B398" t="str">
            <v>WJACBM730</v>
          </cell>
          <cell r="C398" t="str">
            <v>64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A399" t="str">
            <v>WJACBM74007</v>
          </cell>
          <cell r="B399" t="str">
            <v>WJACBM740</v>
          </cell>
          <cell r="C399" t="str">
            <v>07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A400" t="str">
            <v>WJACBM75005</v>
          </cell>
          <cell r="B400" t="str">
            <v>WJACBM750</v>
          </cell>
          <cell r="C400" t="str">
            <v>05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</row>
        <row r="401">
          <cell r="A401" t="str">
            <v>WJACBM75008</v>
          </cell>
          <cell r="B401" t="str">
            <v>WJACBM750</v>
          </cell>
          <cell r="C401" t="str">
            <v>08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</row>
        <row r="402">
          <cell r="A402" t="str">
            <v>WJACBM76005</v>
          </cell>
          <cell r="B402" t="str">
            <v>WJACBM760</v>
          </cell>
          <cell r="C402" t="str">
            <v>05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</row>
        <row r="403">
          <cell r="A403" t="str">
            <v>WJACBM76008</v>
          </cell>
          <cell r="B403" t="str">
            <v>WJACBM760</v>
          </cell>
          <cell r="C403" t="str">
            <v>08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</row>
        <row r="404">
          <cell r="A404" t="str">
            <v>WJACBM77007</v>
          </cell>
          <cell r="B404" t="str">
            <v>WJACBM770</v>
          </cell>
          <cell r="C404" t="str">
            <v>07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</row>
        <row r="405">
          <cell r="A405" t="str">
            <v>WJACBM78008</v>
          </cell>
          <cell r="B405" t="str">
            <v>WJACBM780</v>
          </cell>
          <cell r="C405" t="str">
            <v>08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</row>
        <row r="406">
          <cell r="A406" t="str">
            <v>WJACBM79034</v>
          </cell>
          <cell r="B406" t="str">
            <v>WJACBM790</v>
          </cell>
          <cell r="C406" t="str">
            <v>34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</row>
        <row r="407">
          <cell r="A407" t="str">
            <v>WJACBM80027</v>
          </cell>
          <cell r="B407" t="str">
            <v>WJACBM800</v>
          </cell>
          <cell r="C407" t="str">
            <v>27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</row>
        <row r="408">
          <cell r="A408" t="str">
            <v>WJACBM81034</v>
          </cell>
          <cell r="B408" t="str">
            <v>WJACBM810</v>
          </cell>
          <cell r="C408" t="str">
            <v>34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</row>
        <row r="409">
          <cell r="A409" t="str">
            <v>WJACBM82008</v>
          </cell>
          <cell r="B409" t="str">
            <v>WJACBM820</v>
          </cell>
          <cell r="C409" t="str">
            <v>08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</row>
        <row r="410">
          <cell r="A410" t="str">
            <v>WJACBM83007</v>
          </cell>
          <cell r="B410" t="str">
            <v>WJACBM830</v>
          </cell>
          <cell r="C410" t="str">
            <v>07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</row>
        <row r="411">
          <cell r="A411" t="str">
            <v>WJACBM84007</v>
          </cell>
          <cell r="B411" t="str">
            <v>WJACBM840</v>
          </cell>
          <cell r="C411" t="str">
            <v>07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</row>
        <row r="412">
          <cell r="A412" t="str">
            <v>WJACBM84035</v>
          </cell>
          <cell r="B412" t="str">
            <v>WJACBM840</v>
          </cell>
          <cell r="C412" t="str">
            <v>35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</row>
        <row r="413">
          <cell r="A413" t="str">
            <v>WJACPM01024</v>
          </cell>
          <cell r="B413" t="str">
            <v>WJACPM010</v>
          </cell>
          <cell r="C413" t="str">
            <v>24</v>
          </cell>
          <cell r="D413">
            <v>5</v>
          </cell>
          <cell r="E413">
            <v>8</v>
          </cell>
          <cell r="F413">
            <v>2</v>
          </cell>
          <cell r="G413">
            <v>4</v>
          </cell>
          <cell r="H413">
            <v>2</v>
          </cell>
          <cell r="I413">
            <v>6</v>
          </cell>
          <cell r="J413">
            <v>2</v>
          </cell>
          <cell r="K413">
            <v>1</v>
          </cell>
          <cell r="L413">
            <v>2</v>
          </cell>
          <cell r="M413">
            <v>6</v>
          </cell>
          <cell r="N413">
            <v>6</v>
          </cell>
          <cell r="O413">
            <v>1</v>
          </cell>
          <cell r="P413">
            <v>2</v>
          </cell>
          <cell r="Q413">
            <v>5</v>
          </cell>
          <cell r="R413">
            <v>2</v>
          </cell>
          <cell r="S413">
            <v>0</v>
          </cell>
          <cell r="T413">
            <v>0</v>
          </cell>
        </row>
        <row r="414">
          <cell r="A414" t="str">
            <v>WJACPM01073</v>
          </cell>
          <cell r="B414" t="str">
            <v>WJACPM010</v>
          </cell>
          <cell r="C414" t="str">
            <v>73</v>
          </cell>
          <cell r="D414">
            <v>3</v>
          </cell>
          <cell r="E414">
            <v>12</v>
          </cell>
          <cell r="F414">
            <v>8</v>
          </cell>
          <cell r="G414">
            <v>7</v>
          </cell>
          <cell r="H414">
            <v>5</v>
          </cell>
          <cell r="I414">
            <v>4</v>
          </cell>
          <cell r="J414">
            <v>11</v>
          </cell>
          <cell r="K414">
            <v>4</v>
          </cell>
          <cell r="L414">
            <v>0</v>
          </cell>
          <cell r="M414">
            <v>3</v>
          </cell>
          <cell r="N414">
            <v>4</v>
          </cell>
          <cell r="O414">
            <v>1</v>
          </cell>
          <cell r="P414">
            <v>1</v>
          </cell>
          <cell r="Q414">
            <v>5</v>
          </cell>
          <cell r="R414">
            <v>1</v>
          </cell>
          <cell r="S414">
            <v>0</v>
          </cell>
          <cell r="T414">
            <v>0</v>
          </cell>
        </row>
        <row r="415">
          <cell r="A415" t="str">
            <v>WJACPM02008</v>
          </cell>
          <cell r="B415" t="str">
            <v>WJACPM020</v>
          </cell>
          <cell r="C415" t="str">
            <v>08</v>
          </cell>
          <cell r="D415">
            <v>2</v>
          </cell>
          <cell r="E415">
            <v>1</v>
          </cell>
          <cell r="F415">
            <v>2</v>
          </cell>
          <cell r="G415">
            <v>3</v>
          </cell>
          <cell r="H415">
            <v>4</v>
          </cell>
          <cell r="I415">
            <v>5</v>
          </cell>
          <cell r="J415">
            <v>4</v>
          </cell>
          <cell r="K415">
            <v>2</v>
          </cell>
          <cell r="L415">
            <v>1</v>
          </cell>
          <cell r="M415">
            <v>2</v>
          </cell>
          <cell r="N415">
            <v>1</v>
          </cell>
          <cell r="O415">
            <v>0</v>
          </cell>
          <cell r="P415">
            <v>3</v>
          </cell>
          <cell r="Q415">
            <v>3</v>
          </cell>
          <cell r="R415">
            <v>1</v>
          </cell>
          <cell r="S415">
            <v>0</v>
          </cell>
          <cell r="T415">
            <v>0</v>
          </cell>
        </row>
        <row r="416">
          <cell r="A416" t="str">
            <v>WJACPM31024</v>
          </cell>
          <cell r="B416" t="str">
            <v>WJACPM310</v>
          </cell>
          <cell r="C416" t="str">
            <v>24</v>
          </cell>
          <cell r="D416">
            <v>6</v>
          </cell>
          <cell r="E416">
            <v>4</v>
          </cell>
          <cell r="F416">
            <v>3</v>
          </cell>
          <cell r="G416">
            <v>6</v>
          </cell>
          <cell r="H416">
            <v>5</v>
          </cell>
          <cell r="I416">
            <v>5</v>
          </cell>
          <cell r="J416">
            <v>5</v>
          </cell>
          <cell r="K416">
            <v>7</v>
          </cell>
          <cell r="L416">
            <v>3</v>
          </cell>
          <cell r="M416">
            <v>6</v>
          </cell>
          <cell r="N416">
            <v>3</v>
          </cell>
          <cell r="O416">
            <v>0</v>
          </cell>
          <cell r="P416">
            <v>6</v>
          </cell>
          <cell r="Q416">
            <v>5</v>
          </cell>
          <cell r="R416">
            <v>1</v>
          </cell>
          <cell r="S416">
            <v>0</v>
          </cell>
          <cell r="T416">
            <v>0</v>
          </cell>
        </row>
        <row r="417">
          <cell r="A417" t="str">
            <v>WJACPM32073</v>
          </cell>
          <cell r="B417" t="str">
            <v>WJACPM320</v>
          </cell>
          <cell r="C417" t="str">
            <v>73</v>
          </cell>
          <cell r="D417">
            <v>7</v>
          </cell>
          <cell r="E417">
            <v>0</v>
          </cell>
          <cell r="F417">
            <v>2</v>
          </cell>
          <cell r="G417">
            <v>3</v>
          </cell>
          <cell r="H417">
            <v>2</v>
          </cell>
          <cell r="I417">
            <v>2</v>
          </cell>
          <cell r="J417">
            <v>2</v>
          </cell>
          <cell r="K417">
            <v>3</v>
          </cell>
          <cell r="L417">
            <v>2</v>
          </cell>
          <cell r="M417">
            <v>1</v>
          </cell>
          <cell r="N417">
            <v>0</v>
          </cell>
          <cell r="O417">
            <v>0</v>
          </cell>
          <cell r="P417">
            <v>3</v>
          </cell>
          <cell r="Q417">
            <v>2</v>
          </cell>
          <cell r="R417">
            <v>1</v>
          </cell>
          <cell r="S417">
            <v>0</v>
          </cell>
          <cell r="T417">
            <v>0</v>
          </cell>
        </row>
        <row r="418">
          <cell r="A418" t="str">
            <v>WJACPM33025</v>
          </cell>
          <cell r="B418" t="str">
            <v>WJACPM330</v>
          </cell>
          <cell r="C418" t="str">
            <v>25</v>
          </cell>
          <cell r="D418">
            <v>4</v>
          </cell>
          <cell r="E418">
            <v>2</v>
          </cell>
          <cell r="F418">
            <v>5</v>
          </cell>
          <cell r="G418">
            <v>3</v>
          </cell>
          <cell r="H418">
            <v>5</v>
          </cell>
          <cell r="I418">
            <v>1</v>
          </cell>
          <cell r="J418">
            <v>5</v>
          </cell>
          <cell r="K418">
            <v>5</v>
          </cell>
          <cell r="L418">
            <v>1</v>
          </cell>
          <cell r="M418">
            <v>1</v>
          </cell>
          <cell r="N418">
            <v>2</v>
          </cell>
          <cell r="O418">
            <v>2</v>
          </cell>
          <cell r="P418">
            <v>6</v>
          </cell>
          <cell r="Q418">
            <v>3</v>
          </cell>
          <cell r="R418">
            <v>0</v>
          </cell>
          <cell r="S418">
            <v>1</v>
          </cell>
          <cell r="T418">
            <v>1</v>
          </cell>
        </row>
        <row r="419">
          <cell r="A419" t="str">
            <v>WJACPM34005</v>
          </cell>
          <cell r="B419" t="str">
            <v>WJACPM340</v>
          </cell>
          <cell r="C419" t="str">
            <v>05</v>
          </cell>
          <cell r="D419">
            <v>7</v>
          </cell>
          <cell r="E419">
            <v>1</v>
          </cell>
          <cell r="F419">
            <v>6</v>
          </cell>
          <cell r="G419">
            <v>5</v>
          </cell>
          <cell r="H419">
            <v>3</v>
          </cell>
          <cell r="I419">
            <v>1</v>
          </cell>
          <cell r="J419">
            <v>3</v>
          </cell>
          <cell r="K419">
            <v>1</v>
          </cell>
          <cell r="L419">
            <v>3</v>
          </cell>
          <cell r="M419">
            <v>2</v>
          </cell>
          <cell r="N419">
            <v>0</v>
          </cell>
          <cell r="O419">
            <v>2</v>
          </cell>
          <cell r="P419">
            <v>3</v>
          </cell>
          <cell r="Q419">
            <v>1</v>
          </cell>
          <cell r="R419">
            <v>2</v>
          </cell>
          <cell r="S419">
            <v>1</v>
          </cell>
          <cell r="T419">
            <v>0</v>
          </cell>
        </row>
        <row r="420">
          <cell r="A420" t="str">
            <v>WJACPM35007</v>
          </cell>
          <cell r="B420" t="str">
            <v>WJACPM350</v>
          </cell>
          <cell r="C420" t="str">
            <v>07</v>
          </cell>
          <cell r="D420">
            <v>3</v>
          </cell>
          <cell r="E420">
            <v>2</v>
          </cell>
          <cell r="F420">
            <v>1</v>
          </cell>
          <cell r="G420">
            <v>3</v>
          </cell>
          <cell r="H420">
            <v>1</v>
          </cell>
          <cell r="I420">
            <v>3</v>
          </cell>
          <cell r="J420">
            <v>2</v>
          </cell>
          <cell r="K420">
            <v>3</v>
          </cell>
          <cell r="L420">
            <v>1</v>
          </cell>
          <cell r="M420">
            <v>2</v>
          </cell>
          <cell r="N420">
            <v>2</v>
          </cell>
          <cell r="O420">
            <v>3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A421" t="str">
            <v>WJACPM36008</v>
          </cell>
          <cell r="B421" t="str">
            <v>WJACPM360</v>
          </cell>
          <cell r="C421" t="str">
            <v>08</v>
          </cell>
          <cell r="D421">
            <v>4</v>
          </cell>
          <cell r="E421">
            <v>5</v>
          </cell>
          <cell r="F421">
            <v>2</v>
          </cell>
          <cell r="G421">
            <v>10</v>
          </cell>
          <cell r="H421">
            <v>5</v>
          </cell>
          <cell r="I421">
            <v>8</v>
          </cell>
          <cell r="J421">
            <v>2</v>
          </cell>
          <cell r="K421">
            <v>8</v>
          </cell>
          <cell r="L421">
            <v>1</v>
          </cell>
          <cell r="M421">
            <v>5</v>
          </cell>
          <cell r="N421">
            <v>4</v>
          </cell>
          <cell r="O421">
            <v>3</v>
          </cell>
          <cell r="P421">
            <v>4</v>
          </cell>
          <cell r="Q421">
            <v>2</v>
          </cell>
          <cell r="R421">
            <v>1</v>
          </cell>
          <cell r="S421">
            <v>0</v>
          </cell>
          <cell r="T421">
            <v>1</v>
          </cell>
        </row>
        <row r="422">
          <cell r="A422" t="str">
            <v>WJACPM36021</v>
          </cell>
          <cell r="B422" t="str">
            <v>WJACPM360</v>
          </cell>
          <cell r="C422" t="str">
            <v>21</v>
          </cell>
          <cell r="D422">
            <v>11</v>
          </cell>
          <cell r="E422">
            <v>9</v>
          </cell>
          <cell r="F422">
            <v>11</v>
          </cell>
          <cell r="G422">
            <v>6</v>
          </cell>
          <cell r="H422">
            <v>6</v>
          </cell>
          <cell r="I422">
            <v>10</v>
          </cell>
          <cell r="J422">
            <v>5</v>
          </cell>
          <cell r="K422">
            <v>5</v>
          </cell>
          <cell r="L422">
            <v>6</v>
          </cell>
          <cell r="M422">
            <v>7</v>
          </cell>
          <cell r="N422">
            <v>7</v>
          </cell>
          <cell r="O422">
            <v>6</v>
          </cell>
          <cell r="P422">
            <v>7</v>
          </cell>
          <cell r="Q422">
            <v>2</v>
          </cell>
          <cell r="R422">
            <v>9</v>
          </cell>
          <cell r="S422">
            <v>1</v>
          </cell>
          <cell r="T422">
            <v>1</v>
          </cell>
        </row>
        <row r="423">
          <cell r="A423" t="str">
            <v>WJACPM36033</v>
          </cell>
          <cell r="B423" t="str">
            <v>WJACPM360</v>
          </cell>
          <cell r="C423" t="str">
            <v>33</v>
          </cell>
          <cell r="D423">
            <v>9</v>
          </cell>
          <cell r="E423">
            <v>5</v>
          </cell>
          <cell r="F423">
            <v>5</v>
          </cell>
          <cell r="G423">
            <v>3</v>
          </cell>
          <cell r="H423">
            <v>5</v>
          </cell>
          <cell r="I423">
            <v>2</v>
          </cell>
          <cell r="J423">
            <v>1</v>
          </cell>
          <cell r="K423">
            <v>5</v>
          </cell>
          <cell r="L423">
            <v>3</v>
          </cell>
          <cell r="M423">
            <v>5</v>
          </cell>
          <cell r="N423">
            <v>3</v>
          </cell>
          <cell r="O423">
            <v>0</v>
          </cell>
          <cell r="P423">
            <v>3</v>
          </cell>
          <cell r="Q423">
            <v>2</v>
          </cell>
          <cell r="R423">
            <v>3</v>
          </cell>
          <cell r="S423">
            <v>1</v>
          </cell>
          <cell r="T423">
            <v>1</v>
          </cell>
        </row>
        <row r="424">
          <cell r="A424" t="str">
            <v>WJAGLM01034</v>
          </cell>
          <cell r="B424" t="str">
            <v>WJAGLM010</v>
          </cell>
          <cell r="C424" t="str">
            <v>34</v>
          </cell>
          <cell r="D424">
            <v>4</v>
          </cell>
          <cell r="E424">
            <v>5</v>
          </cell>
          <cell r="F424">
            <v>7</v>
          </cell>
          <cell r="G424">
            <v>4</v>
          </cell>
          <cell r="H424">
            <v>5</v>
          </cell>
          <cell r="I424">
            <v>5</v>
          </cell>
          <cell r="J424">
            <v>2</v>
          </cell>
          <cell r="K424">
            <v>5</v>
          </cell>
          <cell r="L424">
            <v>6</v>
          </cell>
          <cell r="M424">
            <v>6</v>
          </cell>
          <cell r="N424">
            <v>7</v>
          </cell>
          <cell r="O424">
            <v>6</v>
          </cell>
          <cell r="P424">
            <v>5</v>
          </cell>
          <cell r="Q424">
            <v>12</v>
          </cell>
          <cell r="R424">
            <v>4</v>
          </cell>
          <cell r="S424">
            <v>1</v>
          </cell>
          <cell r="T424">
            <v>1</v>
          </cell>
        </row>
        <row r="425">
          <cell r="A425" t="str">
            <v>WJAGLM01074</v>
          </cell>
          <cell r="B425" t="str">
            <v>WJAGLM010</v>
          </cell>
          <cell r="C425" t="str">
            <v>74</v>
          </cell>
          <cell r="D425">
            <v>5</v>
          </cell>
          <cell r="E425">
            <v>3</v>
          </cell>
          <cell r="F425">
            <v>4</v>
          </cell>
          <cell r="G425">
            <v>3</v>
          </cell>
          <cell r="H425">
            <v>2</v>
          </cell>
          <cell r="I425">
            <v>0</v>
          </cell>
          <cell r="J425">
            <v>3</v>
          </cell>
          <cell r="K425">
            <v>1</v>
          </cell>
          <cell r="L425">
            <v>8</v>
          </cell>
          <cell r="M425">
            <v>2</v>
          </cell>
          <cell r="N425">
            <v>8</v>
          </cell>
          <cell r="O425">
            <v>6</v>
          </cell>
          <cell r="P425">
            <v>5</v>
          </cell>
          <cell r="Q425">
            <v>10</v>
          </cell>
          <cell r="R425">
            <v>3</v>
          </cell>
          <cell r="S425">
            <v>1</v>
          </cell>
          <cell r="T425">
            <v>1</v>
          </cell>
        </row>
        <row r="426">
          <cell r="A426" t="str">
            <v>WJAGLM02015</v>
          </cell>
          <cell r="B426" t="str">
            <v>WJAGLM020</v>
          </cell>
          <cell r="C426" t="str">
            <v>15</v>
          </cell>
          <cell r="D426">
            <v>1</v>
          </cell>
          <cell r="E426">
            <v>2</v>
          </cell>
          <cell r="F426">
            <v>0</v>
          </cell>
          <cell r="G426">
            <v>2</v>
          </cell>
          <cell r="H426">
            <v>1</v>
          </cell>
          <cell r="I426">
            <v>1</v>
          </cell>
          <cell r="J426">
            <v>2</v>
          </cell>
          <cell r="K426">
            <v>3</v>
          </cell>
          <cell r="L426">
            <v>3</v>
          </cell>
          <cell r="M426">
            <v>4</v>
          </cell>
          <cell r="N426">
            <v>5</v>
          </cell>
          <cell r="O426">
            <v>3</v>
          </cell>
          <cell r="P426">
            <v>1</v>
          </cell>
          <cell r="Q426">
            <v>0</v>
          </cell>
          <cell r="R426">
            <v>3</v>
          </cell>
          <cell r="S426">
            <v>1</v>
          </cell>
          <cell r="T426">
            <v>2</v>
          </cell>
        </row>
        <row r="427">
          <cell r="A427" t="str">
            <v>WJAGLM04024</v>
          </cell>
          <cell r="B427" t="str">
            <v>WJAGLM040</v>
          </cell>
          <cell r="C427" t="str">
            <v>24</v>
          </cell>
          <cell r="D427">
            <v>9</v>
          </cell>
          <cell r="E427">
            <v>8</v>
          </cell>
          <cell r="F427">
            <v>7</v>
          </cell>
          <cell r="G427">
            <v>4</v>
          </cell>
          <cell r="H427">
            <v>3</v>
          </cell>
          <cell r="I427">
            <v>3</v>
          </cell>
          <cell r="J427">
            <v>4</v>
          </cell>
          <cell r="K427">
            <v>6</v>
          </cell>
          <cell r="L427">
            <v>8</v>
          </cell>
          <cell r="M427">
            <v>8</v>
          </cell>
          <cell r="N427">
            <v>4</v>
          </cell>
          <cell r="O427">
            <v>2</v>
          </cell>
          <cell r="P427">
            <v>5</v>
          </cell>
          <cell r="Q427">
            <v>2</v>
          </cell>
          <cell r="R427">
            <v>1</v>
          </cell>
          <cell r="S427">
            <v>0</v>
          </cell>
          <cell r="T427">
            <v>8</v>
          </cell>
        </row>
        <row r="428">
          <cell r="A428" t="str">
            <v>WJAGLM05007</v>
          </cell>
          <cell r="B428" t="str">
            <v>WJAGLM050</v>
          </cell>
          <cell r="C428" t="str">
            <v>07</v>
          </cell>
          <cell r="D428">
            <v>1</v>
          </cell>
          <cell r="E428">
            <v>0</v>
          </cell>
          <cell r="F428">
            <v>2</v>
          </cell>
          <cell r="G428">
            <v>2</v>
          </cell>
          <cell r="H428">
            <v>0</v>
          </cell>
          <cell r="I428">
            <v>0</v>
          </cell>
          <cell r="J428">
            <v>2</v>
          </cell>
          <cell r="K428">
            <v>0</v>
          </cell>
          <cell r="L428">
            <v>2</v>
          </cell>
          <cell r="M428">
            <v>0</v>
          </cell>
          <cell r="N428">
            <v>1</v>
          </cell>
          <cell r="O428">
            <v>4</v>
          </cell>
          <cell r="P428">
            <v>3</v>
          </cell>
          <cell r="Q428">
            <v>1</v>
          </cell>
          <cell r="R428">
            <v>4</v>
          </cell>
          <cell r="S428">
            <v>0</v>
          </cell>
          <cell r="T428">
            <v>2</v>
          </cell>
        </row>
        <row r="429">
          <cell r="A429" t="str">
            <v>WJAGLM21008</v>
          </cell>
          <cell r="B429" t="str">
            <v>WJAGLM210</v>
          </cell>
          <cell r="C429" t="str">
            <v>08</v>
          </cell>
          <cell r="D429">
            <v>13</v>
          </cell>
          <cell r="E429">
            <v>10</v>
          </cell>
          <cell r="F429">
            <v>7</v>
          </cell>
          <cell r="G429">
            <v>9</v>
          </cell>
          <cell r="H429">
            <v>17</v>
          </cell>
          <cell r="I429">
            <v>14</v>
          </cell>
          <cell r="J429">
            <v>6</v>
          </cell>
          <cell r="K429">
            <v>16</v>
          </cell>
          <cell r="L429">
            <v>7</v>
          </cell>
          <cell r="M429">
            <v>7</v>
          </cell>
          <cell r="N429">
            <v>2</v>
          </cell>
          <cell r="O429">
            <v>2</v>
          </cell>
          <cell r="P429">
            <v>4</v>
          </cell>
          <cell r="Q429">
            <v>2</v>
          </cell>
          <cell r="R429">
            <v>1</v>
          </cell>
          <cell r="S429">
            <v>0</v>
          </cell>
          <cell r="T429">
            <v>0</v>
          </cell>
        </row>
        <row r="430">
          <cell r="A430" t="str">
            <v>WJAGLM21013</v>
          </cell>
          <cell r="B430" t="str">
            <v>WJAGLM210</v>
          </cell>
          <cell r="C430" t="str">
            <v>13</v>
          </cell>
          <cell r="D430">
            <v>6</v>
          </cell>
          <cell r="E430">
            <v>2</v>
          </cell>
          <cell r="F430">
            <v>1</v>
          </cell>
          <cell r="G430">
            <v>4</v>
          </cell>
          <cell r="H430">
            <v>2</v>
          </cell>
          <cell r="I430">
            <v>5</v>
          </cell>
          <cell r="J430">
            <v>4</v>
          </cell>
          <cell r="K430">
            <v>5</v>
          </cell>
          <cell r="L430">
            <v>2</v>
          </cell>
          <cell r="M430">
            <v>3</v>
          </cell>
          <cell r="N430">
            <v>0</v>
          </cell>
          <cell r="O430">
            <v>2</v>
          </cell>
          <cell r="P430">
            <v>3</v>
          </cell>
          <cell r="Q430">
            <v>1</v>
          </cell>
          <cell r="R430">
            <v>1</v>
          </cell>
          <cell r="S430">
            <v>0</v>
          </cell>
          <cell r="T430">
            <v>0</v>
          </cell>
        </row>
        <row r="431">
          <cell r="A431" t="str">
            <v>WJAGLM21021</v>
          </cell>
          <cell r="B431" t="str">
            <v>WJAGLM210</v>
          </cell>
          <cell r="C431" t="str">
            <v>21</v>
          </cell>
          <cell r="D431">
            <v>4</v>
          </cell>
          <cell r="E431">
            <v>1</v>
          </cell>
          <cell r="F431">
            <v>2</v>
          </cell>
          <cell r="G431">
            <v>4</v>
          </cell>
          <cell r="H431">
            <v>2</v>
          </cell>
          <cell r="I431">
            <v>8</v>
          </cell>
          <cell r="J431">
            <v>1</v>
          </cell>
          <cell r="K431">
            <v>3</v>
          </cell>
          <cell r="L431">
            <v>3</v>
          </cell>
          <cell r="M431">
            <v>1</v>
          </cell>
          <cell r="N431">
            <v>0</v>
          </cell>
          <cell r="O431">
            <v>0</v>
          </cell>
          <cell r="P431">
            <v>0</v>
          </cell>
          <cell r="Q431">
            <v>1</v>
          </cell>
          <cell r="R431">
            <v>1</v>
          </cell>
          <cell r="S431">
            <v>0</v>
          </cell>
          <cell r="T431">
            <v>0</v>
          </cell>
        </row>
        <row r="432">
          <cell r="A432" t="str">
            <v>WJAGLM22008</v>
          </cell>
          <cell r="B432" t="str">
            <v>WJAGLM220</v>
          </cell>
          <cell r="C432" t="str">
            <v>08</v>
          </cell>
          <cell r="D432">
            <v>12</v>
          </cell>
          <cell r="E432">
            <v>14</v>
          </cell>
          <cell r="F432">
            <v>2</v>
          </cell>
          <cell r="G432">
            <v>9</v>
          </cell>
          <cell r="H432">
            <v>9</v>
          </cell>
          <cell r="I432">
            <v>16</v>
          </cell>
          <cell r="J432">
            <v>11</v>
          </cell>
          <cell r="K432">
            <v>7</v>
          </cell>
          <cell r="L432">
            <v>4</v>
          </cell>
          <cell r="M432">
            <v>7</v>
          </cell>
          <cell r="N432">
            <v>1</v>
          </cell>
          <cell r="O432">
            <v>2</v>
          </cell>
          <cell r="P432">
            <v>4</v>
          </cell>
          <cell r="Q432">
            <v>0</v>
          </cell>
          <cell r="R432">
            <v>2</v>
          </cell>
          <cell r="S432">
            <v>0</v>
          </cell>
          <cell r="T432">
            <v>0</v>
          </cell>
        </row>
        <row r="433">
          <cell r="A433" t="str">
            <v>WJAGLM22021</v>
          </cell>
          <cell r="B433" t="str">
            <v>WJAGLM220</v>
          </cell>
          <cell r="C433" t="str">
            <v>21</v>
          </cell>
          <cell r="D433">
            <v>5</v>
          </cell>
          <cell r="E433">
            <v>3</v>
          </cell>
          <cell r="F433">
            <v>4</v>
          </cell>
          <cell r="G433">
            <v>10</v>
          </cell>
          <cell r="H433">
            <v>1</v>
          </cell>
          <cell r="I433">
            <v>7</v>
          </cell>
          <cell r="J433">
            <v>4</v>
          </cell>
          <cell r="K433">
            <v>4</v>
          </cell>
          <cell r="L433">
            <v>1</v>
          </cell>
          <cell r="M433">
            <v>5</v>
          </cell>
          <cell r="N433">
            <v>2</v>
          </cell>
          <cell r="O433">
            <v>2</v>
          </cell>
          <cell r="P433">
            <v>2</v>
          </cell>
          <cell r="Q433">
            <v>0</v>
          </cell>
          <cell r="R433">
            <v>0</v>
          </cell>
          <cell r="S433">
            <v>0</v>
          </cell>
          <cell r="T433">
            <v>1</v>
          </cell>
        </row>
        <row r="434">
          <cell r="A434" t="str">
            <v>WJAGLM22052</v>
          </cell>
          <cell r="B434" t="str">
            <v>WJAGLM220</v>
          </cell>
          <cell r="C434" t="str">
            <v>52</v>
          </cell>
          <cell r="D434">
            <v>13</v>
          </cell>
          <cell r="E434">
            <v>7</v>
          </cell>
          <cell r="F434">
            <v>3</v>
          </cell>
          <cell r="G434">
            <v>7</v>
          </cell>
          <cell r="H434">
            <v>5</v>
          </cell>
          <cell r="I434">
            <v>13</v>
          </cell>
          <cell r="J434">
            <v>1</v>
          </cell>
          <cell r="K434">
            <v>2</v>
          </cell>
          <cell r="L434">
            <v>5</v>
          </cell>
          <cell r="M434">
            <v>4</v>
          </cell>
          <cell r="N434">
            <v>10</v>
          </cell>
          <cell r="O434">
            <v>5</v>
          </cell>
          <cell r="P434">
            <v>2</v>
          </cell>
          <cell r="Q434">
            <v>2</v>
          </cell>
          <cell r="R434">
            <v>2</v>
          </cell>
          <cell r="S434">
            <v>0</v>
          </cell>
          <cell r="T434">
            <v>0</v>
          </cell>
        </row>
        <row r="435">
          <cell r="A435" t="str">
            <v>WJAJKI02007</v>
          </cell>
          <cell r="B435" t="str">
            <v>WJAJKI020</v>
          </cell>
          <cell r="C435" t="str">
            <v>07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1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</row>
        <row r="436">
          <cell r="A436" t="str">
            <v>WJAJKI02073</v>
          </cell>
          <cell r="B436" t="str">
            <v>WJAJKI020</v>
          </cell>
          <cell r="C436" t="str">
            <v>73</v>
          </cell>
          <cell r="D436">
            <v>1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1</v>
          </cell>
          <cell r="P436">
            <v>0</v>
          </cell>
          <cell r="Q436">
            <v>0</v>
          </cell>
          <cell r="R436">
            <v>5</v>
          </cell>
          <cell r="S436">
            <v>0</v>
          </cell>
          <cell r="T436">
            <v>4</v>
          </cell>
        </row>
        <row r="437">
          <cell r="A437" t="str">
            <v>WJAJKI02074</v>
          </cell>
          <cell r="B437" t="str">
            <v>WJAJKI020</v>
          </cell>
          <cell r="C437" t="str">
            <v>74</v>
          </cell>
          <cell r="D437">
            <v>0</v>
          </cell>
          <cell r="E437">
            <v>-1</v>
          </cell>
          <cell r="F437">
            <v>0</v>
          </cell>
          <cell r="G437">
            <v>1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1</v>
          </cell>
        </row>
        <row r="438">
          <cell r="A438" t="str">
            <v>WJAJKI03007</v>
          </cell>
          <cell r="B438" t="str">
            <v>WJAJKI030</v>
          </cell>
          <cell r="C438" t="str">
            <v>07</v>
          </cell>
          <cell r="D438">
            <v>0</v>
          </cell>
          <cell r="E438">
            <v>0</v>
          </cell>
          <cell r="F438">
            <v>1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</row>
        <row r="439">
          <cell r="A439" t="str">
            <v>WJAJKI03027</v>
          </cell>
          <cell r="B439" t="str">
            <v>WJAJKI030</v>
          </cell>
          <cell r="C439" t="str">
            <v>27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</row>
        <row r="440">
          <cell r="A440" t="str">
            <v>WJAJKI05001</v>
          </cell>
          <cell r="B440" t="str">
            <v>WJAJKI050</v>
          </cell>
          <cell r="C440" t="str">
            <v>01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-1</v>
          </cell>
          <cell r="L440">
            <v>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</row>
        <row r="441">
          <cell r="A441" t="str">
            <v>WJAJKI05026</v>
          </cell>
          <cell r="B441" t="str">
            <v>WJAJKI050</v>
          </cell>
          <cell r="C441" t="str">
            <v>26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1</v>
          </cell>
          <cell r="M441">
            <v>0</v>
          </cell>
          <cell r="N441">
            <v>0</v>
          </cell>
          <cell r="O441">
            <v>0</v>
          </cell>
          <cell r="P441">
            <v>1</v>
          </cell>
          <cell r="Q441">
            <v>1</v>
          </cell>
          <cell r="R441">
            <v>0</v>
          </cell>
          <cell r="S441">
            <v>0</v>
          </cell>
          <cell r="T441">
            <v>0</v>
          </cell>
        </row>
        <row r="442">
          <cell r="A442" t="str">
            <v>WJAJKI06007</v>
          </cell>
          <cell r="B442" t="str">
            <v>WJAJKI060</v>
          </cell>
          <cell r="C442" t="str">
            <v>07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1</v>
          </cell>
          <cell r="L442">
            <v>1</v>
          </cell>
          <cell r="M442">
            <v>1</v>
          </cell>
          <cell r="N442">
            <v>0</v>
          </cell>
          <cell r="O442">
            <v>0</v>
          </cell>
          <cell r="P442">
            <v>2</v>
          </cell>
          <cell r="Q442">
            <v>0</v>
          </cell>
          <cell r="R442">
            <v>0</v>
          </cell>
          <cell r="S442">
            <v>0</v>
          </cell>
          <cell r="T442">
            <v>2</v>
          </cell>
        </row>
        <row r="443">
          <cell r="A443" t="str">
            <v>WJAJKI06026</v>
          </cell>
          <cell r="B443" t="str">
            <v>WJAJKI060</v>
          </cell>
          <cell r="C443" t="str">
            <v>26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0</v>
          </cell>
          <cell r="O443">
            <v>1</v>
          </cell>
          <cell r="P443">
            <v>0</v>
          </cell>
          <cell r="Q443">
            <v>0</v>
          </cell>
          <cell r="R443">
            <v>1</v>
          </cell>
          <cell r="S443">
            <v>1</v>
          </cell>
          <cell r="T443">
            <v>4</v>
          </cell>
        </row>
        <row r="444">
          <cell r="A444" t="str">
            <v>WJAJKI06076</v>
          </cell>
          <cell r="B444" t="str">
            <v>WJAJKI060</v>
          </cell>
          <cell r="C444" t="str">
            <v>76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1</v>
          </cell>
          <cell r="K444">
            <v>0</v>
          </cell>
          <cell r="L444">
            <v>0</v>
          </cell>
          <cell r="M444">
            <v>1</v>
          </cell>
          <cell r="N444">
            <v>0</v>
          </cell>
          <cell r="O444">
            <v>2</v>
          </cell>
          <cell r="P444">
            <v>1</v>
          </cell>
          <cell r="Q444">
            <v>1</v>
          </cell>
          <cell r="R444">
            <v>1</v>
          </cell>
          <cell r="S444">
            <v>0</v>
          </cell>
          <cell r="T444">
            <v>0</v>
          </cell>
        </row>
        <row r="445">
          <cell r="A445" t="str">
            <v>WJAJKI07002</v>
          </cell>
          <cell r="B445" t="str">
            <v>WJAJKI070</v>
          </cell>
          <cell r="C445" t="str">
            <v>02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1</v>
          </cell>
          <cell r="K445">
            <v>1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3</v>
          </cell>
          <cell r="Q445">
            <v>1</v>
          </cell>
          <cell r="R445">
            <v>0</v>
          </cell>
          <cell r="S445">
            <v>1</v>
          </cell>
          <cell r="T445">
            <v>1</v>
          </cell>
        </row>
        <row r="446">
          <cell r="A446" t="str">
            <v>WJAJKI07014</v>
          </cell>
          <cell r="B446" t="str">
            <v>WJAJKI070</v>
          </cell>
          <cell r="C446" t="str">
            <v>14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1</v>
          </cell>
          <cell r="M446">
            <v>0</v>
          </cell>
          <cell r="N446">
            <v>0</v>
          </cell>
          <cell r="O446">
            <v>0</v>
          </cell>
          <cell r="P446">
            <v>1</v>
          </cell>
          <cell r="Q446">
            <v>4</v>
          </cell>
          <cell r="R446">
            <v>2</v>
          </cell>
          <cell r="S446">
            <v>1</v>
          </cell>
          <cell r="T446">
            <v>0</v>
          </cell>
        </row>
        <row r="447">
          <cell r="A447" t="str">
            <v>WJAJKI09007</v>
          </cell>
          <cell r="B447" t="str">
            <v>WJAJKI090</v>
          </cell>
          <cell r="C447" t="str">
            <v>07</v>
          </cell>
          <cell r="D447">
            <v>0</v>
          </cell>
          <cell r="E447">
            <v>0</v>
          </cell>
          <cell r="F447">
            <v>1</v>
          </cell>
          <cell r="G447">
            <v>0</v>
          </cell>
          <cell r="H447">
            <v>0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</row>
        <row r="448">
          <cell r="A448" t="str">
            <v>WJAJKI09026</v>
          </cell>
          <cell r="B448" t="str">
            <v>WJAJKI090</v>
          </cell>
          <cell r="C448" t="str">
            <v>26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</row>
        <row r="449">
          <cell r="A449" t="str">
            <v>WJAJKI11001</v>
          </cell>
          <cell r="B449" t="str">
            <v>WJAJKI110</v>
          </cell>
          <cell r="C449" t="str">
            <v>01</v>
          </cell>
          <cell r="D449">
            <v>0</v>
          </cell>
          <cell r="E449">
            <v>1</v>
          </cell>
          <cell r="F449">
            <v>0</v>
          </cell>
          <cell r="G449">
            <v>0</v>
          </cell>
          <cell r="H449">
            <v>0</v>
          </cell>
          <cell r="I449">
            <v>1</v>
          </cell>
          <cell r="J449">
            <v>0</v>
          </cell>
          <cell r="K449">
            <v>-1</v>
          </cell>
          <cell r="L449">
            <v>1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</row>
        <row r="450">
          <cell r="A450" t="str">
            <v>WJAJKI11026</v>
          </cell>
          <cell r="B450" t="str">
            <v>WJAJKI110</v>
          </cell>
          <cell r="C450" t="str">
            <v>26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</row>
        <row r="451">
          <cell r="A451" t="str">
            <v>WJAJKI11076</v>
          </cell>
          <cell r="B451" t="str">
            <v>WJAJKI110</v>
          </cell>
          <cell r="C451" t="str">
            <v>76</v>
          </cell>
          <cell r="D451">
            <v>1</v>
          </cell>
          <cell r="E451">
            <v>2</v>
          </cell>
          <cell r="F451">
            <v>0</v>
          </cell>
          <cell r="G451">
            <v>1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</row>
        <row r="452">
          <cell r="A452" t="str">
            <v>WJAJKI12007</v>
          </cell>
          <cell r="B452" t="str">
            <v>WJAJKI120</v>
          </cell>
          <cell r="C452" t="str">
            <v>07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</v>
          </cell>
          <cell r="K452">
            <v>1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</row>
        <row r="453">
          <cell r="A453" t="str">
            <v>WJAJKI12026</v>
          </cell>
          <cell r="B453" t="str">
            <v>WJAJKI120</v>
          </cell>
          <cell r="C453" t="str">
            <v>26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1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</row>
        <row r="454">
          <cell r="A454" t="str">
            <v>WJAJKM01027</v>
          </cell>
          <cell r="B454" t="str">
            <v>WJAJKM010</v>
          </cell>
          <cell r="C454" t="str">
            <v>27</v>
          </cell>
          <cell r="D454">
            <v>1</v>
          </cell>
          <cell r="E454">
            <v>0</v>
          </cell>
          <cell r="F454">
            <v>0</v>
          </cell>
          <cell r="G454">
            <v>1</v>
          </cell>
          <cell r="H454">
            <v>1</v>
          </cell>
          <cell r="I454">
            <v>-1</v>
          </cell>
          <cell r="J454">
            <v>1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3</v>
          </cell>
          <cell r="P454">
            <v>2</v>
          </cell>
          <cell r="Q454">
            <v>1</v>
          </cell>
          <cell r="R454">
            <v>2</v>
          </cell>
          <cell r="S454">
            <v>1</v>
          </cell>
          <cell r="T454">
            <v>4</v>
          </cell>
        </row>
        <row r="455">
          <cell r="A455" t="str">
            <v>WJAJKM01073</v>
          </cell>
          <cell r="B455" t="str">
            <v>WJAJKM010</v>
          </cell>
          <cell r="C455" t="str">
            <v>73</v>
          </cell>
          <cell r="D455">
            <v>1</v>
          </cell>
          <cell r="E455">
            <v>2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2</v>
          </cell>
          <cell r="L455">
            <v>0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Q455">
            <v>1</v>
          </cell>
          <cell r="R455">
            <v>3</v>
          </cell>
          <cell r="S455">
            <v>0</v>
          </cell>
          <cell r="T455">
            <v>1</v>
          </cell>
        </row>
        <row r="456">
          <cell r="A456" t="str">
            <v>WJAJKM02007</v>
          </cell>
          <cell r="B456" t="str">
            <v>WJAJKM020</v>
          </cell>
          <cell r="C456" t="str">
            <v>07</v>
          </cell>
          <cell r="D456">
            <v>0</v>
          </cell>
          <cell r="E456">
            <v>1</v>
          </cell>
          <cell r="F456">
            <v>0</v>
          </cell>
          <cell r="G456">
            <v>1</v>
          </cell>
          <cell r="H456">
            <v>0</v>
          </cell>
          <cell r="I456">
            <v>0</v>
          </cell>
          <cell r="J456">
            <v>1</v>
          </cell>
          <cell r="K456">
            <v>0</v>
          </cell>
          <cell r="L456">
            <v>0</v>
          </cell>
          <cell r="M456">
            <v>0</v>
          </cell>
          <cell r="N456">
            <v>1</v>
          </cell>
          <cell r="O456">
            <v>1</v>
          </cell>
          <cell r="P456">
            <v>0</v>
          </cell>
          <cell r="Q456">
            <v>0</v>
          </cell>
          <cell r="R456">
            <v>3</v>
          </cell>
          <cell r="S456">
            <v>1</v>
          </cell>
          <cell r="T456">
            <v>0</v>
          </cell>
        </row>
        <row r="457">
          <cell r="A457" t="str">
            <v>WJAJKM02024</v>
          </cell>
          <cell r="B457" t="str">
            <v>WJAJKM020</v>
          </cell>
          <cell r="C457" t="str">
            <v>24</v>
          </cell>
          <cell r="D457">
            <v>2</v>
          </cell>
          <cell r="E457">
            <v>1</v>
          </cell>
          <cell r="F457">
            <v>1</v>
          </cell>
          <cell r="G457">
            <v>1</v>
          </cell>
          <cell r="H457">
            <v>-1</v>
          </cell>
          <cell r="I457">
            <v>3</v>
          </cell>
          <cell r="J457">
            <v>1</v>
          </cell>
          <cell r="K457">
            <v>3</v>
          </cell>
          <cell r="L457">
            <v>1</v>
          </cell>
          <cell r="M457">
            <v>0</v>
          </cell>
          <cell r="N457">
            <v>3</v>
          </cell>
          <cell r="O457">
            <v>1</v>
          </cell>
          <cell r="P457">
            <v>4</v>
          </cell>
          <cell r="Q457">
            <v>22</v>
          </cell>
          <cell r="R457">
            <v>6</v>
          </cell>
          <cell r="S457">
            <v>1</v>
          </cell>
          <cell r="T457">
            <v>2</v>
          </cell>
        </row>
        <row r="458">
          <cell r="A458" t="str">
            <v>WJAJKM02073</v>
          </cell>
          <cell r="B458" t="str">
            <v>WJAJKM020</v>
          </cell>
          <cell r="C458" t="str">
            <v>73</v>
          </cell>
          <cell r="D458">
            <v>1</v>
          </cell>
          <cell r="E458">
            <v>33</v>
          </cell>
          <cell r="F458">
            <v>2</v>
          </cell>
          <cell r="G458">
            <v>1</v>
          </cell>
          <cell r="H458">
            <v>0</v>
          </cell>
          <cell r="I458">
            <v>2</v>
          </cell>
          <cell r="J458">
            <v>2</v>
          </cell>
          <cell r="K458">
            <v>0</v>
          </cell>
          <cell r="L458">
            <v>3</v>
          </cell>
          <cell r="M458">
            <v>1</v>
          </cell>
          <cell r="N458">
            <v>5</v>
          </cell>
          <cell r="O458">
            <v>3</v>
          </cell>
          <cell r="P458">
            <v>4</v>
          </cell>
          <cell r="Q458">
            <v>26</v>
          </cell>
          <cell r="R458">
            <v>9</v>
          </cell>
          <cell r="S458">
            <v>2</v>
          </cell>
          <cell r="T458">
            <v>0</v>
          </cell>
        </row>
        <row r="459">
          <cell r="A459" t="str">
            <v>WJAJKM03007</v>
          </cell>
          <cell r="B459" t="str">
            <v>WJAJKM030</v>
          </cell>
          <cell r="C459" t="str">
            <v>07</v>
          </cell>
          <cell r="D459">
            <v>1</v>
          </cell>
          <cell r="E459">
            <v>1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1</v>
          </cell>
          <cell r="K459">
            <v>1</v>
          </cell>
          <cell r="L459">
            <v>0</v>
          </cell>
          <cell r="M459">
            <v>1</v>
          </cell>
          <cell r="N459">
            <v>1</v>
          </cell>
          <cell r="O459">
            <v>0</v>
          </cell>
          <cell r="P459">
            <v>5</v>
          </cell>
          <cell r="Q459">
            <v>1</v>
          </cell>
          <cell r="R459">
            <v>0</v>
          </cell>
          <cell r="S459">
            <v>0</v>
          </cell>
          <cell r="T459">
            <v>0</v>
          </cell>
        </row>
        <row r="460">
          <cell r="A460" t="str">
            <v>WJAJKM03024</v>
          </cell>
          <cell r="B460" t="str">
            <v>WJAJKM030</v>
          </cell>
          <cell r="C460" t="str">
            <v>24</v>
          </cell>
          <cell r="D460">
            <v>0</v>
          </cell>
          <cell r="E460">
            <v>1</v>
          </cell>
          <cell r="F460">
            <v>0</v>
          </cell>
          <cell r="G460">
            <v>0</v>
          </cell>
          <cell r="H460">
            <v>1</v>
          </cell>
          <cell r="I460">
            <v>1</v>
          </cell>
          <cell r="J460">
            <v>0</v>
          </cell>
          <cell r="K460">
            <v>1</v>
          </cell>
          <cell r="L460">
            <v>0</v>
          </cell>
          <cell r="M460">
            <v>0</v>
          </cell>
          <cell r="N460">
            <v>1</v>
          </cell>
          <cell r="O460">
            <v>1</v>
          </cell>
          <cell r="P460">
            <v>3</v>
          </cell>
          <cell r="Q460">
            <v>1</v>
          </cell>
          <cell r="R460">
            <v>4</v>
          </cell>
          <cell r="S460">
            <v>-1</v>
          </cell>
          <cell r="T460">
            <v>7</v>
          </cell>
        </row>
        <row r="461">
          <cell r="A461" t="str">
            <v>WJAJKM03073</v>
          </cell>
          <cell r="B461" t="str">
            <v>WJAJKM030</v>
          </cell>
          <cell r="C461" t="str">
            <v>73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1</v>
          </cell>
          <cell r="N461">
            <v>0</v>
          </cell>
          <cell r="O461">
            <v>0</v>
          </cell>
          <cell r="P461">
            <v>0</v>
          </cell>
          <cell r="Q461">
            <v>1</v>
          </cell>
          <cell r="R461">
            <v>0</v>
          </cell>
          <cell r="S461">
            <v>1</v>
          </cell>
          <cell r="T461">
            <v>2</v>
          </cell>
        </row>
        <row r="462">
          <cell r="A462" t="str">
            <v>WJAJKM04007</v>
          </cell>
          <cell r="B462" t="str">
            <v>WJAJKM040</v>
          </cell>
          <cell r="C462" t="str">
            <v>07</v>
          </cell>
          <cell r="D462">
            <v>2</v>
          </cell>
          <cell r="E462">
            <v>0</v>
          </cell>
          <cell r="F462">
            <v>2</v>
          </cell>
          <cell r="G462">
            <v>0</v>
          </cell>
          <cell r="H462">
            <v>0</v>
          </cell>
          <cell r="I462">
            <v>3</v>
          </cell>
          <cell r="J462">
            <v>1</v>
          </cell>
          <cell r="K462">
            <v>1</v>
          </cell>
          <cell r="L462">
            <v>2</v>
          </cell>
          <cell r="M462">
            <v>4</v>
          </cell>
          <cell r="N462">
            <v>2</v>
          </cell>
          <cell r="O462">
            <v>6</v>
          </cell>
          <cell r="P462">
            <v>4</v>
          </cell>
          <cell r="Q462">
            <v>4</v>
          </cell>
          <cell r="R462">
            <v>8</v>
          </cell>
          <cell r="S462">
            <v>1</v>
          </cell>
          <cell r="T462">
            <v>0</v>
          </cell>
        </row>
        <row r="463">
          <cell r="A463" t="str">
            <v>WJAJKM04025</v>
          </cell>
          <cell r="B463" t="str">
            <v>WJAJKM040</v>
          </cell>
          <cell r="C463" t="str">
            <v>25</v>
          </cell>
          <cell r="D463">
            <v>2</v>
          </cell>
          <cell r="E463">
            <v>0</v>
          </cell>
          <cell r="F463">
            <v>1</v>
          </cell>
          <cell r="G463">
            <v>2</v>
          </cell>
          <cell r="H463">
            <v>2</v>
          </cell>
          <cell r="I463">
            <v>3</v>
          </cell>
          <cell r="J463">
            <v>3</v>
          </cell>
          <cell r="K463">
            <v>5</v>
          </cell>
          <cell r="L463">
            <v>1</v>
          </cell>
          <cell r="M463">
            <v>4</v>
          </cell>
          <cell r="N463">
            <v>10</v>
          </cell>
          <cell r="O463">
            <v>10</v>
          </cell>
          <cell r="P463">
            <v>10</v>
          </cell>
          <cell r="Q463">
            <v>18</v>
          </cell>
          <cell r="R463">
            <v>14</v>
          </cell>
          <cell r="S463">
            <v>0</v>
          </cell>
          <cell r="T463">
            <v>0</v>
          </cell>
        </row>
        <row r="464">
          <cell r="A464" t="str">
            <v>WJAJKM05027</v>
          </cell>
          <cell r="B464" t="str">
            <v>WJAJKM050</v>
          </cell>
          <cell r="C464" t="str">
            <v>27</v>
          </cell>
          <cell r="D464">
            <v>0</v>
          </cell>
          <cell r="E464">
            <v>0</v>
          </cell>
          <cell r="F464">
            <v>0</v>
          </cell>
          <cell r="G464">
            <v>1</v>
          </cell>
          <cell r="H464">
            <v>0</v>
          </cell>
          <cell r="I464">
            <v>2</v>
          </cell>
          <cell r="J464">
            <v>0</v>
          </cell>
          <cell r="K464">
            <v>0</v>
          </cell>
          <cell r="L464">
            <v>2</v>
          </cell>
          <cell r="M464">
            <v>0</v>
          </cell>
          <cell r="N464">
            <v>3</v>
          </cell>
          <cell r="O464">
            <v>2</v>
          </cell>
          <cell r="P464">
            <v>2</v>
          </cell>
          <cell r="Q464">
            <v>4</v>
          </cell>
          <cell r="R464">
            <v>4</v>
          </cell>
          <cell r="S464">
            <v>1</v>
          </cell>
          <cell r="T464">
            <v>1</v>
          </cell>
        </row>
        <row r="465">
          <cell r="A465" t="str">
            <v>WJAJKM05053</v>
          </cell>
          <cell r="B465" t="str">
            <v>WJAJKM050</v>
          </cell>
          <cell r="C465" t="str">
            <v>53</v>
          </cell>
          <cell r="D465">
            <v>1</v>
          </cell>
          <cell r="E465">
            <v>2</v>
          </cell>
          <cell r="F465">
            <v>0</v>
          </cell>
          <cell r="G465">
            <v>1</v>
          </cell>
          <cell r="H465">
            <v>2</v>
          </cell>
          <cell r="I465">
            <v>1</v>
          </cell>
          <cell r="J465">
            <v>-1</v>
          </cell>
          <cell r="K465">
            <v>2</v>
          </cell>
          <cell r="L465">
            <v>3</v>
          </cell>
          <cell r="M465">
            <v>4</v>
          </cell>
          <cell r="N465">
            <v>7</v>
          </cell>
          <cell r="O465">
            <v>8</v>
          </cell>
          <cell r="P465">
            <v>5</v>
          </cell>
          <cell r="Q465">
            <v>10</v>
          </cell>
          <cell r="R465">
            <v>6</v>
          </cell>
          <cell r="S465">
            <v>0</v>
          </cell>
          <cell r="T465">
            <v>0</v>
          </cell>
        </row>
        <row r="466">
          <cell r="A466" t="str">
            <v>WJAJKM06027</v>
          </cell>
          <cell r="B466" t="str">
            <v>WJAJKM060</v>
          </cell>
          <cell r="C466" t="str">
            <v>27</v>
          </cell>
          <cell r="D466">
            <v>0</v>
          </cell>
          <cell r="E466">
            <v>1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</row>
        <row r="467">
          <cell r="A467" t="str">
            <v>WJAJKM06046</v>
          </cell>
          <cell r="B467" t="str">
            <v>WJAJKM060</v>
          </cell>
          <cell r="C467" t="str">
            <v>46</v>
          </cell>
          <cell r="D467">
            <v>0</v>
          </cell>
          <cell r="E467">
            <v>0</v>
          </cell>
          <cell r="F467">
            <v>0</v>
          </cell>
          <cell r="G467">
            <v>1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</row>
        <row r="468">
          <cell r="A468" t="str">
            <v>WJAJKM07007</v>
          </cell>
          <cell r="B468" t="str">
            <v>WJAJKM070</v>
          </cell>
          <cell r="C468" t="str">
            <v>07</v>
          </cell>
          <cell r="D468">
            <v>4</v>
          </cell>
          <cell r="E468">
            <v>3</v>
          </cell>
          <cell r="F468">
            <v>2</v>
          </cell>
          <cell r="G468">
            <v>2</v>
          </cell>
          <cell r="H468">
            <v>1</v>
          </cell>
          <cell r="I468">
            <v>0</v>
          </cell>
          <cell r="J468">
            <v>2</v>
          </cell>
          <cell r="K468">
            <v>2</v>
          </cell>
          <cell r="L468">
            <v>1</v>
          </cell>
          <cell r="M468">
            <v>1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</row>
        <row r="469">
          <cell r="A469" t="str">
            <v>WJAJKM07024</v>
          </cell>
          <cell r="B469" t="str">
            <v>WJAJKM070</v>
          </cell>
          <cell r="C469" t="str">
            <v>24</v>
          </cell>
          <cell r="D469">
            <v>1</v>
          </cell>
          <cell r="E469">
            <v>1</v>
          </cell>
          <cell r="F469">
            <v>1</v>
          </cell>
          <cell r="G469">
            <v>0</v>
          </cell>
          <cell r="H469">
            <v>2</v>
          </cell>
          <cell r="I469">
            <v>2</v>
          </cell>
          <cell r="J469">
            <v>2</v>
          </cell>
          <cell r="K469">
            <v>4</v>
          </cell>
          <cell r="L469">
            <v>1</v>
          </cell>
          <cell r="M469">
            <v>3</v>
          </cell>
          <cell r="N469">
            <v>2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</row>
        <row r="470">
          <cell r="A470" t="str">
            <v>WJAJKM08011</v>
          </cell>
          <cell r="B470" t="str">
            <v>WJAJKM080</v>
          </cell>
          <cell r="C470" t="str">
            <v>11</v>
          </cell>
          <cell r="D470">
            <v>0</v>
          </cell>
          <cell r="E470">
            <v>0</v>
          </cell>
          <cell r="F470">
            <v>0</v>
          </cell>
          <cell r="G470">
            <v>1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</row>
        <row r="471">
          <cell r="A471" t="str">
            <v>WJAJKM08021</v>
          </cell>
          <cell r="B471" t="str">
            <v>WJAJKM080</v>
          </cell>
          <cell r="C471" t="str">
            <v>21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1</v>
          </cell>
          <cell r="O471">
            <v>0</v>
          </cell>
          <cell r="P471">
            <v>1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</row>
        <row r="472">
          <cell r="A472" t="str">
            <v>WJAJKM51074</v>
          </cell>
          <cell r="B472" t="str">
            <v>WJAJKM510</v>
          </cell>
          <cell r="C472" t="str">
            <v>74</v>
          </cell>
          <cell r="D472">
            <v>0</v>
          </cell>
          <cell r="E472">
            <v>0</v>
          </cell>
          <cell r="F472">
            <v>1</v>
          </cell>
          <cell r="G472">
            <v>1</v>
          </cell>
          <cell r="H472">
            <v>0</v>
          </cell>
          <cell r="I472">
            <v>1</v>
          </cell>
          <cell r="J472">
            <v>0</v>
          </cell>
          <cell r="K472">
            <v>1</v>
          </cell>
          <cell r="L472">
            <v>0</v>
          </cell>
          <cell r="M472">
            <v>1</v>
          </cell>
          <cell r="N472">
            <v>0</v>
          </cell>
          <cell r="O472">
            <v>0</v>
          </cell>
          <cell r="P472">
            <v>0</v>
          </cell>
          <cell r="Q472">
            <v>1</v>
          </cell>
          <cell r="R472">
            <v>-1</v>
          </cell>
          <cell r="S472">
            <v>2</v>
          </cell>
          <cell r="T472">
            <v>3</v>
          </cell>
        </row>
        <row r="473">
          <cell r="A473" t="str">
            <v>WJAJKM51077</v>
          </cell>
          <cell r="B473" t="str">
            <v>WJAJKM510</v>
          </cell>
          <cell r="C473" t="str">
            <v>77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1</v>
          </cell>
          <cell r="L473">
            <v>0</v>
          </cell>
          <cell r="M473">
            <v>1</v>
          </cell>
          <cell r="N473">
            <v>0</v>
          </cell>
          <cell r="O473">
            <v>1</v>
          </cell>
          <cell r="P473">
            <v>0</v>
          </cell>
          <cell r="Q473">
            <v>0</v>
          </cell>
          <cell r="R473">
            <v>2</v>
          </cell>
          <cell r="S473">
            <v>0</v>
          </cell>
          <cell r="T473">
            <v>2</v>
          </cell>
        </row>
        <row r="474">
          <cell r="A474" t="str">
            <v>WJAJKM52007</v>
          </cell>
          <cell r="B474" t="str">
            <v>WJAJKM520</v>
          </cell>
          <cell r="C474" t="str">
            <v>07</v>
          </cell>
          <cell r="D474">
            <v>0</v>
          </cell>
          <cell r="E474">
            <v>1</v>
          </cell>
          <cell r="F474">
            <v>1</v>
          </cell>
          <cell r="G474">
            <v>2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</v>
          </cell>
          <cell r="N474">
            <v>0</v>
          </cell>
          <cell r="O474">
            <v>0</v>
          </cell>
          <cell r="P474">
            <v>3</v>
          </cell>
          <cell r="Q474">
            <v>-1</v>
          </cell>
          <cell r="R474">
            <v>1</v>
          </cell>
          <cell r="S474">
            <v>1</v>
          </cell>
          <cell r="T474">
            <v>3</v>
          </cell>
        </row>
        <row r="475">
          <cell r="A475" t="str">
            <v>WJAJKM52076</v>
          </cell>
          <cell r="B475" t="str">
            <v>WJAJKM520</v>
          </cell>
          <cell r="C475" t="str">
            <v>76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1</v>
          </cell>
          <cell r="L475">
            <v>0</v>
          </cell>
          <cell r="M475">
            <v>2</v>
          </cell>
          <cell r="N475">
            <v>0</v>
          </cell>
          <cell r="O475">
            <v>1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4</v>
          </cell>
        </row>
        <row r="476">
          <cell r="A476" t="str">
            <v>WJAPTI01007</v>
          </cell>
          <cell r="B476" t="str">
            <v>WJAPTI010</v>
          </cell>
          <cell r="C476" t="str">
            <v>07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3</v>
          </cell>
          <cell r="Q476">
            <v>1</v>
          </cell>
          <cell r="R476">
            <v>0</v>
          </cell>
          <cell r="S476">
            <v>4</v>
          </cell>
          <cell r="T476">
            <v>3</v>
          </cell>
        </row>
        <row r="477">
          <cell r="A477" t="str">
            <v>WJAPTI03007</v>
          </cell>
          <cell r="B477" t="str">
            <v>WJAPTI030</v>
          </cell>
          <cell r="C477" t="str">
            <v>07</v>
          </cell>
          <cell r="D477">
            <v>0</v>
          </cell>
          <cell r="E477">
            <v>0</v>
          </cell>
          <cell r="F477">
            <v>0</v>
          </cell>
          <cell r="G477">
            <v>1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1</v>
          </cell>
          <cell r="O477">
            <v>1</v>
          </cell>
          <cell r="P477">
            <v>0</v>
          </cell>
          <cell r="Q477">
            <v>1</v>
          </cell>
          <cell r="R477">
            <v>1</v>
          </cell>
          <cell r="S477">
            <v>0</v>
          </cell>
          <cell r="T477">
            <v>0</v>
          </cell>
        </row>
        <row r="478">
          <cell r="A478" t="str">
            <v>WJAPTI04014</v>
          </cell>
          <cell r="B478" t="str">
            <v>WJAPTI040</v>
          </cell>
          <cell r="C478" t="str">
            <v>14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</row>
        <row r="479">
          <cell r="A479" t="str">
            <v>WJAPTI04064</v>
          </cell>
          <cell r="B479" t="str">
            <v>WJAPTI040</v>
          </cell>
          <cell r="C479" t="str">
            <v>64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</row>
        <row r="480">
          <cell r="A480" t="str">
            <v>WJAPTI05007</v>
          </cell>
          <cell r="B480" t="str">
            <v>WJAPTI050</v>
          </cell>
          <cell r="C480" t="str">
            <v>07</v>
          </cell>
          <cell r="D480">
            <v>0</v>
          </cell>
          <cell r="E480">
            <v>0</v>
          </cell>
          <cell r="F480">
            <v>1</v>
          </cell>
          <cell r="G480">
            <v>1</v>
          </cell>
          <cell r="H480">
            <v>1</v>
          </cell>
          <cell r="I480">
            <v>2</v>
          </cell>
          <cell r="J480">
            <v>0</v>
          </cell>
          <cell r="K480">
            <v>1</v>
          </cell>
          <cell r="L480">
            <v>1</v>
          </cell>
          <cell r="M480">
            <v>1</v>
          </cell>
          <cell r="N480">
            <v>1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</row>
        <row r="481">
          <cell r="A481" t="str">
            <v>WJAPTI06007</v>
          </cell>
          <cell r="B481" t="str">
            <v>WJAPTI060</v>
          </cell>
          <cell r="C481" t="str">
            <v>07</v>
          </cell>
          <cell r="D481">
            <v>1</v>
          </cell>
          <cell r="E481">
            <v>0</v>
          </cell>
          <cell r="F481">
            <v>1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-1</v>
          </cell>
          <cell r="L481">
            <v>2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</row>
        <row r="482">
          <cell r="A482" t="str">
            <v>WJAPTI06026</v>
          </cell>
          <cell r="B482" t="str">
            <v>WJAPTI060</v>
          </cell>
          <cell r="C482" t="str">
            <v>26</v>
          </cell>
          <cell r="D482">
            <v>0</v>
          </cell>
          <cell r="E482">
            <v>1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-1</v>
          </cell>
          <cell r="L482">
            <v>0</v>
          </cell>
          <cell r="M482">
            <v>2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</row>
        <row r="483">
          <cell r="A483" t="str">
            <v>WJAPTM01001</v>
          </cell>
          <cell r="B483" t="str">
            <v>WJAPTM010</v>
          </cell>
          <cell r="C483" t="str">
            <v>01</v>
          </cell>
          <cell r="D483">
            <v>-1</v>
          </cell>
          <cell r="E483">
            <v>0</v>
          </cell>
          <cell r="F483">
            <v>2</v>
          </cell>
          <cell r="G483">
            <v>0</v>
          </cell>
          <cell r="H483">
            <v>1</v>
          </cell>
          <cell r="I483">
            <v>1</v>
          </cell>
          <cell r="J483">
            <v>1</v>
          </cell>
          <cell r="K483">
            <v>1</v>
          </cell>
          <cell r="L483">
            <v>0</v>
          </cell>
          <cell r="M483">
            <v>1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</row>
        <row r="484">
          <cell r="A484" t="str">
            <v>WJAPTM01007</v>
          </cell>
          <cell r="B484" t="str">
            <v>WJAPTM010</v>
          </cell>
          <cell r="C484" t="str">
            <v>07</v>
          </cell>
          <cell r="D484">
            <v>10</v>
          </cell>
          <cell r="E484">
            <v>4</v>
          </cell>
          <cell r="F484">
            <v>7</v>
          </cell>
          <cell r="G484">
            <v>4</v>
          </cell>
          <cell r="H484">
            <v>8</v>
          </cell>
          <cell r="I484">
            <v>12</v>
          </cell>
          <cell r="J484">
            <v>11</v>
          </cell>
          <cell r="K484">
            <v>5</v>
          </cell>
          <cell r="L484">
            <v>0</v>
          </cell>
          <cell r="M484">
            <v>3</v>
          </cell>
          <cell r="N484">
            <v>7</v>
          </cell>
          <cell r="O484">
            <v>1</v>
          </cell>
          <cell r="P484">
            <v>2</v>
          </cell>
          <cell r="Q484">
            <v>8</v>
          </cell>
          <cell r="R484">
            <v>5</v>
          </cell>
          <cell r="S484">
            <v>0</v>
          </cell>
          <cell r="T484">
            <v>2</v>
          </cell>
        </row>
        <row r="485">
          <cell r="A485" t="str">
            <v>WJAPTM02007</v>
          </cell>
          <cell r="B485" t="str">
            <v>WJAPTM020</v>
          </cell>
          <cell r="C485" t="str">
            <v>07</v>
          </cell>
          <cell r="D485">
            <v>1</v>
          </cell>
          <cell r="E485">
            <v>4</v>
          </cell>
          <cell r="F485">
            <v>3</v>
          </cell>
          <cell r="G485">
            <v>4</v>
          </cell>
          <cell r="H485">
            <v>3</v>
          </cell>
          <cell r="I485">
            <v>4</v>
          </cell>
          <cell r="J485">
            <v>4</v>
          </cell>
          <cell r="K485">
            <v>4</v>
          </cell>
          <cell r="L485">
            <v>3</v>
          </cell>
          <cell r="M485">
            <v>7</v>
          </cell>
          <cell r="N485">
            <v>4</v>
          </cell>
          <cell r="O485">
            <v>4</v>
          </cell>
          <cell r="P485">
            <v>3</v>
          </cell>
          <cell r="Q485">
            <v>7</v>
          </cell>
          <cell r="R485">
            <v>5</v>
          </cell>
          <cell r="S485">
            <v>0</v>
          </cell>
          <cell r="T485">
            <v>3</v>
          </cell>
        </row>
        <row r="486">
          <cell r="A486" t="str">
            <v>WJAPTM02046</v>
          </cell>
          <cell r="B486" t="str">
            <v>WJAPTM020</v>
          </cell>
          <cell r="C486" t="str">
            <v>46</v>
          </cell>
          <cell r="D486">
            <v>1</v>
          </cell>
          <cell r="E486">
            <v>0</v>
          </cell>
          <cell r="F486">
            <v>0</v>
          </cell>
          <cell r="G486">
            <v>1</v>
          </cell>
          <cell r="H486">
            <v>1</v>
          </cell>
          <cell r="I486">
            <v>2</v>
          </cell>
          <cell r="J486">
            <v>1</v>
          </cell>
          <cell r="K486">
            <v>1</v>
          </cell>
          <cell r="L486">
            <v>3</v>
          </cell>
          <cell r="M486">
            <v>2</v>
          </cell>
          <cell r="N486">
            <v>2</v>
          </cell>
          <cell r="O486">
            <v>3</v>
          </cell>
          <cell r="P486">
            <v>0</v>
          </cell>
          <cell r="Q486">
            <v>1</v>
          </cell>
          <cell r="R486">
            <v>5</v>
          </cell>
          <cell r="S486">
            <v>0</v>
          </cell>
          <cell r="T486">
            <v>2</v>
          </cell>
        </row>
        <row r="487">
          <cell r="A487" t="str">
            <v>WJAPTM03005</v>
          </cell>
          <cell r="B487" t="str">
            <v>WJAPTM030</v>
          </cell>
          <cell r="C487" t="str">
            <v>05</v>
          </cell>
          <cell r="D487">
            <v>2</v>
          </cell>
          <cell r="E487">
            <v>2</v>
          </cell>
          <cell r="F487">
            <v>5</v>
          </cell>
          <cell r="G487">
            <v>4</v>
          </cell>
          <cell r="H487">
            <v>1</v>
          </cell>
          <cell r="I487">
            <v>5</v>
          </cell>
          <cell r="J487">
            <v>3</v>
          </cell>
          <cell r="K487">
            <v>3</v>
          </cell>
          <cell r="L487">
            <v>5</v>
          </cell>
          <cell r="M487">
            <v>5</v>
          </cell>
          <cell r="N487">
            <v>9</v>
          </cell>
          <cell r="O487">
            <v>7</v>
          </cell>
          <cell r="P487">
            <v>5</v>
          </cell>
          <cell r="Q487">
            <v>1</v>
          </cell>
          <cell r="R487">
            <v>3</v>
          </cell>
          <cell r="S487">
            <v>0</v>
          </cell>
          <cell r="T487">
            <v>3</v>
          </cell>
        </row>
        <row r="488">
          <cell r="A488" t="str">
            <v>WJAPTM03046</v>
          </cell>
          <cell r="B488" t="str">
            <v>WJAPTM030</v>
          </cell>
          <cell r="C488" t="str">
            <v>46</v>
          </cell>
          <cell r="D488">
            <v>2</v>
          </cell>
          <cell r="E488">
            <v>4</v>
          </cell>
          <cell r="F488">
            <v>1</v>
          </cell>
          <cell r="G488">
            <v>4</v>
          </cell>
          <cell r="H488">
            <v>4</v>
          </cell>
          <cell r="I488">
            <v>2</v>
          </cell>
          <cell r="J488">
            <v>5</v>
          </cell>
          <cell r="K488">
            <v>3</v>
          </cell>
          <cell r="L488">
            <v>7</v>
          </cell>
          <cell r="M488">
            <v>12</v>
          </cell>
          <cell r="N488">
            <v>7</v>
          </cell>
          <cell r="O488">
            <v>8</v>
          </cell>
          <cell r="P488">
            <v>6</v>
          </cell>
          <cell r="Q488">
            <v>5</v>
          </cell>
          <cell r="R488">
            <v>4</v>
          </cell>
          <cell r="S488">
            <v>0</v>
          </cell>
          <cell r="T488">
            <v>0</v>
          </cell>
        </row>
        <row r="489">
          <cell r="A489" t="str">
            <v>WJAPTM04007</v>
          </cell>
          <cell r="B489" t="str">
            <v>WJAPTM040</v>
          </cell>
          <cell r="C489" t="str">
            <v>07</v>
          </cell>
          <cell r="D489">
            <v>0</v>
          </cell>
          <cell r="E489">
            <v>0</v>
          </cell>
          <cell r="F489">
            <v>1</v>
          </cell>
          <cell r="G489">
            <v>1</v>
          </cell>
          <cell r="H489">
            <v>3</v>
          </cell>
          <cell r="I489">
            <v>3</v>
          </cell>
          <cell r="J489">
            <v>1</v>
          </cell>
          <cell r="K489">
            <v>0</v>
          </cell>
          <cell r="L489">
            <v>1</v>
          </cell>
          <cell r="M489">
            <v>1</v>
          </cell>
          <cell r="N489">
            <v>0</v>
          </cell>
          <cell r="O489">
            <v>0</v>
          </cell>
          <cell r="P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1</v>
          </cell>
        </row>
        <row r="490">
          <cell r="A490" t="str">
            <v>WJAPTM04073</v>
          </cell>
          <cell r="B490" t="str">
            <v>WJAPTM040</v>
          </cell>
          <cell r="C490" t="str">
            <v>73</v>
          </cell>
          <cell r="D490">
            <v>0</v>
          </cell>
          <cell r="E490">
            <v>2</v>
          </cell>
          <cell r="F490">
            <v>0</v>
          </cell>
          <cell r="G490">
            <v>1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1</v>
          </cell>
          <cell r="T490">
            <v>1</v>
          </cell>
        </row>
        <row r="491">
          <cell r="A491" t="str">
            <v>WJAPTM05007</v>
          </cell>
          <cell r="B491" t="str">
            <v>WJAPTM050</v>
          </cell>
          <cell r="C491" t="str">
            <v>07</v>
          </cell>
          <cell r="D491">
            <v>6</v>
          </cell>
          <cell r="E491">
            <v>13</v>
          </cell>
          <cell r="F491">
            <v>7</v>
          </cell>
          <cell r="G491">
            <v>21</v>
          </cell>
          <cell r="H491">
            <v>14</v>
          </cell>
          <cell r="I491">
            <v>18</v>
          </cell>
          <cell r="J491">
            <v>14</v>
          </cell>
          <cell r="K491">
            <v>12</v>
          </cell>
          <cell r="L491">
            <v>14</v>
          </cell>
          <cell r="M491">
            <v>20</v>
          </cell>
          <cell r="N491">
            <v>7</v>
          </cell>
          <cell r="O491">
            <v>5</v>
          </cell>
          <cell r="P491">
            <v>5</v>
          </cell>
          <cell r="Q491">
            <v>15</v>
          </cell>
          <cell r="R491">
            <v>3</v>
          </cell>
          <cell r="S491">
            <v>0</v>
          </cell>
          <cell r="T491">
            <v>0</v>
          </cell>
        </row>
        <row r="492">
          <cell r="A492" t="str">
            <v>WJAPTM05053</v>
          </cell>
          <cell r="B492" t="str">
            <v>WJAPTM050</v>
          </cell>
          <cell r="C492" t="str">
            <v>53</v>
          </cell>
          <cell r="D492">
            <v>0</v>
          </cell>
          <cell r="E492">
            <v>0</v>
          </cell>
          <cell r="F492">
            <v>1</v>
          </cell>
          <cell r="G492">
            <v>1</v>
          </cell>
          <cell r="H492">
            <v>3</v>
          </cell>
          <cell r="I492">
            <v>1</v>
          </cell>
          <cell r="J492">
            <v>2</v>
          </cell>
          <cell r="K492">
            <v>0</v>
          </cell>
          <cell r="L492">
            <v>0</v>
          </cell>
          <cell r="M492">
            <v>0</v>
          </cell>
          <cell r="N492">
            <v>-1</v>
          </cell>
          <cell r="O492">
            <v>0</v>
          </cell>
          <cell r="P492">
            <v>2</v>
          </cell>
          <cell r="Q492">
            <v>-1</v>
          </cell>
          <cell r="R492">
            <v>1</v>
          </cell>
          <cell r="S492">
            <v>0</v>
          </cell>
          <cell r="T492">
            <v>0</v>
          </cell>
        </row>
        <row r="493">
          <cell r="A493" t="str">
            <v>WJAPTM06007</v>
          </cell>
          <cell r="B493" t="str">
            <v>WJAPTM060</v>
          </cell>
          <cell r="C493" t="str">
            <v>07</v>
          </cell>
          <cell r="D493">
            <v>13</v>
          </cell>
          <cell r="E493">
            <v>5</v>
          </cell>
          <cell r="F493">
            <v>8</v>
          </cell>
          <cell r="G493">
            <v>6</v>
          </cell>
          <cell r="H493">
            <v>8</v>
          </cell>
          <cell r="I493">
            <v>18</v>
          </cell>
          <cell r="J493">
            <v>9</v>
          </cell>
          <cell r="K493">
            <v>13</v>
          </cell>
          <cell r="L493">
            <v>19</v>
          </cell>
          <cell r="M493">
            <v>9</v>
          </cell>
          <cell r="N493">
            <v>19</v>
          </cell>
          <cell r="O493">
            <v>15</v>
          </cell>
          <cell r="P493">
            <v>19</v>
          </cell>
          <cell r="Q493">
            <v>14</v>
          </cell>
          <cell r="R493">
            <v>18</v>
          </cell>
          <cell r="S493">
            <v>11</v>
          </cell>
          <cell r="T493">
            <v>7</v>
          </cell>
        </row>
        <row r="494">
          <cell r="A494" t="str">
            <v>WJAPTM06046</v>
          </cell>
          <cell r="B494" t="str">
            <v>WJAPTM060</v>
          </cell>
          <cell r="C494" t="str">
            <v>46</v>
          </cell>
          <cell r="D494">
            <v>1</v>
          </cell>
          <cell r="E494">
            <v>3</v>
          </cell>
          <cell r="F494">
            <v>0</v>
          </cell>
          <cell r="G494">
            <v>2</v>
          </cell>
          <cell r="H494">
            <v>0</v>
          </cell>
          <cell r="I494">
            <v>2</v>
          </cell>
          <cell r="J494">
            <v>0</v>
          </cell>
          <cell r="K494">
            <v>3</v>
          </cell>
          <cell r="L494">
            <v>0</v>
          </cell>
          <cell r="M494">
            <v>0</v>
          </cell>
          <cell r="N494">
            <v>1</v>
          </cell>
          <cell r="O494">
            <v>1</v>
          </cell>
          <cell r="P494">
            <v>4</v>
          </cell>
          <cell r="Q494">
            <v>1</v>
          </cell>
          <cell r="R494">
            <v>2</v>
          </cell>
          <cell r="S494">
            <v>1</v>
          </cell>
          <cell r="T494">
            <v>0</v>
          </cell>
        </row>
        <row r="495">
          <cell r="A495" t="str">
            <v>WJAPTM06107</v>
          </cell>
          <cell r="B495" t="str">
            <v>WJAPTM061</v>
          </cell>
          <cell r="C495" t="str">
            <v>07</v>
          </cell>
          <cell r="D495">
            <v>20</v>
          </cell>
          <cell r="E495">
            <v>14</v>
          </cell>
          <cell r="F495">
            <v>20</v>
          </cell>
          <cell r="G495">
            <v>18</v>
          </cell>
          <cell r="H495">
            <v>12</v>
          </cell>
          <cell r="I495">
            <v>26</v>
          </cell>
          <cell r="J495">
            <v>22</v>
          </cell>
          <cell r="K495">
            <v>13</v>
          </cell>
          <cell r="L495">
            <v>10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</row>
        <row r="496">
          <cell r="A496" t="str">
            <v>WJAPTM07007</v>
          </cell>
          <cell r="B496" t="str">
            <v>WJAPTM070</v>
          </cell>
          <cell r="C496" t="str">
            <v>07</v>
          </cell>
          <cell r="D496">
            <v>4</v>
          </cell>
          <cell r="E496">
            <v>2</v>
          </cell>
          <cell r="F496">
            <v>3</v>
          </cell>
          <cell r="G496">
            <v>4</v>
          </cell>
          <cell r="H496">
            <v>2</v>
          </cell>
          <cell r="I496">
            <v>2</v>
          </cell>
          <cell r="J496">
            <v>3</v>
          </cell>
          <cell r="K496">
            <v>1</v>
          </cell>
          <cell r="L496">
            <v>2</v>
          </cell>
          <cell r="M496">
            <v>3</v>
          </cell>
          <cell r="N496">
            <v>3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</row>
        <row r="497">
          <cell r="A497" t="str">
            <v>WJAPTM07075</v>
          </cell>
          <cell r="B497" t="str">
            <v>WJAPTM070</v>
          </cell>
          <cell r="C497" t="str">
            <v>75</v>
          </cell>
          <cell r="D497">
            <v>1</v>
          </cell>
          <cell r="E497">
            <v>1</v>
          </cell>
          <cell r="F497">
            <v>2</v>
          </cell>
          <cell r="G497">
            <v>4</v>
          </cell>
          <cell r="H497">
            <v>1</v>
          </cell>
          <cell r="I497">
            <v>1</v>
          </cell>
          <cell r="J497">
            <v>0</v>
          </cell>
          <cell r="K497">
            <v>2</v>
          </cell>
          <cell r="L497">
            <v>3</v>
          </cell>
          <cell r="M497">
            <v>1</v>
          </cell>
          <cell r="N497">
            <v>1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</row>
        <row r="498">
          <cell r="A498" t="str">
            <v>WJAPTM21006</v>
          </cell>
          <cell r="B498" t="str">
            <v>WJAPTM210</v>
          </cell>
          <cell r="C498" t="str">
            <v>06</v>
          </cell>
          <cell r="D498">
            <v>0</v>
          </cell>
          <cell r="E498">
            <v>-1</v>
          </cell>
          <cell r="F498">
            <v>2</v>
          </cell>
          <cell r="G498">
            <v>0</v>
          </cell>
          <cell r="H498">
            <v>0</v>
          </cell>
          <cell r="I498">
            <v>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</row>
        <row r="499">
          <cell r="A499" t="str">
            <v>WJAPTM21007</v>
          </cell>
          <cell r="B499" t="str">
            <v>WJAPTM210</v>
          </cell>
          <cell r="C499" t="str">
            <v>07</v>
          </cell>
          <cell r="D499">
            <v>0</v>
          </cell>
          <cell r="E499">
            <v>1</v>
          </cell>
          <cell r="F499">
            <v>3</v>
          </cell>
          <cell r="G499">
            <v>1</v>
          </cell>
          <cell r="H499">
            <v>2</v>
          </cell>
          <cell r="I499">
            <v>1</v>
          </cell>
          <cell r="J499">
            <v>0</v>
          </cell>
          <cell r="K499">
            <v>2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</row>
        <row r="500">
          <cell r="A500" t="str">
            <v>WJAPTM22007</v>
          </cell>
          <cell r="B500" t="str">
            <v>WJAPTM220</v>
          </cell>
          <cell r="C500" t="str">
            <v>07</v>
          </cell>
          <cell r="D500">
            <v>-1</v>
          </cell>
          <cell r="E500">
            <v>0</v>
          </cell>
          <cell r="F500">
            <v>3</v>
          </cell>
          <cell r="G500">
            <v>3</v>
          </cell>
          <cell r="H500">
            <v>1</v>
          </cell>
          <cell r="I500">
            <v>3</v>
          </cell>
          <cell r="J500">
            <v>7</v>
          </cell>
          <cell r="K500">
            <v>1</v>
          </cell>
          <cell r="L500">
            <v>1</v>
          </cell>
          <cell r="M500">
            <v>4</v>
          </cell>
          <cell r="N500">
            <v>1</v>
          </cell>
          <cell r="O500">
            <v>3</v>
          </cell>
          <cell r="P500">
            <v>3</v>
          </cell>
          <cell r="Q500">
            <v>2</v>
          </cell>
          <cell r="R500">
            <v>1</v>
          </cell>
          <cell r="S500">
            <v>1</v>
          </cell>
          <cell r="T500">
            <v>3</v>
          </cell>
        </row>
        <row r="501">
          <cell r="A501" t="str">
            <v>WJAPTM22016</v>
          </cell>
          <cell r="B501" t="str">
            <v>WJAPTM220</v>
          </cell>
          <cell r="C501" t="str">
            <v>16</v>
          </cell>
          <cell r="D501">
            <v>2</v>
          </cell>
          <cell r="E501">
            <v>1</v>
          </cell>
          <cell r="F501">
            <v>1</v>
          </cell>
          <cell r="G501">
            <v>3</v>
          </cell>
          <cell r="H501">
            <v>2</v>
          </cell>
          <cell r="I501">
            <v>1</v>
          </cell>
          <cell r="J501">
            <v>3</v>
          </cell>
          <cell r="K501">
            <v>3</v>
          </cell>
          <cell r="L501">
            <v>2</v>
          </cell>
          <cell r="M501">
            <v>2</v>
          </cell>
          <cell r="N501">
            <v>4</v>
          </cell>
          <cell r="O501">
            <v>3</v>
          </cell>
          <cell r="P501">
            <v>3</v>
          </cell>
          <cell r="Q501">
            <v>0</v>
          </cell>
          <cell r="R501">
            <v>2</v>
          </cell>
          <cell r="S501">
            <v>1</v>
          </cell>
          <cell r="T501">
            <v>0</v>
          </cell>
        </row>
        <row r="502">
          <cell r="A502" t="str">
            <v>WJAPTM22074</v>
          </cell>
          <cell r="B502" t="str">
            <v>WJAPTM220</v>
          </cell>
          <cell r="C502" t="str">
            <v>74</v>
          </cell>
          <cell r="D502">
            <v>0</v>
          </cell>
          <cell r="E502">
            <v>1</v>
          </cell>
          <cell r="F502">
            <v>2</v>
          </cell>
          <cell r="G502">
            <v>2</v>
          </cell>
          <cell r="H502">
            <v>0</v>
          </cell>
          <cell r="I502">
            <v>1</v>
          </cell>
          <cell r="J502">
            <v>0</v>
          </cell>
          <cell r="K502">
            <v>0</v>
          </cell>
          <cell r="L502">
            <v>0</v>
          </cell>
          <cell r="M502">
            <v>1</v>
          </cell>
          <cell r="N502">
            <v>2</v>
          </cell>
          <cell r="O502">
            <v>1</v>
          </cell>
          <cell r="P502">
            <v>0</v>
          </cell>
          <cell r="Q502">
            <v>0</v>
          </cell>
          <cell r="R502">
            <v>1</v>
          </cell>
          <cell r="S502">
            <v>0</v>
          </cell>
          <cell r="T502">
            <v>1</v>
          </cell>
        </row>
        <row r="503">
          <cell r="A503" t="str">
            <v>WJAPTM23003</v>
          </cell>
          <cell r="B503" t="str">
            <v>WJAPTM230</v>
          </cell>
          <cell r="C503" t="str">
            <v>03</v>
          </cell>
          <cell r="D503">
            <v>0</v>
          </cell>
          <cell r="E503">
            <v>4</v>
          </cell>
          <cell r="F503">
            <v>3</v>
          </cell>
          <cell r="G503">
            <v>2</v>
          </cell>
          <cell r="H503">
            <v>0</v>
          </cell>
          <cell r="I503">
            <v>0</v>
          </cell>
          <cell r="J503">
            <v>2</v>
          </cell>
          <cell r="K503">
            <v>2</v>
          </cell>
          <cell r="L503">
            <v>1</v>
          </cell>
          <cell r="M503">
            <v>-1</v>
          </cell>
          <cell r="N503">
            <v>2</v>
          </cell>
          <cell r="O503">
            <v>1</v>
          </cell>
          <cell r="P503">
            <v>5</v>
          </cell>
          <cell r="Q503">
            <v>3</v>
          </cell>
          <cell r="R503">
            <v>4</v>
          </cell>
          <cell r="S503">
            <v>1</v>
          </cell>
          <cell r="T503">
            <v>1</v>
          </cell>
        </row>
        <row r="504">
          <cell r="A504" t="str">
            <v>WJAPTM23046</v>
          </cell>
          <cell r="B504" t="str">
            <v>WJAPTM230</v>
          </cell>
          <cell r="C504" t="str">
            <v>46</v>
          </cell>
          <cell r="D504">
            <v>0</v>
          </cell>
          <cell r="E504">
            <v>0</v>
          </cell>
          <cell r="F504">
            <v>1</v>
          </cell>
          <cell r="G504">
            <v>0</v>
          </cell>
          <cell r="H504">
            <v>2</v>
          </cell>
          <cell r="I504">
            <v>1</v>
          </cell>
          <cell r="J504">
            <v>2</v>
          </cell>
          <cell r="K504">
            <v>2</v>
          </cell>
          <cell r="L504">
            <v>1</v>
          </cell>
          <cell r="M504">
            <v>1</v>
          </cell>
          <cell r="N504">
            <v>0</v>
          </cell>
          <cell r="O504">
            <v>0</v>
          </cell>
          <cell r="P504">
            <v>0</v>
          </cell>
          <cell r="Q504">
            <v>1</v>
          </cell>
          <cell r="R504">
            <v>1</v>
          </cell>
          <cell r="S504">
            <v>2</v>
          </cell>
          <cell r="T504">
            <v>1</v>
          </cell>
        </row>
        <row r="505">
          <cell r="A505" t="str">
            <v>WJAPTM24007</v>
          </cell>
          <cell r="B505" t="str">
            <v>WJAPTM240</v>
          </cell>
          <cell r="C505" t="str">
            <v>07</v>
          </cell>
          <cell r="D505">
            <v>1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2</v>
          </cell>
          <cell r="J505">
            <v>0</v>
          </cell>
          <cell r="K505">
            <v>-1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2</v>
          </cell>
          <cell r="Q505">
            <v>0</v>
          </cell>
          <cell r="R505">
            <v>0</v>
          </cell>
          <cell r="S505">
            <v>1</v>
          </cell>
          <cell r="T505">
            <v>2</v>
          </cell>
        </row>
        <row r="506">
          <cell r="A506" t="str">
            <v>WJAPTM24045</v>
          </cell>
          <cell r="B506" t="str">
            <v>WJAPTM240</v>
          </cell>
          <cell r="C506" t="str">
            <v>45</v>
          </cell>
          <cell r="D506">
            <v>0</v>
          </cell>
          <cell r="E506">
            <v>0</v>
          </cell>
          <cell r="F506">
            <v>0</v>
          </cell>
          <cell r="G506">
            <v>-1</v>
          </cell>
          <cell r="H506">
            <v>0</v>
          </cell>
          <cell r="I506">
            <v>0</v>
          </cell>
          <cell r="J506">
            <v>1</v>
          </cell>
          <cell r="K506">
            <v>1</v>
          </cell>
          <cell r="L506">
            <v>1</v>
          </cell>
          <cell r="M506">
            <v>0</v>
          </cell>
          <cell r="N506">
            <v>0</v>
          </cell>
          <cell r="O506">
            <v>1</v>
          </cell>
          <cell r="P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1</v>
          </cell>
        </row>
        <row r="507">
          <cell r="A507" t="str">
            <v>WJAPTM51074</v>
          </cell>
          <cell r="B507" t="str">
            <v>WJAPTM510</v>
          </cell>
          <cell r="C507" t="str">
            <v>74</v>
          </cell>
          <cell r="D507">
            <v>1</v>
          </cell>
          <cell r="E507">
            <v>0</v>
          </cell>
          <cell r="F507">
            <v>1</v>
          </cell>
          <cell r="G507">
            <v>1</v>
          </cell>
          <cell r="H507">
            <v>0</v>
          </cell>
          <cell r="I507">
            <v>0</v>
          </cell>
          <cell r="J507">
            <v>0</v>
          </cell>
          <cell r="K507">
            <v>1</v>
          </cell>
          <cell r="L507">
            <v>1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1</v>
          </cell>
          <cell r="R507">
            <v>0</v>
          </cell>
          <cell r="S507">
            <v>1</v>
          </cell>
          <cell r="T507">
            <v>1</v>
          </cell>
        </row>
        <row r="508">
          <cell r="A508" t="str">
            <v>WJAPTM51077</v>
          </cell>
          <cell r="B508" t="str">
            <v>WJAPTM510</v>
          </cell>
          <cell r="C508" t="str">
            <v>77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1</v>
          </cell>
          <cell r="L508">
            <v>1</v>
          </cell>
          <cell r="M508">
            <v>1</v>
          </cell>
          <cell r="N508">
            <v>0</v>
          </cell>
          <cell r="O508">
            <v>1</v>
          </cell>
          <cell r="P508">
            <v>1</v>
          </cell>
          <cell r="Q508">
            <v>1</v>
          </cell>
          <cell r="R508">
            <v>1</v>
          </cell>
          <cell r="S508">
            <v>0</v>
          </cell>
          <cell r="T508">
            <v>2</v>
          </cell>
        </row>
        <row r="509">
          <cell r="A509" t="str">
            <v>WJAPTM52007</v>
          </cell>
          <cell r="B509" t="str">
            <v>WJAPTM520</v>
          </cell>
          <cell r="C509" t="str">
            <v>07</v>
          </cell>
          <cell r="D509">
            <v>0</v>
          </cell>
          <cell r="E509">
            <v>2</v>
          </cell>
          <cell r="F509">
            <v>2</v>
          </cell>
          <cell r="G509">
            <v>4</v>
          </cell>
          <cell r="H509">
            <v>0</v>
          </cell>
          <cell r="I509">
            <v>2</v>
          </cell>
          <cell r="J509">
            <v>1</v>
          </cell>
          <cell r="K509">
            <v>0</v>
          </cell>
          <cell r="L509">
            <v>0</v>
          </cell>
          <cell r="M509">
            <v>1</v>
          </cell>
          <cell r="N509">
            <v>1</v>
          </cell>
          <cell r="O509">
            <v>0</v>
          </cell>
          <cell r="P509">
            <v>1</v>
          </cell>
          <cell r="Q509">
            <v>-1</v>
          </cell>
          <cell r="R509">
            <v>1</v>
          </cell>
          <cell r="S509">
            <v>2</v>
          </cell>
          <cell r="T509">
            <v>1</v>
          </cell>
        </row>
        <row r="510">
          <cell r="A510" t="str">
            <v>WJAPTM52077</v>
          </cell>
          <cell r="B510" t="str">
            <v>WJAPTM520</v>
          </cell>
          <cell r="C510" t="str">
            <v>77</v>
          </cell>
          <cell r="D510">
            <v>1</v>
          </cell>
          <cell r="E510">
            <v>1</v>
          </cell>
          <cell r="F510">
            <v>0</v>
          </cell>
          <cell r="G510">
            <v>1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3</v>
          </cell>
          <cell r="N510">
            <v>0</v>
          </cell>
          <cell r="O510">
            <v>2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1</v>
          </cell>
        </row>
        <row r="511">
          <cell r="A511" t="str">
            <v>WJAPTP71007</v>
          </cell>
          <cell r="B511" t="str">
            <v>WJAPTP710</v>
          </cell>
          <cell r="C511" t="str">
            <v>07</v>
          </cell>
          <cell r="D511">
            <v>5</v>
          </cell>
          <cell r="E511">
            <v>7</v>
          </cell>
          <cell r="F511">
            <v>17</v>
          </cell>
          <cell r="G511">
            <v>8</v>
          </cell>
          <cell r="H511">
            <v>10</v>
          </cell>
          <cell r="I511">
            <v>14</v>
          </cell>
          <cell r="J511">
            <v>17</v>
          </cell>
          <cell r="K511">
            <v>6</v>
          </cell>
          <cell r="L511">
            <v>11</v>
          </cell>
          <cell r="M511">
            <v>9</v>
          </cell>
          <cell r="N511">
            <v>7</v>
          </cell>
          <cell r="O511">
            <v>11</v>
          </cell>
          <cell r="P511">
            <v>7</v>
          </cell>
          <cell r="Q511">
            <v>8</v>
          </cell>
          <cell r="R511">
            <v>12</v>
          </cell>
          <cell r="S511">
            <v>9</v>
          </cell>
          <cell r="T511">
            <v>10</v>
          </cell>
        </row>
        <row r="512">
          <cell r="A512" t="str">
            <v>WJAPTP71053</v>
          </cell>
          <cell r="B512" t="str">
            <v>WJAPTP710</v>
          </cell>
          <cell r="C512" t="str">
            <v>53</v>
          </cell>
          <cell r="D512">
            <v>1</v>
          </cell>
          <cell r="E512">
            <v>2</v>
          </cell>
          <cell r="F512">
            <v>0</v>
          </cell>
          <cell r="G512">
            <v>3</v>
          </cell>
          <cell r="H512">
            <v>1</v>
          </cell>
          <cell r="I512">
            <v>4</v>
          </cell>
          <cell r="J512">
            <v>2</v>
          </cell>
          <cell r="K512">
            <v>3</v>
          </cell>
          <cell r="L512">
            <v>2</v>
          </cell>
          <cell r="M512">
            <v>3</v>
          </cell>
          <cell r="N512">
            <v>3</v>
          </cell>
          <cell r="O512">
            <v>1</v>
          </cell>
          <cell r="P512">
            <v>0</v>
          </cell>
          <cell r="Q512">
            <v>1</v>
          </cell>
          <cell r="R512">
            <v>1</v>
          </cell>
          <cell r="S512">
            <v>2</v>
          </cell>
          <cell r="T512">
            <v>2</v>
          </cell>
        </row>
        <row r="513">
          <cell r="A513" t="str">
            <v>WJAPTP71073</v>
          </cell>
          <cell r="B513" t="str">
            <v>WJAPTP710</v>
          </cell>
          <cell r="C513" t="str">
            <v>73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3</v>
          </cell>
          <cell r="I513">
            <v>1</v>
          </cell>
          <cell r="J513">
            <v>0</v>
          </cell>
          <cell r="K513">
            <v>0</v>
          </cell>
          <cell r="L513">
            <v>1</v>
          </cell>
          <cell r="M513">
            <v>2</v>
          </cell>
          <cell r="N513">
            <v>1</v>
          </cell>
          <cell r="O513">
            <v>0</v>
          </cell>
          <cell r="P513">
            <v>2</v>
          </cell>
          <cell r="Q513">
            <v>1</v>
          </cell>
          <cell r="R513">
            <v>1</v>
          </cell>
          <cell r="S513">
            <v>1</v>
          </cell>
          <cell r="T513">
            <v>0</v>
          </cell>
        </row>
        <row r="514">
          <cell r="A514" t="str">
            <v>WJAPTS21007</v>
          </cell>
          <cell r="B514" t="str">
            <v>WJAPTS210</v>
          </cell>
          <cell r="C514" t="str">
            <v>07</v>
          </cell>
          <cell r="D514">
            <v>0</v>
          </cell>
          <cell r="E514">
            <v>1</v>
          </cell>
          <cell r="F514">
            <v>0</v>
          </cell>
          <cell r="G514">
            <v>2</v>
          </cell>
          <cell r="H514">
            <v>0</v>
          </cell>
          <cell r="I514">
            <v>0</v>
          </cell>
          <cell r="J514">
            <v>1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</row>
        <row r="515">
          <cell r="A515" t="str">
            <v>WJAPTS21055</v>
          </cell>
          <cell r="B515" t="str">
            <v>WJAPTS210</v>
          </cell>
          <cell r="C515" t="str">
            <v>55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</row>
        <row r="516">
          <cell r="A516" t="str">
            <v>WJASCM01071</v>
          </cell>
          <cell r="B516" t="str">
            <v>WJASCM010</v>
          </cell>
          <cell r="C516" t="str">
            <v>71</v>
          </cell>
          <cell r="D516">
            <v>6</v>
          </cell>
          <cell r="E516">
            <v>7</v>
          </cell>
          <cell r="F516">
            <v>3</v>
          </cell>
          <cell r="G516">
            <v>5</v>
          </cell>
          <cell r="H516">
            <v>11</v>
          </cell>
          <cell r="I516">
            <v>2</v>
          </cell>
          <cell r="J516">
            <v>1</v>
          </cell>
          <cell r="K516">
            <v>3</v>
          </cell>
          <cell r="L516">
            <v>3</v>
          </cell>
          <cell r="M516">
            <v>0</v>
          </cell>
          <cell r="N516">
            <v>6</v>
          </cell>
          <cell r="O516">
            <v>0</v>
          </cell>
          <cell r="P516">
            <v>1</v>
          </cell>
          <cell r="Q516">
            <v>0</v>
          </cell>
          <cell r="R516">
            <v>1</v>
          </cell>
          <cell r="S516">
            <v>0</v>
          </cell>
          <cell r="T516">
            <v>0</v>
          </cell>
        </row>
        <row r="517">
          <cell r="A517" t="str">
            <v>WJASCM02024</v>
          </cell>
          <cell r="B517" t="str">
            <v>WJASCM020</v>
          </cell>
          <cell r="C517" t="str">
            <v>24</v>
          </cell>
          <cell r="D517">
            <v>2</v>
          </cell>
          <cell r="E517">
            <v>7</v>
          </cell>
          <cell r="F517">
            <v>3</v>
          </cell>
          <cell r="G517">
            <v>7</v>
          </cell>
          <cell r="H517">
            <v>6</v>
          </cell>
          <cell r="I517">
            <v>4</v>
          </cell>
          <cell r="J517">
            <v>4</v>
          </cell>
          <cell r="K517">
            <v>3</v>
          </cell>
          <cell r="L517">
            <v>0</v>
          </cell>
          <cell r="M517">
            <v>2</v>
          </cell>
          <cell r="N517">
            <v>1</v>
          </cell>
          <cell r="O517">
            <v>2</v>
          </cell>
          <cell r="P517">
            <v>2</v>
          </cell>
          <cell r="Q517">
            <v>11</v>
          </cell>
          <cell r="R517">
            <v>2</v>
          </cell>
          <cell r="S517">
            <v>0</v>
          </cell>
          <cell r="T517">
            <v>5</v>
          </cell>
        </row>
        <row r="518">
          <cell r="A518" t="str">
            <v>WJASCM11024</v>
          </cell>
          <cell r="B518" t="str">
            <v>WJASCM110</v>
          </cell>
          <cell r="C518" t="str">
            <v>24</v>
          </cell>
          <cell r="D518">
            <v>0</v>
          </cell>
          <cell r="E518">
            <v>0</v>
          </cell>
          <cell r="F518">
            <v>1</v>
          </cell>
          <cell r="G518">
            <v>3</v>
          </cell>
          <cell r="H518">
            <v>4</v>
          </cell>
          <cell r="I518">
            <v>1</v>
          </cell>
          <cell r="J518">
            <v>2</v>
          </cell>
          <cell r="K518">
            <v>1</v>
          </cell>
          <cell r="L518">
            <v>2</v>
          </cell>
          <cell r="M518">
            <v>0</v>
          </cell>
          <cell r="N518">
            <v>0</v>
          </cell>
          <cell r="O518">
            <v>1</v>
          </cell>
          <cell r="P518">
            <v>3</v>
          </cell>
          <cell r="Q518">
            <v>10</v>
          </cell>
          <cell r="R518">
            <v>0</v>
          </cell>
          <cell r="S518">
            <v>0</v>
          </cell>
          <cell r="T518">
            <v>1</v>
          </cell>
        </row>
        <row r="519">
          <cell r="A519" t="str">
            <v>WJASCM12073</v>
          </cell>
          <cell r="B519" t="str">
            <v>WJASCM120</v>
          </cell>
          <cell r="C519" t="str">
            <v>73</v>
          </cell>
          <cell r="D519">
            <v>2</v>
          </cell>
          <cell r="E519">
            <v>11</v>
          </cell>
          <cell r="F519">
            <v>-2</v>
          </cell>
          <cell r="G519">
            <v>6</v>
          </cell>
          <cell r="H519">
            <v>1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3</v>
          </cell>
          <cell r="N519">
            <v>2</v>
          </cell>
          <cell r="O519">
            <v>0</v>
          </cell>
          <cell r="P519">
            <v>2</v>
          </cell>
          <cell r="Q519">
            <v>1</v>
          </cell>
          <cell r="R519">
            <v>0</v>
          </cell>
          <cell r="S519">
            <v>3</v>
          </cell>
          <cell r="T519">
            <v>1</v>
          </cell>
        </row>
        <row r="520">
          <cell r="A520" t="str">
            <v>WJASCM13041</v>
          </cell>
          <cell r="B520" t="str">
            <v>WJASCM130</v>
          </cell>
          <cell r="C520" t="str">
            <v>41</v>
          </cell>
          <cell r="D520">
            <v>0</v>
          </cell>
          <cell r="E520">
            <v>2</v>
          </cell>
          <cell r="F520">
            <v>0</v>
          </cell>
          <cell r="G520">
            <v>2</v>
          </cell>
          <cell r="H520">
            <v>0</v>
          </cell>
          <cell r="I520">
            <v>0</v>
          </cell>
          <cell r="J520">
            <v>1</v>
          </cell>
          <cell r="K520">
            <v>3</v>
          </cell>
          <cell r="L520">
            <v>0</v>
          </cell>
          <cell r="M520">
            <v>0</v>
          </cell>
          <cell r="N520">
            <v>1</v>
          </cell>
          <cell r="O520">
            <v>1</v>
          </cell>
          <cell r="P520">
            <v>1</v>
          </cell>
          <cell r="Q520">
            <v>0</v>
          </cell>
          <cell r="R520">
            <v>0</v>
          </cell>
          <cell r="S520">
            <v>2</v>
          </cell>
          <cell r="T520">
            <v>1</v>
          </cell>
        </row>
        <row r="521">
          <cell r="A521" t="str">
            <v>WJASCM14073</v>
          </cell>
          <cell r="B521" t="str">
            <v>WJASCM140</v>
          </cell>
          <cell r="C521" t="str">
            <v>73</v>
          </cell>
          <cell r="D521">
            <v>0</v>
          </cell>
          <cell r="E521">
            <v>1</v>
          </cell>
          <cell r="F521">
            <v>4</v>
          </cell>
          <cell r="G521">
            <v>0</v>
          </cell>
          <cell r="H521">
            <v>0</v>
          </cell>
          <cell r="I521">
            <v>0</v>
          </cell>
          <cell r="J521">
            <v>1</v>
          </cell>
          <cell r="K521">
            <v>3</v>
          </cell>
          <cell r="L521">
            <v>5</v>
          </cell>
          <cell r="M521">
            <v>2</v>
          </cell>
          <cell r="N521">
            <v>1</v>
          </cell>
          <cell r="O521">
            <v>4</v>
          </cell>
          <cell r="P521">
            <v>2</v>
          </cell>
          <cell r="Q521">
            <v>0</v>
          </cell>
          <cell r="R521">
            <v>0</v>
          </cell>
          <cell r="S521">
            <v>1</v>
          </cell>
          <cell r="T521">
            <v>0</v>
          </cell>
        </row>
        <row r="522">
          <cell r="A522" t="str">
            <v>WJASCM15007</v>
          </cell>
          <cell r="B522" t="str">
            <v>WJASCM150</v>
          </cell>
          <cell r="C522" t="str">
            <v>07</v>
          </cell>
          <cell r="D522">
            <v>2</v>
          </cell>
          <cell r="E522">
            <v>0</v>
          </cell>
          <cell r="F522">
            <v>1</v>
          </cell>
          <cell r="G522">
            <v>7</v>
          </cell>
          <cell r="H522">
            <v>2</v>
          </cell>
          <cell r="I522">
            <v>0</v>
          </cell>
          <cell r="J522">
            <v>1</v>
          </cell>
          <cell r="K522">
            <v>2</v>
          </cell>
          <cell r="L522">
            <v>1</v>
          </cell>
          <cell r="M522">
            <v>1</v>
          </cell>
          <cell r="N522">
            <v>2</v>
          </cell>
          <cell r="O522">
            <v>0</v>
          </cell>
          <cell r="P522">
            <v>8</v>
          </cell>
          <cell r="Q522">
            <v>2</v>
          </cell>
          <cell r="R522">
            <v>1</v>
          </cell>
          <cell r="S522">
            <v>0</v>
          </cell>
          <cell r="T522">
            <v>1</v>
          </cell>
        </row>
        <row r="523">
          <cell r="A523" t="str">
            <v>WJASFM01025</v>
          </cell>
          <cell r="B523" t="str">
            <v>WJASFM010</v>
          </cell>
          <cell r="C523" t="str">
            <v>25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</row>
        <row r="524">
          <cell r="A524" t="str">
            <v>WJASFM02004</v>
          </cell>
          <cell r="B524" t="str">
            <v>WJASFM020</v>
          </cell>
          <cell r="C524" t="str">
            <v>04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</row>
        <row r="525">
          <cell r="A525" t="str">
            <v>WJASHM01006</v>
          </cell>
          <cell r="B525" t="str">
            <v>WJASHM010</v>
          </cell>
          <cell r="C525" t="str">
            <v>06</v>
          </cell>
          <cell r="D525">
            <v>3</v>
          </cell>
          <cell r="E525">
            <v>9</v>
          </cell>
          <cell r="F525">
            <v>4</v>
          </cell>
          <cell r="G525">
            <v>7</v>
          </cell>
          <cell r="H525">
            <v>6</v>
          </cell>
          <cell r="I525">
            <v>5</v>
          </cell>
          <cell r="J525">
            <v>6</v>
          </cell>
          <cell r="K525">
            <v>8</v>
          </cell>
          <cell r="L525">
            <v>5</v>
          </cell>
          <cell r="M525">
            <v>10</v>
          </cell>
          <cell r="N525">
            <v>6</v>
          </cell>
          <cell r="O525">
            <v>8</v>
          </cell>
          <cell r="P525">
            <v>5</v>
          </cell>
          <cell r="Q525">
            <v>1</v>
          </cell>
          <cell r="R525">
            <v>5</v>
          </cell>
          <cell r="S525">
            <v>2</v>
          </cell>
          <cell r="T525">
            <v>5</v>
          </cell>
        </row>
        <row r="526">
          <cell r="A526" t="str">
            <v>WJASHM01027</v>
          </cell>
          <cell r="B526" t="str">
            <v>WJASHM010</v>
          </cell>
          <cell r="C526" t="str">
            <v>27</v>
          </cell>
          <cell r="D526">
            <v>5</v>
          </cell>
          <cell r="E526">
            <v>5</v>
          </cell>
          <cell r="F526">
            <v>0</v>
          </cell>
          <cell r="G526">
            <v>3</v>
          </cell>
          <cell r="H526">
            <v>1</v>
          </cell>
          <cell r="I526">
            <v>7</v>
          </cell>
          <cell r="J526">
            <v>2</v>
          </cell>
          <cell r="K526">
            <v>1</v>
          </cell>
          <cell r="L526">
            <v>9</v>
          </cell>
          <cell r="M526">
            <v>10</v>
          </cell>
          <cell r="N526">
            <v>6</v>
          </cell>
          <cell r="O526">
            <v>7</v>
          </cell>
          <cell r="P526">
            <v>13</v>
          </cell>
          <cell r="Q526">
            <v>6</v>
          </cell>
          <cell r="R526">
            <v>6</v>
          </cell>
          <cell r="S526">
            <v>3</v>
          </cell>
          <cell r="T526">
            <v>6</v>
          </cell>
        </row>
        <row r="527">
          <cell r="A527" t="str">
            <v>WJASHM01106</v>
          </cell>
          <cell r="B527" t="str">
            <v>WJASHM011</v>
          </cell>
          <cell r="C527" t="str">
            <v>06</v>
          </cell>
          <cell r="D527">
            <v>1</v>
          </cell>
          <cell r="E527">
            <v>2</v>
          </cell>
          <cell r="F527">
            <v>0</v>
          </cell>
          <cell r="G527">
            <v>1</v>
          </cell>
          <cell r="H527">
            <v>2</v>
          </cell>
          <cell r="I527">
            <v>2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</row>
        <row r="528">
          <cell r="A528" t="str">
            <v>WJASHM01127</v>
          </cell>
          <cell r="B528" t="str">
            <v>WJASHM011</v>
          </cell>
          <cell r="C528" t="str">
            <v>27</v>
          </cell>
          <cell r="D528">
            <v>2</v>
          </cell>
          <cell r="E528">
            <v>1</v>
          </cell>
          <cell r="F528">
            <v>1</v>
          </cell>
          <cell r="G528">
            <v>2</v>
          </cell>
          <cell r="H528">
            <v>0</v>
          </cell>
          <cell r="I528">
            <v>2</v>
          </cell>
          <cell r="J528">
            <v>0</v>
          </cell>
          <cell r="K528">
            <v>1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</row>
        <row r="529">
          <cell r="A529" t="str">
            <v>WJASHM02065</v>
          </cell>
          <cell r="B529" t="str">
            <v>WJASHM020</v>
          </cell>
          <cell r="C529" t="str">
            <v>65</v>
          </cell>
          <cell r="D529">
            <v>3</v>
          </cell>
          <cell r="E529">
            <v>1</v>
          </cell>
          <cell r="F529">
            <v>3</v>
          </cell>
          <cell r="G529">
            <v>3</v>
          </cell>
          <cell r="H529">
            <v>4</v>
          </cell>
          <cell r="I529">
            <v>6</v>
          </cell>
          <cell r="J529">
            <v>3</v>
          </cell>
          <cell r="K529">
            <v>6</v>
          </cell>
          <cell r="L529">
            <v>1</v>
          </cell>
          <cell r="M529">
            <v>2</v>
          </cell>
          <cell r="N529">
            <v>2</v>
          </cell>
          <cell r="O529">
            <v>3</v>
          </cell>
          <cell r="P529">
            <v>6</v>
          </cell>
          <cell r="Q529">
            <v>2</v>
          </cell>
          <cell r="R529">
            <v>2</v>
          </cell>
          <cell r="S529">
            <v>0</v>
          </cell>
          <cell r="T529">
            <v>0</v>
          </cell>
        </row>
        <row r="530">
          <cell r="A530" t="str">
            <v>WJASHM03057</v>
          </cell>
          <cell r="B530" t="str">
            <v>WJASHM030</v>
          </cell>
          <cell r="C530" t="str">
            <v>57</v>
          </cell>
          <cell r="D530">
            <v>0</v>
          </cell>
          <cell r="E530">
            <v>0</v>
          </cell>
          <cell r="F530">
            <v>1</v>
          </cell>
          <cell r="G530">
            <v>0</v>
          </cell>
          <cell r="H530">
            <v>1</v>
          </cell>
          <cell r="I530">
            <v>1</v>
          </cell>
          <cell r="J530">
            <v>1</v>
          </cell>
          <cell r="K530">
            <v>2</v>
          </cell>
          <cell r="L530">
            <v>0</v>
          </cell>
          <cell r="M530">
            <v>0</v>
          </cell>
          <cell r="N530">
            <v>0</v>
          </cell>
          <cell r="O530">
            <v>2</v>
          </cell>
          <cell r="P530">
            <v>0</v>
          </cell>
          <cell r="Q530">
            <v>1</v>
          </cell>
          <cell r="R530">
            <v>0</v>
          </cell>
          <cell r="S530">
            <v>1</v>
          </cell>
          <cell r="T530">
            <v>0</v>
          </cell>
        </row>
        <row r="531">
          <cell r="A531" t="str">
            <v>WJASHM11015</v>
          </cell>
          <cell r="B531" t="str">
            <v>WJASHM110</v>
          </cell>
          <cell r="C531" t="str">
            <v>15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</row>
        <row r="532">
          <cell r="A532" t="str">
            <v>WJASHM11043</v>
          </cell>
          <cell r="B532" t="str">
            <v>WJASHM110</v>
          </cell>
          <cell r="C532" t="str">
            <v>43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</row>
        <row r="533">
          <cell r="A533" t="str">
            <v>WJASHM12034</v>
          </cell>
          <cell r="B533" t="str">
            <v>WJASHM120</v>
          </cell>
          <cell r="C533" t="str">
            <v>34</v>
          </cell>
          <cell r="D533">
            <v>0</v>
          </cell>
          <cell r="E533">
            <v>1</v>
          </cell>
          <cell r="F533">
            <v>1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</row>
        <row r="534">
          <cell r="A534" t="str">
            <v>WJASHM13041</v>
          </cell>
          <cell r="B534" t="str">
            <v>WJASHM130</v>
          </cell>
          <cell r="C534" t="str">
            <v>41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</row>
        <row r="535">
          <cell r="A535" t="str">
            <v>WJASHM14006</v>
          </cell>
          <cell r="B535" t="str">
            <v>WJASHM140</v>
          </cell>
          <cell r="C535" t="str">
            <v>06</v>
          </cell>
          <cell r="D535">
            <v>3</v>
          </cell>
          <cell r="E535">
            <v>2</v>
          </cell>
          <cell r="F535">
            <v>1</v>
          </cell>
          <cell r="G535">
            <v>4</v>
          </cell>
          <cell r="H535">
            <v>2</v>
          </cell>
          <cell r="I535">
            <v>2</v>
          </cell>
          <cell r="J535">
            <v>2</v>
          </cell>
          <cell r="K535">
            <v>1</v>
          </cell>
          <cell r="L535">
            <v>4</v>
          </cell>
          <cell r="M535">
            <v>3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</row>
        <row r="536">
          <cell r="A536" t="str">
            <v>WJASHM14106</v>
          </cell>
          <cell r="B536" t="str">
            <v>WJASHM141</v>
          </cell>
          <cell r="C536" t="str">
            <v>06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</row>
        <row r="537">
          <cell r="A537" t="str">
            <v>WJASHM15034</v>
          </cell>
          <cell r="B537" t="str">
            <v>WJASHM150</v>
          </cell>
          <cell r="C537" t="str">
            <v>34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</row>
        <row r="538">
          <cell r="A538" t="str">
            <v>WJASHM16014</v>
          </cell>
          <cell r="B538" t="str">
            <v>WJASHM160</v>
          </cell>
          <cell r="C538" t="str">
            <v>14</v>
          </cell>
          <cell r="D538">
            <v>-1</v>
          </cell>
          <cell r="E538">
            <v>3</v>
          </cell>
          <cell r="F538">
            <v>1</v>
          </cell>
          <cell r="G538">
            <v>3</v>
          </cell>
          <cell r="H538">
            <v>3</v>
          </cell>
          <cell r="I538">
            <v>2</v>
          </cell>
          <cell r="J538">
            <v>1</v>
          </cell>
          <cell r="K538">
            <v>2</v>
          </cell>
          <cell r="L538">
            <v>4</v>
          </cell>
          <cell r="M538">
            <v>1</v>
          </cell>
          <cell r="N538">
            <v>3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</row>
        <row r="539">
          <cell r="A539" t="str">
            <v>WJASHM17041</v>
          </cell>
          <cell r="B539" t="str">
            <v>WJASHM170</v>
          </cell>
          <cell r="C539" t="str">
            <v>41</v>
          </cell>
          <cell r="D539">
            <v>1</v>
          </cell>
          <cell r="E539">
            <v>2</v>
          </cell>
          <cell r="F539">
            <v>2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</row>
        <row r="540">
          <cell r="A540" t="str">
            <v>WJASHM18006</v>
          </cell>
          <cell r="B540" t="str">
            <v>WJASHM180</v>
          </cell>
          <cell r="C540" t="str">
            <v>06</v>
          </cell>
          <cell r="D540">
            <v>1</v>
          </cell>
          <cell r="E540">
            <v>1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</row>
        <row r="541">
          <cell r="A541" t="str">
            <v>WJASHM19027</v>
          </cell>
          <cell r="B541" t="str">
            <v>WJASHM190</v>
          </cell>
          <cell r="C541" t="str">
            <v>27</v>
          </cell>
          <cell r="D541">
            <v>4</v>
          </cell>
          <cell r="E541">
            <v>5</v>
          </cell>
          <cell r="F541">
            <v>3</v>
          </cell>
          <cell r="G541">
            <v>0</v>
          </cell>
          <cell r="H541">
            <v>3</v>
          </cell>
          <cell r="I541">
            <v>1</v>
          </cell>
          <cell r="J541">
            <v>1</v>
          </cell>
          <cell r="K541">
            <v>2</v>
          </cell>
          <cell r="L541">
            <v>1</v>
          </cell>
          <cell r="M541">
            <v>4</v>
          </cell>
          <cell r="N541">
            <v>1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</row>
        <row r="542">
          <cell r="A542" t="str">
            <v>WJASHM19127</v>
          </cell>
          <cell r="B542" t="str">
            <v>WJASHM191</v>
          </cell>
          <cell r="C542" t="str">
            <v>27</v>
          </cell>
          <cell r="D542">
            <v>1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</row>
        <row r="543">
          <cell r="A543" t="str">
            <v>WJASHM41066</v>
          </cell>
          <cell r="B543" t="str">
            <v>WJASHM410</v>
          </cell>
          <cell r="C543" t="str">
            <v>66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2</v>
          </cell>
          <cell r="I543">
            <v>0</v>
          </cell>
          <cell r="J543">
            <v>0</v>
          </cell>
          <cell r="K543">
            <v>2</v>
          </cell>
          <cell r="L543">
            <v>0</v>
          </cell>
          <cell r="M543">
            <v>-1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4</v>
          </cell>
          <cell r="S543">
            <v>0</v>
          </cell>
          <cell r="T543">
            <v>0</v>
          </cell>
        </row>
        <row r="544">
          <cell r="A544" t="str">
            <v>WJASHM42014</v>
          </cell>
          <cell r="B544" t="str">
            <v>WJASHM420</v>
          </cell>
          <cell r="C544" t="str">
            <v>14</v>
          </cell>
          <cell r="D544">
            <v>-2</v>
          </cell>
          <cell r="E544">
            <v>0</v>
          </cell>
          <cell r="F544">
            <v>0</v>
          </cell>
          <cell r="G544">
            <v>0</v>
          </cell>
          <cell r="H544">
            <v>2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1</v>
          </cell>
          <cell r="P544">
            <v>0</v>
          </cell>
          <cell r="Q544">
            <v>1</v>
          </cell>
          <cell r="R544">
            <v>0</v>
          </cell>
          <cell r="S544">
            <v>1</v>
          </cell>
          <cell r="T544">
            <v>1</v>
          </cell>
        </row>
        <row r="545">
          <cell r="A545" t="str">
            <v>WJASHM43065</v>
          </cell>
          <cell r="B545" t="str">
            <v>WJASHM430</v>
          </cell>
          <cell r="C545" t="str">
            <v>65</v>
          </cell>
          <cell r="D545">
            <v>3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1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1</v>
          </cell>
          <cell r="O545">
            <v>0</v>
          </cell>
          <cell r="P545">
            <v>0</v>
          </cell>
          <cell r="Q545">
            <v>0</v>
          </cell>
          <cell r="R545">
            <v>1</v>
          </cell>
          <cell r="S545">
            <v>0</v>
          </cell>
          <cell r="T545">
            <v>0</v>
          </cell>
        </row>
        <row r="546">
          <cell r="A546" t="str">
            <v>WJASHM51007</v>
          </cell>
          <cell r="B546" t="str">
            <v>WJASHM510</v>
          </cell>
          <cell r="C546" t="str">
            <v>07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1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1</v>
          </cell>
        </row>
        <row r="547">
          <cell r="A547" t="str">
            <v>WJASHM52006</v>
          </cell>
          <cell r="B547" t="str">
            <v>WJASHM520</v>
          </cell>
          <cell r="C547" t="str">
            <v>06</v>
          </cell>
          <cell r="D547">
            <v>1</v>
          </cell>
          <cell r="E547">
            <v>1</v>
          </cell>
          <cell r="F547">
            <v>0</v>
          </cell>
          <cell r="G547">
            <v>2</v>
          </cell>
          <cell r="H547">
            <v>0</v>
          </cell>
          <cell r="I547">
            <v>0</v>
          </cell>
          <cell r="J547">
            <v>4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2</v>
          </cell>
          <cell r="Q547">
            <v>0</v>
          </cell>
          <cell r="R547">
            <v>0</v>
          </cell>
          <cell r="S547">
            <v>0</v>
          </cell>
          <cell r="T547">
            <v>1</v>
          </cell>
        </row>
        <row r="548">
          <cell r="A548" t="str">
            <v>WJASHM61043</v>
          </cell>
          <cell r="B548" t="str">
            <v>WJASHM610</v>
          </cell>
          <cell r="C548" t="str">
            <v>43</v>
          </cell>
          <cell r="D548">
            <v>0</v>
          </cell>
          <cell r="E548">
            <v>14</v>
          </cell>
          <cell r="F548">
            <v>0</v>
          </cell>
          <cell r="G548">
            <v>2</v>
          </cell>
          <cell r="H548">
            <v>2</v>
          </cell>
          <cell r="I548">
            <v>0</v>
          </cell>
          <cell r="J548">
            <v>0</v>
          </cell>
          <cell r="K548">
            <v>1</v>
          </cell>
          <cell r="L548">
            <v>2</v>
          </cell>
          <cell r="M548">
            <v>0</v>
          </cell>
          <cell r="N548">
            <v>1</v>
          </cell>
          <cell r="O548">
            <v>0</v>
          </cell>
          <cell r="P548">
            <v>1</v>
          </cell>
          <cell r="Q548">
            <v>0</v>
          </cell>
          <cell r="R548">
            <v>2</v>
          </cell>
          <cell r="S548">
            <v>0</v>
          </cell>
          <cell r="T548">
            <v>1</v>
          </cell>
        </row>
        <row r="549">
          <cell r="A549" t="str">
            <v>WJASHM62051</v>
          </cell>
          <cell r="B549" t="str">
            <v>WJASHM620</v>
          </cell>
          <cell r="C549" t="str">
            <v>51</v>
          </cell>
          <cell r="D549">
            <v>0</v>
          </cell>
          <cell r="E549">
            <v>1</v>
          </cell>
          <cell r="F549">
            <v>0</v>
          </cell>
          <cell r="G549">
            <v>0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</row>
        <row r="550">
          <cell r="A550" t="str">
            <v>WJASHM63035</v>
          </cell>
          <cell r="B550" t="str">
            <v>WJASHM630</v>
          </cell>
          <cell r="C550" t="str">
            <v>35</v>
          </cell>
          <cell r="D550">
            <v>0</v>
          </cell>
          <cell r="E550">
            <v>0</v>
          </cell>
          <cell r="F550">
            <v>3</v>
          </cell>
          <cell r="G550">
            <v>0</v>
          </cell>
          <cell r="H550">
            <v>0</v>
          </cell>
          <cell r="I550">
            <v>1</v>
          </cell>
          <cell r="J550">
            <v>1</v>
          </cell>
          <cell r="K550">
            <v>0</v>
          </cell>
          <cell r="L550">
            <v>0</v>
          </cell>
          <cell r="M550">
            <v>2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1</v>
          </cell>
          <cell r="S550">
            <v>1</v>
          </cell>
          <cell r="T550">
            <v>3</v>
          </cell>
        </row>
        <row r="551">
          <cell r="A551" t="str">
            <v>WJASHM64064</v>
          </cell>
          <cell r="B551" t="str">
            <v>WJASHM640</v>
          </cell>
          <cell r="C551" t="str">
            <v>64</v>
          </cell>
          <cell r="D551">
            <v>2</v>
          </cell>
          <cell r="E551">
            <v>2</v>
          </cell>
          <cell r="F551">
            <v>1</v>
          </cell>
          <cell r="G551">
            <v>1</v>
          </cell>
          <cell r="H551">
            <v>0</v>
          </cell>
          <cell r="I551">
            <v>0</v>
          </cell>
          <cell r="J551">
            <v>0</v>
          </cell>
          <cell r="K551">
            <v>2</v>
          </cell>
          <cell r="L551">
            <v>3</v>
          </cell>
          <cell r="M551">
            <v>0</v>
          </cell>
          <cell r="N551">
            <v>0</v>
          </cell>
          <cell r="O551">
            <v>0</v>
          </cell>
          <cell r="P551">
            <v>3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</row>
        <row r="552">
          <cell r="A552" t="str">
            <v>WJASOM01053</v>
          </cell>
          <cell r="B552" t="str">
            <v>WJASOM010</v>
          </cell>
          <cell r="C552" t="str">
            <v>53</v>
          </cell>
          <cell r="D552">
            <v>5</v>
          </cell>
          <cell r="E552">
            <v>1</v>
          </cell>
          <cell r="F552">
            <v>4</v>
          </cell>
          <cell r="G552">
            <v>4</v>
          </cell>
          <cell r="H552">
            <v>7</v>
          </cell>
          <cell r="I552">
            <v>2</v>
          </cell>
          <cell r="J552">
            <v>2</v>
          </cell>
          <cell r="K552">
            <v>2</v>
          </cell>
          <cell r="L552">
            <v>8</v>
          </cell>
          <cell r="M552">
            <v>3</v>
          </cell>
          <cell r="N552">
            <v>2</v>
          </cell>
          <cell r="O552">
            <v>1</v>
          </cell>
          <cell r="P552">
            <v>4</v>
          </cell>
          <cell r="Q552">
            <v>4</v>
          </cell>
          <cell r="R552">
            <v>3</v>
          </cell>
          <cell r="S552">
            <v>0</v>
          </cell>
          <cell r="T552">
            <v>2</v>
          </cell>
        </row>
        <row r="553">
          <cell r="A553" t="str">
            <v>WJASOM01073</v>
          </cell>
          <cell r="B553" t="str">
            <v>WJASOM010</v>
          </cell>
          <cell r="C553" t="str">
            <v>73</v>
          </cell>
          <cell r="D553">
            <v>3</v>
          </cell>
          <cell r="E553">
            <v>6</v>
          </cell>
          <cell r="F553">
            <v>5</v>
          </cell>
          <cell r="G553">
            <v>2</v>
          </cell>
          <cell r="H553">
            <v>0</v>
          </cell>
          <cell r="I553">
            <v>2</v>
          </cell>
          <cell r="J553">
            <v>3</v>
          </cell>
          <cell r="K553">
            <v>0</v>
          </cell>
          <cell r="L553">
            <v>4</v>
          </cell>
          <cell r="M553">
            <v>1</v>
          </cell>
          <cell r="N553">
            <v>0</v>
          </cell>
          <cell r="O553">
            <v>1</v>
          </cell>
          <cell r="P553">
            <v>0</v>
          </cell>
          <cell r="Q553">
            <v>1</v>
          </cell>
          <cell r="R553">
            <v>1</v>
          </cell>
          <cell r="S553">
            <v>0</v>
          </cell>
          <cell r="T553">
            <v>1</v>
          </cell>
        </row>
        <row r="554">
          <cell r="A554" t="str">
            <v>WJASOM02024</v>
          </cell>
          <cell r="B554" t="str">
            <v>WJASOM020</v>
          </cell>
          <cell r="C554" t="str">
            <v>24</v>
          </cell>
          <cell r="D554">
            <v>4</v>
          </cell>
          <cell r="E554">
            <v>3</v>
          </cell>
          <cell r="F554">
            <v>5</v>
          </cell>
          <cell r="G554">
            <v>3</v>
          </cell>
          <cell r="H554">
            <v>1</v>
          </cell>
          <cell r="I554">
            <v>1</v>
          </cell>
          <cell r="J554">
            <v>1</v>
          </cell>
          <cell r="K554">
            <v>1</v>
          </cell>
          <cell r="L554">
            <v>2</v>
          </cell>
          <cell r="M554">
            <v>2</v>
          </cell>
          <cell r="N554">
            <v>2</v>
          </cell>
          <cell r="O554">
            <v>0</v>
          </cell>
          <cell r="P554">
            <v>3</v>
          </cell>
          <cell r="Q554">
            <v>5</v>
          </cell>
          <cell r="R554">
            <v>2</v>
          </cell>
          <cell r="S554">
            <v>2</v>
          </cell>
          <cell r="T554">
            <v>5</v>
          </cell>
        </row>
        <row r="555">
          <cell r="A555" t="str">
            <v>WJASOM02073</v>
          </cell>
          <cell r="B555" t="str">
            <v>WJASOM020</v>
          </cell>
          <cell r="C555" t="str">
            <v>73</v>
          </cell>
          <cell r="D555">
            <v>1</v>
          </cell>
          <cell r="E555">
            <v>2</v>
          </cell>
          <cell r="F555">
            <v>8</v>
          </cell>
          <cell r="G555">
            <v>4</v>
          </cell>
          <cell r="H555">
            <v>5</v>
          </cell>
          <cell r="I555">
            <v>5</v>
          </cell>
          <cell r="J555">
            <v>3</v>
          </cell>
          <cell r="K555">
            <v>1</v>
          </cell>
          <cell r="L555">
            <v>1</v>
          </cell>
          <cell r="M555">
            <v>1</v>
          </cell>
          <cell r="N555">
            <v>3</v>
          </cell>
          <cell r="O555">
            <v>0</v>
          </cell>
          <cell r="P555">
            <v>4</v>
          </cell>
          <cell r="Q555">
            <v>5</v>
          </cell>
          <cell r="R555">
            <v>0</v>
          </cell>
          <cell r="S555">
            <v>1</v>
          </cell>
          <cell r="T555">
            <v>0</v>
          </cell>
        </row>
        <row r="556">
          <cell r="A556" t="str">
            <v>WJASOM03014</v>
          </cell>
          <cell r="B556" t="str">
            <v>WJASOM030</v>
          </cell>
          <cell r="C556" t="str">
            <v>14</v>
          </cell>
          <cell r="D556">
            <v>0</v>
          </cell>
          <cell r="E556">
            <v>1</v>
          </cell>
          <cell r="F556">
            <v>1</v>
          </cell>
          <cell r="G556">
            <v>4</v>
          </cell>
          <cell r="H556">
            <v>0</v>
          </cell>
          <cell r="I556">
            <v>1</v>
          </cell>
          <cell r="J556">
            <v>1</v>
          </cell>
          <cell r="K556">
            <v>0</v>
          </cell>
          <cell r="L556">
            <v>1</v>
          </cell>
          <cell r="M556">
            <v>0</v>
          </cell>
          <cell r="N556">
            <v>1</v>
          </cell>
          <cell r="O556">
            <v>2</v>
          </cell>
          <cell r="P556">
            <v>1</v>
          </cell>
          <cell r="Q556">
            <v>1</v>
          </cell>
          <cell r="R556">
            <v>0</v>
          </cell>
          <cell r="S556">
            <v>0</v>
          </cell>
          <cell r="T556">
            <v>0</v>
          </cell>
        </row>
        <row r="557">
          <cell r="A557" t="str">
            <v>WJASOM03054</v>
          </cell>
          <cell r="B557" t="str">
            <v>WJASOM030</v>
          </cell>
          <cell r="C557" t="str">
            <v>54</v>
          </cell>
          <cell r="D557">
            <v>1</v>
          </cell>
          <cell r="E557">
            <v>1</v>
          </cell>
          <cell r="F557">
            <v>0</v>
          </cell>
          <cell r="G557">
            <v>1</v>
          </cell>
          <cell r="H557">
            <v>0</v>
          </cell>
          <cell r="I557">
            <v>1</v>
          </cell>
          <cell r="J557">
            <v>0</v>
          </cell>
          <cell r="K557">
            <v>1</v>
          </cell>
          <cell r="L557">
            <v>0</v>
          </cell>
          <cell r="M557">
            <v>0</v>
          </cell>
          <cell r="N557">
            <v>1</v>
          </cell>
          <cell r="O557">
            <v>2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</row>
        <row r="558">
          <cell r="A558" t="str">
            <v>WJASOM04024</v>
          </cell>
          <cell r="B558" t="str">
            <v>WJASOM040</v>
          </cell>
          <cell r="C558" t="str">
            <v>24</v>
          </cell>
          <cell r="D558">
            <v>2</v>
          </cell>
          <cell r="E558">
            <v>2</v>
          </cell>
          <cell r="F558">
            <v>4</v>
          </cell>
          <cell r="G558">
            <v>2</v>
          </cell>
          <cell r="H558">
            <v>3</v>
          </cell>
          <cell r="I558">
            <v>5</v>
          </cell>
          <cell r="J558">
            <v>1</v>
          </cell>
          <cell r="K558">
            <v>2</v>
          </cell>
          <cell r="L558">
            <v>3</v>
          </cell>
          <cell r="M558">
            <v>0</v>
          </cell>
          <cell r="N558">
            <v>5</v>
          </cell>
          <cell r="O558">
            <v>2</v>
          </cell>
          <cell r="P558">
            <v>2</v>
          </cell>
          <cell r="Q558">
            <v>1</v>
          </cell>
          <cell r="R558">
            <v>3</v>
          </cell>
          <cell r="S558">
            <v>0</v>
          </cell>
          <cell r="T558">
            <v>0</v>
          </cell>
        </row>
        <row r="559">
          <cell r="A559" t="str">
            <v>WJASOM11073</v>
          </cell>
          <cell r="B559" t="str">
            <v>WJASOM110</v>
          </cell>
          <cell r="C559" t="str">
            <v>73</v>
          </cell>
          <cell r="D559">
            <v>7</v>
          </cell>
          <cell r="E559">
            <v>9</v>
          </cell>
          <cell r="F559">
            <v>2</v>
          </cell>
          <cell r="G559">
            <v>8</v>
          </cell>
          <cell r="H559">
            <v>8</v>
          </cell>
          <cell r="I559">
            <v>4</v>
          </cell>
          <cell r="J559">
            <v>1</v>
          </cell>
          <cell r="K559">
            <v>4</v>
          </cell>
          <cell r="L559">
            <v>1</v>
          </cell>
          <cell r="M559">
            <v>7</v>
          </cell>
          <cell r="N559">
            <v>2</v>
          </cell>
          <cell r="O559">
            <v>1</v>
          </cell>
          <cell r="P559">
            <v>4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</row>
        <row r="560">
          <cell r="A560" t="str">
            <v>WJASOM12025</v>
          </cell>
          <cell r="B560" t="str">
            <v>WJASOM120</v>
          </cell>
          <cell r="C560" t="str">
            <v>25</v>
          </cell>
          <cell r="D560">
            <v>4</v>
          </cell>
          <cell r="E560">
            <v>3</v>
          </cell>
          <cell r="F560">
            <v>7</v>
          </cell>
          <cell r="G560">
            <v>3</v>
          </cell>
          <cell r="H560">
            <v>0</v>
          </cell>
          <cell r="I560">
            <v>2</v>
          </cell>
          <cell r="J560">
            <v>2</v>
          </cell>
          <cell r="K560">
            <v>1</v>
          </cell>
          <cell r="L560">
            <v>1</v>
          </cell>
          <cell r="M560">
            <v>0</v>
          </cell>
          <cell r="N560">
            <v>4</v>
          </cell>
          <cell r="O560">
            <v>1</v>
          </cell>
          <cell r="P560">
            <v>0</v>
          </cell>
          <cell r="Q560">
            <v>1</v>
          </cell>
          <cell r="R560">
            <v>1</v>
          </cell>
          <cell r="S560">
            <v>1</v>
          </cell>
          <cell r="T560">
            <v>1</v>
          </cell>
        </row>
        <row r="561">
          <cell r="A561" t="str">
            <v>WJASOM13027</v>
          </cell>
          <cell r="B561" t="str">
            <v>WJASOM130</v>
          </cell>
          <cell r="C561" t="str">
            <v>27</v>
          </cell>
          <cell r="D561">
            <v>6</v>
          </cell>
          <cell r="E561">
            <v>2</v>
          </cell>
          <cell r="F561">
            <v>1</v>
          </cell>
          <cell r="G561">
            <v>3</v>
          </cell>
          <cell r="H561">
            <v>2</v>
          </cell>
          <cell r="I561">
            <v>2</v>
          </cell>
          <cell r="J561">
            <v>3</v>
          </cell>
          <cell r="K561">
            <v>2</v>
          </cell>
          <cell r="L561">
            <v>0</v>
          </cell>
          <cell r="M561">
            <v>6</v>
          </cell>
          <cell r="N561">
            <v>2</v>
          </cell>
          <cell r="O561">
            <v>1</v>
          </cell>
          <cell r="P561">
            <v>0</v>
          </cell>
          <cell r="Q561">
            <v>1</v>
          </cell>
          <cell r="R561">
            <v>0</v>
          </cell>
          <cell r="S561">
            <v>0</v>
          </cell>
          <cell r="T561">
            <v>0</v>
          </cell>
        </row>
        <row r="562">
          <cell r="A562" t="str">
            <v>WJASOM13073</v>
          </cell>
          <cell r="B562" t="str">
            <v>WJASOM130</v>
          </cell>
          <cell r="C562" t="str">
            <v>73</v>
          </cell>
          <cell r="D562">
            <v>6</v>
          </cell>
          <cell r="E562">
            <v>10</v>
          </cell>
          <cell r="F562">
            <v>15</v>
          </cell>
          <cell r="G562">
            <v>5</v>
          </cell>
          <cell r="H562">
            <v>4</v>
          </cell>
          <cell r="I562">
            <v>7</v>
          </cell>
          <cell r="J562">
            <v>8</v>
          </cell>
          <cell r="K562">
            <v>3</v>
          </cell>
          <cell r="L562">
            <v>7</v>
          </cell>
          <cell r="M562">
            <v>7</v>
          </cell>
          <cell r="N562">
            <v>5</v>
          </cell>
          <cell r="O562">
            <v>4</v>
          </cell>
          <cell r="P562">
            <v>2</v>
          </cell>
          <cell r="Q562">
            <v>4</v>
          </cell>
          <cell r="R562">
            <v>3</v>
          </cell>
          <cell r="S562">
            <v>0</v>
          </cell>
          <cell r="T562">
            <v>0</v>
          </cell>
        </row>
        <row r="563">
          <cell r="A563" t="str">
            <v>WJASOM14007</v>
          </cell>
          <cell r="B563" t="str">
            <v>WJASOM140</v>
          </cell>
          <cell r="C563" t="str">
            <v>07</v>
          </cell>
          <cell r="D563">
            <v>5</v>
          </cell>
          <cell r="E563">
            <v>6</v>
          </cell>
          <cell r="F563">
            <v>1</v>
          </cell>
          <cell r="G563">
            <v>10</v>
          </cell>
          <cell r="H563">
            <v>3</v>
          </cell>
          <cell r="I563">
            <v>2</v>
          </cell>
          <cell r="J563">
            <v>3</v>
          </cell>
          <cell r="K563">
            <v>1</v>
          </cell>
          <cell r="L563">
            <v>9</v>
          </cell>
          <cell r="M563">
            <v>4</v>
          </cell>
          <cell r="N563">
            <v>1</v>
          </cell>
          <cell r="O563">
            <v>4</v>
          </cell>
          <cell r="P563">
            <v>0</v>
          </cell>
          <cell r="Q563">
            <v>2</v>
          </cell>
          <cell r="R563">
            <v>2</v>
          </cell>
          <cell r="S563">
            <v>0</v>
          </cell>
          <cell r="T563">
            <v>1</v>
          </cell>
        </row>
        <row r="564">
          <cell r="A564" t="str">
            <v>WJASPM01008</v>
          </cell>
          <cell r="B564" t="str">
            <v>WJASPM010</v>
          </cell>
          <cell r="C564" t="str">
            <v>08</v>
          </cell>
          <cell r="D564">
            <v>1</v>
          </cell>
          <cell r="E564">
            <v>1</v>
          </cell>
          <cell r="F564">
            <v>1</v>
          </cell>
          <cell r="G564">
            <v>2</v>
          </cell>
          <cell r="H564">
            <v>1</v>
          </cell>
          <cell r="I564">
            <v>2</v>
          </cell>
          <cell r="J564">
            <v>1</v>
          </cell>
          <cell r="K564">
            <v>1</v>
          </cell>
          <cell r="L564">
            <v>3</v>
          </cell>
          <cell r="M564">
            <v>1</v>
          </cell>
          <cell r="N564">
            <v>1</v>
          </cell>
          <cell r="O564">
            <v>1</v>
          </cell>
          <cell r="P564">
            <v>4</v>
          </cell>
          <cell r="Q564">
            <v>0</v>
          </cell>
          <cell r="R564">
            <v>2</v>
          </cell>
          <cell r="S564">
            <v>0</v>
          </cell>
          <cell r="T564">
            <v>0</v>
          </cell>
        </row>
        <row r="565">
          <cell r="A565" t="str">
            <v>WJASPM01013</v>
          </cell>
          <cell r="B565" t="str">
            <v>WJASPM010</v>
          </cell>
          <cell r="C565" t="str">
            <v>13</v>
          </cell>
          <cell r="D565">
            <v>0</v>
          </cell>
          <cell r="E565">
            <v>4</v>
          </cell>
          <cell r="F565">
            <v>1</v>
          </cell>
          <cell r="G565">
            <v>1</v>
          </cell>
          <cell r="H565">
            <v>2</v>
          </cell>
          <cell r="I565">
            <v>3</v>
          </cell>
          <cell r="J565">
            <v>0</v>
          </cell>
          <cell r="K565">
            <v>2</v>
          </cell>
          <cell r="L565">
            <v>2</v>
          </cell>
          <cell r="M565">
            <v>2</v>
          </cell>
          <cell r="N565">
            <v>1</v>
          </cell>
          <cell r="O565">
            <v>0</v>
          </cell>
          <cell r="P565">
            <v>2</v>
          </cell>
          <cell r="Q565">
            <v>3</v>
          </cell>
          <cell r="R565">
            <v>3</v>
          </cell>
          <cell r="S565">
            <v>0</v>
          </cell>
          <cell r="T565">
            <v>0</v>
          </cell>
        </row>
        <row r="566">
          <cell r="A566" t="str">
            <v>WJASPM02008</v>
          </cell>
          <cell r="B566" t="str">
            <v>WJASPM020</v>
          </cell>
          <cell r="C566" t="str">
            <v>08</v>
          </cell>
          <cell r="D566">
            <v>2</v>
          </cell>
          <cell r="E566">
            <v>3</v>
          </cell>
          <cell r="F566">
            <v>0</v>
          </cell>
          <cell r="G566">
            <v>1</v>
          </cell>
          <cell r="H566">
            <v>2</v>
          </cell>
          <cell r="I566">
            <v>3</v>
          </cell>
          <cell r="J566">
            <v>1</v>
          </cell>
          <cell r="K566">
            <v>1</v>
          </cell>
          <cell r="L566">
            <v>1</v>
          </cell>
          <cell r="M566">
            <v>0</v>
          </cell>
          <cell r="N566">
            <v>0</v>
          </cell>
          <cell r="O566">
            <v>2</v>
          </cell>
          <cell r="P566">
            <v>4</v>
          </cell>
          <cell r="Q566">
            <v>3</v>
          </cell>
          <cell r="R566">
            <v>2</v>
          </cell>
          <cell r="S566">
            <v>0</v>
          </cell>
          <cell r="T566">
            <v>0</v>
          </cell>
        </row>
        <row r="567">
          <cell r="A567" t="str">
            <v>WJASPM02013</v>
          </cell>
          <cell r="B567" t="str">
            <v>WJASPM020</v>
          </cell>
          <cell r="C567" t="str">
            <v>13</v>
          </cell>
          <cell r="D567">
            <v>1</v>
          </cell>
          <cell r="E567">
            <v>4</v>
          </cell>
          <cell r="F567">
            <v>2</v>
          </cell>
          <cell r="G567">
            <v>1</v>
          </cell>
          <cell r="H567">
            <v>4</v>
          </cell>
          <cell r="I567">
            <v>0</v>
          </cell>
          <cell r="J567">
            <v>1</v>
          </cell>
          <cell r="K567">
            <v>3</v>
          </cell>
          <cell r="L567">
            <v>2</v>
          </cell>
          <cell r="M567">
            <v>1</v>
          </cell>
          <cell r="N567">
            <v>4</v>
          </cell>
          <cell r="O567">
            <v>0</v>
          </cell>
          <cell r="P567">
            <v>3</v>
          </cell>
          <cell r="Q567">
            <v>1</v>
          </cell>
          <cell r="R567">
            <v>4</v>
          </cell>
          <cell r="S567">
            <v>1</v>
          </cell>
          <cell r="T567">
            <v>4</v>
          </cell>
        </row>
        <row r="568">
          <cell r="A568" t="str">
            <v>WJASPM03008</v>
          </cell>
          <cell r="B568" t="str">
            <v>WJASPM030</v>
          </cell>
          <cell r="C568" t="str">
            <v>08</v>
          </cell>
          <cell r="D568">
            <v>2</v>
          </cell>
          <cell r="E568">
            <v>1</v>
          </cell>
          <cell r="F568">
            <v>0</v>
          </cell>
          <cell r="G568">
            <v>0</v>
          </cell>
          <cell r="H568">
            <v>1</v>
          </cell>
          <cell r="I568">
            <v>2</v>
          </cell>
          <cell r="J568">
            <v>2</v>
          </cell>
          <cell r="K568">
            <v>1</v>
          </cell>
          <cell r="L568">
            <v>1</v>
          </cell>
          <cell r="M568">
            <v>0</v>
          </cell>
          <cell r="N568">
            <v>0</v>
          </cell>
          <cell r="O568">
            <v>4</v>
          </cell>
          <cell r="P568">
            <v>1</v>
          </cell>
          <cell r="Q568">
            <v>2</v>
          </cell>
          <cell r="R568">
            <v>2</v>
          </cell>
          <cell r="S568">
            <v>0</v>
          </cell>
          <cell r="T568">
            <v>0</v>
          </cell>
        </row>
        <row r="569">
          <cell r="A569" t="str">
            <v>WJASPM03013</v>
          </cell>
          <cell r="B569" t="str">
            <v>WJASPM030</v>
          </cell>
          <cell r="C569" t="str">
            <v>13</v>
          </cell>
          <cell r="D569">
            <v>0</v>
          </cell>
          <cell r="E569">
            <v>8</v>
          </cell>
          <cell r="F569">
            <v>-2</v>
          </cell>
          <cell r="G569">
            <v>3</v>
          </cell>
          <cell r="H569">
            <v>2</v>
          </cell>
          <cell r="I569">
            <v>0</v>
          </cell>
          <cell r="J569">
            <v>1</v>
          </cell>
          <cell r="K569">
            <v>3</v>
          </cell>
          <cell r="L569">
            <v>0</v>
          </cell>
          <cell r="M569">
            <v>2</v>
          </cell>
          <cell r="N569">
            <v>4</v>
          </cell>
          <cell r="O569">
            <v>0</v>
          </cell>
          <cell r="P569">
            <v>2</v>
          </cell>
          <cell r="Q569">
            <v>2</v>
          </cell>
          <cell r="R569">
            <v>4</v>
          </cell>
          <cell r="S569">
            <v>1</v>
          </cell>
          <cell r="T569">
            <v>3</v>
          </cell>
        </row>
        <row r="570">
          <cell r="A570" t="str">
            <v>WJASPM11021</v>
          </cell>
          <cell r="B570" t="str">
            <v>WJASPM110</v>
          </cell>
          <cell r="C570" t="str">
            <v>21</v>
          </cell>
          <cell r="D570">
            <v>3</v>
          </cell>
          <cell r="E570">
            <v>2</v>
          </cell>
          <cell r="F570">
            <v>1</v>
          </cell>
          <cell r="G570">
            <v>4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1</v>
          </cell>
          <cell r="M570">
            <v>1</v>
          </cell>
          <cell r="N570">
            <v>0</v>
          </cell>
          <cell r="O570">
            <v>1</v>
          </cell>
          <cell r="P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</row>
        <row r="571">
          <cell r="A571" t="str">
            <v>WJASPM11022</v>
          </cell>
          <cell r="B571" t="str">
            <v>WJASPM110</v>
          </cell>
          <cell r="C571" t="str">
            <v>22</v>
          </cell>
          <cell r="D571">
            <v>8</v>
          </cell>
          <cell r="E571">
            <v>6</v>
          </cell>
          <cell r="F571">
            <v>7</v>
          </cell>
          <cell r="G571">
            <v>3</v>
          </cell>
          <cell r="H571">
            <v>2</v>
          </cell>
          <cell r="I571">
            <v>5</v>
          </cell>
          <cell r="J571">
            <v>0</v>
          </cell>
          <cell r="K571">
            <v>0</v>
          </cell>
          <cell r="L571">
            <v>2</v>
          </cell>
          <cell r="M571">
            <v>4</v>
          </cell>
          <cell r="N571">
            <v>2</v>
          </cell>
          <cell r="O571">
            <v>4</v>
          </cell>
          <cell r="P571">
            <v>4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</row>
        <row r="572">
          <cell r="A572" t="str">
            <v>WJASPM12021</v>
          </cell>
          <cell r="B572" t="str">
            <v>WJASPM120</v>
          </cell>
          <cell r="C572" t="str">
            <v>21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</row>
        <row r="573">
          <cell r="A573" t="str">
            <v>WJASPM12022</v>
          </cell>
          <cell r="B573" t="str">
            <v>WJASPM120</v>
          </cell>
          <cell r="C573" t="str">
            <v>22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</row>
        <row r="574">
          <cell r="A574" t="str">
            <v>WJASPM21021</v>
          </cell>
          <cell r="B574" t="str">
            <v>WJASPM210</v>
          </cell>
          <cell r="C574" t="str">
            <v>21</v>
          </cell>
          <cell r="D574">
            <v>1</v>
          </cell>
          <cell r="E574">
            <v>0</v>
          </cell>
          <cell r="F574">
            <v>2</v>
          </cell>
          <cell r="G574">
            <v>0</v>
          </cell>
          <cell r="H574">
            <v>3</v>
          </cell>
          <cell r="I574">
            <v>3</v>
          </cell>
          <cell r="J574">
            <v>0</v>
          </cell>
          <cell r="K574">
            <v>1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</row>
        <row r="575">
          <cell r="A575" t="str">
            <v>WJASPM21022</v>
          </cell>
          <cell r="B575" t="str">
            <v>WJASPM210</v>
          </cell>
          <cell r="C575" t="str">
            <v>22</v>
          </cell>
          <cell r="D575">
            <v>1</v>
          </cell>
          <cell r="E575">
            <v>-1</v>
          </cell>
          <cell r="F575">
            <v>2</v>
          </cell>
          <cell r="G575">
            <v>-1</v>
          </cell>
          <cell r="H575">
            <v>1</v>
          </cell>
          <cell r="I575">
            <v>3</v>
          </cell>
          <cell r="J575">
            <v>0</v>
          </cell>
          <cell r="K575">
            <v>0</v>
          </cell>
          <cell r="L575">
            <v>0</v>
          </cell>
          <cell r="M575">
            <v>1</v>
          </cell>
          <cell r="N575">
            <v>0</v>
          </cell>
          <cell r="O575">
            <v>1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</row>
        <row r="576">
          <cell r="A576" t="str">
            <v>WJASPM22021</v>
          </cell>
          <cell r="B576" t="str">
            <v>WJASPM220</v>
          </cell>
          <cell r="C576" t="str">
            <v>21</v>
          </cell>
          <cell r="D576">
            <v>2</v>
          </cell>
          <cell r="E576">
            <v>4</v>
          </cell>
          <cell r="F576">
            <v>3</v>
          </cell>
          <cell r="G576">
            <v>2</v>
          </cell>
          <cell r="H576">
            <v>2</v>
          </cell>
          <cell r="I576">
            <v>3</v>
          </cell>
          <cell r="J576">
            <v>1</v>
          </cell>
          <cell r="K576">
            <v>0</v>
          </cell>
          <cell r="L576">
            <v>2</v>
          </cell>
          <cell r="M576">
            <v>1</v>
          </cell>
          <cell r="N576">
            <v>0</v>
          </cell>
          <cell r="O576">
            <v>1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</row>
        <row r="577">
          <cell r="A577" t="str">
            <v>WJASPM22022</v>
          </cell>
          <cell r="B577" t="str">
            <v>WJASPM220</v>
          </cell>
          <cell r="C577" t="str">
            <v>22</v>
          </cell>
          <cell r="D577">
            <v>3</v>
          </cell>
          <cell r="E577">
            <v>3</v>
          </cell>
          <cell r="F577">
            <v>7</v>
          </cell>
          <cell r="G577">
            <v>2</v>
          </cell>
          <cell r="H577">
            <v>2</v>
          </cell>
          <cell r="I577">
            <v>5</v>
          </cell>
          <cell r="J577">
            <v>0</v>
          </cell>
          <cell r="K577">
            <v>0</v>
          </cell>
          <cell r="L577">
            <v>0</v>
          </cell>
          <cell r="M577">
            <v>3</v>
          </cell>
          <cell r="N577">
            <v>2</v>
          </cell>
          <cell r="O577">
            <v>4</v>
          </cell>
          <cell r="P577">
            <v>1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</row>
        <row r="578">
          <cell r="A578" t="str">
            <v>WJASPM23021</v>
          </cell>
          <cell r="B578" t="str">
            <v>WJASPM230</v>
          </cell>
          <cell r="C578" t="str">
            <v>21</v>
          </cell>
          <cell r="D578">
            <v>0</v>
          </cell>
          <cell r="E578">
            <v>1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1</v>
          </cell>
          <cell r="K578">
            <v>0</v>
          </cell>
          <cell r="L578">
            <v>0</v>
          </cell>
          <cell r="M578">
            <v>0</v>
          </cell>
          <cell r="N578">
            <v>1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</row>
        <row r="579">
          <cell r="A579" t="str">
            <v>WJASPM23022</v>
          </cell>
          <cell r="B579" t="str">
            <v>WJASPM230</v>
          </cell>
          <cell r="C579" t="str">
            <v>22</v>
          </cell>
          <cell r="D579">
            <v>0</v>
          </cell>
          <cell r="E579">
            <v>2</v>
          </cell>
          <cell r="F579">
            <v>0</v>
          </cell>
          <cell r="G579">
            <v>0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-1</v>
          </cell>
          <cell r="M579">
            <v>4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</row>
        <row r="580">
          <cell r="A580" t="str">
            <v>WJASPM31024</v>
          </cell>
          <cell r="B580" t="str">
            <v>WJASPM310</v>
          </cell>
          <cell r="C580" t="str">
            <v>24</v>
          </cell>
          <cell r="D580">
            <v>3</v>
          </cell>
          <cell r="E580">
            <v>0</v>
          </cell>
          <cell r="F580">
            <v>2</v>
          </cell>
          <cell r="G580">
            <v>1</v>
          </cell>
          <cell r="H580">
            <v>0</v>
          </cell>
          <cell r="I580">
            <v>1</v>
          </cell>
          <cell r="J580">
            <v>1</v>
          </cell>
          <cell r="K580">
            <v>0</v>
          </cell>
          <cell r="L580">
            <v>0</v>
          </cell>
          <cell r="M580">
            <v>2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</row>
        <row r="581">
          <cell r="A581" t="str">
            <v>WJASPM31073</v>
          </cell>
          <cell r="B581" t="str">
            <v>WJASPM310</v>
          </cell>
          <cell r="C581" t="str">
            <v>73</v>
          </cell>
          <cell r="D581">
            <v>0</v>
          </cell>
          <cell r="E581">
            <v>1</v>
          </cell>
          <cell r="F581">
            <v>1</v>
          </cell>
          <cell r="G581">
            <v>0</v>
          </cell>
          <cell r="H581">
            <v>3</v>
          </cell>
          <cell r="I581">
            <v>2</v>
          </cell>
          <cell r="J581">
            <v>2</v>
          </cell>
          <cell r="K581">
            <v>0</v>
          </cell>
          <cell r="L581">
            <v>0</v>
          </cell>
          <cell r="M581">
            <v>2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</row>
        <row r="582">
          <cell r="A582" t="str">
            <v>WJASPM32024</v>
          </cell>
          <cell r="B582" t="str">
            <v>WJASPM320</v>
          </cell>
          <cell r="C582" t="str">
            <v>24</v>
          </cell>
          <cell r="D582">
            <v>3</v>
          </cell>
          <cell r="E582">
            <v>0</v>
          </cell>
          <cell r="F582">
            <v>4</v>
          </cell>
          <cell r="G582">
            <v>2</v>
          </cell>
          <cell r="H582">
            <v>0</v>
          </cell>
          <cell r="I582">
            <v>1</v>
          </cell>
          <cell r="J582">
            <v>0</v>
          </cell>
          <cell r="K582">
            <v>0</v>
          </cell>
          <cell r="L582">
            <v>0</v>
          </cell>
          <cell r="M582">
            <v>2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</row>
        <row r="583">
          <cell r="A583" t="str">
            <v>WJASPM32073</v>
          </cell>
          <cell r="B583" t="str">
            <v>WJASPM320</v>
          </cell>
          <cell r="C583" t="str">
            <v>73</v>
          </cell>
          <cell r="D583">
            <v>0</v>
          </cell>
          <cell r="E583">
            <v>0</v>
          </cell>
          <cell r="F583">
            <v>2</v>
          </cell>
          <cell r="G583">
            <v>1</v>
          </cell>
          <cell r="H583">
            <v>1</v>
          </cell>
          <cell r="I583">
            <v>2</v>
          </cell>
          <cell r="J583">
            <v>2</v>
          </cell>
          <cell r="K583">
            <v>0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</row>
        <row r="584">
          <cell r="A584" t="str">
            <v>WJASPM41008</v>
          </cell>
          <cell r="B584" t="str">
            <v>WJASPM410</v>
          </cell>
          <cell r="C584" t="str">
            <v>08</v>
          </cell>
          <cell r="D584">
            <v>1</v>
          </cell>
          <cell r="E584">
            <v>2</v>
          </cell>
          <cell r="F584">
            <v>1</v>
          </cell>
          <cell r="G584">
            <v>2</v>
          </cell>
          <cell r="H584">
            <v>1</v>
          </cell>
          <cell r="I584">
            <v>5</v>
          </cell>
          <cell r="J584">
            <v>4</v>
          </cell>
          <cell r="K584">
            <v>0</v>
          </cell>
          <cell r="L584">
            <v>9</v>
          </cell>
          <cell r="M584">
            <v>4</v>
          </cell>
          <cell r="N584">
            <v>1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</row>
        <row r="585">
          <cell r="A585" t="str">
            <v>WJASTM01015</v>
          </cell>
          <cell r="B585" t="str">
            <v>WJASTM010</v>
          </cell>
          <cell r="C585" t="str">
            <v>15</v>
          </cell>
          <cell r="D585">
            <v>4</v>
          </cell>
          <cell r="E585">
            <v>2</v>
          </cell>
          <cell r="F585">
            <v>1</v>
          </cell>
          <cell r="G585">
            <v>0</v>
          </cell>
          <cell r="H585">
            <v>0</v>
          </cell>
          <cell r="I585">
            <v>1</v>
          </cell>
          <cell r="J585">
            <v>2</v>
          </cell>
          <cell r="K585">
            <v>3</v>
          </cell>
          <cell r="L585">
            <v>3</v>
          </cell>
          <cell r="M585">
            <v>1</v>
          </cell>
          <cell r="N585">
            <v>3</v>
          </cell>
          <cell r="O585">
            <v>2</v>
          </cell>
          <cell r="P585">
            <v>6</v>
          </cell>
          <cell r="Q585">
            <v>3</v>
          </cell>
          <cell r="R585">
            <v>4</v>
          </cell>
          <cell r="S585">
            <v>1</v>
          </cell>
          <cell r="T585">
            <v>2</v>
          </cell>
        </row>
        <row r="586">
          <cell r="A586" t="str">
            <v>WJASTM01027</v>
          </cell>
          <cell r="B586" t="str">
            <v>WJASTM010</v>
          </cell>
          <cell r="C586" t="str">
            <v>27</v>
          </cell>
          <cell r="D586">
            <v>0</v>
          </cell>
          <cell r="E586">
            <v>1</v>
          </cell>
          <cell r="F586">
            <v>0</v>
          </cell>
          <cell r="G586">
            <v>1</v>
          </cell>
          <cell r="H586">
            <v>0</v>
          </cell>
          <cell r="I586">
            <v>0</v>
          </cell>
          <cell r="J586">
            <v>0</v>
          </cell>
          <cell r="K586">
            <v>1</v>
          </cell>
          <cell r="L586">
            <v>1</v>
          </cell>
          <cell r="M586">
            <v>0</v>
          </cell>
          <cell r="N586">
            <v>2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3</v>
          </cell>
        </row>
        <row r="587">
          <cell r="A587" t="str">
            <v>WJASTM02024</v>
          </cell>
          <cell r="B587" t="str">
            <v>WJASTM020</v>
          </cell>
          <cell r="C587" t="str">
            <v>24</v>
          </cell>
          <cell r="D587">
            <v>2</v>
          </cell>
          <cell r="E587">
            <v>0</v>
          </cell>
          <cell r="F587">
            <v>2</v>
          </cell>
          <cell r="G587">
            <v>0</v>
          </cell>
          <cell r="H587">
            <v>0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2</v>
          </cell>
          <cell r="O587">
            <v>0</v>
          </cell>
          <cell r="P587">
            <v>0</v>
          </cell>
          <cell r="Q587">
            <v>1</v>
          </cell>
          <cell r="R587">
            <v>2</v>
          </cell>
          <cell r="S587">
            <v>0</v>
          </cell>
          <cell r="T587">
            <v>3</v>
          </cell>
        </row>
        <row r="588">
          <cell r="A588" t="str">
            <v>WJASTM03053</v>
          </cell>
          <cell r="B588" t="str">
            <v>WJASTM030</v>
          </cell>
          <cell r="C588" t="str">
            <v>53</v>
          </cell>
          <cell r="D588">
            <v>1</v>
          </cell>
          <cell r="E588">
            <v>2</v>
          </cell>
          <cell r="F588">
            <v>1</v>
          </cell>
          <cell r="G588">
            <v>3</v>
          </cell>
          <cell r="H588">
            <v>1</v>
          </cell>
          <cell r="I588">
            <v>-1</v>
          </cell>
          <cell r="J588">
            <v>2</v>
          </cell>
          <cell r="K588">
            <v>1</v>
          </cell>
          <cell r="L588">
            <v>0</v>
          </cell>
          <cell r="M588">
            <v>3</v>
          </cell>
          <cell r="N588">
            <v>2</v>
          </cell>
          <cell r="O588">
            <v>2</v>
          </cell>
          <cell r="P588">
            <v>4</v>
          </cell>
          <cell r="Q588">
            <v>1</v>
          </cell>
          <cell r="R588">
            <v>4</v>
          </cell>
          <cell r="S588">
            <v>0</v>
          </cell>
          <cell r="T588">
            <v>5</v>
          </cell>
        </row>
        <row r="589">
          <cell r="A589" t="str">
            <v>WJASTM03064</v>
          </cell>
          <cell r="B589" t="str">
            <v>WJASTM030</v>
          </cell>
          <cell r="C589" t="str">
            <v>64</v>
          </cell>
          <cell r="D589">
            <v>2</v>
          </cell>
          <cell r="E589">
            <v>2</v>
          </cell>
          <cell r="F589">
            <v>2</v>
          </cell>
          <cell r="G589">
            <v>3</v>
          </cell>
          <cell r="H589">
            <v>-1</v>
          </cell>
          <cell r="I589">
            <v>1</v>
          </cell>
          <cell r="J589">
            <v>1</v>
          </cell>
          <cell r="K589">
            <v>3</v>
          </cell>
          <cell r="L589">
            <v>1</v>
          </cell>
          <cell r="M589">
            <v>2</v>
          </cell>
          <cell r="N589">
            <v>1</v>
          </cell>
          <cell r="O589">
            <v>0</v>
          </cell>
          <cell r="P589">
            <v>2</v>
          </cell>
          <cell r="Q589">
            <v>3</v>
          </cell>
          <cell r="R589">
            <v>4</v>
          </cell>
          <cell r="S589">
            <v>2</v>
          </cell>
          <cell r="T589">
            <v>5</v>
          </cell>
        </row>
        <row r="590">
          <cell r="A590" t="str">
            <v>WJATPM41007</v>
          </cell>
          <cell r="B590" t="str">
            <v>WJATPM410</v>
          </cell>
          <cell r="C590" t="str">
            <v>07</v>
          </cell>
          <cell r="D590">
            <v>2</v>
          </cell>
          <cell r="E590">
            <v>1</v>
          </cell>
          <cell r="F590">
            <v>1</v>
          </cell>
          <cell r="G590">
            <v>3</v>
          </cell>
          <cell r="H590">
            <v>1</v>
          </cell>
          <cell r="I590">
            <v>0</v>
          </cell>
          <cell r="J590">
            <v>1</v>
          </cell>
          <cell r="K590">
            <v>1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</row>
        <row r="591">
          <cell r="A591" t="str">
            <v>WJATPM41024</v>
          </cell>
          <cell r="B591" t="str">
            <v>WJATPM410</v>
          </cell>
          <cell r="C591" t="str">
            <v>24</v>
          </cell>
          <cell r="D591">
            <v>1</v>
          </cell>
          <cell r="E591">
            <v>0</v>
          </cell>
          <cell r="F591">
            <v>1</v>
          </cell>
          <cell r="G591">
            <v>0</v>
          </cell>
          <cell r="H591">
            <v>2</v>
          </cell>
          <cell r="I591">
            <v>2</v>
          </cell>
          <cell r="J591">
            <v>0</v>
          </cell>
          <cell r="K591">
            <v>3</v>
          </cell>
          <cell r="L591">
            <v>0</v>
          </cell>
          <cell r="M591">
            <v>4</v>
          </cell>
          <cell r="N591">
            <v>2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</row>
        <row r="592">
          <cell r="A592" t="str">
            <v>WJATPM42007</v>
          </cell>
          <cell r="B592" t="str">
            <v>WJATPM420</v>
          </cell>
          <cell r="C592" t="str">
            <v>07</v>
          </cell>
          <cell r="D592">
            <v>0</v>
          </cell>
          <cell r="E592">
            <v>2</v>
          </cell>
          <cell r="F592">
            <v>-1</v>
          </cell>
          <cell r="G592">
            <v>4</v>
          </cell>
          <cell r="H592">
            <v>1</v>
          </cell>
          <cell r="I592">
            <v>0</v>
          </cell>
          <cell r="J592">
            <v>2</v>
          </cell>
          <cell r="K592">
            <v>1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3</v>
          </cell>
          <cell r="S592">
            <v>0</v>
          </cell>
          <cell r="T592">
            <v>0</v>
          </cell>
        </row>
        <row r="593">
          <cell r="A593" t="str">
            <v>WJATSM01008</v>
          </cell>
          <cell r="B593" t="str">
            <v>WJATSM010</v>
          </cell>
          <cell r="C593" t="str">
            <v>08</v>
          </cell>
          <cell r="D593">
            <v>1</v>
          </cell>
          <cell r="E593">
            <v>2</v>
          </cell>
          <cell r="F593">
            <v>0</v>
          </cell>
          <cell r="G593">
            <v>1</v>
          </cell>
          <cell r="H593">
            <v>0</v>
          </cell>
          <cell r="I593">
            <v>2</v>
          </cell>
          <cell r="J593">
            <v>2</v>
          </cell>
          <cell r="K593">
            <v>1</v>
          </cell>
          <cell r="L593">
            <v>1</v>
          </cell>
          <cell r="M593">
            <v>1</v>
          </cell>
          <cell r="N593">
            <v>0</v>
          </cell>
          <cell r="O593">
            <v>1</v>
          </cell>
          <cell r="P593">
            <v>4</v>
          </cell>
          <cell r="Q593">
            <v>6</v>
          </cell>
          <cell r="R593">
            <v>1</v>
          </cell>
          <cell r="S593">
            <v>0</v>
          </cell>
          <cell r="T593">
            <v>2</v>
          </cell>
        </row>
        <row r="594">
          <cell r="A594" t="str">
            <v>WJATSM01015</v>
          </cell>
          <cell r="B594" t="str">
            <v>WJATSM010</v>
          </cell>
          <cell r="C594" t="str">
            <v>15</v>
          </cell>
          <cell r="D594">
            <v>0</v>
          </cell>
          <cell r="E594">
            <v>0</v>
          </cell>
          <cell r="F594">
            <v>1</v>
          </cell>
          <cell r="G594">
            <v>2</v>
          </cell>
          <cell r="H594">
            <v>1</v>
          </cell>
          <cell r="I594">
            <v>2</v>
          </cell>
          <cell r="J594">
            <v>0</v>
          </cell>
          <cell r="K594">
            <v>1</v>
          </cell>
          <cell r="L594">
            <v>0</v>
          </cell>
          <cell r="M594">
            <v>0</v>
          </cell>
          <cell r="N594">
            <v>0</v>
          </cell>
          <cell r="O594">
            <v>4</v>
          </cell>
          <cell r="P594">
            <v>5</v>
          </cell>
          <cell r="Q594">
            <v>1</v>
          </cell>
          <cell r="R594">
            <v>3</v>
          </cell>
          <cell r="S594">
            <v>0</v>
          </cell>
          <cell r="T594">
            <v>1</v>
          </cell>
        </row>
        <row r="595">
          <cell r="A595" t="str">
            <v>WJATSM01027</v>
          </cell>
          <cell r="B595" t="str">
            <v>WJATSM010</v>
          </cell>
          <cell r="C595" t="str">
            <v>27</v>
          </cell>
          <cell r="D595">
            <v>1</v>
          </cell>
          <cell r="E595">
            <v>0</v>
          </cell>
          <cell r="F595">
            <v>1</v>
          </cell>
          <cell r="G595">
            <v>0</v>
          </cell>
          <cell r="H595">
            <v>0</v>
          </cell>
          <cell r="I595">
            <v>-1</v>
          </cell>
          <cell r="J595">
            <v>1</v>
          </cell>
          <cell r="K595">
            <v>1</v>
          </cell>
          <cell r="L595">
            <v>0</v>
          </cell>
          <cell r="M595">
            <v>1</v>
          </cell>
          <cell r="N595">
            <v>1</v>
          </cell>
          <cell r="O595">
            <v>1</v>
          </cell>
          <cell r="P595">
            <v>1</v>
          </cell>
          <cell r="Q595">
            <v>0</v>
          </cell>
          <cell r="R595">
            <v>1</v>
          </cell>
          <cell r="S595">
            <v>1</v>
          </cell>
          <cell r="T595">
            <v>2</v>
          </cell>
        </row>
        <row r="596">
          <cell r="A596" t="str">
            <v>WJATSM02015</v>
          </cell>
          <cell r="B596" t="str">
            <v>WJATSM020</v>
          </cell>
          <cell r="C596" t="str">
            <v>15</v>
          </cell>
          <cell r="D596">
            <v>2</v>
          </cell>
          <cell r="E596">
            <v>2</v>
          </cell>
          <cell r="F596">
            <v>3</v>
          </cell>
          <cell r="G596">
            <v>3</v>
          </cell>
          <cell r="H596">
            <v>1</v>
          </cell>
          <cell r="I596">
            <v>1</v>
          </cell>
          <cell r="J596">
            <v>7</v>
          </cell>
          <cell r="K596">
            <v>2</v>
          </cell>
          <cell r="L596">
            <v>2</v>
          </cell>
          <cell r="M596">
            <v>2</v>
          </cell>
          <cell r="N596">
            <v>2</v>
          </cell>
          <cell r="O596">
            <v>1</v>
          </cell>
          <cell r="P596">
            <v>3</v>
          </cell>
          <cell r="Q596">
            <v>2</v>
          </cell>
          <cell r="R596">
            <v>4</v>
          </cell>
          <cell r="S596">
            <v>2</v>
          </cell>
          <cell r="T596">
            <v>0</v>
          </cell>
        </row>
        <row r="597">
          <cell r="A597" t="str">
            <v>WJATSM02024</v>
          </cell>
          <cell r="B597" t="str">
            <v>WJATSM020</v>
          </cell>
          <cell r="C597" t="str">
            <v>24</v>
          </cell>
          <cell r="D597">
            <v>2</v>
          </cell>
          <cell r="E597">
            <v>4</v>
          </cell>
          <cell r="F597">
            <v>0</v>
          </cell>
          <cell r="G597">
            <v>1</v>
          </cell>
          <cell r="H597">
            <v>1</v>
          </cell>
          <cell r="I597">
            <v>3</v>
          </cell>
          <cell r="J597">
            <v>1</v>
          </cell>
          <cell r="K597">
            <v>4</v>
          </cell>
          <cell r="L597">
            <v>1</v>
          </cell>
          <cell r="M597">
            <v>2</v>
          </cell>
          <cell r="N597">
            <v>0</v>
          </cell>
          <cell r="O597">
            <v>2</v>
          </cell>
          <cell r="P597">
            <v>4</v>
          </cell>
          <cell r="Q597">
            <v>7</v>
          </cell>
          <cell r="R597">
            <v>2</v>
          </cell>
          <cell r="S597">
            <v>1</v>
          </cell>
          <cell r="T597">
            <v>0</v>
          </cell>
        </row>
        <row r="598">
          <cell r="A598" t="str">
            <v>WJATSM02053</v>
          </cell>
          <cell r="B598" t="str">
            <v>WJATSM020</v>
          </cell>
          <cell r="C598" t="str">
            <v>53</v>
          </cell>
          <cell r="D598">
            <v>5</v>
          </cell>
          <cell r="E598">
            <v>1</v>
          </cell>
          <cell r="F598">
            <v>4</v>
          </cell>
          <cell r="G598">
            <v>3</v>
          </cell>
          <cell r="H598">
            <v>0</v>
          </cell>
          <cell r="I598">
            <v>4</v>
          </cell>
          <cell r="J598">
            <v>2</v>
          </cell>
          <cell r="K598">
            <v>4</v>
          </cell>
          <cell r="L598">
            <v>4</v>
          </cell>
          <cell r="M598">
            <v>2</v>
          </cell>
          <cell r="N598">
            <v>3</v>
          </cell>
          <cell r="O598">
            <v>0</v>
          </cell>
          <cell r="P598">
            <v>0</v>
          </cell>
          <cell r="Q598">
            <v>1</v>
          </cell>
          <cell r="R598">
            <v>0</v>
          </cell>
          <cell r="S598">
            <v>0</v>
          </cell>
          <cell r="T598">
            <v>2</v>
          </cell>
        </row>
        <row r="599">
          <cell r="A599" t="str">
            <v>WJATSM03027</v>
          </cell>
          <cell r="B599" t="str">
            <v>WJATSM030</v>
          </cell>
          <cell r="C599" t="str">
            <v>27</v>
          </cell>
          <cell r="D599">
            <v>2</v>
          </cell>
          <cell r="E599">
            <v>4</v>
          </cell>
          <cell r="F599">
            <v>3</v>
          </cell>
          <cell r="G599">
            <v>4</v>
          </cell>
          <cell r="H599">
            <v>2</v>
          </cell>
          <cell r="I599">
            <v>2</v>
          </cell>
          <cell r="J599">
            <v>2</v>
          </cell>
          <cell r="K599">
            <v>2</v>
          </cell>
          <cell r="L599">
            <v>4</v>
          </cell>
          <cell r="M599">
            <v>1</v>
          </cell>
          <cell r="N599">
            <v>4</v>
          </cell>
          <cell r="O599">
            <v>2</v>
          </cell>
          <cell r="P599">
            <v>6</v>
          </cell>
          <cell r="Q599">
            <v>2</v>
          </cell>
          <cell r="R599">
            <v>5</v>
          </cell>
          <cell r="S599">
            <v>2</v>
          </cell>
          <cell r="T599">
            <v>2</v>
          </cell>
        </row>
        <row r="600">
          <cell r="A600" t="str">
            <v>WJATSM03034</v>
          </cell>
          <cell r="B600" t="str">
            <v>WJATSM030</v>
          </cell>
          <cell r="C600" t="str">
            <v>34</v>
          </cell>
          <cell r="D600">
            <v>0</v>
          </cell>
          <cell r="E600">
            <v>2</v>
          </cell>
          <cell r="F600">
            <v>1</v>
          </cell>
          <cell r="G600">
            <v>1</v>
          </cell>
          <cell r="H600">
            <v>1</v>
          </cell>
          <cell r="I600">
            <v>2</v>
          </cell>
          <cell r="J600">
            <v>0</v>
          </cell>
          <cell r="K600">
            <v>4</v>
          </cell>
          <cell r="L600">
            <v>0</v>
          </cell>
          <cell r="M600">
            <v>0</v>
          </cell>
          <cell r="N600">
            <v>0</v>
          </cell>
          <cell r="O600">
            <v>3</v>
          </cell>
          <cell r="P600">
            <v>2</v>
          </cell>
          <cell r="Q600">
            <v>3</v>
          </cell>
          <cell r="R600">
            <v>3</v>
          </cell>
          <cell r="S600">
            <v>1</v>
          </cell>
          <cell r="T600">
            <v>1</v>
          </cell>
        </row>
        <row r="601">
          <cell r="A601" t="str">
            <v>WJATSM04024</v>
          </cell>
          <cell r="B601" t="str">
            <v>WJATSM040</v>
          </cell>
          <cell r="C601" t="str">
            <v>24</v>
          </cell>
          <cell r="D601">
            <v>7</v>
          </cell>
          <cell r="E601">
            <v>7</v>
          </cell>
          <cell r="F601">
            <v>5</v>
          </cell>
          <cell r="G601">
            <v>10</v>
          </cell>
          <cell r="H601">
            <v>1</v>
          </cell>
          <cell r="I601">
            <v>10</v>
          </cell>
          <cell r="J601">
            <v>13</v>
          </cell>
          <cell r="K601">
            <v>4</v>
          </cell>
          <cell r="L601">
            <v>2</v>
          </cell>
          <cell r="M601">
            <v>3</v>
          </cell>
          <cell r="N601">
            <v>8</v>
          </cell>
          <cell r="O601">
            <v>4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</row>
        <row r="602">
          <cell r="A602" t="str">
            <v>WJATSM04025</v>
          </cell>
          <cell r="B602" t="str">
            <v>WJATSM040</v>
          </cell>
          <cell r="C602" t="str">
            <v>25</v>
          </cell>
          <cell r="D602">
            <v>0</v>
          </cell>
          <cell r="E602">
            <v>3</v>
          </cell>
          <cell r="F602">
            <v>2</v>
          </cell>
          <cell r="G602">
            <v>3</v>
          </cell>
          <cell r="H602">
            <v>3</v>
          </cell>
          <cell r="I602">
            <v>2</v>
          </cell>
          <cell r="J602">
            <v>0</v>
          </cell>
          <cell r="K602">
            <v>4</v>
          </cell>
          <cell r="L602">
            <v>1</v>
          </cell>
          <cell r="M602">
            <v>2</v>
          </cell>
          <cell r="N602">
            <v>0</v>
          </cell>
          <cell r="O602">
            <v>1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</row>
        <row r="603">
          <cell r="A603" t="str">
            <v>WJATSM04034</v>
          </cell>
          <cell r="B603" t="str">
            <v>WJATSM040</v>
          </cell>
          <cell r="C603" t="str">
            <v>34</v>
          </cell>
          <cell r="D603">
            <v>0</v>
          </cell>
          <cell r="E603">
            <v>0</v>
          </cell>
          <cell r="F603">
            <v>3</v>
          </cell>
          <cell r="G603">
            <v>5</v>
          </cell>
          <cell r="H603">
            <v>7</v>
          </cell>
          <cell r="I603">
            <v>8</v>
          </cell>
          <cell r="J603">
            <v>5</v>
          </cell>
          <cell r="K603">
            <v>6</v>
          </cell>
          <cell r="L603">
            <v>5</v>
          </cell>
          <cell r="M603">
            <v>2</v>
          </cell>
          <cell r="N603">
            <v>1</v>
          </cell>
          <cell r="O603">
            <v>5</v>
          </cell>
          <cell r="P603">
            <v>2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</row>
        <row r="604">
          <cell r="A604" t="str">
            <v>WJATSM05024</v>
          </cell>
          <cell r="B604" t="str">
            <v>WJATSM050</v>
          </cell>
          <cell r="C604" t="str">
            <v>24</v>
          </cell>
          <cell r="D604">
            <v>2</v>
          </cell>
          <cell r="E604">
            <v>2</v>
          </cell>
          <cell r="F604">
            <v>0</v>
          </cell>
          <cell r="G604">
            <v>1</v>
          </cell>
          <cell r="H604">
            <v>2</v>
          </cell>
          <cell r="I604">
            <v>0</v>
          </cell>
          <cell r="J604">
            <v>3</v>
          </cell>
          <cell r="K604">
            <v>1</v>
          </cell>
          <cell r="L604">
            <v>2</v>
          </cell>
          <cell r="M604">
            <v>1</v>
          </cell>
          <cell r="N604">
            <v>1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</row>
        <row r="605">
          <cell r="A605" t="str">
            <v>WJATSM05034</v>
          </cell>
          <cell r="B605" t="str">
            <v>WJATSM050</v>
          </cell>
          <cell r="C605" t="str">
            <v>34</v>
          </cell>
          <cell r="D605">
            <v>2</v>
          </cell>
          <cell r="E605">
            <v>-1</v>
          </cell>
          <cell r="F605">
            <v>1</v>
          </cell>
          <cell r="G605">
            <v>1</v>
          </cell>
          <cell r="H605">
            <v>2</v>
          </cell>
          <cell r="I605">
            <v>2</v>
          </cell>
          <cell r="J605">
            <v>1</v>
          </cell>
          <cell r="K605">
            <v>3</v>
          </cell>
          <cell r="L605">
            <v>2</v>
          </cell>
          <cell r="M605">
            <v>4</v>
          </cell>
          <cell r="N605">
            <v>1</v>
          </cell>
          <cell r="O605">
            <v>1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</row>
        <row r="606">
          <cell r="A606" t="str">
            <v>WJATSM06008</v>
          </cell>
          <cell r="B606" t="str">
            <v>WJATSM060</v>
          </cell>
          <cell r="C606" t="str">
            <v>08</v>
          </cell>
          <cell r="D606">
            <v>3</v>
          </cell>
          <cell r="E606">
            <v>0</v>
          </cell>
          <cell r="F606">
            <v>0</v>
          </cell>
          <cell r="G606">
            <v>0</v>
          </cell>
          <cell r="H606">
            <v>1</v>
          </cell>
          <cell r="I606">
            <v>2</v>
          </cell>
          <cell r="J606">
            <v>1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</row>
        <row r="607">
          <cell r="A607" t="str">
            <v>WJATSM06024</v>
          </cell>
          <cell r="B607" t="str">
            <v>WJATSM060</v>
          </cell>
          <cell r="C607" t="str">
            <v>24</v>
          </cell>
          <cell r="D607">
            <v>1</v>
          </cell>
          <cell r="E607">
            <v>4</v>
          </cell>
          <cell r="F607">
            <v>2</v>
          </cell>
          <cell r="G607">
            <v>2</v>
          </cell>
          <cell r="H607">
            <v>2</v>
          </cell>
          <cell r="I607">
            <v>0</v>
          </cell>
          <cell r="J607">
            <v>1</v>
          </cell>
          <cell r="K607">
            <v>1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</row>
        <row r="608">
          <cell r="A608" t="str">
            <v>WJATSM07008</v>
          </cell>
          <cell r="B608" t="str">
            <v>WJATSM070</v>
          </cell>
          <cell r="C608" t="str">
            <v>08</v>
          </cell>
          <cell r="D608">
            <v>6</v>
          </cell>
          <cell r="E608">
            <v>1</v>
          </cell>
          <cell r="F608">
            <v>3</v>
          </cell>
          <cell r="G608">
            <v>5</v>
          </cell>
          <cell r="H608">
            <v>2</v>
          </cell>
          <cell r="I608">
            <v>3</v>
          </cell>
          <cell r="J608">
            <v>4</v>
          </cell>
          <cell r="K608">
            <v>3</v>
          </cell>
          <cell r="L608">
            <v>3</v>
          </cell>
          <cell r="M608">
            <v>5</v>
          </cell>
          <cell r="N608">
            <v>1</v>
          </cell>
          <cell r="O608">
            <v>2</v>
          </cell>
          <cell r="P608">
            <v>4</v>
          </cell>
          <cell r="Q608">
            <v>1</v>
          </cell>
          <cell r="R608">
            <v>1</v>
          </cell>
          <cell r="S608">
            <v>0</v>
          </cell>
          <cell r="T608">
            <v>0</v>
          </cell>
        </row>
        <row r="609">
          <cell r="A609" t="str">
            <v>WJATSM07025</v>
          </cell>
          <cell r="B609" t="str">
            <v>WJATSM070</v>
          </cell>
          <cell r="C609" t="str">
            <v>25</v>
          </cell>
          <cell r="D609">
            <v>10</v>
          </cell>
          <cell r="E609">
            <v>3</v>
          </cell>
          <cell r="F609">
            <v>1</v>
          </cell>
          <cell r="G609">
            <v>12</v>
          </cell>
          <cell r="H609">
            <v>5</v>
          </cell>
          <cell r="I609">
            <v>12</v>
          </cell>
          <cell r="J609">
            <v>6</v>
          </cell>
          <cell r="K609">
            <v>13</v>
          </cell>
          <cell r="L609">
            <v>4</v>
          </cell>
          <cell r="M609">
            <v>9</v>
          </cell>
          <cell r="N609">
            <v>0</v>
          </cell>
          <cell r="O609">
            <v>5</v>
          </cell>
          <cell r="P609">
            <v>1</v>
          </cell>
          <cell r="Q609">
            <v>1</v>
          </cell>
          <cell r="R609">
            <v>1</v>
          </cell>
          <cell r="S609">
            <v>0</v>
          </cell>
          <cell r="T609">
            <v>0</v>
          </cell>
        </row>
        <row r="610">
          <cell r="A610" t="str">
            <v>WJATSM08007</v>
          </cell>
          <cell r="B610" t="str">
            <v>WJATSM080</v>
          </cell>
          <cell r="C610" t="str">
            <v>07</v>
          </cell>
          <cell r="D610">
            <v>6</v>
          </cell>
          <cell r="E610">
            <v>7</v>
          </cell>
          <cell r="F610">
            <v>11</v>
          </cell>
          <cell r="G610">
            <v>6</v>
          </cell>
          <cell r="H610">
            <v>5</v>
          </cell>
          <cell r="I610">
            <v>6</v>
          </cell>
          <cell r="J610">
            <v>13</v>
          </cell>
          <cell r="K610">
            <v>9</v>
          </cell>
          <cell r="L610">
            <v>12</v>
          </cell>
          <cell r="M610">
            <v>7</v>
          </cell>
          <cell r="N610">
            <v>10</v>
          </cell>
          <cell r="O610">
            <v>10</v>
          </cell>
          <cell r="P610">
            <v>7</v>
          </cell>
          <cell r="Q610">
            <v>13</v>
          </cell>
          <cell r="R610">
            <v>12</v>
          </cell>
          <cell r="S610">
            <v>5</v>
          </cell>
          <cell r="T610">
            <v>7</v>
          </cell>
        </row>
        <row r="611">
          <cell r="A611" t="str">
            <v>WJATSM08073</v>
          </cell>
          <cell r="B611" t="str">
            <v>WJATSM080</v>
          </cell>
          <cell r="C611" t="str">
            <v>73</v>
          </cell>
          <cell r="D611">
            <v>8</v>
          </cell>
          <cell r="E611">
            <v>4</v>
          </cell>
          <cell r="F611">
            <v>3</v>
          </cell>
          <cell r="G611">
            <v>5</v>
          </cell>
          <cell r="H611">
            <v>6</v>
          </cell>
          <cell r="I611">
            <v>5</v>
          </cell>
          <cell r="J611">
            <v>4</v>
          </cell>
          <cell r="K611">
            <v>16</v>
          </cell>
          <cell r="L611">
            <v>13</v>
          </cell>
          <cell r="M611">
            <v>8</v>
          </cell>
          <cell r="N611">
            <v>14</v>
          </cell>
          <cell r="O611">
            <v>11</v>
          </cell>
          <cell r="P611">
            <v>14</v>
          </cell>
          <cell r="Q611">
            <v>10</v>
          </cell>
          <cell r="R611">
            <v>7</v>
          </cell>
          <cell r="S611">
            <v>16</v>
          </cell>
          <cell r="T611">
            <v>2</v>
          </cell>
        </row>
        <row r="612">
          <cell r="A612" t="str">
            <v>WJATSM08173</v>
          </cell>
          <cell r="B612" t="str">
            <v>WJATSM081</v>
          </cell>
          <cell r="C612" t="str">
            <v>73</v>
          </cell>
          <cell r="D612">
            <v>6</v>
          </cell>
          <cell r="E612">
            <v>4</v>
          </cell>
          <cell r="F612">
            <v>8</v>
          </cell>
          <cell r="G612">
            <v>2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</row>
        <row r="613">
          <cell r="A613" t="str">
            <v>WJATSM09024</v>
          </cell>
          <cell r="B613" t="str">
            <v>WJATSM090</v>
          </cell>
          <cell r="C613" t="str">
            <v>24</v>
          </cell>
          <cell r="D613">
            <v>10</v>
          </cell>
          <cell r="E613">
            <v>11</v>
          </cell>
          <cell r="F613">
            <v>10</v>
          </cell>
          <cell r="G613">
            <v>12</v>
          </cell>
          <cell r="H613">
            <v>10</v>
          </cell>
          <cell r="I613">
            <v>8</v>
          </cell>
          <cell r="J613">
            <v>9</v>
          </cell>
          <cell r="K613">
            <v>9</v>
          </cell>
          <cell r="L613">
            <v>16</v>
          </cell>
          <cell r="M613">
            <v>24</v>
          </cell>
          <cell r="N613">
            <v>20</v>
          </cell>
          <cell r="O613">
            <v>6</v>
          </cell>
          <cell r="P613">
            <v>15</v>
          </cell>
          <cell r="Q613">
            <v>0</v>
          </cell>
          <cell r="R613">
            <v>1</v>
          </cell>
          <cell r="S613">
            <v>0</v>
          </cell>
          <cell r="T613">
            <v>3</v>
          </cell>
        </row>
        <row r="614">
          <cell r="A614" t="str">
            <v>WJATSM09053</v>
          </cell>
          <cell r="B614" t="str">
            <v>WJATSM090</v>
          </cell>
          <cell r="C614" t="str">
            <v>53</v>
          </cell>
          <cell r="D614">
            <v>0</v>
          </cell>
          <cell r="E614">
            <v>3</v>
          </cell>
          <cell r="F614">
            <v>3</v>
          </cell>
          <cell r="G614">
            <v>4</v>
          </cell>
          <cell r="H614">
            <v>3</v>
          </cell>
          <cell r="I614">
            <v>2</v>
          </cell>
          <cell r="J614">
            <v>4</v>
          </cell>
          <cell r="K614">
            <v>2</v>
          </cell>
          <cell r="L614">
            <v>5</v>
          </cell>
          <cell r="M614">
            <v>3</v>
          </cell>
          <cell r="N614">
            <v>2</v>
          </cell>
          <cell r="O614">
            <v>3</v>
          </cell>
          <cell r="P614">
            <v>-1</v>
          </cell>
          <cell r="Q614">
            <v>1</v>
          </cell>
          <cell r="R614">
            <v>2</v>
          </cell>
          <cell r="S614">
            <v>0</v>
          </cell>
          <cell r="T614">
            <v>1</v>
          </cell>
        </row>
        <row r="615">
          <cell r="A615" t="str">
            <v>WJATSM10015</v>
          </cell>
          <cell r="B615" t="str">
            <v>WJATSM100</v>
          </cell>
          <cell r="C615" t="str">
            <v>15</v>
          </cell>
          <cell r="D615">
            <v>1</v>
          </cell>
          <cell r="E615">
            <v>0</v>
          </cell>
          <cell r="F615">
            <v>0</v>
          </cell>
          <cell r="G615">
            <v>0</v>
          </cell>
          <cell r="H615">
            <v>2</v>
          </cell>
          <cell r="I615">
            <v>2</v>
          </cell>
          <cell r="J615">
            <v>2</v>
          </cell>
          <cell r="K615">
            <v>0</v>
          </cell>
          <cell r="L615">
            <v>3</v>
          </cell>
          <cell r="M615">
            <v>4</v>
          </cell>
          <cell r="N615">
            <v>0</v>
          </cell>
          <cell r="O615">
            <v>1</v>
          </cell>
          <cell r="P615">
            <v>5</v>
          </cell>
          <cell r="Q615">
            <v>1</v>
          </cell>
          <cell r="R615">
            <v>1</v>
          </cell>
          <cell r="S615">
            <v>3</v>
          </cell>
          <cell r="T615">
            <v>5</v>
          </cell>
        </row>
        <row r="616">
          <cell r="A616" t="str">
            <v>WJATSM10034</v>
          </cell>
          <cell r="B616" t="str">
            <v>WJATSM100</v>
          </cell>
          <cell r="C616" t="str">
            <v>34</v>
          </cell>
          <cell r="D616">
            <v>0</v>
          </cell>
          <cell r="E616">
            <v>0</v>
          </cell>
          <cell r="F616">
            <v>2</v>
          </cell>
          <cell r="G616">
            <v>0</v>
          </cell>
          <cell r="H616">
            <v>0</v>
          </cell>
          <cell r="I616">
            <v>2</v>
          </cell>
          <cell r="J616">
            <v>1</v>
          </cell>
          <cell r="K616">
            <v>1</v>
          </cell>
          <cell r="L616">
            <v>1</v>
          </cell>
          <cell r="M616">
            <v>0</v>
          </cell>
          <cell r="N616">
            <v>0</v>
          </cell>
          <cell r="O616">
            <v>1</v>
          </cell>
          <cell r="P616">
            <v>1</v>
          </cell>
          <cell r="Q616">
            <v>1</v>
          </cell>
          <cell r="R616">
            <v>4</v>
          </cell>
          <cell r="S616">
            <v>1</v>
          </cell>
          <cell r="T616">
            <v>1</v>
          </cell>
        </row>
        <row r="617">
          <cell r="A617" t="str">
            <v>WJATSM11001</v>
          </cell>
          <cell r="B617" t="str">
            <v>WJATSM110</v>
          </cell>
          <cell r="C617" t="str">
            <v>01</v>
          </cell>
          <cell r="D617">
            <v>2</v>
          </cell>
          <cell r="E617">
            <v>1</v>
          </cell>
          <cell r="F617">
            <v>5</v>
          </cell>
          <cell r="G617">
            <v>6</v>
          </cell>
          <cell r="H617">
            <v>2</v>
          </cell>
          <cell r="I617">
            <v>6</v>
          </cell>
          <cell r="J617">
            <v>2</v>
          </cell>
          <cell r="K617">
            <v>-1</v>
          </cell>
          <cell r="L617">
            <v>2</v>
          </cell>
          <cell r="M617">
            <v>3</v>
          </cell>
          <cell r="N617">
            <v>2</v>
          </cell>
          <cell r="O617">
            <v>2</v>
          </cell>
          <cell r="P617">
            <v>0</v>
          </cell>
          <cell r="Q617">
            <v>1</v>
          </cell>
          <cell r="R617">
            <v>0</v>
          </cell>
          <cell r="S617">
            <v>0</v>
          </cell>
          <cell r="T617">
            <v>0</v>
          </cell>
        </row>
        <row r="618">
          <cell r="A618" t="str">
            <v>WJATSM11034</v>
          </cell>
          <cell r="B618" t="str">
            <v>WJATSM110</v>
          </cell>
          <cell r="C618" t="str">
            <v>34</v>
          </cell>
          <cell r="D618">
            <v>2</v>
          </cell>
          <cell r="E618">
            <v>0</v>
          </cell>
          <cell r="F618">
            <v>6</v>
          </cell>
          <cell r="G618">
            <v>4</v>
          </cell>
          <cell r="H618">
            <v>3</v>
          </cell>
          <cell r="I618">
            <v>8</v>
          </cell>
          <cell r="J618">
            <v>1</v>
          </cell>
          <cell r="K618">
            <v>0</v>
          </cell>
          <cell r="L618">
            <v>3</v>
          </cell>
          <cell r="M618">
            <v>-1</v>
          </cell>
          <cell r="N618">
            <v>1</v>
          </cell>
          <cell r="O618">
            <v>1</v>
          </cell>
          <cell r="P618">
            <v>1</v>
          </cell>
          <cell r="Q618">
            <v>1</v>
          </cell>
          <cell r="R618">
            <v>0</v>
          </cell>
          <cell r="S618">
            <v>0</v>
          </cell>
          <cell r="T618">
            <v>0</v>
          </cell>
        </row>
        <row r="619">
          <cell r="A619" t="str">
            <v>WJATSM12003</v>
          </cell>
          <cell r="B619" t="str">
            <v>WJATSM120</v>
          </cell>
          <cell r="C619" t="str">
            <v>03</v>
          </cell>
          <cell r="D619">
            <v>1</v>
          </cell>
          <cell r="E619">
            <v>0</v>
          </cell>
          <cell r="F619">
            <v>1</v>
          </cell>
          <cell r="G619">
            <v>0</v>
          </cell>
          <cell r="H619">
            <v>2</v>
          </cell>
          <cell r="I619">
            <v>1</v>
          </cell>
          <cell r="J619">
            <v>1</v>
          </cell>
          <cell r="K619">
            <v>2</v>
          </cell>
          <cell r="L619">
            <v>2</v>
          </cell>
          <cell r="M619">
            <v>0</v>
          </cell>
          <cell r="N619">
            <v>2</v>
          </cell>
          <cell r="O619">
            <v>1</v>
          </cell>
          <cell r="P619">
            <v>0</v>
          </cell>
          <cell r="Q619">
            <v>1</v>
          </cell>
          <cell r="R619">
            <v>0</v>
          </cell>
          <cell r="S619">
            <v>0</v>
          </cell>
          <cell r="T619">
            <v>1</v>
          </cell>
        </row>
        <row r="620">
          <cell r="A620" t="str">
            <v>WJATSM12034</v>
          </cell>
          <cell r="B620" t="str">
            <v>WJATSM120</v>
          </cell>
          <cell r="C620" t="str">
            <v>34</v>
          </cell>
          <cell r="D620">
            <v>1</v>
          </cell>
          <cell r="E620">
            <v>0</v>
          </cell>
          <cell r="F620">
            <v>0</v>
          </cell>
          <cell r="G620">
            <v>1</v>
          </cell>
          <cell r="H620">
            <v>1</v>
          </cell>
          <cell r="I620">
            <v>0</v>
          </cell>
          <cell r="J620">
            <v>3</v>
          </cell>
          <cell r="K620">
            <v>0</v>
          </cell>
          <cell r="L620">
            <v>1</v>
          </cell>
          <cell r="M620">
            <v>2</v>
          </cell>
          <cell r="N620">
            <v>2</v>
          </cell>
          <cell r="O620">
            <v>0</v>
          </cell>
          <cell r="P620">
            <v>1</v>
          </cell>
          <cell r="Q620">
            <v>1</v>
          </cell>
          <cell r="R620">
            <v>2</v>
          </cell>
          <cell r="S620">
            <v>1</v>
          </cell>
          <cell r="T620">
            <v>3</v>
          </cell>
        </row>
        <row r="621">
          <cell r="A621" t="str">
            <v>WJATSM13024</v>
          </cell>
          <cell r="B621" t="str">
            <v>WJATSM130</v>
          </cell>
          <cell r="C621" t="str">
            <v>24</v>
          </cell>
          <cell r="D621">
            <v>1</v>
          </cell>
          <cell r="E621">
            <v>1</v>
          </cell>
          <cell r="F621">
            <v>1</v>
          </cell>
          <cell r="G621">
            <v>0</v>
          </cell>
          <cell r="H621">
            <v>0</v>
          </cell>
          <cell r="I621">
            <v>6</v>
          </cell>
          <cell r="J621">
            <v>6</v>
          </cell>
          <cell r="K621">
            <v>4</v>
          </cell>
          <cell r="L621">
            <v>3</v>
          </cell>
          <cell r="M621">
            <v>5</v>
          </cell>
          <cell r="N621">
            <v>13</v>
          </cell>
          <cell r="O621">
            <v>9</v>
          </cell>
          <cell r="P621">
            <v>5</v>
          </cell>
          <cell r="Q621">
            <v>8</v>
          </cell>
          <cell r="R621">
            <v>6</v>
          </cell>
          <cell r="S621">
            <v>1</v>
          </cell>
          <cell r="T621">
            <v>3</v>
          </cell>
        </row>
        <row r="622">
          <cell r="A622" t="str">
            <v>WJATSM13073</v>
          </cell>
          <cell r="B622" t="str">
            <v>WJATSM130</v>
          </cell>
          <cell r="C622" t="str">
            <v>73</v>
          </cell>
          <cell r="D622">
            <v>1</v>
          </cell>
          <cell r="E622">
            <v>3</v>
          </cell>
          <cell r="F622">
            <v>0</v>
          </cell>
          <cell r="G622">
            <v>1</v>
          </cell>
          <cell r="H622">
            <v>0</v>
          </cell>
          <cell r="I622">
            <v>2</v>
          </cell>
          <cell r="J622">
            <v>1</v>
          </cell>
          <cell r="K622">
            <v>6</v>
          </cell>
          <cell r="L622">
            <v>3</v>
          </cell>
          <cell r="M622">
            <v>1</v>
          </cell>
          <cell r="N622">
            <v>5</v>
          </cell>
          <cell r="O622">
            <v>10</v>
          </cell>
          <cell r="P622">
            <v>7</v>
          </cell>
          <cell r="Q622">
            <v>7</v>
          </cell>
          <cell r="R622">
            <v>4</v>
          </cell>
          <cell r="S622">
            <v>0</v>
          </cell>
          <cell r="T622">
            <v>1</v>
          </cell>
        </row>
        <row r="623">
          <cell r="A623" t="str">
            <v>WJATSM13076</v>
          </cell>
          <cell r="B623" t="str">
            <v>WJATSM130</v>
          </cell>
          <cell r="C623" t="str">
            <v>76</v>
          </cell>
          <cell r="D623">
            <v>4</v>
          </cell>
          <cell r="E623">
            <v>0</v>
          </cell>
          <cell r="F623">
            <v>1</v>
          </cell>
          <cell r="G623">
            <v>3</v>
          </cell>
          <cell r="H623">
            <v>1</v>
          </cell>
          <cell r="I623">
            <v>6</v>
          </cell>
          <cell r="J623">
            <v>5</v>
          </cell>
          <cell r="K623">
            <v>3</v>
          </cell>
          <cell r="L623">
            <v>6</v>
          </cell>
          <cell r="M623">
            <v>-1</v>
          </cell>
          <cell r="N623">
            <v>12</v>
          </cell>
          <cell r="O623">
            <v>11</v>
          </cell>
          <cell r="P623">
            <v>9</v>
          </cell>
          <cell r="Q623">
            <v>5</v>
          </cell>
          <cell r="R623">
            <v>1</v>
          </cell>
          <cell r="S623">
            <v>0</v>
          </cell>
          <cell r="T623">
            <v>1</v>
          </cell>
        </row>
        <row r="624">
          <cell r="A624" t="str">
            <v>WJATSM21007</v>
          </cell>
          <cell r="B624" t="str">
            <v>WJATSM210</v>
          </cell>
          <cell r="C624" t="str">
            <v>07</v>
          </cell>
          <cell r="D624">
            <v>0</v>
          </cell>
          <cell r="E624">
            <v>0</v>
          </cell>
          <cell r="F624">
            <v>1</v>
          </cell>
          <cell r="G624">
            <v>0</v>
          </cell>
          <cell r="H624">
            <v>0</v>
          </cell>
          <cell r="I624">
            <v>1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1</v>
          </cell>
          <cell r="P624">
            <v>0</v>
          </cell>
          <cell r="Q624">
            <v>1</v>
          </cell>
          <cell r="R624">
            <v>1</v>
          </cell>
          <cell r="S624">
            <v>0</v>
          </cell>
          <cell r="T624">
            <v>5</v>
          </cell>
        </row>
        <row r="625">
          <cell r="A625" t="str">
            <v>WJATSM21027</v>
          </cell>
          <cell r="B625" t="str">
            <v>WJATSM210</v>
          </cell>
          <cell r="C625" t="str">
            <v>27</v>
          </cell>
          <cell r="D625">
            <v>1</v>
          </cell>
          <cell r="E625">
            <v>0</v>
          </cell>
          <cell r="F625">
            <v>1</v>
          </cell>
          <cell r="G625">
            <v>0</v>
          </cell>
          <cell r="H625">
            <v>1</v>
          </cell>
          <cell r="I625">
            <v>0</v>
          </cell>
          <cell r="J625">
            <v>1</v>
          </cell>
          <cell r="K625">
            <v>0</v>
          </cell>
          <cell r="L625">
            <v>0</v>
          </cell>
          <cell r="M625">
            <v>1</v>
          </cell>
          <cell r="N625">
            <v>0</v>
          </cell>
          <cell r="O625">
            <v>1</v>
          </cell>
          <cell r="P625">
            <v>2</v>
          </cell>
          <cell r="Q625">
            <v>1</v>
          </cell>
          <cell r="R625">
            <v>2</v>
          </cell>
          <cell r="S625">
            <v>0</v>
          </cell>
          <cell r="T625">
            <v>4</v>
          </cell>
        </row>
        <row r="626">
          <cell r="A626" t="str">
            <v>WJATSM22046</v>
          </cell>
          <cell r="B626" t="str">
            <v>WJATSM220</v>
          </cell>
          <cell r="C626" t="str">
            <v>46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1</v>
          </cell>
          <cell r="M626">
            <v>1</v>
          </cell>
          <cell r="N626">
            <v>0</v>
          </cell>
          <cell r="O626">
            <v>0</v>
          </cell>
          <cell r="P626">
            <v>4</v>
          </cell>
          <cell r="Q626">
            <v>2</v>
          </cell>
          <cell r="R626">
            <v>1</v>
          </cell>
          <cell r="S626">
            <v>0</v>
          </cell>
          <cell r="T626">
            <v>1</v>
          </cell>
        </row>
        <row r="627">
          <cell r="A627" t="str">
            <v>WJATSM22060</v>
          </cell>
          <cell r="B627" t="str">
            <v>WJATSM220</v>
          </cell>
          <cell r="C627" t="str">
            <v>60</v>
          </cell>
          <cell r="D627">
            <v>0</v>
          </cell>
          <cell r="E627">
            <v>1</v>
          </cell>
          <cell r="F627">
            <v>0</v>
          </cell>
          <cell r="G627">
            <v>0</v>
          </cell>
          <cell r="H627">
            <v>1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1</v>
          </cell>
          <cell r="N627">
            <v>1</v>
          </cell>
          <cell r="O627">
            <v>1</v>
          </cell>
          <cell r="P627">
            <v>1</v>
          </cell>
          <cell r="Q627">
            <v>3</v>
          </cell>
          <cell r="R627">
            <v>6</v>
          </cell>
          <cell r="S627">
            <v>0</v>
          </cell>
          <cell r="T627">
            <v>3</v>
          </cell>
        </row>
        <row r="628">
          <cell r="A628" t="str">
            <v>WJATSM23008</v>
          </cell>
          <cell r="B628" t="str">
            <v>WJATSM230</v>
          </cell>
          <cell r="C628" t="str">
            <v>08</v>
          </cell>
          <cell r="D628">
            <v>1</v>
          </cell>
          <cell r="E628">
            <v>0</v>
          </cell>
          <cell r="F628">
            <v>2</v>
          </cell>
          <cell r="G628">
            <v>1</v>
          </cell>
          <cell r="H628">
            <v>1</v>
          </cell>
          <cell r="I628">
            <v>0</v>
          </cell>
          <cell r="J628">
            <v>1</v>
          </cell>
          <cell r="K628">
            <v>1</v>
          </cell>
          <cell r="L628">
            <v>1</v>
          </cell>
          <cell r="M628">
            <v>1</v>
          </cell>
          <cell r="N628">
            <v>0</v>
          </cell>
          <cell r="O628">
            <v>0</v>
          </cell>
          <cell r="P628">
            <v>2</v>
          </cell>
          <cell r="Q628">
            <v>1</v>
          </cell>
          <cell r="R628">
            <v>2</v>
          </cell>
          <cell r="S628">
            <v>1</v>
          </cell>
          <cell r="T628">
            <v>0</v>
          </cell>
        </row>
        <row r="629">
          <cell r="A629" t="str">
            <v>WJATSM23016</v>
          </cell>
          <cell r="B629" t="str">
            <v>WJATSM230</v>
          </cell>
          <cell r="C629" t="str">
            <v>16</v>
          </cell>
          <cell r="D629">
            <v>0</v>
          </cell>
          <cell r="E629">
            <v>2</v>
          </cell>
          <cell r="F629">
            <v>0</v>
          </cell>
          <cell r="G629">
            <v>3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1</v>
          </cell>
          <cell r="N629">
            <v>0</v>
          </cell>
          <cell r="O629">
            <v>1</v>
          </cell>
          <cell r="P629">
            <v>2</v>
          </cell>
          <cell r="Q629">
            <v>0</v>
          </cell>
          <cell r="R629">
            <v>1</v>
          </cell>
          <cell r="S629">
            <v>0</v>
          </cell>
          <cell r="T629">
            <v>1</v>
          </cell>
        </row>
        <row r="630">
          <cell r="A630" t="str">
            <v>WJATSM24016</v>
          </cell>
          <cell r="B630" t="str">
            <v>WJATSM240</v>
          </cell>
          <cell r="C630" t="str">
            <v>16</v>
          </cell>
          <cell r="D630">
            <v>1</v>
          </cell>
          <cell r="E630">
            <v>0</v>
          </cell>
          <cell r="F630">
            <v>1</v>
          </cell>
          <cell r="G630">
            <v>2</v>
          </cell>
          <cell r="H630">
            <v>3</v>
          </cell>
          <cell r="I630">
            <v>1</v>
          </cell>
          <cell r="J630">
            <v>0</v>
          </cell>
          <cell r="K630">
            <v>0</v>
          </cell>
          <cell r="L630">
            <v>3</v>
          </cell>
          <cell r="M630">
            <v>4</v>
          </cell>
          <cell r="N630">
            <v>0</v>
          </cell>
          <cell r="O630">
            <v>1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</row>
        <row r="631">
          <cell r="A631" t="str">
            <v>WJATSM24074</v>
          </cell>
          <cell r="B631" t="str">
            <v>WJATSM240</v>
          </cell>
          <cell r="C631" t="str">
            <v>74</v>
          </cell>
          <cell r="D631">
            <v>0</v>
          </cell>
          <cell r="E631">
            <v>0</v>
          </cell>
          <cell r="F631">
            <v>3</v>
          </cell>
          <cell r="G631">
            <v>1</v>
          </cell>
          <cell r="H631">
            <v>0</v>
          </cell>
          <cell r="I631">
            <v>1</v>
          </cell>
          <cell r="J631">
            <v>-1</v>
          </cell>
          <cell r="K631">
            <v>3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</row>
        <row r="632">
          <cell r="A632" t="str">
            <v>WJATSM25007</v>
          </cell>
          <cell r="B632" t="str">
            <v>WJATSM250</v>
          </cell>
          <cell r="C632" t="str">
            <v>07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2</v>
          </cell>
          <cell r="K632">
            <v>0</v>
          </cell>
          <cell r="L632">
            <v>1</v>
          </cell>
          <cell r="M632">
            <v>0</v>
          </cell>
          <cell r="N632">
            <v>0</v>
          </cell>
          <cell r="O632">
            <v>0</v>
          </cell>
          <cell r="P632">
            <v>4</v>
          </cell>
          <cell r="Q632">
            <v>3</v>
          </cell>
          <cell r="R632">
            <v>1</v>
          </cell>
          <cell r="S632">
            <v>0</v>
          </cell>
          <cell r="T632">
            <v>0</v>
          </cell>
        </row>
        <row r="633">
          <cell r="A633" t="str">
            <v>WJATSM25008</v>
          </cell>
          <cell r="B633" t="str">
            <v>WJATSM250</v>
          </cell>
          <cell r="C633" t="str">
            <v>08</v>
          </cell>
          <cell r="D633">
            <v>1</v>
          </cell>
          <cell r="E633">
            <v>0</v>
          </cell>
          <cell r="F633">
            <v>4</v>
          </cell>
          <cell r="G633">
            <v>3</v>
          </cell>
          <cell r="H633">
            <v>1</v>
          </cell>
          <cell r="I633">
            <v>0</v>
          </cell>
          <cell r="J633">
            <v>2</v>
          </cell>
          <cell r="K633">
            <v>1</v>
          </cell>
          <cell r="L633">
            <v>0</v>
          </cell>
          <cell r="M633">
            <v>2</v>
          </cell>
          <cell r="N633">
            <v>-2</v>
          </cell>
          <cell r="O633">
            <v>3</v>
          </cell>
          <cell r="P633">
            <v>4</v>
          </cell>
          <cell r="Q633">
            <v>12</v>
          </cell>
          <cell r="R633">
            <v>2</v>
          </cell>
          <cell r="S633">
            <v>1</v>
          </cell>
          <cell r="T633">
            <v>2</v>
          </cell>
        </row>
        <row r="634">
          <cell r="A634" t="str">
            <v>WJATSM25035</v>
          </cell>
          <cell r="B634" t="str">
            <v>WJATSM250</v>
          </cell>
          <cell r="C634" t="str">
            <v>35</v>
          </cell>
          <cell r="D634">
            <v>1</v>
          </cell>
          <cell r="E634">
            <v>1</v>
          </cell>
          <cell r="F634">
            <v>2</v>
          </cell>
          <cell r="G634">
            <v>0</v>
          </cell>
          <cell r="H634">
            <v>0</v>
          </cell>
          <cell r="I634">
            <v>1</v>
          </cell>
          <cell r="J634">
            <v>1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1</v>
          </cell>
          <cell r="P634">
            <v>4</v>
          </cell>
          <cell r="Q634">
            <v>12</v>
          </cell>
          <cell r="R634">
            <v>2</v>
          </cell>
          <cell r="S634">
            <v>1</v>
          </cell>
          <cell r="T634">
            <v>2</v>
          </cell>
        </row>
        <row r="635">
          <cell r="A635" t="str">
            <v>WJATSM26060</v>
          </cell>
          <cell r="B635" t="str">
            <v>WJATSM260</v>
          </cell>
          <cell r="C635" t="str">
            <v>60</v>
          </cell>
          <cell r="D635">
            <v>4</v>
          </cell>
          <cell r="E635">
            <v>2</v>
          </cell>
          <cell r="F635">
            <v>1</v>
          </cell>
          <cell r="G635">
            <v>1</v>
          </cell>
          <cell r="H635">
            <v>3</v>
          </cell>
          <cell r="I635">
            <v>2</v>
          </cell>
          <cell r="J635">
            <v>4</v>
          </cell>
          <cell r="K635">
            <v>1</v>
          </cell>
          <cell r="L635">
            <v>1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</row>
        <row r="636">
          <cell r="A636" t="str">
            <v>WJATSM26073</v>
          </cell>
          <cell r="B636" t="str">
            <v>WJATSM260</v>
          </cell>
          <cell r="C636" t="str">
            <v>73</v>
          </cell>
          <cell r="D636">
            <v>0</v>
          </cell>
          <cell r="E636">
            <v>1</v>
          </cell>
          <cell r="F636">
            <v>1</v>
          </cell>
          <cell r="G636">
            <v>3</v>
          </cell>
          <cell r="H636">
            <v>2</v>
          </cell>
          <cell r="I636">
            <v>1</v>
          </cell>
          <cell r="J636">
            <v>1</v>
          </cell>
          <cell r="K636">
            <v>3</v>
          </cell>
          <cell r="L636">
            <v>1</v>
          </cell>
          <cell r="M636">
            <v>2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</row>
        <row r="637">
          <cell r="A637" t="str">
            <v>WJATSP71007</v>
          </cell>
          <cell r="B637" t="str">
            <v>WJATSP710</v>
          </cell>
          <cell r="C637" t="str">
            <v>07</v>
          </cell>
          <cell r="D637">
            <v>8</v>
          </cell>
          <cell r="E637">
            <v>4</v>
          </cell>
          <cell r="F637">
            <v>4</v>
          </cell>
          <cell r="G637">
            <v>4</v>
          </cell>
          <cell r="H637">
            <v>3</v>
          </cell>
          <cell r="I637">
            <v>6</v>
          </cell>
          <cell r="J637">
            <v>6</v>
          </cell>
          <cell r="K637">
            <v>6</v>
          </cell>
          <cell r="L637">
            <v>5</v>
          </cell>
          <cell r="M637">
            <v>6</v>
          </cell>
          <cell r="N637">
            <v>4</v>
          </cell>
          <cell r="O637">
            <v>5</v>
          </cell>
          <cell r="P637">
            <v>3</v>
          </cell>
          <cell r="Q637">
            <v>7</v>
          </cell>
          <cell r="R637">
            <v>5</v>
          </cell>
          <cell r="S637">
            <v>0</v>
          </cell>
          <cell r="T637">
            <v>8</v>
          </cell>
        </row>
        <row r="638">
          <cell r="A638" t="str">
            <v>WJATSP71024</v>
          </cell>
          <cell r="B638" t="str">
            <v>WJATSP710</v>
          </cell>
          <cell r="C638" t="str">
            <v>24</v>
          </cell>
          <cell r="D638">
            <v>5</v>
          </cell>
          <cell r="E638">
            <v>8</v>
          </cell>
          <cell r="F638">
            <v>8</v>
          </cell>
          <cell r="G638">
            <v>2</v>
          </cell>
          <cell r="H638">
            <v>4</v>
          </cell>
          <cell r="I638">
            <v>5</v>
          </cell>
          <cell r="J638">
            <v>17</v>
          </cell>
          <cell r="K638">
            <v>12</v>
          </cell>
          <cell r="L638">
            <v>7</v>
          </cell>
          <cell r="M638">
            <v>14</v>
          </cell>
          <cell r="N638">
            <v>17</v>
          </cell>
          <cell r="O638">
            <v>13</v>
          </cell>
          <cell r="P638">
            <v>12</v>
          </cell>
          <cell r="Q638">
            <v>3</v>
          </cell>
          <cell r="R638">
            <v>9</v>
          </cell>
          <cell r="S638">
            <v>1</v>
          </cell>
          <cell r="T638">
            <v>4</v>
          </cell>
        </row>
        <row r="639">
          <cell r="A639" t="str">
            <v>WJATSP71073</v>
          </cell>
          <cell r="B639" t="str">
            <v>WJATSP710</v>
          </cell>
          <cell r="C639" t="str">
            <v>73</v>
          </cell>
          <cell r="D639">
            <v>2</v>
          </cell>
          <cell r="E639">
            <v>3</v>
          </cell>
          <cell r="F639">
            <v>1</v>
          </cell>
          <cell r="G639">
            <v>1</v>
          </cell>
          <cell r="H639">
            <v>-1</v>
          </cell>
          <cell r="I639">
            <v>7</v>
          </cell>
          <cell r="J639">
            <v>7</v>
          </cell>
          <cell r="K639">
            <v>0</v>
          </cell>
          <cell r="L639">
            <v>4</v>
          </cell>
          <cell r="M639">
            <v>5</v>
          </cell>
          <cell r="N639">
            <v>4</v>
          </cell>
          <cell r="O639">
            <v>3</v>
          </cell>
          <cell r="P639">
            <v>4</v>
          </cell>
          <cell r="Q639">
            <v>12</v>
          </cell>
          <cell r="R639">
            <v>0</v>
          </cell>
          <cell r="S639">
            <v>1</v>
          </cell>
          <cell r="T639">
            <v>0</v>
          </cell>
        </row>
        <row r="640">
          <cell r="A640" t="str">
            <v>WJATTI01007</v>
          </cell>
          <cell r="B640" t="str">
            <v>WJATTI010</v>
          </cell>
          <cell r="C640" t="str">
            <v>07</v>
          </cell>
          <cell r="D640">
            <v>1</v>
          </cell>
          <cell r="E640">
            <v>1</v>
          </cell>
          <cell r="F640">
            <v>1</v>
          </cell>
          <cell r="G640">
            <v>0</v>
          </cell>
          <cell r="H640">
            <v>1</v>
          </cell>
          <cell r="I640">
            <v>0</v>
          </cell>
          <cell r="J640">
            <v>1</v>
          </cell>
          <cell r="K640">
            <v>1</v>
          </cell>
          <cell r="L640">
            <v>0</v>
          </cell>
          <cell r="M640">
            <v>0</v>
          </cell>
          <cell r="N640">
            <v>0</v>
          </cell>
          <cell r="O640">
            <v>1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0</v>
          </cell>
        </row>
        <row r="641">
          <cell r="A641" t="str">
            <v>WJATTI01026</v>
          </cell>
          <cell r="B641" t="str">
            <v>WJATTI010</v>
          </cell>
          <cell r="C641" t="str">
            <v>26</v>
          </cell>
          <cell r="D641">
            <v>0</v>
          </cell>
          <cell r="E641">
            <v>1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1</v>
          </cell>
          <cell r="K641">
            <v>0</v>
          </cell>
          <cell r="L641">
            <v>1</v>
          </cell>
          <cell r="M641">
            <v>0</v>
          </cell>
          <cell r="N641">
            <v>0</v>
          </cell>
          <cell r="O641">
            <v>1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</row>
        <row r="642">
          <cell r="A642" t="str">
            <v>WJATTI01073</v>
          </cell>
          <cell r="B642" t="str">
            <v>WJATTI010</v>
          </cell>
          <cell r="C642" t="str">
            <v>73</v>
          </cell>
          <cell r="D642">
            <v>0</v>
          </cell>
          <cell r="E642">
            <v>0</v>
          </cell>
          <cell r="F642">
            <v>1</v>
          </cell>
          <cell r="G642">
            <v>0</v>
          </cell>
          <cell r="H642">
            <v>0</v>
          </cell>
          <cell r="I642">
            <v>1</v>
          </cell>
          <cell r="J642">
            <v>1</v>
          </cell>
          <cell r="K642">
            <v>1</v>
          </cell>
          <cell r="L642">
            <v>1</v>
          </cell>
          <cell r="M642">
            <v>1</v>
          </cell>
          <cell r="N642">
            <v>1</v>
          </cell>
          <cell r="O642">
            <v>1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</row>
        <row r="643">
          <cell r="A643" t="str">
            <v>WJATTI10026</v>
          </cell>
          <cell r="B643" t="str">
            <v>WJATTI100</v>
          </cell>
          <cell r="C643" t="str">
            <v>26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</row>
        <row r="644">
          <cell r="A644" t="str">
            <v>WJATTI10073</v>
          </cell>
          <cell r="B644" t="str">
            <v>WJATTI100</v>
          </cell>
          <cell r="C644" t="str">
            <v>73</v>
          </cell>
          <cell r="D644">
            <v>0</v>
          </cell>
          <cell r="E644">
            <v>0</v>
          </cell>
          <cell r="F644">
            <v>1</v>
          </cell>
          <cell r="G644">
            <v>1</v>
          </cell>
          <cell r="H644">
            <v>1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</row>
        <row r="645">
          <cell r="A645" t="str">
            <v>WJATTM41015</v>
          </cell>
          <cell r="B645" t="str">
            <v>WJATTM410</v>
          </cell>
          <cell r="C645" t="str">
            <v>15</v>
          </cell>
          <cell r="D645">
            <v>1</v>
          </cell>
          <cell r="E645">
            <v>1</v>
          </cell>
          <cell r="F645">
            <v>1</v>
          </cell>
          <cell r="G645">
            <v>0</v>
          </cell>
          <cell r="H645">
            <v>0</v>
          </cell>
          <cell r="I645">
            <v>0</v>
          </cell>
          <cell r="J645">
            <v>1</v>
          </cell>
          <cell r="K645">
            <v>2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</row>
        <row r="646">
          <cell r="A646" t="str">
            <v>WJATTM41025</v>
          </cell>
          <cell r="B646" t="str">
            <v>WJATTM410</v>
          </cell>
          <cell r="C646" t="str">
            <v>25</v>
          </cell>
          <cell r="D646">
            <v>0</v>
          </cell>
          <cell r="E646">
            <v>1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</row>
        <row r="647">
          <cell r="A647" t="str">
            <v>WJATTM42001</v>
          </cell>
          <cell r="B647" t="str">
            <v>WJATTM420</v>
          </cell>
          <cell r="C647" t="str">
            <v>01</v>
          </cell>
          <cell r="D647">
            <v>0</v>
          </cell>
          <cell r="E647">
            <v>0</v>
          </cell>
          <cell r="F647">
            <v>0</v>
          </cell>
          <cell r="G647">
            <v>1</v>
          </cell>
          <cell r="H647">
            <v>0</v>
          </cell>
          <cell r="I647">
            <v>1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</row>
        <row r="648">
          <cell r="A648" t="str">
            <v>WJATTM42007</v>
          </cell>
          <cell r="B648" t="str">
            <v>WJATTM420</v>
          </cell>
          <cell r="C648" t="str">
            <v>07</v>
          </cell>
          <cell r="D648">
            <v>0</v>
          </cell>
          <cell r="E648">
            <v>1</v>
          </cell>
          <cell r="F648">
            <v>2</v>
          </cell>
          <cell r="G648">
            <v>1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</row>
        <row r="649">
          <cell r="A649" t="str">
            <v>WJATTM43008</v>
          </cell>
          <cell r="B649" t="str">
            <v>WJATTM430</v>
          </cell>
          <cell r="C649" t="str">
            <v>08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</row>
        <row r="650">
          <cell r="A650" t="str">
            <v>WJATTM43015</v>
          </cell>
          <cell r="B650" t="str">
            <v>WJATTM430</v>
          </cell>
          <cell r="C650" t="str">
            <v>15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</row>
        <row r="651">
          <cell r="A651" t="str">
            <v>WJATTM51076</v>
          </cell>
          <cell r="B651" t="str">
            <v>WJATTM510</v>
          </cell>
          <cell r="C651" t="str">
            <v>76</v>
          </cell>
          <cell r="D651">
            <v>0</v>
          </cell>
          <cell r="E651">
            <v>0</v>
          </cell>
          <cell r="F651">
            <v>0</v>
          </cell>
          <cell r="G651">
            <v>1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1</v>
          </cell>
          <cell r="T651">
            <v>1</v>
          </cell>
        </row>
        <row r="652">
          <cell r="A652" t="str">
            <v>WJATTM51077</v>
          </cell>
          <cell r="B652" t="str">
            <v>WJATTM510</v>
          </cell>
          <cell r="C652" t="str">
            <v>77</v>
          </cell>
          <cell r="D652">
            <v>1</v>
          </cell>
          <cell r="E652">
            <v>0</v>
          </cell>
          <cell r="F652">
            <v>2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3</v>
          </cell>
          <cell r="N652">
            <v>0</v>
          </cell>
          <cell r="O652">
            <v>0</v>
          </cell>
          <cell r="P652">
            <v>0</v>
          </cell>
          <cell r="Q652">
            <v>1</v>
          </cell>
          <cell r="R652">
            <v>0</v>
          </cell>
          <cell r="S652">
            <v>0</v>
          </cell>
          <cell r="T652">
            <v>1</v>
          </cell>
        </row>
        <row r="653">
          <cell r="A653" t="str">
            <v>WJATTM52074</v>
          </cell>
          <cell r="B653" t="str">
            <v>WJATTM520</v>
          </cell>
          <cell r="C653" t="str">
            <v>74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1</v>
          </cell>
          <cell r="M653">
            <v>0</v>
          </cell>
          <cell r="N653">
            <v>1</v>
          </cell>
          <cell r="O653">
            <v>1</v>
          </cell>
          <cell r="P653">
            <v>1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</row>
        <row r="654">
          <cell r="A654" t="str">
            <v>WJATTM52077</v>
          </cell>
          <cell r="B654" t="str">
            <v>WJATTM520</v>
          </cell>
          <cell r="C654" t="str">
            <v>77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2</v>
          </cell>
          <cell r="N654">
            <v>0</v>
          </cell>
          <cell r="O654">
            <v>1</v>
          </cell>
          <cell r="P654">
            <v>1</v>
          </cell>
          <cell r="Q654">
            <v>0</v>
          </cell>
          <cell r="R654">
            <v>2</v>
          </cell>
          <cell r="S654">
            <v>0</v>
          </cell>
          <cell r="T654">
            <v>0</v>
          </cell>
        </row>
        <row r="655">
          <cell r="A655" t="str">
            <v>WJAXXM01025</v>
          </cell>
          <cell r="B655" t="str">
            <v>WJAXXM010</v>
          </cell>
          <cell r="C655" t="str">
            <v>25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3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</row>
        <row r="656">
          <cell r="A656" t="str">
            <v>WJAXXM01026</v>
          </cell>
          <cell r="B656" t="str">
            <v>WJAXXM010</v>
          </cell>
          <cell r="C656" t="str">
            <v>26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3</v>
          </cell>
          <cell r="S656">
            <v>0</v>
          </cell>
          <cell r="T656">
            <v>1</v>
          </cell>
        </row>
        <row r="657">
          <cell r="A657" t="str">
            <v>WJAXXM01034</v>
          </cell>
          <cell r="B657" t="str">
            <v>WJAXXM010</v>
          </cell>
          <cell r="C657" t="str">
            <v>34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1</v>
          </cell>
          <cell r="N657">
            <v>0</v>
          </cell>
          <cell r="O657">
            <v>0</v>
          </cell>
          <cell r="P657">
            <v>3</v>
          </cell>
          <cell r="Q657">
            <v>0</v>
          </cell>
          <cell r="R657">
            <v>0</v>
          </cell>
          <cell r="S657">
            <v>0</v>
          </cell>
          <cell r="T657">
            <v>1</v>
          </cell>
        </row>
        <row r="658">
          <cell r="A658" t="str">
            <v>WJAXXM01043</v>
          </cell>
          <cell r="B658" t="str">
            <v>WJAXXM010</v>
          </cell>
          <cell r="C658" t="str">
            <v>43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3</v>
          </cell>
          <cell r="S658">
            <v>0</v>
          </cell>
          <cell r="T658">
            <v>0</v>
          </cell>
        </row>
        <row r="659">
          <cell r="A659" t="str">
            <v>WJAXXM02005</v>
          </cell>
          <cell r="B659" t="str">
            <v>WJAXXM020</v>
          </cell>
          <cell r="C659" t="str">
            <v>05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1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3</v>
          </cell>
          <cell r="S659">
            <v>0</v>
          </cell>
          <cell r="T659">
            <v>0</v>
          </cell>
        </row>
        <row r="660">
          <cell r="A660" t="str">
            <v>WJAXXM02041</v>
          </cell>
          <cell r="B660" t="str">
            <v>WJAXXM020</v>
          </cell>
          <cell r="C660" t="str">
            <v>41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3</v>
          </cell>
          <cell r="S660">
            <v>0</v>
          </cell>
          <cell r="T660">
            <v>0</v>
          </cell>
        </row>
        <row r="661">
          <cell r="A661" t="str">
            <v>WJAXXM03005</v>
          </cell>
          <cell r="B661" t="str">
            <v>WJAXXM030</v>
          </cell>
          <cell r="C661" t="str">
            <v>05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</row>
        <row r="662">
          <cell r="A662" t="str">
            <v>WJAXXM03043</v>
          </cell>
          <cell r="B662" t="str">
            <v>WJAXXM030</v>
          </cell>
          <cell r="C662" t="str">
            <v>43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</row>
        <row r="663">
          <cell r="A663" t="str">
            <v>WJAXXM04005</v>
          </cell>
          <cell r="B663" t="str">
            <v>WJAXXM040</v>
          </cell>
          <cell r="C663" t="str">
            <v>05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</row>
        <row r="664">
          <cell r="A664" t="str">
            <v>WJAXXM04034</v>
          </cell>
          <cell r="B664" t="str">
            <v>WJAXXM040</v>
          </cell>
          <cell r="C664" t="str">
            <v>34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</row>
        <row r="665">
          <cell r="A665" t="str">
            <v>WJAXXM05005</v>
          </cell>
          <cell r="B665" t="str">
            <v>WJAXXM050</v>
          </cell>
          <cell r="C665" t="str">
            <v>05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</row>
        <row r="666">
          <cell r="A666" t="str">
            <v>WJAXXM05034</v>
          </cell>
          <cell r="B666" t="str">
            <v>WJAXXM050</v>
          </cell>
          <cell r="C666" t="str">
            <v>34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</row>
        <row r="667">
          <cell r="A667" t="str">
            <v>WJAXXM06006</v>
          </cell>
          <cell r="B667" t="str">
            <v>WJAXXM060</v>
          </cell>
          <cell r="C667" t="str">
            <v>06</v>
          </cell>
          <cell r="D667">
            <v>0</v>
          </cell>
          <cell r="E667">
            <v>1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</row>
        <row r="668">
          <cell r="A668" t="str">
            <v>WJAXXM06054</v>
          </cell>
          <cell r="B668" t="str">
            <v>WJAXXM060</v>
          </cell>
          <cell r="C668" t="str">
            <v>54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</row>
        <row r="669">
          <cell r="A669" t="str">
            <v>WJAXXM07072</v>
          </cell>
          <cell r="B669" t="str">
            <v>WJAXXM070</v>
          </cell>
          <cell r="C669" t="str">
            <v>72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</row>
        <row r="670">
          <cell r="A670" t="str">
            <v>WJAXXM08072</v>
          </cell>
          <cell r="B670" t="str">
            <v>WJAXXM080</v>
          </cell>
          <cell r="C670" t="str">
            <v>72</v>
          </cell>
          <cell r="D670">
            <v>0</v>
          </cell>
          <cell r="E670">
            <v>1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3</v>
          </cell>
          <cell r="S670">
            <v>0</v>
          </cell>
          <cell r="T670">
            <v>0</v>
          </cell>
        </row>
        <row r="671">
          <cell r="A671" t="str">
            <v>WJAXXM11005</v>
          </cell>
          <cell r="B671" t="str">
            <v>WJAXXM110</v>
          </cell>
          <cell r="C671" t="str">
            <v>05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6</v>
          </cell>
          <cell r="J671">
            <v>0</v>
          </cell>
          <cell r="K671">
            <v>0</v>
          </cell>
          <cell r="L671">
            <v>0</v>
          </cell>
          <cell r="M671">
            <v>1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</row>
        <row r="672">
          <cell r="A672" t="str">
            <v>WJAXXM11034</v>
          </cell>
          <cell r="B672" t="str">
            <v>WJAXXM110</v>
          </cell>
          <cell r="C672" t="str">
            <v>34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6</v>
          </cell>
          <cell r="J672">
            <v>0</v>
          </cell>
          <cell r="K672">
            <v>1</v>
          </cell>
          <cell r="L672">
            <v>0</v>
          </cell>
          <cell r="M672">
            <v>1</v>
          </cell>
          <cell r="N672">
            <v>0</v>
          </cell>
          <cell r="O672">
            <v>0</v>
          </cell>
          <cell r="P672">
            <v>6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</row>
        <row r="673">
          <cell r="A673" t="str">
            <v>WJAXXM11043</v>
          </cell>
          <cell r="B673" t="str">
            <v>WJAXXM110</v>
          </cell>
          <cell r="C673" t="str">
            <v>43</v>
          </cell>
          <cell r="D673">
            <v>0</v>
          </cell>
          <cell r="E673">
            <v>0</v>
          </cell>
          <cell r="F673">
            <v>1</v>
          </cell>
          <cell r="G673">
            <v>0</v>
          </cell>
          <cell r="H673">
            <v>0</v>
          </cell>
          <cell r="I673">
            <v>6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1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</row>
        <row r="674">
          <cell r="A674" t="str">
            <v>WJAXXM12005</v>
          </cell>
          <cell r="B674" t="str">
            <v>WJAXXM120</v>
          </cell>
          <cell r="C674" t="str">
            <v>05</v>
          </cell>
          <cell r="D674">
            <v>1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5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1</v>
          </cell>
          <cell r="O674">
            <v>0</v>
          </cell>
          <cell r="P674">
            <v>6</v>
          </cell>
          <cell r="Q674">
            <v>0</v>
          </cell>
          <cell r="R674">
            <v>6</v>
          </cell>
          <cell r="S674">
            <v>0</v>
          </cell>
          <cell r="T674">
            <v>1</v>
          </cell>
        </row>
        <row r="675">
          <cell r="A675" t="str">
            <v>WJAXXM12034</v>
          </cell>
          <cell r="B675" t="str">
            <v>WJAXXM120</v>
          </cell>
          <cell r="C675" t="str">
            <v>34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12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7</v>
          </cell>
          <cell r="S675">
            <v>0</v>
          </cell>
          <cell r="T675">
            <v>0</v>
          </cell>
        </row>
        <row r="676">
          <cell r="A676" t="str">
            <v>WJAXXM12043</v>
          </cell>
          <cell r="B676" t="str">
            <v>WJAXXM120</v>
          </cell>
          <cell r="C676" t="str">
            <v>43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6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6</v>
          </cell>
          <cell r="Q676">
            <v>0</v>
          </cell>
          <cell r="R676">
            <v>7</v>
          </cell>
          <cell r="S676">
            <v>0</v>
          </cell>
          <cell r="T676">
            <v>1</v>
          </cell>
        </row>
        <row r="677">
          <cell r="A677" t="str">
            <v>WJAXXM13024</v>
          </cell>
          <cell r="B677" t="str">
            <v>WJAXXM130</v>
          </cell>
          <cell r="C677" t="str">
            <v>24</v>
          </cell>
          <cell r="D677">
            <v>1</v>
          </cell>
          <cell r="E677">
            <v>1</v>
          </cell>
          <cell r="F677">
            <v>0</v>
          </cell>
          <cell r="G677">
            <v>0</v>
          </cell>
          <cell r="H677">
            <v>0</v>
          </cell>
          <cell r="I677">
            <v>6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6</v>
          </cell>
          <cell r="S677">
            <v>1</v>
          </cell>
          <cell r="T677">
            <v>1</v>
          </cell>
        </row>
        <row r="678">
          <cell r="A678" t="str">
            <v>WJAXXM13043</v>
          </cell>
          <cell r="B678" t="str">
            <v>WJAXXM130</v>
          </cell>
          <cell r="C678" t="str">
            <v>43</v>
          </cell>
          <cell r="D678">
            <v>2</v>
          </cell>
          <cell r="E678">
            <v>1</v>
          </cell>
          <cell r="F678">
            <v>0</v>
          </cell>
          <cell r="G678">
            <v>1</v>
          </cell>
          <cell r="H678">
            <v>0</v>
          </cell>
          <cell r="I678">
            <v>6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6</v>
          </cell>
          <cell r="S678">
            <v>1</v>
          </cell>
          <cell r="T678">
            <v>2</v>
          </cell>
        </row>
        <row r="679">
          <cell r="A679" t="str">
            <v>WJAXXM13053</v>
          </cell>
          <cell r="B679" t="str">
            <v>WJAXXM130</v>
          </cell>
          <cell r="C679" t="str">
            <v>53</v>
          </cell>
          <cell r="D679">
            <v>1</v>
          </cell>
          <cell r="E679">
            <v>1</v>
          </cell>
          <cell r="F679">
            <v>0</v>
          </cell>
          <cell r="G679">
            <v>0</v>
          </cell>
          <cell r="H679">
            <v>0</v>
          </cell>
          <cell r="I679">
            <v>6</v>
          </cell>
          <cell r="J679">
            <v>0</v>
          </cell>
          <cell r="K679">
            <v>0</v>
          </cell>
          <cell r="L679">
            <v>0</v>
          </cell>
          <cell r="M679">
            <v>1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6</v>
          </cell>
          <cell r="S679">
            <v>0</v>
          </cell>
          <cell r="T679">
            <v>5</v>
          </cell>
        </row>
        <row r="680">
          <cell r="A680" t="str">
            <v>WJAXXM14024</v>
          </cell>
          <cell r="B680" t="str">
            <v>WJAXXM140</v>
          </cell>
          <cell r="C680" t="str">
            <v>24</v>
          </cell>
          <cell r="D680">
            <v>7</v>
          </cell>
          <cell r="E680">
            <v>0</v>
          </cell>
          <cell r="F680">
            <v>2</v>
          </cell>
          <cell r="G680">
            <v>0</v>
          </cell>
          <cell r="H680">
            <v>1</v>
          </cell>
          <cell r="I680">
            <v>6</v>
          </cell>
          <cell r="J680">
            <v>0</v>
          </cell>
          <cell r="K680">
            <v>0</v>
          </cell>
          <cell r="L680">
            <v>1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1</v>
          </cell>
        </row>
        <row r="681">
          <cell r="A681" t="str">
            <v>WJAXXM14027</v>
          </cell>
          <cell r="B681" t="str">
            <v>WJAXXM140</v>
          </cell>
          <cell r="C681" t="str">
            <v>27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1</v>
          </cell>
        </row>
        <row r="682">
          <cell r="A682" t="str">
            <v>WJAXXM14034</v>
          </cell>
          <cell r="B682" t="str">
            <v>WJAXXM140</v>
          </cell>
          <cell r="C682" t="str">
            <v>34</v>
          </cell>
          <cell r="D682">
            <v>6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7</v>
          </cell>
          <cell r="J682">
            <v>0</v>
          </cell>
          <cell r="K682">
            <v>0</v>
          </cell>
          <cell r="L682">
            <v>1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1</v>
          </cell>
          <cell r="T682">
            <v>3</v>
          </cell>
        </row>
        <row r="683">
          <cell r="A683" t="str">
            <v>WJAXXM14043</v>
          </cell>
          <cell r="B683" t="str">
            <v>WJAXXM140</v>
          </cell>
          <cell r="C683" t="str">
            <v>43</v>
          </cell>
          <cell r="D683">
            <v>7</v>
          </cell>
          <cell r="E683">
            <v>0</v>
          </cell>
          <cell r="F683">
            <v>0</v>
          </cell>
          <cell r="G683">
            <v>1</v>
          </cell>
          <cell r="H683">
            <v>0</v>
          </cell>
          <cell r="I683">
            <v>6</v>
          </cell>
          <cell r="J683">
            <v>0</v>
          </cell>
          <cell r="K683">
            <v>1</v>
          </cell>
          <cell r="L683">
            <v>0</v>
          </cell>
          <cell r="M683">
            <v>1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</row>
        <row r="684">
          <cell r="A684" t="str">
            <v>WJAXXM15007</v>
          </cell>
          <cell r="B684" t="str">
            <v>WJAXXM150</v>
          </cell>
          <cell r="C684" t="str">
            <v>07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6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6</v>
          </cell>
          <cell r="S684">
            <v>0</v>
          </cell>
          <cell r="T684">
            <v>0</v>
          </cell>
        </row>
        <row r="685">
          <cell r="A685" t="str">
            <v>WJAXXM15034</v>
          </cell>
          <cell r="B685" t="str">
            <v>WJAXXM150</v>
          </cell>
          <cell r="C685" t="str">
            <v>34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1</v>
          </cell>
          <cell r="I685">
            <v>6</v>
          </cell>
          <cell r="J685">
            <v>0</v>
          </cell>
          <cell r="K685">
            <v>0</v>
          </cell>
          <cell r="L685">
            <v>2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6</v>
          </cell>
          <cell r="S685">
            <v>0</v>
          </cell>
          <cell r="T685">
            <v>0</v>
          </cell>
        </row>
        <row r="686">
          <cell r="A686" t="str">
            <v>WJAXXM15043</v>
          </cell>
          <cell r="B686" t="str">
            <v>WJAXXM150</v>
          </cell>
          <cell r="C686" t="str">
            <v>43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6</v>
          </cell>
          <cell r="J686">
            <v>0</v>
          </cell>
          <cell r="K686">
            <v>0</v>
          </cell>
          <cell r="L686">
            <v>2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6</v>
          </cell>
          <cell r="S686">
            <v>0</v>
          </cell>
          <cell r="T686">
            <v>0</v>
          </cell>
        </row>
        <row r="687">
          <cell r="A687" t="str">
            <v>WJAXXM16014</v>
          </cell>
          <cell r="B687" t="str">
            <v>WJAXXM160</v>
          </cell>
          <cell r="C687" t="str">
            <v>14</v>
          </cell>
          <cell r="D687">
            <v>1</v>
          </cell>
          <cell r="E687">
            <v>0</v>
          </cell>
          <cell r="F687">
            <v>0</v>
          </cell>
          <cell r="G687">
            <v>2</v>
          </cell>
          <cell r="H687">
            <v>0</v>
          </cell>
          <cell r="I687">
            <v>6</v>
          </cell>
          <cell r="J687">
            <v>0</v>
          </cell>
          <cell r="K687">
            <v>0</v>
          </cell>
          <cell r="L687">
            <v>1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</row>
        <row r="688">
          <cell r="A688" t="str">
            <v>WJAXXM16043</v>
          </cell>
          <cell r="B688" t="str">
            <v>WJAXXM160</v>
          </cell>
          <cell r="C688" t="str">
            <v>43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</row>
        <row r="689">
          <cell r="A689" t="str">
            <v>WJAXXM17072</v>
          </cell>
          <cell r="B689" t="str">
            <v>WJAXXM170</v>
          </cell>
          <cell r="C689" t="str">
            <v>72</v>
          </cell>
          <cell r="D689">
            <v>3</v>
          </cell>
          <cell r="E689">
            <v>1</v>
          </cell>
          <cell r="F689">
            <v>1</v>
          </cell>
          <cell r="G689">
            <v>1</v>
          </cell>
          <cell r="H689">
            <v>0</v>
          </cell>
          <cell r="I689">
            <v>6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</row>
        <row r="690">
          <cell r="A690" t="str">
            <v>WJAXXM18008</v>
          </cell>
          <cell r="B690" t="str">
            <v>WJAXXM180</v>
          </cell>
          <cell r="C690" t="str">
            <v>08</v>
          </cell>
          <cell r="D690">
            <v>6</v>
          </cell>
          <cell r="E690">
            <v>0</v>
          </cell>
          <cell r="F690">
            <v>0</v>
          </cell>
          <cell r="G690">
            <v>0</v>
          </cell>
          <cell r="H690">
            <v>1</v>
          </cell>
          <cell r="I690">
            <v>6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</row>
        <row r="691">
          <cell r="A691" t="str">
            <v>WJAXXM18027</v>
          </cell>
          <cell r="B691" t="str">
            <v>WJAXXM180</v>
          </cell>
          <cell r="C691" t="str">
            <v>27</v>
          </cell>
          <cell r="D691">
            <v>6</v>
          </cell>
          <cell r="E691">
            <v>0</v>
          </cell>
          <cell r="F691">
            <v>1</v>
          </cell>
          <cell r="G691">
            <v>0</v>
          </cell>
          <cell r="H691">
            <v>0</v>
          </cell>
          <cell r="I691">
            <v>6</v>
          </cell>
          <cell r="J691">
            <v>0</v>
          </cell>
          <cell r="K691">
            <v>0</v>
          </cell>
          <cell r="L691">
            <v>0</v>
          </cell>
          <cell r="M691">
            <v>1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</row>
        <row r="692">
          <cell r="A692" t="str">
            <v>WJAXXM21007</v>
          </cell>
          <cell r="B692" t="str">
            <v>WJAXXM210</v>
          </cell>
          <cell r="C692" t="str">
            <v>07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3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1</v>
          </cell>
          <cell r="P692">
            <v>3</v>
          </cell>
          <cell r="Q692">
            <v>1</v>
          </cell>
          <cell r="R692">
            <v>0</v>
          </cell>
          <cell r="S692">
            <v>0</v>
          </cell>
          <cell r="T692">
            <v>0</v>
          </cell>
        </row>
        <row r="693">
          <cell r="A693" t="str">
            <v>WJAXXM21027</v>
          </cell>
          <cell r="B693" t="str">
            <v>WJAXXM210</v>
          </cell>
          <cell r="C693" t="str">
            <v>27</v>
          </cell>
          <cell r="D693">
            <v>1</v>
          </cell>
          <cell r="E693">
            <v>2</v>
          </cell>
          <cell r="F693">
            <v>0</v>
          </cell>
          <cell r="G693">
            <v>2</v>
          </cell>
          <cell r="H693">
            <v>0</v>
          </cell>
          <cell r="I693">
            <v>3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1</v>
          </cell>
          <cell r="P693">
            <v>1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</row>
        <row r="694">
          <cell r="A694" t="str">
            <v>WJAXXM21053</v>
          </cell>
          <cell r="B694" t="str">
            <v>WJAXXM210</v>
          </cell>
          <cell r="C694" t="str">
            <v>53</v>
          </cell>
          <cell r="D694">
            <v>1</v>
          </cell>
          <cell r="E694">
            <v>1</v>
          </cell>
          <cell r="F694">
            <v>0</v>
          </cell>
          <cell r="G694">
            <v>0</v>
          </cell>
          <cell r="H694">
            <v>1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4</v>
          </cell>
          <cell r="Q694">
            <v>0</v>
          </cell>
          <cell r="R694">
            <v>1</v>
          </cell>
          <cell r="S694">
            <v>0</v>
          </cell>
          <cell r="T694">
            <v>0</v>
          </cell>
        </row>
        <row r="695">
          <cell r="A695" t="str">
            <v>WJAXXM22027</v>
          </cell>
          <cell r="B695" t="str">
            <v>WJAXXM220</v>
          </cell>
          <cell r="C695" t="str">
            <v>27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1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</row>
        <row r="696">
          <cell r="A696" t="str">
            <v>WJAXXM22064</v>
          </cell>
          <cell r="B696" t="str">
            <v>WJAXXM220</v>
          </cell>
          <cell r="C696" t="str">
            <v>64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1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</row>
        <row r="697">
          <cell r="A697" t="str">
            <v>WJAXXM23027</v>
          </cell>
          <cell r="B697" t="str">
            <v>WJAXXM230</v>
          </cell>
          <cell r="C697" t="str">
            <v>27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</row>
        <row r="698">
          <cell r="A698" t="str">
            <v>WJAXXM23034</v>
          </cell>
          <cell r="B698" t="str">
            <v>WJAXXM230</v>
          </cell>
          <cell r="C698" t="str">
            <v>34</v>
          </cell>
          <cell r="D698">
            <v>-1</v>
          </cell>
          <cell r="E698">
            <v>0</v>
          </cell>
          <cell r="F698">
            <v>1</v>
          </cell>
          <cell r="G698">
            <v>1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</row>
        <row r="699">
          <cell r="A699" t="str">
            <v>WJAXXM24064</v>
          </cell>
          <cell r="B699" t="str">
            <v>WJAXXM240</v>
          </cell>
          <cell r="C699" t="str">
            <v>64</v>
          </cell>
          <cell r="D699">
            <v>0</v>
          </cell>
          <cell r="E699">
            <v>1</v>
          </cell>
          <cell r="F699">
            <v>0</v>
          </cell>
          <cell r="G699">
            <v>0</v>
          </cell>
          <cell r="H699">
            <v>1</v>
          </cell>
          <cell r="I699">
            <v>1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1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</row>
        <row r="700">
          <cell r="A700" t="str">
            <v>WJAXXM25007</v>
          </cell>
          <cell r="B700" t="str">
            <v>WJAXXM250</v>
          </cell>
          <cell r="C700" t="str">
            <v>07</v>
          </cell>
          <cell r="D700">
            <v>0</v>
          </cell>
          <cell r="E700">
            <v>1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1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</row>
        <row r="701">
          <cell r="A701" t="str">
            <v>WJAXXM25027</v>
          </cell>
          <cell r="B701" t="str">
            <v>WJAXXM250</v>
          </cell>
          <cell r="C701" t="str">
            <v>27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</row>
        <row r="702">
          <cell r="A702" t="str">
            <v>WJAXXM25064</v>
          </cell>
          <cell r="B702" t="str">
            <v>WJAXXM250</v>
          </cell>
          <cell r="C702" t="str">
            <v>64</v>
          </cell>
          <cell r="D702">
            <v>1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</row>
        <row r="703">
          <cell r="A703" t="str">
            <v>WJAXXM26007</v>
          </cell>
          <cell r="B703" t="str">
            <v>WJAXXM260</v>
          </cell>
          <cell r="C703" t="str">
            <v>07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</row>
        <row r="704">
          <cell r="A704" t="str">
            <v>WJAXXM26064</v>
          </cell>
          <cell r="B704" t="str">
            <v>WJAXXM260</v>
          </cell>
          <cell r="C704" t="str">
            <v>64</v>
          </cell>
          <cell r="D704">
            <v>2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2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2</v>
          </cell>
          <cell r="R704">
            <v>0</v>
          </cell>
          <cell r="S704">
            <v>0</v>
          </cell>
          <cell r="T704">
            <v>0</v>
          </cell>
        </row>
        <row r="705">
          <cell r="A705" t="str">
            <v>WJAXXM27007</v>
          </cell>
          <cell r="B705" t="str">
            <v>WJAXXM270</v>
          </cell>
          <cell r="C705" t="str">
            <v>07</v>
          </cell>
          <cell r="D705">
            <v>0</v>
          </cell>
          <cell r="E705">
            <v>0</v>
          </cell>
          <cell r="F705">
            <v>1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</row>
        <row r="706">
          <cell r="A706" t="str">
            <v>WJAXXM28007</v>
          </cell>
          <cell r="B706" t="str">
            <v>WJAXXM280</v>
          </cell>
          <cell r="C706" t="str">
            <v>07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</row>
      </sheetData>
      <sheetData sheetId="11">
        <row r="4">
          <cell r="C4" t="str">
            <v>WJABGM01034</v>
          </cell>
          <cell r="D4">
            <v>150</v>
          </cell>
          <cell r="E4">
            <v>40274</v>
          </cell>
          <cell r="F4">
            <v>40277</v>
          </cell>
          <cell r="G4">
            <v>150</v>
          </cell>
          <cell r="H4">
            <v>57</v>
          </cell>
          <cell r="I4">
            <v>6</v>
          </cell>
          <cell r="J4">
            <v>4</v>
          </cell>
          <cell r="Q4">
            <v>1</v>
          </cell>
          <cell r="R4">
            <v>2</v>
          </cell>
          <cell r="S4">
            <v>1</v>
          </cell>
          <cell r="T4">
            <v>2</v>
          </cell>
          <cell r="U4" t="str">
            <v>ABG</v>
          </cell>
          <cell r="V4">
            <v>6</v>
          </cell>
          <cell r="W4" t="b">
            <v>1</v>
          </cell>
        </row>
        <row r="5">
          <cell r="C5" t="str">
            <v>WJABGM01054</v>
          </cell>
          <cell r="D5">
            <v>100</v>
          </cell>
          <cell r="E5">
            <v>40274</v>
          </cell>
          <cell r="F5">
            <v>40277</v>
          </cell>
          <cell r="G5">
            <v>99</v>
          </cell>
          <cell r="H5">
            <v>59</v>
          </cell>
          <cell r="I5">
            <v>14</v>
          </cell>
          <cell r="J5">
            <v>14.14</v>
          </cell>
          <cell r="M5">
            <v>1</v>
          </cell>
          <cell r="O5">
            <v>1</v>
          </cell>
          <cell r="P5">
            <v>1</v>
          </cell>
          <cell r="Q5">
            <v>2</v>
          </cell>
          <cell r="R5">
            <v>5</v>
          </cell>
          <cell r="S5">
            <v>2</v>
          </cell>
          <cell r="T5">
            <v>2</v>
          </cell>
          <cell r="U5" t="str">
            <v>ABG</v>
          </cell>
          <cell r="V5">
            <v>14</v>
          </cell>
          <cell r="W5" t="b">
            <v>1</v>
          </cell>
        </row>
        <row r="6">
          <cell r="C6" t="str">
            <v>WJABGM02007</v>
          </cell>
          <cell r="D6">
            <v>100</v>
          </cell>
          <cell r="E6">
            <v>40255</v>
          </cell>
          <cell r="F6">
            <v>40262</v>
          </cell>
          <cell r="G6">
            <v>100</v>
          </cell>
          <cell r="H6">
            <v>38</v>
          </cell>
          <cell r="I6">
            <v>3</v>
          </cell>
          <cell r="J6">
            <v>3</v>
          </cell>
          <cell r="O6">
            <v>1</v>
          </cell>
          <cell r="P6">
            <v>1</v>
          </cell>
          <cell r="T6">
            <v>1</v>
          </cell>
          <cell r="U6" t="str">
            <v>ABG</v>
          </cell>
          <cell r="V6">
            <v>3</v>
          </cell>
          <cell r="W6" t="b">
            <v>1</v>
          </cell>
        </row>
        <row r="7">
          <cell r="C7" t="str">
            <v>WJABGM02073</v>
          </cell>
          <cell r="D7">
            <v>150</v>
          </cell>
          <cell r="E7">
            <v>40255</v>
          </cell>
          <cell r="F7">
            <v>40262</v>
          </cell>
          <cell r="G7">
            <v>151</v>
          </cell>
          <cell r="H7">
            <v>45</v>
          </cell>
          <cell r="I7">
            <v>3</v>
          </cell>
          <cell r="J7">
            <v>1.99</v>
          </cell>
          <cell r="M7">
            <v>1</v>
          </cell>
          <cell r="T7">
            <v>2</v>
          </cell>
          <cell r="U7" t="str">
            <v>ABG</v>
          </cell>
          <cell r="V7">
            <v>3</v>
          </cell>
          <cell r="W7" t="b">
            <v>1</v>
          </cell>
        </row>
        <row r="8">
          <cell r="C8" t="str">
            <v>WJABGM03005</v>
          </cell>
          <cell r="D8">
            <v>100</v>
          </cell>
          <cell r="E8">
            <v>40255</v>
          </cell>
          <cell r="F8">
            <v>40262</v>
          </cell>
          <cell r="G8">
            <v>100</v>
          </cell>
          <cell r="H8">
            <v>58</v>
          </cell>
          <cell r="I8">
            <v>14</v>
          </cell>
          <cell r="J8">
            <v>14</v>
          </cell>
          <cell r="K8">
            <v>3</v>
          </cell>
          <cell r="N8">
            <v>2</v>
          </cell>
          <cell r="P8">
            <v>2</v>
          </cell>
          <cell r="Q8">
            <v>1</v>
          </cell>
          <cell r="R8">
            <v>3</v>
          </cell>
          <cell r="T8">
            <v>3</v>
          </cell>
          <cell r="U8" t="str">
            <v>ABG</v>
          </cell>
          <cell r="V8">
            <v>14</v>
          </cell>
          <cell r="W8" t="b">
            <v>1</v>
          </cell>
        </row>
        <row r="9">
          <cell r="C9" t="str">
            <v>WJABGM03024</v>
          </cell>
          <cell r="D9">
            <v>150</v>
          </cell>
          <cell r="E9">
            <v>40255</v>
          </cell>
          <cell r="F9">
            <v>40262</v>
          </cell>
          <cell r="G9">
            <v>150</v>
          </cell>
          <cell r="H9">
            <v>48</v>
          </cell>
          <cell r="I9">
            <v>7</v>
          </cell>
          <cell r="J9">
            <v>4.67</v>
          </cell>
          <cell r="K9">
            <v>2</v>
          </cell>
          <cell r="L9">
            <v>1</v>
          </cell>
          <cell r="N9">
            <v>1</v>
          </cell>
          <cell r="P9">
            <v>1</v>
          </cell>
          <cell r="Q9">
            <v>1</v>
          </cell>
          <cell r="S9">
            <v>1</v>
          </cell>
          <cell r="U9" t="str">
            <v>ABG</v>
          </cell>
          <cell r="V9">
            <v>7</v>
          </cell>
          <cell r="W9" t="b">
            <v>1</v>
          </cell>
        </row>
        <row r="10">
          <cell r="C10" t="str">
            <v>WJABGM04005</v>
          </cell>
          <cell r="D10">
            <v>100</v>
          </cell>
          <cell r="E10">
            <v>40255</v>
          </cell>
          <cell r="F10">
            <v>40262</v>
          </cell>
          <cell r="G10">
            <v>100</v>
          </cell>
          <cell r="H10">
            <v>46</v>
          </cell>
          <cell r="I10">
            <v>6</v>
          </cell>
          <cell r="J10">
            <v>6</v>
          </cell>
          <cell r="K10">
            <v>3</v>
          </cell>
          <cell r="O10">
            <v>1</v>
          </cell>
          <cell r="R10">
            <v>2</v>
          </cell>
          <cell r="U10" t="str">
            <v>ABG</v>
          </cell>
          <cell r="V10">
            <v>6</v>
          </cell>
          <cell r="W10" t="b">
            <v>1</v>
          </cell>
        </row>
        <row r="11">
          <cell r="C11" t="str">
            <v>WJABGM04054</v>
          </cell>
          <cell r="D11">
            <v>100</v>
          </cell>
          <cell r="E11">
            <v>40255</v>
          </cell>
          <cell r="F11">
            <v>40262</v>
          </cell>
          <cell r="G11">
            <v>100</v>
          </cell>
          <cell r="H11">
            <v>50</v>
          </cell>
          <cell r="I11">
            <v>7</v>
          </cell>
          <cell r="J11">
            <v>7</v>
          </cell>
          <cell r="K11">
            <v>3</v>
          </cell>
          <cell r="O11">
            <v>1</v>
          </cell>
          <cell r="Q11">
            <v>1</v>
          </cell>
          <cell r="R11">
            <v>1</v>
          </cell>
          <cell r="S11">
            <v>1</v>
          </cell>
          <cell r="U11" t="str">
            <v>ABG</v>
          </cell>
          <cell r="V11">
            <v>7</v>
          </cell>
          <cell r="W11" t="b">
            <v>1</v>
          </cell>
        </row>
        <row r="12">
          <cell r="C12" t="str">
            <v>WJABGM05007</v>
          </cell>
          <cell r="D12">
            <v>100</v>
          </cell>
          <cell r="E12">
            <v>40255</v>
          </cell>
          <cell r="F12">
            <v>40262</v>
          </cell>
          <cell r="G12">
            <v>100</v>
          </cell>
          <cell r="H12">
            <v>75</v>
          </cell>
          <cell r="I12">
            <v>29</v>
          </cell>
          <cell r="J12">
            <v>29</v>
          </cell>
          <cell r="K12">
            <v>2</v>
          </cell>
          <cell r="L12">
            <v>2</v>
          </cell>
          <cell r="M12">
            <v>3</v>
          </cell>
          <cell r="N12">
            <v>1</v>
          </cell>
          <cell r="O12">
            <v>3</v>
          </cell>
          <cell r="P12">
            <v>4</v>
          </cell>
          <cell r="Q12">
            <v>5</v>
          </cell>
          <cell r="R12">
            <v>4</v>
          </cell>
          <cell r="S12">
            <v>2</v>
          </cell>
          <cell r="T12">
            <v>3</v>
          </cell>
          <cell r="U12" t="str">
            <v>ABG</v>
          </cell>
          <cell r="V12">
            <v>29</v>
          </cell>
          <cell r="W12" t="b">
            <v>1</v>
          </cell>
        </row>
        <row r="13">
          <cell r="C13" t="str">
            <v>WJABGM05014</v>
          </cell>
          <cell r="D13">
            <v>50</v>
          </cell>
          <cell r="E13">
            <v>40255</v>
          </cell>
          <cell r="F13">
            <v>40262</v>
          </cell>
          <cell r="G13">
            <v>50</v>
          </cell>
          <cell r="H13">
            <v>31</v>
          </cell>
          <cell r="I13">
            <v>5</v>
          </cell>
          <cell r="J13">
            <v>10</v>
          </cell>
          <cell r="K13">
            <v>3</v>
          </cell>
          <cell r="O13">
            <v>1</v>
          </cell>
          <cell r="T13">
            <v>1</v>
          </cell>
          <cell r="U13" t="str">
            <v>ABG</v>
          </cell>
          <cell r="V13">
            <v>5</v>
          </cell>
          <cell r="W13" t="b">
            <v>1</v>
          </cell>
        </row>
        <row r="14">
          <cell r="C14" t="str">
            <v>WJABGM06005</v>
          </cell>
          <cell r="D14">
            <v>150</v>
          </cell>
          <cell r="E14">
            <v>40255</v>
          </cell>
          <cell r="F14">
            <v>40262</v>
          </cell>
          <cell r="G14">
            <v>150</v>
          </cell>
          <cell r="H14">
            <v>66</v>
          </cell>
          <cell r="I14">
            <v>12</v>
          </cell>
          <cell r="J14">
            <v>8</v>
          </cell>
          <cell r="M14">
            <v>2</v>
          </cell>
          <cell r="N14">
            <v>1</v>
          </cell>
          <cell r="O14">
            <v>2</v>
          </cell>
          <cell r="P14">
            <v>1</v>
          </cell>
          <cell r="R14">
            <v>3</v>
          </cell>
          <cell r="S14">
            <v>1</v>
          </cell>
          <cell r="T14">
            <v>2</v>
          </cell>
          <cell r="U14" t="str">
            <v>ABG</v>
          </cell>
          <cell r="V14">
            <v>12</v>
          </cell>
          <cell r="W14" t="b">
            <v>1</v>
          </cell>
        </row>
        <row r="15">
          <cell r="C15" t="str">
            <v>WJABGM06007</v>
          </cell>
          <cell r="D15">
            <v>100</v>
          </cell>
          <cell r="E15">
            <v>40255</v>
          </cell>
          <cell r="F15">
            <v>40262</v>
          </cell>
          <cell r="G15">
            <v>101</v>
          </cell>
          <cell r="H15">
            <v>50</v>
          </cell>
          <cell r="I15">
            <v>5</v>
          </cell>
          <cell r="J15">
            <v>4.95</v>
          </cell>
          <cell r="K15">
            <v>1</v>
          </cell>
          <cell r="M15">
            <v>3</v>
          </cell>
          <cell r="S15">
            <v>1</v>
          </cell>
          <cell r="U15" t="str">
            <v>ABG</v>
          </cell>
          <cell r="V15">
            <v>5</v>
          </cell>
          <cell r="W15" t="b">
            <v>1</v>
          </cell>
        </row>
        <row r="16">
          <cell r="C16" t="str">
            <v>WJABGM06024</v>
          </cell>
          <cell r="D16">
            <v>100</v>
          </cell>
          <cell r="E16">
            <v>40255</v>
          </cell>
          <cell r="F16">
            <v>40262</v>
          </cell>
          <cell r="G16">
            <v>100</v>
          </cell>
          <cell r="H16">
            <v>44</v>
          </cell>
          <cell r="I16">
            <v>4</v>
          </cell>
          <cell r="J16">
            <v>4</v>
          </cell>
          <cell r="K16">
            <v>2</v>
          </cell>
          <cell r="N16">
            <v>1</v>
          </cell>
          <cell r="R16">
            <v>1</v>
          </cell>
          <cell r="U16" t="str">
            <v>ABG</v>
          </cell>
          <cell r="V16">
            <v>4</v>
          </cell>
          <cell r="W16" t="b">
            <v>1</v>
          </cell>
        </row>
        <row r="17">
          <cell r="C17" t="str">
            <v>WJABGM07015</v>
          </cell>
          <cell r="D17">
            <v>100</v>
          </cell>
          <cell r="E17">
            <v>40255</v>
          </cell>
          <cell r="F17">
            <v>40260</v>
          </cell>
          <cell r="G17">
            <v>100</v>
          </cell>
          <cell r="H17">
            <v>62</v>
          </cell>
          <cell r="I17">
            <v>16</v>
          </cell>
          <cell r="J17">
            <v>16</v>
          </cell>
          <cell r="K17">
            <v>3</v>
          </cell>
          <cell r="M17">
            <v>1</v>
          </cell>
          <cell r="N17">
            <v>2</v>
          </cell>
          <cell r="O17">
            <v>2</v>
          </cell>
          <cell r="P17">
            <v>3</v>
          </cell>
          <cell r="Q17">
            <v>1</v>
          </cell>
          <cell r="R17">
            <v>2</v>
          </cell>
          <cell r="S17">
            <v>2</v>
          </cell>
          <cell r="U17" t="str">
            <v>ABG</v>
          </cell>
          <cell r="V17">
            <v>16</v>
          </cell>
          <cell r="W17" t="b">
            <v>1</v>
          </cell>
        </row>
        <row r="18">
          <cell r="C18" t="str">
            <v>WJABGM07024</v>
          </cell>
          <cell r="D18">
            <v>150</v>
          </cell>
          <cell r="E18">
            <v>40255</v>
          </cell>
          <cell r="F18">
            <v>40260</v>
          </cell>
          <cell r="G18">
            <v>150</v>
          </cell>
          <cell r="H18">
            <v>59</v>
          </cell>
          <cell r="I18">
            <v>18</v>
          </cell>
          <cell r="J18">
            <v>12</v>
          </cell>
          <cell r="K18">
            <v>2</v>
          </cell>
          <cell r="M18">
            <v>3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</v>
          </cell>
          <cell r="S18">
            <v>1</v>
          </cell>
          <cell r="T18">
            <v>2</v>
          </cell>
          <cell r="U18" t="str">
            <v>ABG</v>
          </cell>
          <cell r="V18">
            <v>18</v>
          </cell>
          <cell r="W18" t="b">
            <v>1</v>
          </cell>
        </row>
        <row r="19">
          <cell r="C19" t="str">
            <v>WJABGM08024</v>
          </cell>
          <cell r="D19">
            <v>100</v>
          </cell>
          <cell r="E19">
            <v>40283</v>
          </cell>
          <cell r="F19">
            <v>40284</v>
          </cell>
          <cell r="G19">
            <v>100</v>
          </cell>
          <cell r="H19">
            <v>46</v>
          </cell>
          <cell r="I19">
            <v>1</v>
          </cell>
          <cell r="J19">
            <v>1</v>
          </cell>
          <cell r="Q19">
            <v>1</v>
          </cell>
          <cell r="U19" t="str">
            <v>ABG</v>
          </cell>
          <cell r="V19">
            <v>1</v>
          </cell>
          <cell r="W19" t="b">
            <v>1</v>
          </cell>
        </row>
        <row r="20">
          <cell r="C20" t="str">
            <v>WJABGM08043</v>
          </cell>
          <cell r="D20">
            <v>150</v>
          </cell>
          <cell r="E20">
            <v>40283</v>
          </cell>
          <cell r="F20">
            <v>40284</v>
          </cell>
          <cell r="G20">
            <v>150</v>
          </cell>
          <cell r="H20">
            <v>48</v>
          </cell>
          <cell r="U20" t="str">
            <v>ABG</v>
          </cell>
          <cell r="V20">
            <v>0</v>
          </cell>
          <cell r="W20" t="b">
            <v>1</v>
          </cell>
        </row>
        <row r="21">
          <cell r="C21" t="str">
            <v>WJABKM01007</v>
          </cell>
          <cell r="D21">
            <v>200</v>
          </cell>
          <cell r="E21">
            <v>40255</v>
          </cell>
          <cell r="F21">
            <v>40260</v>
          </cell>
          <cell r="G21">
            <v>200</v>
          </cell>
          <cell r="H21">
            <v>78</v>
          </cell>
          <cell r="I21">
            <v>19</v>
          </cell>
          <cell r="J21">
            <v>9.5</v>
          </cell>
          <cell r="K21">
            <v>2</v>
          </cell>
          <cell r="M21">
            <v>3</v>
          </cell>
          <cell r="N21">
            <v>10</v>
          </cell>
          <cell r="P21">
            <v>1</v>
          </cell>
          <cell r="R21">
            <v>2</v>
          </cell>
          <cell r="S21">
            <v>1</v>
          </cell>
          <cell r="U21" t="str">
            <v>ABK</v>
          </cell>
          <cell r="V21">
            <v>19</v>
          </cell>
          <cell r="W21" t="b">
            <v>1</v>
          </cell>
        </row>
        <row r="22">
          <cell r="C22" t="str">
            <v>WJABKM01054</v>
          </cell>
          <cell r="D22">
            <v>100</v>
          </cell>
          <cell r="E22">
            <v>40255</v>
          </cell>
          <cell r="F22">
            <v>40260</v>
          </cell>
          <cell r="G22">
            <v>100</v>
          </cell>
          <cell r="H22">
            <v>42</v>
          </cell>
          <cell r="I22">
            <v>3</v>
          </cell>
          <cell r="J22">
            <v>3</v>
          </cell>
          <cell r="M22">
            <v>1</v>
          </cell>
          <cell r="N22">
            <v>1</v>
          </cell>
          <cell r="T22">
            <v>1</v>
          </cell>
          <cell r="U22" t="str">
            <v>ABK</v>
          </cell>
          <cell r="V22">
            <v>3</v>
          </cell>
          <cell r="W22" t="b">
            <v>1</v>
          </cell>
        </row>
        <row r="23">
          <cell r="C23" t="str">
            <v>WJABKM02025</v>
          </cell>
          <cell r="D23">
            <v>100</v>
          </cell>
          <cell r="E23">
            <v>40255</v>
          </cell>
          <cell r="F23">
            <v>40260</v>
          </cell>
          <cell r="G23">
            <v>100</v>
          </cell>
          <cell r="H23">
            <v>65</v>
          </cell>
          <cell r="I23">
            <v>15</v>
          </cell>
          <cell r="J23">
            <v>15</v>
          </cell>
          <cell r="K23">
            <v>2</v>
          </cell>
          <cell r="L23">
            <v>1</v>
          </cell>
          <cell r="M23">
            <v>1</v>
          </cell>
          <cell r="N23">
            <v>1</v>
          </cell>
          <cell r="O23">
            <v>2</v>
          </cell>
          <cell r="Q23">
            <v>4</v>
          </cell>
          <cell r="R23">
            <v>2</v>
          </cell>
          <cell r="S23">
            <v>2</v>
          </cell>
          <cell r="U23" t="str">
            <v>ABK</v>
          </cell>
          <cell r="V23">
            <v>15</v>
          </cell>
          <cell r="W23" t="b">
            <v>1</v>
          </cell>
        </row>
        <row r="24">
          <cell r="C24" t="str">
            <v>WJABKM02034</v>
          </cell>
          <cell r="D24">
            <v>200</v>
          </cell>
          <cell r="E24">
            <v>40255</v>
          </cell>
          <cell r="F24">
            <v>40260</v>
          </cell>
          <cell r="G24">
            <v>200</v>
          </cell>
          <cell r="H24">
            <v>82</v>
          </cell>
          <cell r="I24">
            <v>20</v>
          </cell>
          <cell r="J24">
            <v>10</v>
          </cell>
          <cell r="M24">
            <v>2</v>
          </cell>
          <cell r="N24">
            <v>6</v>
          </cell>
          <cell r="O24">
            <v>2</v>
          </cell>
          <cell r="P24">
            <v>1</v>
          </cell>
          <cell r="Q24">
            <v>1</v>
          </cell>
          <cell r="R24">
            <v>2</v>
          </cell>
          <cell r="T24">
            <v>6</v>
          </cell>
          <cell r="U24" t="str">
            <v>ABK</v>
          </cell>
          <cell r="V24">
            <v>20</v>
          </cell>
          <cell r="W24" t="b">
            <v>1</v>
          </cell>
        </row>
        <row r="25">
          <cell r="C25" t="str">
            <v>WJABKM02054</v>
          </cell>
          <cell r="D25">
            <v>200</v>
          </cell>
          <cell r="E25">
            <v>40255</v>
          </cell>
          <cell r="F25">
            <v>40260</v>
          </cell>
          <cell r="G25">
            <v>200</v>
          </cell>
          <cell r="H25">
            <v>81</v>
          </cell>
          <cell r="I25">
            <v>14</v>
          </cell>
          <cell r="J25">
            <v>7</v>
          </cell>
          <cell r="L25">
            <v>2</v>
          </cell>
          <cell r="M25">
            <v>1</v>
          </cell>
          <cell r="N25">
            <v>2</v>
          </cell>
          <cell r="O25">
            <v>2</v>
          </cell>
          <cell r="P25">
            <v>2</v>
          </cell>
          <cell r="Q25">
            <v>1</v>
          </cell>
          <cell r="S25">
            <v>1</v>
          </cell>
          <cell r="T25">
            <v>3</v>
          </cell>
          <cell r="U25" t="str">
            <v>ABK</v>
          </cell>
          <cell r="V25">
            <v>14</v>
          </cell>
          <cell r="W25" t="b">
            <v>1</v>
          </cell>
        </row>
        <row r="26">
          <cell r="C26" t="str">
            <v>WJABKM03015</v>
          </cell>
          <cell r="D26">
            <v>100</v>
          </cell>
          <cell r="E26">
            <v>40255</v>
          </cell>
          <cell r="F26">
            <v>40260</v>
          </cell>
          <cell r="G26">
            <v>100</v>
          </cell>
          <cell r="H26">
            <v>42</v>
          </cell>
          <cell r="I26">
            <v>4</v>
          </cell>
          <cell r="J26">
            <v>4</v>
          </cell>
          <cell r="O26">
            <v>1</v>
          </cell>
          <cell r="Q26">
            <v>1</v>
          </cell>
          <cell r="R26">
            <v>1</v>
          </cell>
          <cell r="T26">
            <v>1</v>
          </cell>
          <cell r="U26" t="str">
            <v>ABK</v>
          </cell>
          <cell r="V26">
            <v>4</v>
          </cell>
          <cell r="W26" t="b">
            <v>1</v>
          </cell>
        </row>
        <row r="27">
          <cell r="C27" t="str">
            <v>WJABKM03024</v>
          </cell>
          <cell r="D27">
            <v>200</v>
          </cell>
          <cell r="E27">
            <v>40255</v>
          </cell>
          <cell r="F27">
            <v>40260</v>
          </cell>
          <cell r="G27">
            <v>200</v>
          </cell>
          <cell r="H27">
            <v>75</v>
          </cell>
          <cell r="I27">
            <v>11</v>
          </cell>
          <cell r="J27">
            <v>5.5</v>
          </cell>
          <cell r="K27">
            <v>1</v>
          </cell>
          <cell r="M27">
            <v>2</v>
          </cell>
          <cell r="N27">
            <v>2</v>
          </cell>
          <cell r="O27">
            <v>1</v>
          </cell>
          <cell r="Q27">
            <v>1</v>
          </cell>
          <cell r="T27">
            <v>4</v>
          </cell>
          <cell r="U27" t="str">
            <v>ABK</v>
          </cell>
          <cell r="V27">
            <v>11</v>
          </cell>
          <cell r="W27" t="b">
            <v>1</v>
          </cell>
        </row>
        <row r="28">
          <cell r="C28" t="str">
            <v>WJABKM04024</v>
          </cell>
          <cell r="D28">
            <v>100</v>
          </cell>
          <cell r="E28">
            <v>40255</v>
          </cell>
          <cell r="F28">
            <v>40261</v>
          </cell>
          <cell r="G28">
            <v>100</v>
          </cell>
          <cell r="H28">
            <v>51</v>
          </cell>
          <cell r="I28">
            <v>9</v>
          </cell>
          <cell r="J28">
            <v>9</v>
          </cell>
          <cell r="L28">
            <v>1</v>
          </cell>
          <cell r="O28">
            <v>1</v>
          </cell>
          <cell r="P28">
            <v>1</v>
          </cell>
          <cell r="Q28">
            <v>1</v>
          </cell>
          <cell r="R28">
            <v>2</v>
          </cell>
          <cell r="S28">
            <v>3</v>
          </cell>
          <cell r="U28" t="str">
            <v>ABK</v>
          </cell>
          <cell r="V28">
            <v>9</v>
          </cell>
          <cell r="W28" t="b">
            <v>1</v>
          </cell>
        </row>
        <row r="29">
          <cell r="C29" t="str">
            <v>WJABKM04025</v>
          </cell>
          <cell r="D29">
            <v>200</v>
          </cell>
          <cell r="E29">
            <v>40255</v>
          </cell>
          <cell r="F29">
            <v>40261</v>
          </cell>
          <cell r="G29">
            <v>200</v>
          </cell>
          <cell r="H29">
            <v>52</v>
          </cell>
          <cell r="I29">
            <v>6</v>
          </cell>
          <cell r="J29">
            <v>3</v>
          </cell>
          <cell r="M29">
            <v>2</v>
          </cell>
          <cell r="O29">
            <v>1</v>
          </cell>
          <cell r="P29">
            <v>2</v>
          </cell>
          <cell r="S29">
            <v>1</v>
          </cell>
          <cell r="U29" t="str">
            <v>ABK</v>
          </cell>
          <cell r="V29">
            <v>6</v>
          </cell>
          <cell r="W29" t="b">
            <v>1</v>
          </cell>
        </row>
        <row r="30">
          <cell r="C30" t="str">
            <v>WJABKM04043</v>
          </cell>
          <cell r="D30">
            <v>200</v>
          </cell>
          <cell r="E30">
            <v>40255</v>
          </cell>
          <cell r="F30">
            <v>40261</v>
          </cell>
          <cell r="G30">
            <v>200</v>
          </cell>
          <cell r="H30">
            <v>43</v>
          </cell>
          <cell r="I30">
            <v>1</v>
          </cell>
          <cell r="J30">
            <v>0.5</v>
          </cell>
          <cell r="R30">
            <v>1</v>
          </cell>
          <cell r="U30" t="str">
            <v>ABK</v>
          </cell>
          <cell r="V30">
            <v>1</v>
          </cell>
          <cell r="W30" t="b">
            <v>1</v>
          </cell>
        </row>
        <row r="31">
          <cell r="C31" t="str">
            <v>WJABKM05007</v>
          </cell>
          <cell r="D31">
            <v>200</v>
          </cell>
          <cell r="E31">
            <v>40255</v>
          </cell>
          <cell r="F31">
            <v>40260</v>
          </cell>
          <cell r="G31">
            <v>200</v>
          </cell>
          <cell r="H31">
            <v>85</v>
          </cell>
          <cell r="I31">
            <v>20</v>
          </cell>
          <cell r="J31">
            <v>10</v>
          </cell>
          <cell r="K31">
            <v>1</v>
          </cell>
          <cell r="M31">
            <v>3</v>
          </cell>
          <cell r="N31">
            <v>2</v>
          </cell>
          <cell r="O31">
            <v>2</v>
          </cell>
          <cell r="P31">
            <v>2</v>
          </cell>
          <cell r="Q31">
            <v>1</v>
          </cell>
          <cell r="R31">
            <v>3</v>
          </cell>
          <cell r="S31">
            <v>1</v>
          </cell>
          <cell r="T31">
            <v>5</v>
          </cell>
          <cell r="U31" t="str">
            <v>ABK</v>
          </cell>
          <cell r="V31">
            <v>20</v>
          </cell>
          <cell r="W31" t="b">
            <v>1</v>
          </cell>
        </row>
        <row r="32">
          <cell r="C32" t="str">
            <v>WJABKM05024</v>
          </cell>
          <cell r="D32">
            <v>200</v>
          </cell>
          <cell r="E32">
            <v>40255</v>
          </cell>
          <cell r="F32">
            <v>40260</v>
          </cell>
          <cell r="G32">
            <v>200</v>
          </cell>
          <cell r="H32">
            <v>58</v>
          </cell>
          <cell r="I32">
            <v>5</v>
          </cell>
          <cell r="J32">
            <v>2.5</v>
          </cell>
          <cell r="O32">
            <v>1</v>
          </cell>
          <cell r="P32">
            <v>1</v>
          </cell>
          <cell r="Q32">
            <v>1</v>
          </cell>
          <cell r="S32">
            <v>2</v>
          </cell>
          <cell r="U32" t="str">
            <v>ABK</v>
          </cell>
          <cell r="V32">
            <v>5</v>
          </cell>
          <cell r="W32" t="b">
            <v>1</v>
          </cell>
        </row>
        <row r="33">
          <cell r="C33" t="str">
            <v>WJABKM06027</v>
          </cell>
          <cell r="D33">
            <v>100</v>
          </cell>
          <cell r="E33">
            <v>40274</v>
          </cell>
          <cell r="F33">
            <v>40276</v>
          </cell>
          <cell r="G33">
            <v>100</v>
          </cell>
          <cell r="H33">
            <v>46</v>
          </cell>
          <cell r="I33">
            <v>8</v>
          </cell>
          <cell r="J33">
            <v>8</v>
          </cell>
          <cell r="N33">
            <v>2</v>
          </cell>
          <cell r="O33">
            <v>1</v>
          </cell>
          <cell r="P33">
            <v>1</v>
          </cell>
          <cell r="R33">
            <v>1</v>
          </cell>
          <cell r="S33">
            <v>2</v>
          </cell>
          <cell r="T33">
            <v>1</v>
          </cell>
          <cell r="U33" t="str">
            <v>ABK</v>
          </cell>
          <cell r="V33">
            <v>8</v>
          </cell>
          <cell r="W33" t="b">
            <v>1</v>
          </cell>
        </row>
        <row r="34">
          <cell r="C34" t="str">
            <v>WJABKM06034</v>
          </cell>
          <cell r="D34">
            <v>150</v>
          </cell>
          <cell r="E34">
            <v>40274</v>
          </cell>
          <cell r="F34">
            <v>40276</v>
          </cell>
          <cell r="G34">
            <v>150</v>
          </cell>
          <cell r="H34">
            <v>46</v>
          </cell>
          <cell r="I34">
            <v>7</v>
          </cell>
          <cell r="J34">
            <v>4.67</v>
          </cell>
          <cell r="O34">
            <v>1</v>
          </cell>
          <cell r="Q34">
            <v>1</v>
          </cell>
          <cell r="R34">
            <v>1</v>
          </cell>
          <cell r="S34">
            <v>2</v>
          </cell>
          <cell r="T34">
            <v>2</v>
          </cell>
          <cell r="U34" t="str">
            <v>ABK</v>
          </cell>
          <cell r="V34">
            <v>7</v>
          </cell>
          <cell r="W34" t="b">
            <v>1</v>
          </cell>
        </row>
        <row r="35">
          <cell r="C35" t="str">
            <v>WJABKM07007</v>
          </cell>
          <cell r="D35">
            <v>150</v>
          </cell>
          <cell r="E35">
            <v>40274</v>
          </cell>
          <cell r="F35">
            <v>40276</v>
          </cell>
          <cell r="G35">
            <v>148</v>
          </cell>
          <cell r="H35">
            <v>42</v>
          </cell>
          <cell r="I35">
            <v>4</v>
          </cell>
          <cell r="J35">
            <v>2.7</v>
          </cell>
          <cell r="N35">
            <v>1</v>
          </cell>
          <cell r="O35">
            <v>1</v>
          </cell>
          <cell r="P35">
            <v>2</v>
          </cell>
          <cell r="U35" t="str">
            <v>ABK</v>
          </cell>
          <cell r="V35">
            <v>4</v>
          </cell>
          <cell r="W35" t="b">
            <v>1</v>
          </cell>
        </row>
        <row r="36">
          <cell r="C36" t="str">
            <v>WJABKM07072</v>
          </cell>
          <cell r="D36">
            <v>100</v>
          </cell>
          <cell r="E36">
            <v>40274</v>
          </cell>
          <cell r="F36">
            <v>40276</v>
          </cell>
          <cell r="G36">
            <v>66</v>
          </cell>
          <cell r="H36">
            <v>45</v>
          </cell>
          <cell r="I36">
            <v>13</v>
          </cell>
          <cell r="J36">
            <v>19.7</v>
          </cell>
          <cell r="M36">
            <v>1</v>
          </cell>
          <cell r="N36">
            <v>2</v>
          </cell>
          <cell r="O36">
            <v>2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3</v>
          </cell>
          <cell r="U36" t="str">
            <v>ABK</v>
          </cell>
          <cell r="V36">
            <v>13</v>
          </cell>
          <cell r="W36" t="b">
            <v>1</v>
          </cell>
        </row>
        <row r="37">
          <cell r="C37" t="str">
            <v>WJACPM01024</v>
          </cell>
          <cell r="D37">
            <v>200</v>
          </cell>
          <cell r="E37">
            <v>40274</v>
          </cell>
          <cell r="F37">
            <v>40276</v>
          </cell>
          <cell r="G37">
            <v>186</v>
          </cell>
          <cell r="H37">
            <v>110</v>
          </cell>
          <cell r="I37">
            <v>25</v>
          </cell>
          <cell r="J37">
            <v>13.44</v>
          </cell>
          <cell r="M37">
            <v>2</v>
          </cell>
          <cell r="N37">
            <v>5</v>
          </cell>
          <cell r="O37">
            <v>2</v>
          </cell>
          <cell r="P37">
            <v>1</v>
          </cell>
          <cell r="Q37">
            <v>6</v>
          </cell>
          <cell r="R37">
            <v>6</v>
          </cell>
          <cell r="S37">
            <v>2</v>
          </cell>
          <cell r="T37">
            <v>1</v>
          </cell>
          <cell r="U37" t="str">
            <v>ACP</v>
          </cell>
          <cell r="V37">
            <v>25</v>
          </cell>
          <cell r="W37" t="b">
            <v>1</v>
          </cell>
        </row>
        <row r="38">
          <cell r="C38" t="str">
            <v>WJACPM01073</v>
          </cell>
          <cell r="D38">
            <v>150</v>
          </cell>
          <cell r="E38">
            <v>40274</v>
          </cell>
          <cell r="F38">
            <v>40276</v>
          </cell>
          <cell r="G38">
            <v>142</v>
          </cell>
          <cell r="H38">
            <v>96</v>
          </cell>
          <cell r="I38">
            <v>19</v>
          </cell>
          <cell r="J38">
            <v>13.38</v>
          </cell>
          <cell r="M38">
            <v>1</v>
          </cell>
          <cell r="N38">
            <v>5</v>
          </cell>
          <cell r="O38">
            <v>1</v>
          </cell>
          <cell r="P38">
            <v>1</v>
          </cell>
          <cell r="Q38">
            <v>4</v>
          </cell>
          <cell r="R38">
            <v>3</v>
          </cell>
          <cell r="T38">
            <v>4</v>
          </cell>
          <cell r="U38" t="str">
            <v>ACP</v>
          </cell>
          <cell r="V38">
            <v>19</v>
          </cell>
          <cell r="W38" t="b">
            <v>1</v>
          </cell>
        </row>
        <row r="39">
          <cell r="C39" t="str">
            <v>WJACPM02008</v>
          </cell>
          <cell r="D39">
            <v>200</v>
          </cell>
          <cell r="E39">
            <v>40274</v>
          </cell>
          <cell r="F39">
            <v>40276</v>
          </cell>
          <cell r="G39">
            <v>194</v>
          </cell>
          <cell r="H39">
            <v>84</v>
          </cell>
          <cell r="I39">
            <v>13</v>
          </cell>
          <cell r="J39">
            <v>6.7</v>
          </cell>
          <cell r="M39">
            <v>1</v>
          </cell>
          <cell r="N39">
            <v>3</v>
          </cell>
          <cell r="O39">
            <v>3</v>
          </cell>
          <cell r="Q39">
            <v>1</v>
          </cell>
          <cell r="R39">
            <v>2</v>
          </cell>
          <cell r="S39">
            <v>1</v>
          </cell>
          <cell r="T39">
            <v>2</v>
          </cell>
          <cell r="U39" t="str">
            <v>ACP</v>
          </cell>
          <cell r="V39">
            <v>13</v>
          </cell>
          <cell r="W39" t="b">
            <v>1</v>
          </cell>
        </row>
        <row r="40">
          <cell r="C40" t="str">
            <v>WJACPM31024</v>
          </cell>
          <cell r="D40">
            <v>200</v>
          </cell>
          <cell r="E40">
            <v>40256</v>
          </cell>
          <cell r="F40">
            <v>40262</v>
          </cell>
          <cell r="G40">
            <v>200</v>
          </cell>
          <cell r="H40">
            <v>95</v>
          </cell>
          <cell r="I40">
            <v>31</v>
          </cell>
          <cell r="J40">
            <v>15.5</v>
          </cell>
          <cell r="M40">
            <v>1</v>
          </cell>
          <cell r="N40">
            <v>5</v>
          </cell>
          <cell r="O40">
            <v>6</v>
          </cell>
          <cell r="Q40">
            <v>3</v>
          </cell>
          <cell r="R40">
            <v>6</v>
          </cell>
          <cell r="S40">
            <v>3</v>
          </cell>
          <cell r="T40">
            <v>7</v>
          </cell>
          <cell r="U40" t="str">
            <v>ACP</v>
          </cell>
          <cell r="V40">
            <v>31</v>
          </cell>
          <cell r="W40" t="b">
            <v>1</v>
          </cell>
        </row>
        <row r="41">
          <cell r="C41" t="str">
            <v>WJACPM32073</v>
          </cell>
          <cell r="D41">
            <v>200</v>
          </cell>
          <cell r="E41">
            <v>40256</v>
          </cell>
          <cell r="F41">
            <v>40262</v>
          </cell>
          <cell r="G41">
            <v>200</v>
          </cell>
          <cell r="H41">
            <v>86</v>
          </cell>
          <cell r="I41">
            <v>12</v>
          </cell>
          <cell r="J41">
            <v>6</v>
          </cell>
          <cell r="M41">
            <v>1</v>
          </cell>
          <cell r="N41">
            <v>2</v>
          </cell>
          <cell r="O41">
            <v>3</v>
          </cell>
          <cell r="R41">
            <v>1</v>
          </cell>
          <cell r="S41">
            <v>2</v>
          </cell>
          <cell r="T41">
            <v>3</v>
          </cell>
          <cell r="U41" t="str">
            <v>ACP</v>
          </cell>
          <cell r="V41">
            <v>12</v>
          </cell>
          <cell r="W41" t="b">
            <v>1</v>
          </cell>
        </row>
        <row r="42">
          <cell r="C42" t="str">
            <v>WJACPM33025</v>
          </cell>
          <cell r="D42">
            <v>200</v>
          </cell>
          <cell r="E42">
            <v>40256</v>
          </cell>
          <cell r="F42">
            <v>40262</v>
          </cell>
          <cell r="G42">
            <v>200</v>
          </cell>
          <cell r="H42">
            <v>82</v>
          </cell>
          <cell r="I42">
            <v>22</v>
          </cell>
          <cell r="J42">
            <v>11</v>
          </cell>
          <cell r="K42">
            <v>1</v>
          </cell>
          <cell r="L42">
            <v>1</v>
          </cell>
          <cell r="N42">
            <v>3</v>
          </cell>
          <cell r="O42">
            <v>6</v>
          </cell>
          <cell r="P42">
            <v>2</v>
          </cell>
          <cell r="Q42">
            <v>2</v>
          </cell>
          <cell r="R42">
            <v>1</v>
          </cell>
          <cell r="S42">
            <v>1</v>
          </cell>
          <cell r="T42">
            <v>5</v>
          </cell>
          <cell r="U42" t="str">
            <v>ACP</v>
          </cell>
          <cell r="V42">
            <v>22</v>
          </cell>
          <cell r="W42" t="b">
            <v>1</v>
          </cell>
        </row>
        <row r="43">
          <cell r="C43" t="str">
            <v>WJACPM34005</v>
          </cell>
          <cell r="D43">
            <v>200</v>
          </cell>
          <cell r="E43">
            <v>40256</v>
          </cell>
          <cell r="F43">
            <v>40262</v>
          </cell>
          <cell r="G43">
            <v>199</v>
          </cell>
          <cell r="H43">
            <v>77</v>
          </cell>
          <cell r="I43">
            <v>15</v>
          </cell>
          <cell r="J43">
            <v>7.54</v>
          </cell>
          <cell r="L43">
            <v>1</v>
          </cell>
          <cell r="M43">
            <v>2</v>
          </cell>
          <cell r="N43">
            <v>1</v>
          </cell>
          <cell r="O43">
            <v>3</v>
          </cell>
          <cell r="P43">
            <v>2</v>
          </cell>
          <cell r="R43">
            <v>2</v>
          </cell>
          <cell r="S43">
            <v>3</v>
          </cell>
          <cell r="T43">
            <v>1</v>
          </cell>
          <cell r="U43" t="str">
            <v>ACP</v>
          </cell>
          <cell r="V43">
            <v>15</v>
          </cell>
          <cell r="W43" t="b">
            <v>1</v>
          </cell>
        </row>
        <row r="44">
          <cell r="C44" t="str">
            <v>WJACPM35007</v>
          </cell>
          <cell r="D44">
            <v>100</v>
          </cell>
          <cell r="E44">
            <v>40256</v>
          </cell>
          <cell r="F44">
            <v>40262</v>
          </cell>
          <cell r="G44">
            <v>100</v>
          </cell>
          <cell r="H44">
            <v>49</v>
          </cell>
          <cell r="I44">
            <v>11</v>
          </cell>
          <cell r="J44">
            <v>11</v>
          </cell>
          <cell r="P44">
            <v>3</v>
          </cell>
          <cell r="Q44">
            <v>2</v>
          </cell>
          <cell r="R44">
            <v>2</v>
          </cell>
          <cell r="S44">
            <v>1</v>
          </cell>
          <cell r="T44">
            <v>3</v>
          </cell>
          <cell r="U44" t="str">
            <v>ACP</v>
          </cell>
          <cell r="V44">
            <v>11</v>
          </cell>
          <cell r="W44" t="b">
            <v>1</v>
          </cell>
        </row>
        <row r="45">
          <cell r="C45" t="str">
            <v>WJACPM36008</v>
          </cell>
          <cell r="D45">
            <v>300</v>
          </cell>
          <cell r="E45">
            <v>40256</v>
          </cell>
          <cell r="F45">
            <v>40262</v>
          </cell>
          <cell r="G45">
            <v>300</v>
          </cell>
          <cell r="H45">
            <v>130</v>
          </cell>
          <cell r="I45">
            <v>29</v>
          </cell>
          <cell r="J45">
            <v>9.67</v>
          </cell>
          <cell r="K45">
            <v>1</v>
          </cell>
          <cell r="M45">
            <v>1</v>
          </cell>
          <cell r="N45">
            <v>2</v>
          </cell>
          <cell r="O45">
            <v>4</v>
          </cell>
          <cell r="P45">
            <v>3</v>
          </cell>
          <cell r="Q45">
            <v>4</v>
          </cell>
          <cell r="R45">
            <v>5</v>
          </cell>
          <cell r="S45">
            <v>1</v>
          </cell>
          <cell r="T45">
            <v>8</v>
          </cell>
          <cell r="U45" t="str">
            <v>ACP</v>
          </cell>
          <cell r="V45">
            <v>29</v>
          </cell>
          <cell r="W45" t="b">
            <v>1</v>
          </cell>
        </row>
        <row r="46">
          <cell r="C46" t="str">
            <v>WJACPM36021</v>
          </cell>
          <cell r="D46">
            <v>500</v>
          </cell>
          <cell r="E46">
            <v>40256</v>
          </cell>
          <cell r="F46">
            <v>40262</v>
          </cell>
          <cell r="G46">
            <v>490</v>
          </cell>
          <cell r="H46">
            <v>175</v>
          </cell>
          <cell r="I46">
            <v>51</v>
          </cell>
          <cell r="J46">
            <v>10.41</v>
          </cell>
          <cell r="K46">
            <v>1</v>
          </cell>
          <cell r="L46">
            <v>1</v>
          </cell>
          <cell r="M46">
            <v>9</v>
          </cell>
          <cell r="N46">
            <v>2</v>
          </cell>
          <cell r="O46">
            <v>7</v>
          </cell>
          <cell r="P46">
            <v>6</v>
          </cell>
          <cell r="Q46">
            <v>7</v>
          </cell>
          <cell r="R46">
            <v>7</v>
          </cell>
          <cell r="S46">
            <v>6</v>
          </cell>
          <cell r="T46">
            <v>5</v>
          </cell>
          <cell r="U46" t="str">
            <v>ACP</v>
          </cell>
          <cell r="V46">
            <v>51</v>
          </cell>
          <cell r="W46" t="b">
            <v>1</v>
          </cell>
        </row>
        <row r="47">
          <cell r="C47" t="str">
            <v>WJACPM36033</v>
          </cell>
          <cell r="D47">
            <v>300</v>
          </cell>
          <cell r="E47">
            <v>40256</v>
          </cell>
          <cell r="F47">
            <v>40262</v>
          </cell>
          <cell r="G47">
            <v>300</v>
          </cell>
          <cell r="H47">
            <v>140</v>
          </cell>
          <cell r="I47">
            <v>26</v>
          </cell>
          <cell r="J47">
            <v>8.67</v>
          </cell>
          <cell r="K47">
            <v>1</v>
          </cell>
          <cell r="L47">
            <v>1</v>
          </cell>
          <cell r="M47">
            <v>3</v>
          </cell>
          <cell r="N47">
            <v>2</v>
          </cell>
          <cell r="O47">
            <v>3</v>
          </cell>
          <cell r="Q47">
            <v>3</v>
          </cell>
          <cell r="R47">
            <v>5</v>
          </cell>
          <cell r="S47">
            <v>3</v>
          </cell>
          <cell r="T47">
            <v>5</v>
          </cell>
          <cell r="U47" t="str">
            <v>ACP</v>
          </cell>
          <cell r="V47">
            <v>26</v>
          </cell>
          <cell r="W47" t="b">
            <v>1</v>
          </cell>
        </row>
        <row r="48">
          <cell r="C48" t="str">
            <v>WJAGLM01034</v>
          </cell>
          <cell r="D48">
            <v>200</v>
          </cell>
          <cell r="E48">
            <v>40260</v>
          </cell>
          <cell r="F48">
            <v>40261</v>
          </cell>
          <cell r="G48">
            <v>190</v>
          </cell>
          <cell r="H48">
            <v>145</v>
          </cell>
          <cell r="I48">
            <v>53</v>
          </cell>
          <cell r="J48">
            <v>27.89</v>
          </cell>
          <cell r="K48">
            <v>1</v>
          </cell>
          <cell r="L48">
            <v>1</v>
          </cell>
          <cell r="M48">
            <v>4</v>
          </cell>
          <cell r="N48">
            <v>12</v>
          </cell>
          <cell r="O48">
            <v>5</v>
          </cell>
          <cell r="P48">
            <v>6</v>
          </cell>
          <cell r="Q48">
            <v>7</v>
          </cell>
          <cell r="R48">
            <v>6</v>
          </cell>
          <cell r="S48">
            <v>6</v>
          </cell>
          <cell r="T48">
            <v>5</v>
          </cell>
          <cell r="U48" t="str">
            <v>ACP</v>
          </cell>
          <cell r="V48">
            <v>53</v>
          </cell>
          <cell r="W48" t="b">
            <v>1</v>
          </cell>
        </row>
        <row r="49">
          <cell r="C49" t="str">
            <v>WJAGLM01074</v>
          </cell>
          <cell r="D49">
            <v>150</v>
          </cell>
          <cell r="E49">
            <v>40260</v>
          </cell>
          <cell r="F49">
            <v>40261</v>
          </cell>
          <cell r="G49">
            <v>146</v>
          </cell>
          <cell r="H49">
            <v>117</v>
          </cell>
          <cell r="I49">
            <v>45</v>
          </cell>
          <cell r="J49">
            <v>30.82</v>
          </cell>
          <cell r="K49">
            <v>1</v>
          </cell>
          <cell r="L49">
            <v>1</v>
          </cell>
          <cell r="M49">
            <v>3</v>
          </cell>
          <cell r="N49">
            <v>10</v>
          </cell>
          <cell r="O49">
            <v>5</v>
          </cell>
          <cell r="P49">
            <v>6</v>
          </cell>
          <cell r="Q49">
            <v>8</v>
          </cell>
          <cell r="R49">
            <v>2</v>
          </cell>
          <cell r="S49">
            <v>8</v>
          </cell>
          <cell r="T49">
            <v>1</v>
          </cell>
          <cell r="U49" t="str">
            <v>AGL</v>
          </cell>
          <cell r="V49">
            <v>45</v>
          </cell>
          <cell r="W49" t="b">
            <v>1</v>
          </cell>
        </row>
        <row r="50">
          <cell r="C50" t="str">
            <v>WJAGLM02015</v>
          </cell>
          <cell r="D50">
            <v>200</v>
          </cell>
          <cell r="E50">
            <v>40260</v>
          </cell>
          <cell r="F50">
            <v>40261</v>
          </cell>
          <cell r="G50">
            <v>189</v>
          </cell>
          <cell r="H50">
            <v>110</v>
          </cell>
          <cell r="I50">
            <v>25</v>
          </cell>
          <cell r="J50">
            <v>13.23</v>
          </cell>
          <cell r="K50">
            <v>2</v>
          </cell>
          <cell r="L50">
            <v>1</v>
          </cell>
          <cell r="M50">
            <v>3</v>
          </cell>
          <cell r="O50">
            <v>1</v>
          </cell>
          <cell r="P50">
            <v>3</v>
          </cell>
          <cell r="Q50">
            <v>5</v>
          </cell>
          <cell r="R50">
            <v>4</v>
          </cell>
          <cell r="S50">
            <v>3</v>
          </cell>
          <cell r="T50">
            <v>3</v>
          </cell>
          <cell r="U50" t="str">
            <v>AGL</v>
          </cell>
          <cell r="V50">
            <v>25</v>
          </cell>
          <cell r="W50" t="b">
            <v>1</v>
          </cell>
        </row>
        <row r="51">
          <cell r="C51" t="str">
            <v>WJAGLM04024</v>
          </cell>
          <cell r="D51">
            <v>300</v>
          </cell>
          <cell r="E51">
            <v>40260</v>
          </cell>
          <cell r="F51">
            <v>40262</v>
          </cell>
          <cell r="G51">
            <v>293</v>
          </cell>
          <cell r="H51">
            <v>165</v>
          </cell>
          <cell r="I51">
            <v>44</v>
          </cell>
          <cell r="J51">
            <v>15.02</v>
          </cell>
          <cell r="K51">
            <v>8</v>
          </cell>
          <cell r="M51">
            <v>1</v>
          </cell>
          <cell r="N51">
            <v>2</v>
          </cell>
          <cell r="O51">
            <v>5</v>
          </cell>
          <cell r="P51">
            <v>2</v>
          </cell>
          <cell r="Q51">
            <v>4</v>
          </cell>
          <cell r="R51">
            <v>8</v>
          </cell>
          <cell r="S51">
            <v>8</v>
          </cell>
          <cell r="T51">
            <v>6</v>
          </cell>
          <cell r="U51" t="str">
            <v>AGL</v>
          </cell>
          <cell r="V51">
            <v>44</v>
          </cell>
          <cell r="W51" t="b">
            <v>1</v>
          </cell>
        </row>
        <row r="52">
          <cell r="C52" t="str">
            <v>WJAGLM05007</v>
          </cell>
          <cell r="D52">
            <v>300</v>
          </cell>
          <cell r="E52">
            <v>40260</v>
          </cell>
          <cell r="F52">
            <v>40261</v>
          </cell>
          <cell r="G52">
            <v>203</v>
          </cell>
          <cell r="H52">
            <v>95</v>
          </cell>
          <cell r="I52">
            <v>17</v>
          </cell>
          <cell r="J52">
            <v>8.3699999999999992</v>
          </cell>
          <cell r="K52">
            <v>2</v>
          </cell>
          <cell r="M52">
            <v>4</v>
          </cell>
          <cell r="N52">
            <v>1</v>
          </cell>
          <cell r="O52">
            <v>3</v>
          </cell>
          <cell r="P52">
            <v>4</v>
          </cell>
          <cell r="Q52">
            <v>1</v>
          </cell>
          <cell r="S52">
            <v>2</v>
          </cell>
          <cell r="U52" t="str">
            <v>AGL</v>
          </cell>
          <cell r="V52">
            <v>17</v>
          </cell>
          <cell r="W52" t="b">
            <v>1</v>
          </cell>
        </row>
        <row r="53">
          <cell r="C53" t="str">
            <v>WJAGLM21008</v>
          </cell>
          <cell r="D53">
            <v>500</v>
          </cell>
          <cell r="E53">
            <v>40256</v>
          </cell>
          <cell r="F53">
            <v>40262</v>
          </cell>
          <cell r="G53">
            <v>500</v>
          </cell>
          <cell r="H53">
            <v>200</v>
          </cell>
          <cell r="I53">
            <v>41</v>
          </cell>
          <cell r="J53">
            <v>8.1999999999999993</v>
          </cell>
          <cell r="M53">
            <v>1</v>
          </cell>
          <cell r="N53">
            <v>2</v>
          </cell>
          <cell r="O53">
            <v>4</v>
          </cell>
          <cell r="P53">
            <v>2</v>
          </cell>
          <cell r="Q53">
            <v>2</v>
          </cell>
          <cell r="R53">
            <v>7</v>
          </cell>
          <cell r="S53">
            <v>7</v>
          </cell>
          <cell r="T53">
            <v>16</v>
          </cell>
          <cell r="U53" t="str">
            <v>AGL</v>
          </cell>
          <cell r="V53">
            <v>41</v>
          </cell>
          <cell r="W53" t="b">
            <v>1</v>
          </cell>
        </row>
        <row r="54">
          <cell r="C54" t="str">
            <v>WJAGLM21013</v>
          </cell>
          <cell r="D54">
            <v>300</v>
          </cell>
          <cell r="E54">
            <v>40256</v>
          </cell>
          <cell r="F54">
            <v>40262</v>
          </cell>
          <cell r="G54">
            <v>300</v>
          </cell>
          <cell r="H54">
            <v>145</v>
          </cell>
          <cell r="I54">
            <v>17</v>
          </cell>
          <cell r="J54">
            <v>5.67</v>
          </cell>
          <cell r="M54">
            <v>1</v>
          </cell>
          <cell r="N54">
            <v>1</v>
          </cell>
          <cell r="O54">
            <v>3</v>
          </cell>
          <cell r="P54">
            <v>2</v>
          </cell>
          <cell r="R54">
            <v>3</v>
          </cell>
          <cell r="S54">
            <v>2</v>
          </cell>
          <cell r="T54">
            <v>5</v>
          </cell>
          <cell r="U54" t="str">
            <v>AGL</v>
          </cell>
          <cell r="V54">
            <v>17</v>
          </cell>
          <cell r="W54" t="b">
            <v>1</v>
          </cell>
        </row>
        <row r="55">
          <cell r="C55" t="str">
            <v>WJAGLM21021</v>
          </cell>
          <cell r="D55">
            <v>500</v>
          </cell>
          <cell r="E55">
            <v>40256</v>
          </cell>
          <cell r="F55">
            <v>40262</v>
          </cell>
          <cell r="G55">
            <v>500</v>
          </cell>
          <cell r="H55">
            <v>135</v>
          </cell>
          <cell r="I55">
            <v>9</v>
          </cell>
          <cell r="J55">
            <v>1.8</v>
          </cell>
          <cell r="M55">
            <v>1</v>
          </cell>
          <cell r="N55">
            <v>1</v>
          </cell>
          <cell r="R55">
            <v>1</v>
          </cell>
          <cell r="S55">
            <v>3</v>
          </cell>
          <cell r="T55">
            <v>3</v>
          </cell>
          <cell r="U55" t="str">
            <v>AGL</v>
          </cell>
          <cell r="V55">
            <v>9</v>
          </cell>
          <cell r="W55" t="b">
            <v>1</v>
          </cell>
        </row>
        <row r="56">
          <cell r="C56" t="str">
            <v>WJAGLM22008</v>
          </cell>
          <cell r="D56">
            <v>500</v>
          </cell>
          <cell r="E56">
            <v>40256</v>
          </cell>
          <cell r="F56">
            <v>40262</v>
          </cell>
          <cell r="G56">
            <v>495</v>
          </cell>
          <cell r="H56">
            <v>160</v>
          </cell>
          <cell r="I56">
            <v>27</v>
          </cell>
          <cell r="J56">
            <v>5.45</v>
          </cell>
          <cell r="M56">
            <v>2</v>
          </cell>
          <cell r="O56">
            <v>4</v>
          </cell>
          <cell r="P56">
            <v>2</v>
          </cell>
          <cell r="Q56">
            <v>1</v>
          </cell>
          <cell r="R56">
            <v>7</v>
          </cell>
          <cell r="S56">
            <v>4</v>
          </cell>
          <cell r="T56">
            <v>7</v>
          </cell>
          <cell r="U56" t="str">
            <v>AGL</v>
          </cell>
          <cell r="V56">
            <v>27</v>
          </cell>
          <cell r="W56" t="b">
            <v>1</v>
          </cell>
        </row>
        <row r="57">
          <cell r="C57" t="str">
            <v>WJAGLM22021</v>
          </cell>
          <cell r="D57">
            <v>300</v>
          </cell>
          <cell r="E57">
            <v>40256</v>
          </cell>
          <cell r="F57">
            <v>40262</v>
          </cell>
          <cell r="G57">
            <v>280</v>
          </cell>
          <cell r="H57">
            <v>140</v>
          </cell>
          <cell r="I57">
            <v>17</v>
          </cell>
          <cell r="J57">
            <v>6.07</v>
          </cell>
          <cell r="K57">
            <v>1</v>
          </cell>
          <cell r="O57">
            <v>2</v>
          </cell>
          <cell r="P57">
            <v>2</v>
          </cell>
          <cell r="Q57">
            <v>2</v>
          </cell>
          <cell r="R57">
            <v>5</v>
          </cell>
          <cell r="S57">
            <v>1</v>
          </cell>
          <cell r="T57">
            <v>4</v>
          </cell>
          <cell r="U57" t="str">
            <v>AGL</v>
          </cell>
          <cell r="V57">
            <v>17</v>
          </cell>
          <cell r="W57" t="b">
            <v>1</v>
          </cell>
        </row>
        <row r="58">
          <cell r="C58" t="str">
            <v>WJAGLM22052</v>
          </cell>
          <cell r="D58">
            <v>300</v>
          </cell>
          <cell r="E58">
            <v>40256</v>
          </cell>
          <cell r="F58">
            <v>40262</v>
          </cell>
          <cell r="G58">
            <v>290</v>
          </cell>
          <cell r="H58">
            <v>200</v>
          </cell>
          <cell r="I58">
            <v>44</v>
          </cell>
          <cell r="J58">
            <v>15.17</v>
          </cell>
          <cell r="M58">
            <v>2</v>
          </cell>
          <cell r="N58">
            <v>2</v>
          </cell>
          <cell r="O58">
            <v>2</v>
          </cell>
          <cell r="P58">
            <v>5</v>
          </cell>
          <cell r="Q58">
            <v>10</v>
          </cell>
          <cell r="R58">
            <v>15</v>
          </cell>
          <cell r="S58">
            <v>6</v>
          </cell>
          <cell r="T58">
            <v>2</v>
          </cell>
          <cell r="U58" t="str">
            <v>AGL</v>
          </cell>
          <cell r="V58">
            <v>44</v>
          </cell>
          <cell r="W58" t="b">
            <v>1</v>
          </cell>
        </row>
        <row r="59">
          <cell r="C59" t="str">
            <v>WJAJKI02007</v>
          </cell>
          <cell r="D59">
            <v>200</v>
          </cell>
          <cell r="E59">
            <v>40245</v>
          </cell>
          <cell r="F59">
            <v>40247</v>
          </cell>
          <cell r="G59">
            <v>200</v>
          </cell>
          <cell r="H59">
            <v>72</v>
          </cell>
          <cell r="I59">
            <v>1</v>
          </cell>
          <cell r="J59">
            <v>0.5</v>
          </cell>
          <cell r="Q59">
            <v>1</v>
          </cell>
          <cell r="U59" t="str">
            <v>AGL</v>
          </cell>
          <cell r="V59">
            <v>1</v>
          </cell>
          <cell r="W59" t="b">
            <v>1</v>
          </cell>
        </row>
        <row r="60">
          <cell r="C60" t="str">
            <v>WJAJKI02073</v>
          </cell>
          <cell r="D60">
            <v>184</v>
          </cell>
          <cell r="E60">
            <v>40245</v>
          </cell>
          <cell r="F60">
            <v>40247</v>
          </cell>
          <cell r="G60">
            <v>184</v>
          </cell>
          <cell r="H60">
            <v>86</v>
          </cell>
          <cell r="I60">
            <v>10</v>
          </cell>
          <cell r="J60">
            <v>5.43</v>
          </cell>
          <cell r="K60">
            <v>2</v>
          </cell>
          <cell r="M60">
            <v>5</v>
          </cell>
          <cell r="P60">
            <v>1</v>
          </cell>
          <cell r="U60" t="str">
            <v>AJK</v>
          </cell>
          <cell r="V60">
            <v>8</v>
          </cell>
          <cell r="W60" t="b">
            <v>0</v>
          </cell>
        </row>
        <row r="61">
          <cell r="C61" t="str">
            <v>WJAJKI02074</v>
          </cell>
          <cell r="D61">
            <v>200</v>
          </cell>
          <cell r="E61">
            <v>40245</v>
          </cell>
          <cell r="F61">
            <v>40247</v>
          </cell>
          <cell r="G61">
            <v>200</v>
          </cell>
          <cell r="H61">
            <v>69</v>
          </cell>
          <cell r="I61">
            <v>1</v>
          </cell>
          <cell r="J61">
            <v>0.5</v>
          </cell>
          <cell r="K61">
            <v>1</v>
          </cell>
          <cell r="U61" t="str">
            <v>AJK</v>
          </cell>
          <cell r="V61">
            <v>1</v>
          </cell>
          <cell r="W61" t="b">
            <v>1</v>
          </cell>
        </row>
        <row r="62">
          <cell r="C62" t="str">
            <v>WJAJKI03007</v>
          </cell>
          <cell r="D62">
            <v>200</v>
          </cell>
          <cell r="E62">
            <v>40263</v>
          </cell>
          <cell r="F62">
            <v>40263</v>
          </cell>
          <cell r="G62">
            <v>200</v>
          </cell>
          <cell r="H62">
            <v>67</v>
          </cell>
          <cell r="U62" t="str">
            <v>AJK</v>
          </cell>
          <cell r="V62">
            <v>0</v>
          </cell>
          <cell r="W62" t="b">
            <v>1</v>
          </cell>
        </row>
        <row r="63">
          <cell r="C63" t="str">
            <v>WJAJKI03027</v>
          </cell>
          <cell r="D63">
            <v>200</v>
          </cell>
          <cell r="E63">
            <v>40263</v>
          </cell>
          <cell r="F63">
            <v>40263</v>
          </cell>
          <cell r="G63">
            <v>200</v>
          </cell>
          <cell r="H63">
            <v>70</v>
          </cell>
          <cell r="U63" t="str">
            <v>AJK</v>
          </cell>
          <cell r="V63">
            <v>0</v>
          </cell>
          <cell r="W63" t="b">
            <v>1</v>
          </cell>
        </row>
        <row r="64">
          <cell r="C64" t="str">
            <v>WJAJKI05001</v>
          </cell>
          <cell r="D64">
            <v>150</v>
          </cell>
          <cell r="E64">
            <v>40262</v>
          </cell>
          <cell r="F64">
            <v>40262</v>
          </cell>
          <cell r="G64">
            <v>150</v>
          </cell>
          <cell r="H64">
            <v>91</v>
          </cell>
          <cell r="S64">
            <v>1</v>
          </cell>
          <cell r="T64">
            <v>-1</v>
          </cell>
          <cell r="U64" t="str">
            <v>AJK</v>
          </cell>
          <cell r="V64">
            <v>0</v>
          </cell>
          <cell r="W64" t="b">
            <v>1</v>
          </cell>
        </row>
        <row r="65">
          <cell r="C65" t="str">
            <v>WJAJKI05026</v>
          </cell>
          <cell r="D65">
            <v>250</v>
          </cell>
          <cell r="E65">
            <v>40262</v>
          </cell>
          <cell r="F65">
            <v>40262</v>
          </cell>
          <cell r="G65">
            <v>254</v>
          </cell>
          <cell r="H65">
            <v>101</v>
          </cell>
          <cell r="I65">
            <v>3</v>
          </cell>
          <cell r="J65">
            <v>1.18</v>
          </cell>
          <cell r="N65">
            <v>1</v>
          </cell>
          <cell r="O65">
            <v>1</v>
          </cell>
          <cell r="S65">
            <v>1</v>
          </cell>
          <cell r="U65" t="str">
            <v>AJK</v>
          </cell>
          <cell r="V65">
            <v>3</v>
          </cell>
          <cell r="W65" t="b">
            <v>1</v>
          </cell>
        </row>
        <row r="66">
          <cell r="C66" t="str">
            <v>WJAJKI06007</v>
          </cell>
          <cell r="D66">
            <v>150</v>
          </cell>
          <cell r="E66">
            <v>40262</v>
          </cell>
          <cell r="F66">
            <v>40262</v>
          </cell>
          <cell r="G66">
            <v>150</v>
          </cell>
          <cell r="H66">
            <v>95</v>
          </cell>
          <cell r="I66">
            <v>7</v>
          </cell>
          <cell r="J66">
            <v>4.67</v>
          </cell>
          <cell r="K66">
            <v>2</v>
          </cell>
          <cell r="O66">
            <v>2</v>
          </cell>
          <cell r="R66">
            <v>1</v>
          </cell>
          <cell r="S66">
            <v>1</v>
          </cell>
          <cell r="T66">
            <v>1</v>
          </cell>
          <cell r="U66" t="str">
            <v>AJK</v>
          </cell>
          <cell r="V66">
            <v>7</v>
          </cell>
          <cell r="W66" t="b">
            <v>1</v>
          </cell>
        </row>
        <row r="67">
          <cell r="C67" t="str">
            <v>WJAJKI06026</v>
          </cell>
          <cell r="D67">
            <v>200</v>
          </cell>
          <cell r="E67">
            <v>40262</v>
          </cell>
          <cell r="F67">
            <v>40262</v>
          </cell>
          <cell r="G67">
            <v>200</v>
          </cell>
          <cell r="H67">
            <v>98</v>
          </cell>
          <cell r="I67">
            <v>8</v>
          </cell>
          <cell r="J67">
            <v>4</v>
          </cell>
          <cell r="K67">
            <v>4</v>
          </cell>
          <cell r="L67">
            <v>1</v>
          </cell>
          <cell r="M67">
            <v>1</v>
          </cell>
          <cell r="P67">
            <v>1</v>
          </cell>
          <cell r="R67">
            <v>1</v>
          </cell>
          <cell r="U67" t="str">
            <v>AJK</v>
          </cell>
          <cell r="V67">
            <v>8</v>
          </cell>
          <cell r="W67" t="b">
            <v>1</v>
          </cell>
        </row>
        <row r="68">
          <cell r="C68" t="str">
            <v>WJAJKI06076</v>
          </cell>
          <cell r="D68">
            <v>150</v>
          </cell>
          <cell r="E68">
            <v>40262</v>
          </cell>
          <cell r="F68">
            <v>40262</v>
          </cell>
          <cell r="G68">
            <v>150</v>
          </cell>
          <cell r="H68">
            <v>99</v>
          </cell>
          <cell r="I68">
            <v>6</v>
          </cell>
          <cell r="J68">
            <v>4</v>
          </cell>
          <cell r="M68">
            <v>1</v>
          </cell>
          <cell r="N68">
            <v>1</v>
          </cell>
          <cell r="O68">
            <v>1</v>
          </cell>
          <cell r="P68">
            <v>2</v>
          </cell>
          <cell r="R68">
            <v>1</v>
          </cell>
          <cell r="U68" t="str">
            <v>AJK</v>
          </cell>
          <cell r="V68">
            <v>6</v>
          </cell>
          <cell r="W68" t="b">
            <v>1</v>
          </cell>
        </row>
        <row r="69">
          <cell r="C69" t="str">
            <v>WJAJKI07002</v>
          </cell>
          <cell r="D69">
            <v>100</v>
          </cell>
          <cell r="E69">
            <v>40263</v>
          </cell>
          <cell r="F69">
            <v>40263</v>
          </cell>
          <cell r="G69">
            <v>100</v>
          </cell>
          <cell r="H69">
            <v>59</v>
          </cell>
          <cell r="I69">
            <v>7</v>
          </cell>
          <cell r="J69">
            <v>7</v>
          </cell>
          <cell r="K69">
            <v>1</v>
          </cell>
          <cell r="L69">
            <v>1</v>
          </cell>
          <cell r="N69">
            <v>1</v>
          </cell>
          <cell r="O69">
            <v>3</v>
          </cell>
          <cell r="T69">
            <v>1</v>
          </cell>
          <cell r="U69" t="str">
            <v>AJK</v>
          </cell>
          <cell r="V69">
            <v>7</v>
          </cell>
          <cell r="W69" t="b">
            <v>1</v>
          </cell>
        </row>
        <row r="70">
          <cell r="C70" t="str">
            <v>WJAJKI07014</v>
          </cell>
          <cell r="D70">
            <v>100</v>
          </cell>
          <cell r="E70">
            <v>40263</v>
          </cell>
          <cell r="F70">
            <v>40263</v>
          </cell>
          <cell r="G70">
            <v>102</v>
          </cell>
          <cell r="H70">
            <v>63</v>
          </cell>
          <cell r="I70">
            <v>9</v>
          </cell>
          <cell r="J70">
            <v>8.82</v>
          </cell>
          <cell r="L70">
            <v>1</v>
          </cell>
          <cell r="M70">
            <v>2</v>
          </cell>
          <cell r="N70">
            <v>4</v>
          </cell>
          <cell r="O70">
            <v>1</v>
          </cell>
          <cell r="S70">
            <v>1</v>
          </cell>
          <cell r="U70" t="str">
            <v>AJK</v>
          </cell>
          <cell r="V70">
            <v>9</v>
          </cell>
          <cell r="W70" t="b">
            <v>1</v>
          </cell>
        </row>
        <row r="71">
          <cell r="C71" t="str">
            <v>WJAJKI09007</v>
          </cell>
          <cell r="D71">
            <v>70</v>
          </cell>
          <cell r="E71">
            <v>40263</v>
          </cell>
          <cell r="F71">
            <v>40263</v>
          </cell>
          <cell r="G71">
            <v>69</v>
          </cell>
          <cell r="H71">
            <v>34</v>
          </cell>
          <cell r="U71" t="str">
            <v>AJK</v>
          </cell>
          <cell r="V71">
            <v>0</v>
          </cell>
          <cell r="W71" t="b">
            <v>1</v>
          </cell>
        </row>
        <row r="72">
          <cell r="C72" t="str">
            <v>WJAJKI09026</v>
          </cell>
          <cell r="D72">
            <v>70</v>
          </cell>
          <cell r="E72">
            <v>40263</v>
          </cell>
          <cell r="F72">
            <v>40263</v>
          </cell>
          <cell r="G72">
            <v>70</v>
          </cell>
          <cell r="H72">
            <v>37</v>
          </cell>
          <cell r="U72" t="str">
            <v>AJK</v>
          </cell>
          <cell r="V72">
            <v>0</v>
          </cell>
          <cell r="W72" t="b">
            <v>1</v>
          </cell>
        </row>
        <row r="73">
          <cell r="C73" t="str">
            <v>WJAJKI11001</v>
          </cell>
          <cell r="D73">
            <v>50</v>
          </cell>
          <cell r="E73">
            <v>40294</v>
          </cell>
          <cell r="F73">
            <v>40309</v>
          </cell>
          <cell r="G73">
            <v>50</v>
          </cell>
          <cell r="H73">
            <v>20</v>
          </cell>
          <cell r="S73">
            <v>1</v>
          </cell>
          <cell r="T73">
            <v>-1</v>
          </cell>
          <cell r="U73" t="str">
            <v>AJK</v>
          </cell>
          <cell r="V73">
            <v>0</v>
          </cell>
          <cell r="W73" t="b">
            <v>1</v>
          </cell>
        </row>
        <row r="74">
          <cell r="C74" t="str">
            <v>WJAJKI11026</v>
          </cell>
          <cell r="D74">
            <v>50</v>
          </cell>
          <cell r="E74">
            <v>40294</v>
          </cell>
          <cell r="F74">
            <v>40309</v>
          </cell>
          <cell r="G74">
            <v>41</v>
          </cell>
          <cell r="H74">
            <v>19</v>
          </cell>
          <cell r="U74" t="str">
            <v>AJK</v>
          </cell>
          <cell r="V74">
            <v>0</v>
          </cell>
          <cell r="W74" t="b">
            <v>1</v>
          </cell>
        </row>
        <row r="75">
          <cell r="C75" t="str">
            <v>WJAJKI11076</v>
          </cell>
          <cell r="D75">
            <v>50</v>
          </cell>
          <cell r="E75">
            <v>40294</v>
          </cell>
          <cell r="F75">
            <v>40309</v>
          </cell>
          <cell r="G75">
            <v>50</v>
          </cell>
          <cell r="H75">
            <v>19</v>
          </cell>
          <cell r="U75" t="str">
            <v>AJK</v>
          </cell>
          <cell r="V75">
            <v>0</v>
          </cell>
          <cell r="W75" t="b">
            <v>1</v>
          </cell>
        </row>
        <row r="76">
          <cell r="C76" t="str">
            <v>WJAJKI12007</v>
          </cell>
          <cell r="D76">
            <v>50</v>
          </cell>
          <cell r="E76">
            <v>40294</v>
          </cell>
          <cell r="F76">
            <v>40309</v>
          </cell>
          <cell r="G76">
            <v>50</v>
          </cell>
          <cell r="H76">
            <v>22</v>
          </cell>
          <cell r="I76">
            <v>1</v>
          </cell>
          <cell r="J76">
            <v>2</v>
          </cell>
          <cell r="T76">
            <v>1</v>
          </cell>
          <cell r="U76" t="str">
            <v>AJK</v>
          </cell>
          <cell r="V76">
            <v>1</v>
          </cell>
          <cell r="W76" t="b">
            <v>1</v>
          </cell>
        </row>
        <row r="77">
          <cell r="C77" t="str">
            <v>WJAJKI12026</v>
          </cell>
          <cell r="D77">
            <v>50</v>
          </cell>
          <cell r="E77">
            <v>40294</v>
          </cell>
          <cell r="F77">
            <v>40309</v>
          </cell>
          <cell r="G77">
            <v>50</v>
          </cell>
          <cell r="H77">
            <v>19</v>
          </cell>
          <cell r="U77" t="str">
            <v>AJK</v>
          </cell>
          <cell r="V77">
            <v>0</v>
          </cell>
          <cell r="W77" t="b">
            <v>1</v>
          </cell>
        </row>
        <row r="78">
          <cell r="C78" t="str">
            <v>WJAJKM01027</v>
          </cell>
          <cell r="D78">
            <v>400</v>
          </cell>
          <cell r="E78">
            <v>40259</v>
          </cell>
          <cell r="F78">
            <v>40260</v>
          </cell>
          <cell r="G78">
            <v>396</v>
          </cell>
          <cell r="H78">
            <v>123</v>
          </cell>
          <cell r="I78">
            <v>13</v>
          </cell>
          <cell r="J78">
            <v>3.28</v>
          </cell>
          <cell r="K78">
            <v>4</v>
          </cell>
          <cell r="L78">
            <v>1</v>
          </cell>
          <cell r="M78">
            <v>2</v>
          </cell>
          <cell r="N78">
            <v>1</v>
          </cell>
          <cell r="O78">
            <v>2</v>
          </cell>
          <cell r="P78">
            <v>3</v>
          </cell>
          <cell r="U78" t="str">
            <v>AJK</v>
          </cell>
          <cell r="V78">
            <v>13</v>
          </cell>
          <cell r="W78" t="b">
            <v>1</v>
          </cell>
        </row>
        <row r="79">
          <cell r="C79" t="str">
            <v>WJAJKM01073</v>
          </cell>
          <cell r="D79">
            <v>400</v>
          </cell>
          <cell r="E79">
            <v>40259</v>
          </cell>
          <cell r="F79">
            <v>40260</v>
          </cell>
          <cell r="G79">
            <v>401</v>
          </cell>
          <cell r="H79">
            <v>123</v>
          </cell>
          <cell r="I79">
            <v>11</v>
          </cell>
          <cell r="J79">
            <v>2.74</v>
          </cell>
          <cell r="K79">
            <v>1</v>
          </cell>
          <cell r="M79">
            <v>3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T79">
            <v>2</v>
          </cell>
          <cell r="U79" t="str">
            <v>AJK</v>
          </cell>
          <cell r="V79">
            <v>11</v>
          </cell>
          <cell r="W79" t="b">
            <v>1</v>
          </cell>
        </row>
        <row r="80">
          <cell r="C80" t="str">
            <v>WJAJKM02007</v>
          </cell>
          <cell r="D80">
            <v>350</v>
          </cell>
          <cell r="E80">
            <v>40262</v>
          </cell>
          <cell r="F80">
            <v>40262</v>
          </cell>
          <cell r="G80">
            <v>323</v>
          </cell>
          <cell r="H80">
            <v>128</v>
          </cell>
          <cell r="I80">
            <v>6</v>
          </cell>
          <cell r="J80">
            <v>1.86</v>
          </cell>
          <cell r="L80">
            <v>1</v>
          </cell>
          <cell r="M80">
            <v>3</v>
          </cell>
          <cell r="P80">
            <v>1</v>
          </cell>
          <cell r="Q80">
            <v>1</v>
          </cell>
          <cell r="U80" t="str">
            <v>AJK</v>
          </cell>
          <cell r="V80">
            <v>6</v>
          </cell>
          <cell r="W80" t="b">
            <v>1</v>
          </cell>
        </row>
        <row r="81">
          <cell r="C81" t="str">
            <v>WJAJKM02024</v>
          </cell>
          <cell r="D81">
            <v>450</v>
          </cell>
          <cell r="E81">
            <v>40262</v>
          </cell>
          <cell r="F81">
            <v>40262</v>
          </cell>
          <cell r="G81">
            <v>412</v>
          </cell>
          <cell r="H81">
            <v>191</v>
          </cell>
          <cell r="I81">
            <v>43</v>
          </cell>
          <cell r="J81">
            <v>10.44</v>
          </cell>
          <cell r="K81">
            <v>2</v>
          </cell>
          <cell r="L81">
            <v>1</v>
          </cell>
          <cell r="M81">
            <v>6</v>
          </cell>
          <cell r="N81">
            <v>22</v>
          </cell>
          <cell r="O81">
            <v>4</v>
          </cell>
          <cell r="P81">
            <v>1</v>
          </cell>
          <cell r="Q81">
            <v>3</v>
          </cell>
          <cell r="S81">
            <v>1</v>
          </cell>
          <cell r="T81">
            <v>3</v>
          </cell>
          <cell r="U81" t="str">
            <v>AJK</v>
          </cell>
          <cell r="V81">
            <v>43</v>
          </cell>
          <cell r="W81" t="b">
            <v>1</v>
          </cell>
        </row>
        <row r="82">
          <cell r="C82" t="str">
            <v>WJAJKM02073</v>
          </cell>
          <cell r="D82">
            <v>350</v>
          </cell>
          <cell r="E82">
            <v>40262</v>
          </cell>
          <cell r="F82">
            <v>40262</v>
          </cell>
          <cell r="G82">
            <v>343</v>
          </cell>
          <cell r="H82">
            <v>204</v>
          </cell>
          <cell r="I82">
            <v>53</v>
          </cell>
          <cell r="J82">
            <v>15.45</v>
          </cell>
          <cell r="L82">
            <v>2</v>
          </cell>
          <cell r="M82">
            <v>9</v>
          </cell>
          <cell r="N82">
            <v>26</v>
          </cell>
          <cell r="O82">
            <v>4</v>
          </cell>
          <cell r="P82">
            <v>3</v>
          </cell>
          <cell r="Q82">
            <v>5</v>
          </cell>
          <cell r="R82">
            <v>1</v>
          </cell>
          <cell r="S82">
            <v>3</v>
          </cell>
          <cell r="U82" t="str">
            <v>AJK</v>
          </cell>
          <cell r="V82">
            <v>53</v>
          </cell>
          <cell r="W82" t="b">
            <v>1</v>
          </cell>
        </row>
        <row r="83">
          <cell r="C83" t="str">
            <v>WJAJKM03007</v>
          </cell>
          <cell r="D83">
            <v>250</v>
          </cell>
          <cell r="E83">
            <v>40259</v>
          </cell>
          <cell r="F83">
            <v>40260</v>
          </cell>
          <cell r="G83">
            <v>246</v>
          </cell>
          <cell r="H83">
            <v>80</v>
          </cell>
          <cell r="I83">
            <v>9</v>
          </cell>
          <cell r="J83">
            <v>3.66</v>
          </cell>
          <cell r="N83">
            <v>1</v>
          </cell>
          <cell r="O83">
            <v>5</v>
          </cell>
          <cell r="Q83">
            <v>1</v>
          </cell>
          <cell r="R83">
            <v>1</v>
          </cell>
          <cell r="T83">
            <v>1</v>
          </cell>
          <cell r="U83" t="str">
            <v>AJK</v>
          </cell>
          <cell r="V83">
            <v>9</v>
          </cell>
          <cell r="W83" t="b">
            <v>1</v>
          </cell>
        </row>
        <row r="84">
          <cell r="C84" t="str">
            <v>WJAJKM03024</v>
          </cell>
          <cell r="D84">
            <v>350</v>
          </cell>
          <cell r="E84">
            <v>40259</v>
          </cell>
          <cell r="F84">
            <v>40260</v>
          </cell>
          <cell r="G84">
            <v>341</v>
          </cell>
          <cell r="H84">
            <v>127</v>
          </cell>
          <cell r="I84">
            <v>17</v>
          </cell>
          <cell r="J84">
            <v>4.99</v>
          </cell>
          <cell r="K84">
            <v>7</v>
          </cell>
          <cell r="L84">
            <v>-1</v>
          </cell>
          <cell r="M84">
            <v>4</v>
          </cell>
          <cell r="N84">
            <v>1</v>
          </cell>
          <cell r="O84">
            <v>3</v>
          </cell>
          <cell r="P84">
            <v>1</v>
          </cell>
          <cell r="Q84">
            <v>1</v>
          </cell>
          <cell r="T84">
            <v>1</v>
          </cell>
          <cell r="U84" t="str">
            <v>AJK</v>
          </cell>
          <cell r="V84">
            <v>17</v>
          </cell>
          <cell r="W84" t="b">
            <v>1</v>
          </cell>
        </row>
        <row r="85">
          <cell r="C85" t="str">
            <v>WJAJKM03073</v>
          </cell>
          <cell r="D85">
            <v>250</v>
          </cell>
          <cell r="E85">
            <v>40259</v>
          </cell>
          <cell r="F85">
            <v>40260</v>
          </cell>
          <cell r="G85">
            <v>222</v>
          </cell>
          <cell r="H85">
            <v>75</v>
          </cell>
          <cell r="I85">
            <v>5</v>
          </cell>
          <cell r="J85">
            <v>2.25</v>
          </cell>
          <cell r="K85">
            <v>2</v>
          </cell>
          <cell r="L85">
            <v>1</v>
          </cell>
          <cell r="N85">
            <v>1</v>
          </cell>
          <cell r="R85">
            <v>1</v>
          </cell>
          <cell r="U85" t="str">
            <v>AJK</v>
          </cell>
          <cell r="V85">
            <v>5</v>
          </cell>
          <cell r="W85" t="b">
            <v>1</v>
          </cell>
        </row>
        <row r="86">
          <cell r="C86" t="str">
            <v>WJAJKM04007</v>
          </cell>
          <cell r="D86">
            <v>250</v>
          </cell>
          <cell r="E86">
            <v>40270</v>
          </cell>
          <cell r="F86">
            <v>40269</v>
          </cell>
          <cell r="G86">
            <v>224</v>
          </cell>
          <cell r="H86">
            <v>121</v>
          </cell>
          <cell r="I86">
            <v>32</v>
          </cell>
          <cell r="J86">
            <v>14.29</v>
          </cell>
          <cell r="L86">
            <v>1</v>
          </cell>
          <cell r="M86">
            <v>8</v>
          </cell>
          <cell r="N86">
            <v>4</v>
          </cell>
          <cell r="O86">
            <v>4</v>
          </cell>
          <cell r="P86">
            <v>6</v>
          </cell>
          <cell r="Q86">
            <v>2</v>
          </cell>
          <cell r="R86">
            <v>4</v>
          </cell>
          <cell r="S86">
            <v>2</v>
          </cell>
          <cell r="T86">
            <v>1</v>
          </cell>
          <cell r="U86" t="str">
            <v>AJK</v>
          </cell>
          <cell r="V86">
            <v>32</v>
          </cell>
          <cell r="W86" t="b">
            <v>1</v>
          </cell>
        </row>
        <row r="87">
          <cell r="C87" t="str">
            <v>WJAJKM04025</v>
          </cell>
          <cell r="D87">
            <v>250</v>
          </cell>
          <cell r="E87">
            <v>40270</v>
          </cell>
          <cell r="F87">
            <v>40269</v>
          </cell>
          <cell r="G87">
            <v>227</v>
          </cell>
          <cell r="H87">
            <v>199</v>
          </cell>
          <cell r="I87">
            <v>72</v>
          </cell>
          <cell r="J87">
            <v>31.72</v>
          </cell>
          <cell r="M87">
            <v>14</v>
          </cell>
          <cell r="N87">
            <v>18</v>
          </cell>
          <cell r="O87">
            <v>10</v>
          </cell>
          <cell r="P87">
            <v>10</v>
          </cell>
          <cell r="Q87">
            <v>10</v>
          </cell>
          <cell r="R87">
            <v>4</v>
          </cell>
          <cell r="S87">
            <v>1</v>
          </cell>
          <cell r="T87">
            <v>5</v>
          </cell>
          <cell r="U87" t="str">
            <v>AJK</v>
          </cell>
          <cell r="V87">
            <v>72</v>
          </cell>
          <cell r="W87" t="b">
            <v>1</v>
          </cell>
        </row>
        <row r="88">
          <cell r="C88" t="str">
            <v>WJAJKM05027</v>
          </cell>
          <cell r="D88">
            <v>350</v>
          </cell>
          <cell r="E88">
            <v>40262</v>
          </cell>
          <cell r="F88">
            <v>40262</v>
          </cell>
          <cell r="G88">
            <v>339</v>
          </cell>
          <cell r="H88">
            <v>127</v>
          </cell>
          <cell r="I88">
            <v>19</v>
          </cell>
          <cell r="J88">
            <v>5.6</v>
          </cell>
          <cell r="K88">
            <v>1</v>
          </cell>
          <cell r="L88">
            <v>1</v>
          </cell>
          <cell r="M88">
            <v>4</v>
          </cell>
          <cell r="N88">
            <v>4</v>
          </cell>
          <cell r="O88">
            <v>2</v>
          </cell>
          <cell r="P88">
            <v>2</v>
          </cell>
          <cell r="Q88">
            <v>3</v>
          </cell>
          <cell r="S88">
            <v>2</v>
          </cell>
          <cell r="U88" t="str">
            <v>AJK</v>
          </cell>
          <cell r="V88">
            <v>19</v>
          </cell>
          <cell r="W88" t="b">
            <v>1</v>
          </cell>
        </row>
        <row r="89">
          <cell r="C89" t="str">
            <v>WJAJKM05053</v>
          </cell>
          <cell r="D89">
            <v>250</v>
          </cell>
          <cell r="E89">
            <v>40262</v>
          </cell>
          <cell r="F89">
            <v>40262</v>
          </cell>
          <cell r="G89">
            <v>235</v>
          </cell>
          <cell r="H89">
            <v>141</v>
          </cell>
          <cell r="I89">
            <v>45</v>
          </cell>
          <cell r="J89">
            <v>19.149999999999999</v>
          </cell>
          <cell r="M89">
            <v>6</v>
          </cell>
          <cell r="N89">
            <v>10</v>
          </cell>
          <cell r="O89">
            <v>5</v>
          </cell>
          <cell r="P89">
            <v>8</v>
          </cell>
          <cell r="Q89">
            <v>7</v>
          </cell>
          <cell r="R89">
            <v>4</v>
          </cell>
          <cell r="S89">
            <v>3</v>
          </cell>
          <cell r="T89">
            <v>2</v>
          </cell>
          <cell r="U89" t="str">
            <v>AJK</v>
          </cell>
          <cell r="V89">
            <v>45</v>
          </cell>
          <cell r="W89" t="b">
            <v>1</v>
          </cell>
        </row>
        <row r="90">
          <cell r="C90" t="str">
            <v>WJAJKM06027</v>
          </cell>
          <cell r="D90">
            <v>250</v>
          </cell>
          <cell r="E90">
            <v>40316</v>
          </cell>
          <cell r="F90">
            <v>40269</v>
          </cell>
          <cell r="G90">
            <v>151</v>
          </cell>
          <cell r="H90">
            <v>45</v>
          </cell>
          <cell r="U90" t="str">
            <v>AJK</v>
          </cell>
          <cell r="V90">
            <v>0</v>
          </cell>
          <cell r="W90" t="b">
            <v>1</v>
          </cell>
        </row>
        <row r="91">
          <cell r="C91" t="str">
            <v>WJAJKM06046</v>
          </cell>
          <cell r="D91">
            <v>200</v>
          </cell>
          <cell r="E91">
            <v>40316</v>
          </cell>
          <cell r="F91">
            <v>40269</v>
          </cell>
          <cell r="G91">
            <v>124</v>
          </cell>
          <cell r="H91">
            <v>45</v>
          </cell>
          <cell r="U91" t="str">
            <v>AJK</v>
          </cell>
          <cell r="V91">
            <v>0</v>
          </cell>
          <cell r="W91" t="b">
            <v>1</v>
          </cell>
        </row>
        <row r="92">
          <cell r="C92" t="str">
            <v>WJAJKM07007</v>
          </cell>
          <cell r="D92">
            <v>200</v>
          </cell>
          <cell r="E92">
            <v>40304</v>
          </cell>
          <cell r="F92">
            <v>40269</v>
          </cell>
          <cell r="G92">
            <v>200</v>
          </cell>
          <cell r="H92">
            <v>53</v>
          </cell>
          <cell r="I92">
            <v>4</v>
          </cell>
          <cell r="J92">
            <v>2</v>
          </cell>
          <cell r="R92">
            <v>1</v>
          </cell>
          <cell r="S92">
            <v>1</v>
          </cell>
          <cell r="T92">
            <v>2</v>
          </cell>
          <cell r="U92" t="str">
            <v>AJK</v>
          </cell>
          <cell r="V92">
            <v>4</v>
          </cell>
          <cell r="W92" t="b">
            <v>1</v>
          </cell>
        </row>
        <row r="93">
          <cell r="C93" t="str">
            <v>WJAJKM07024</v>
          </cell>
          <cell r="D93">
            <v>200</v>
          </cell>
          <cell r="E93">
            <v>40304</v>
          </cell>
          <cell r="F93">
            <v>40269</v>
          </cell>
          <cell r="G93">
            <v>201</v>
          </cell>
          <cell r="H93">
            <v>68</v>
          </cell>
          <cell r="I93">
            <v>10</v>
          </cell>
          <cell r="J93">
            <v>4.9800000000000004</v>
          </cell>
          <cell r="Q93">
            <v>2</v>
          </cell>
          <cell r="R93">
            <v>3</v>
          </cell>
          <cell r="S93">
            <v>1</v>
          </cell>
          <cell r="T93">
            <v>4</v>
          </cell>
          <cell r="U93" t="str">
            <v>AJK</v>
          </cell>
          <cell r="V93">
            <v>10</v>
          </cell>
          <cell r="W93" t="b">
            <v>1</v>
          </cell>
        </row>
        <row r="94">
          <cell r="C94" t="str">
            <v>WJAJKM08011</v>
          </cell>
          <cell r="D94">
            <v>200</v>
          </cell>
          <cell r="E94">
            <v>40277</v>
          </cell>
          <cell r="F94">
            <v>40269</v>
          </cell>
          <cell r="G94">
            <v>208</v>
          </cell>
          <cell r="H94">
            <v>71</v>
          </cell>
          <cell r="U94" t="str">
            <v>AJK</v>
          </cell>
          <cell r="V94">
            <v>0</v>
          </cell>
          <cell r="W94" t="b">
            <v>1</v>
          </cell>
        </row>
        <row r="95">
          <cell r="C95" t="str">
            <v>WJAJKM08021</v>
          </cell>
          <cell r="D95">
            <v>200</v>
          </cell>
          <cell r="E95">
            <v>40277</v>
          </cell>
          <cell r="F95">
            <v>40269</v>
          </cell>
          <cell r="G95">
            <v>212</v>
          </cell>
          <cell r="H95">
            <v>71</v>
          </cell>
          <cell r="I95">
            <v>2</v>
          </cell>
          <cell r="J95">
            <v>0.94</v>
          </cell>
          <cell r="O95">
            <v>1</v>
          </cell>
          <cell r="Q95">
            <v>1</v>
          </cell>
          <cell r="U95" t="str">
            <v>AJK</v>
          </cell>
          <cell r="V95">
            <v>2</v>
          </cell>
          <cell r="W95" t="b">
            <v>1</v>
          </cell>
        </row>
        <row r="96">
          <cell r="C96" t="str">
            <v>WJAJKM51074</v>
          </cell>
          <cell r="D96">
            <v>200</v>
          </cell>
          <cell r="E96">
            <v>40260</v>
          </cell>
          <cell r="F96">
            <v>40260</v>
          </cell>
          <cell r="G96">
            <v>114</v>
          </cell>
          <cell r="H96">
            <v>58</v>
          </cell>
          <cell r="I96">
            <v>7</v>
          </cell>
          <cell r="J96">
            <v>6.14</v>
          </cell>
          <cell r="K96">
            <v>3</v>
          </cell>
          <cell r="L96">
            <v>2</v>
          </cell>
          <cell r="M96">
            <v>-1</v>
          </cell>
          <cell r="N96">
            <v>1</v>
          </cell>
          <cell r="R96">
            <v>1</v>
          </cell>
          <cell r="T96">
            <v>1</v>
          </cell>
          <cell r="U96" t="str">
            <v>APT</v>
          </cell>
          <cell r="V96">
            <v>7</v>
          </cell>
          <cell r="W96" t="b">
            <v>1</v>
          </cell>
        </row>
        <row r="97">
          <cell r="C97" t="str">
            <v>WJAJKM51077</v>
          </cell>
          <cell r="D97">
            <v>200</v>
          </cell>
          <cell r="E97">
            <v>40260</v>
          </cell>
          <cell r="F97">
            <v>40260</v>
          </cell>
          <cell r="G97">
            <v>125</v>
          </cell>
          <cell r="H97">
            <v>53</v>
          </cell>
          <cell r="I97">
            <v>7</v>
          </cell>
          <cell r="J97">
            <v>5.6</v>
          </cell>
          <cell r="K97">
            <v>2</v>
          </cell>
          <cell r="M97">
            <v>2</v>
          </cell>
          <cell r="P97">
            <v>1</v>
          </cell>
          <cell r="R97">
            <v>1</v>
          </cell>
          <cell r="T97">
            <v>1</v>
          </cell>
          <cell r="U97" t="str">
            <v>APT</v>
          </cell>
          <cell r="V97">
            <v>7</v>
          </cell>
          <cell r="W97" t="b">
            <v>1</v>
          </cell>
        </row>
        <row r="98">
          <cell r="C98" t="str">
            <v>WJAJKM52007</v>
          </cell>
          <cell r="D98">
            <v>200</v>
          </cell>
          <cell r="E98">
            <v>40260</v>
          </cell>
          <cell r="F98">
            <v>40260</v>
          </cell>
          <cell r="G98">
            <v>177</v>
          </cell>
          <cell r="H98">
            <v>67</v>
          </cell>
          <cell r="I98">
            <v>8</v>
          </cell>
          <cell r="J98">
            <v>4.5199999999999996</v>
          </cell>
          <cell r="K98">
            <v>3</v>
          </cell>
          <cell r="L98">
            <v>1</v>
          </cell>
          <cell r="M98">
            <v>1</v>
          </cell>
          <cell r="N98">
            <v>-1</v>
          </cell>
          <cell r="O98">
            <v>3</v>
          </cell>
          <cell r="R98">
            <v>1</v>
          </cell>
          <cell r="U98" t="str">
            <v>APT</v>
          </cell>
          <cell r="V98">
            <v>8</v>
          </cell>
          <cell r="W98" t="b">
            <v>1</v>
          </cell>
        </row>
        <row r="99">
          <cell r="C99" t="str">
            <v>WJAJKM52076</v>
          </cell>
          <cell r="D99">
            <v>200</v>
          </cell>
          <cell r="E99">
            <v>40260</v>
          </cell>
          <cell r="F99">
            <v>40260</v>
          </cell>
          <cell r="G99">
            <v>159</v>
          </cell>
          <cell r="H99">
            <v>70</v>
          </cell>
          <cell r="I99">
            <v>8</v>
          </cell>
          <cell r="J99">
            <v>5.03</v>
          </cell>
          <cell r="K99">
            <v>4</v>
          </cell>
          <cell r="P99">
            <v>1</v>
          </cell>
          <cell r="R99">
            <v>2</v>
          </cell>
          <cell r="T99">
            <v>1</v>
          </cell>
          <cell r="U99" t="str">
            <v>APT</v>
          </cell>
          <cell r="V99">
            <v>8</v>
          </cell>
          <cell r="W99" t="b">
            <v>1</v>
          </cell>
        </row>
        <row r="100">
          <cell r="C100" t="str">
            <v>WJAPTI01007</v>
          </cell>
          <cell r="D100">
            <v>200</v>
          </cell>
          <cell r="E100">
            <v>40262</v>
          </cell>
          <cell r="F100">
            <v>40262</v>
          </cell>
          <cell r="G100">
            <v>200</v>
          </cell>
          <cell r="H100">
            <v>104</v>
          </cell>
          <cell r="I100">
            <v>11</v>
          </cell>
          <cell r="J100">
            <v>5.5</v>
          </cell>
          <cell r="K100">
            <v>3</v>
          </cell>
          <cell r="L100">
            <v>4</v>
          </cell>
          <cell r="N100">
            <v>1</v>
          </cell>
          <cell r="O100">
            <v>3</v>
          </cell>
          <cell r="U100" t="str">
            <v>APT</v>
          </cell>
          <cell r="V100">
            <v>11</v>
          </cell>
          <cell r="W100" t="b">
            <v>1</v>
          </cell>
        </row>
        <row r="101">
          <cell r="C101" t="str">
            <v>WJAPTI03007</v>
          </cell>
          <cell r="D101">
            <v>200</v>
          </cell>
          <cell r="E101">
            <v>40263</v>
          </cell>
          <cell r="F101">
            <v>40263</v>
          </cell>
          <cell r="G101">
            <v>202</v>
          </cell>
          <cell r="H101">
            <v>74</v>
          </cell>
          <cell r="I101">
            <v>4</v>
          </cell>
          <cell r="J101">
            <v>1.98</v>
          </cell>
          <cell r="M101">
            <v>1</v>
          </cell>
          <cell r="N101">
            <v>1</v>
          </cell>
          <cell r="P101">
            <v>1</v>
          </cell>
          <cell r="Q101">
            <v>1</v>
          </cell>
          <cell r="U101" t="str">
            <v>APT</v>
          </cell>
          <cell r="V101">
            <v>4</v>
          </cell>
          <cell r="W101" t="b">
            <v>1</v>
          </cell>
        </row>
        <row r="102">
          <cell r="C102" t="str">
            <v>WJAPTI05007</v>
          </cell>
          <cell r="D102">
            <v>50</v>
          </cell>
          <cell r="E102">
            <v>40273</v>
          </cell>
          <cell r="F102">
            <v>40281</v>
          </cell>
          <cell r="G102">
            <v>50</v>
          </cell>
          <cell r="H102">
            <v>30</v>
          </cell>
          <cell r="I102">
            <v>4</v>
          </cell>
          <cell r="J102">
            <v>8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 t="str">
            <v>APT</v>
          </cell>
          <cell r="V102">
            <v>4</v>
          </cell>
          <cell r="W102" t="b">
            <v>1</v>
          </cell>
        </row>
        <row r="103">
          <cell r="C103" t="str">
            <v>WJAPTI06007</v>
          </cell>
          <cell r="D103">
            <v>60</v>
          </cell>
          <cell r="E103">
            <v>40294</v>
          </cell>
          <cell r="F103">
            <v>40301</v>
          </cell>
          <cell r="G103">
            <v>60</v>
          </cell>
          <cell r="H103">
            <v>33</v>
          </cell>
          <cell r="I103">
            <v>1</v>
          </cell>
          <cell r="J103">
            <v>1.67</v>
          </cell>
          <cell r="S103">
            <v>2</v>
          </cell>
          <cell r="T103">
            <v>-1</v>
          </cell>
          <cell r="U103" t="str">
            <v>APT</v>
          </cell>
          <cell r="V103">
            <v>1</v>
          </cell>
          <cell r="W103" t="b">
            <v>1</v>
          </cell>
        </row>
        <row r="104">
          <cell r="C104" t="str">
            <v>WJAPTI06026</v>
          </cell>
          <cell r="D104">
            <v>30</v>
          </cell>
          <cell r="E104">
            <v>40294</v>
          </cell>
          <cell r="F104">
            <v>40301</v>
          </cell>
          <cell r="G104">
            <v>30</v>
          </cell>
          <cell r="H104">
            <v>19</v>
          </cell>
          <cell r="I104">
            <v>1</v>
          </cell>
          <cell r="J104">
            <v>3.33</v>
          </cell>
          <cell r="R104">
            <v>2</v>
          </cell>
          <cell r="T104">
            <v>-1</v>
          </cell>
          <cell r="U104" t="str">
            <v>APT</v>
          </cell>
          <cell r="V104">
            <v>1</v>
          </cell>
          <cell r="W104" t="b">
            <v>1</v>
          </cell>
        </row>
        <row r="105">
          <cell r="C105" t="str">
            <v>WJAPTM01001</v>
          </cell>
          <cell r="D105">
            <v>250</v>
          </cell>
          <cell r="E105">
            <v>40261</v>
          </cell>
          <cell r="F105">
            <v>40261</v>
          </cell>
          <cell r="G105">
            <v>226</v>
          </cell>
          <cell r="H105">
            <v>62</v>
          </cell>
          <cell r="I105">
            <v>2</v>
          </cell>
          <cell r="J105">
            <v>0.88</v>
          </cell>
          <cell r="R105">
            <v>1</v>
          </cell>
          <cell r="T105">
            <v>1</v>
          </cell>
          <cell r="U105" t="str">
            <v>APT</v>
          </cell>
          <cell r="V105">
            <v>2</v>
          </cell>
          <cell r="W105" t="b">
            <v>1</v>
          </cell>
        </row>
        <row r="106">
          <cell r="C106" t="str">
            <v>WJAPTM01007</v>
          </cell>
          <cell r="D106">
            <v>500</v>
          </cell>
          <cell r="E106">
            <v>40261</v>
          </cell>
          <cell r="F106">
            <v>40261</v>
          </cell>
          <cell r="G106">
            <v>503</v>
          </cell>
          <cell r="H106">
            <v>229</v>
          </cell>
          <cell r="I106">
            <v>33</v>
          </cell>
          <cell r="J106">
            <v>6.56</v>
          </cell>
          <cell r="K106">
            <v>2</v>
          </cell>
          <cell r="M106">
            <v>5</v>
          </cell>
          <cell r="N106">
            <v>8</v>
          </cell>
          <cell r="O106">
            <v>2</v>
          </cell>
          <cell r="P106">
            <v>1</v>
          </cell>
          <cell r="Q106">
            <v>7</v>
          </cell>
          <cell r="R106">
            <v>3</v>
          </cell>
          <cell r="T106">
            <v>5</v>
          </cell>
          <cell r="U106" t="str">
            <v>APT</v>
          </cell>
          <cell r="V106">
            <v>33</v>
          </cell>
          <cell r="W106" t="b">
            <v>1</v>
          </cell>
        </row>
        <row r="107">
          <cell r="C107" t="str">
            <v>WJAPTM02007</v>
          </cell>
          <cell r="D107">
            <v>500</v>
          </cell>
          <cell r="E107">
            <v>40255</v>
          </cell>
          <cell r="F107">
            <v>40260</v>
          </cell>
          <cell r="G107">
            <v>500</v>
          </cell>
          <cell r="H107">
            <v>186</v>
          </cell>
          <cell r="I107">
            <v>40</v>
          </cell>
          <cell r="J107">
            <v>8</v>
          </cell>
          <cell r="K107">
            <v>3</v>
          </cell>
          <cell r="M107">
            <v>5</v>
          </cell>
          <cell r="N107">
            <v>7</v>
          </cell>
          <cell r="O107">
            <v>3</v>
          </cell>
          <cell r="P107">
            <v>4</v>
          </cell>
          <cell r="Q107">
            <v>4</v>
          </cell>
          <cell r="R107">
            <v>7</v>
          </cell>
          <cell r="S107">
            <v>3</v>
          </cell>
          <cell r="T107">
            <v>4</v>
          </cell>
          <cell r="U107" t="str">
            <v>APT</v>
          </cell>
          <cell r="V107">
            <v>40</v>
          </cell>
          <cell r="W107" t="b">
            <v>1</v>
          </cell>
        </row>
        <row r="108">
          <cell r="C108" t="str">
            <v>WJAPTM02046</v>
          </cell>
          <cell r="D108">
            <v>250</v>
          </cell>
          <cell r="E108">
            <v>40255</v>
          </cell>
          <cell r="F108">
            <v>40260</v>
          </cell>
          <cell r="G108">
            <v>250</v>
          </cell>
          <cell r="H108">
            <v>109</v>
          </cell>
          <cell r="I108">
            <v>19</v>
          </cell>
          <cell r="J108">
            <v>7.6</v>
          </cell>
          <cell r="K108">
            <v>2</v>
          </cell>
          <cell r="M108">
            <v>5</v>
          </cell>
          <cell r="N108">
            <v>1</v>
          </cell>
          <cell r="P108">
            <v>3</v>
          </cell>
          <cell r="Q108">
            <v>2</v>
          </cell>
          <cell r="R108">
            <v>2</v>
          </cell>
          <cell r="S108">
            <v>3</v>
          </cell>
          <cell r="T108">
            <v>1</v>
          </cell>
          <cell r="U108" t="str">
            <v>APT</v>
          </cell>
          <cell r="V108">
            <v>19</v>
          </cell>
          <cell r="W108" t="b">
            <v>1</v>
          </cell>
        </row>
        <row r="109">
          <cell r="C109" t="str">
            <v>WJAPTM03005</v>
          </cell>
          <cell r="D109">
            <v>300</v>
          </cell>
          <cell r="E109">
            <v>40260</v>
          </cell>
          <cell r="F109">
            <v>40260</v>
          </cell>
          <cell r="G109">
            <v>300</v>
          </cell>
          <cell r="H109">
            <v>161</v>
          </cell>
          <cell r="I109">
            <v>41</v>
          </cell>
          <cell r="J109">
            <v>13.67</v>
          </cell>
          <cell r="K109">
            <v>3</v>
          </cell>
          <cell r="M109">
            <v>3</v>
          </cell>
          <cell r="N109">
            <v>1</v>
          </cell>
          <cell r="O109">
            <v>5</v>
          </cell>
          <cell r="P109">
            <v>7</v>
          </cell>
          <cell r="Q109">
            <v>9</v>
          </cell>
          <cell r="R109">
            <v>5</v>
          </cell>
          <cell r="S109">
            <v>5</v>
          </cell>
          <cell r="T109">
            <v>3</v>
          </cell>
          <cell r="U109" t="str">
            <v>APT</v>
          </cell>
          <cell r="V109">
            <v>41</v>
          </cell>
          <cell r="W109" t="b">
            <v>1</v>
          </cell>
        </row>
        <row r="110">
          <cell r="C110" t="str">
            <v>WJAPTM03046</v>
          </cell>
          <cell r="D110">
            <v>500</v>
          </cell>
          <cell r="E110">
            <v>40260</v>
          </cell>
          <cell r="F110">
            <v>40260</v>
          </cell>
          <cell r="G110">
            <v>500</v>
          </cell>
          <cell r="H110">
            <v>248</v>
          </cell>
          <cell r="I110">
            <v>52</v>
          </cell>
          <cell r="J110">
            <v>10.4</v>
          </cell>
          <cell r="M110">
            <v>4</v>
          </cell>
          <cell r="N110">
            <v>5</v>
          </cell>
          <cell r="O110">
            <v>6</v>
          </cell>
          <cell r="P110">
            <v>8</v>
          </cell>
          <cell r="Q110">
            <v>7</v>
          </cell>
          <cell r="R110">
            <v>12</v>
          </cell>
          <cell r="S110">
            <v>7</v>
          </cell>
          <cell r="T110">
            <v>3</v>
          </cell>
          <cell r="U110" t="str">
            <v>APT</v>
          </cell>
          <cell r="V110">
            <v>52</v>
          </cell>
          <cell r="W110" t="b">
            <v>1</v>
          </cell>
        </row>
        <row r="111">
          <cell r="C111" t="str">
            <v>WJAPTM04007</v>
          </cell>
          <cell r="D111">
            <v>300</v>
          </cell>
          <cell r="E111">
            <v>40262</v>
          </cell>
          <cell r="F111">
            <v>40262</v>
          </cell>
          <cell r="G111">
            <v>284</v>
          </cell>
          <cell r="H111">
            <v>91</v>
          </cell>
          <cell r="I111">
            <v>4</v>
          </cell>
          <cell r="J111">
            <v>1.41</v>
          </cell>
          <cell r="K111">
            <v>1</v>
          </cell>
          <cell r="O111">
            <v>1</v>
          </cell>
          <cell r="R111">
            <v>1</v>
          </cell>
          <cell r="S111">
            <v>1</v>
          </cell>
          <cell r="U111" t="str">
            <v>APT</v>
          </cell>
          <cell r="V111">
            <v>4</v>
          </cell>
          <cell r="W111" t="b">
            <v>1</v>
          </cell>
        </row>
        <row r="112">
          <cell r="C112" t="str">
            <v>WJAPTM04073</v>
          </cell>
          <cell r="D112">
            <v>200</v>
          </cell>
          <cell r="E112">
            <v>40262</v>
          </cell>
          <cell r="F112">
            <v>40262</v>
          </cell>
          <cell r="G112">
            <v>203</v>
          </cell>
          <cell r="H112">
            <v>67</v>
          </cell>
          <cell r="I112">
            <v>2</v>
          </cell>
          <cell r="J112">
            <v>0.99</v>
          </cell>
          <cell r="K112">
            <v>1</v>
          </cell>
          <cell r="L112">
            <v>1</v>
          </cell>
          <cell r="U112" t="str">
            <v>APT</v>
          </cell>
          <cell r="V112">
            <v>2</v>
          </cell>
          <cell r="W112" t="b">
            <v>1</v>
          </cell>
        </row>
        <row r="113">
          <cell r="C113" t="str">
            <v>WJAPTM05007</v>
          </cell>
          <cell r="D113">
            <v>300</v>
          </cell>
          <cell r="E113">
            <v>40262</v>
          </cell>
          <cell r="F113">
            <v>40262</v>
          </cell>
          <cell r="G113">
            <v>296</v>
          </cell>
          <cell r="H113">
            <v>218</v>
          </cell>
          <cell r="I113">
            <v>81</v>
          </cell>
          <cell r="J113">
            <v>27.36</v>
          </cell>
          <cell r="M113">
            <v>3</v>
          </cell>
          <cell r="N113">
            <v>15</v>
          </cell>
          <cell r="O113">
            <v>5</v>
          </cell>
          <cell r="P113">
            <v>5</v>
          </cell>
          <cell r="Q113">
            <v>7</v>
          </cell>
          <cell r="R113">
            <v>20</v>
          </cell>
          <cell r="S113">
            <v>14</v>
          </cell>
          <cell r="T113">
            <v>12</v>
          </cell>
          <cell r="U113" t="str">
            <v>APT</v>
          </cell>
          <cell r="V113">
            <v>81</v>
          </cell>
          <cell r="W113" t="b">
            <v>1</v>
          </cell>
        </row>
        <row r="114">
          <cell r="C114" t="str">
            <v>WJAPTM05053</v>
          </cell>
          <cell r="D114">
            <v>200</v>
          </cell>
          <cell r="E114">
            <v>40262</v>
          </cell>
          <cell r="F114">
            <v>40262</v>
          </cell>
          <cell r="G114">
            <v>206</v>
          </cell>
          <cell r="H114">
            <v>69</v>
          </cell>
          <cell r="I114">
            <v>1</v>
          </cell>
          <cell r="J114">
            <v>0.49</v>
          </cell>
          <cell r="M114">
            <v>1</v>
          </cell>
          <cell r="N114">
            <v>-1</v>
          </cell>
          <cell r="O114">
            <v>2</v>
          </cell>
          <cell r="Q114">
            <v>-1</v>
          </cell>
          <cell r="U114" t="str">
            <v>APT</v>
          </cell>
          <cell r="V114">
            <v>1</v>
          </cell>
          <cell r="W114" t="b">
            <v>1</v>
          </cell>
        </row>
        <row r="115">
          <cell r="C115" t="str">
            <v>WJAPTM06007</v>
          </cell>
          <cell r="D115">
            <v>350</v>
          </cell>
          <cell r="E115">
            <v>40262</v>
          </cell>
          <cell r="F115">
            <v>40262</v>
          </cell>
          <cell r="G115">
            <v>350</v>
          </cell>
          <cell r="H115">
            <v>281</v>
          </cell>
          <cell r="I115">
            <v>144</v>
          </cell>
          <cell r="J115">
            <v>41.14</v>
          </cell>
          <cell r="K115">
            <v>7</v>
          </cell>
          <cell r="L115">
            <v>11</v>
          </cell>
          <cell r="M115">
            <v>18</v>
          </cell>
          <cell r="N115">
            <v>14</v>
          </cell>
          <cell r="O115">
            <v>19</v>
          </cell>
          <cell r="P115">
            <v>15</v>
          </cell>
          <cell r="Q115">
            <v>19</v>
          </cell>
          <cell r="R115">
            <v>9</v>
          </cell>
          <cell r="S115">
            <v>19</v>
          </cell>
          <cell r="T115">
            <v>13</v>
          </cell>
          <cell r="U115" t="str">
            <v>APT</v>
          </cell>
          <cell r="V115">
            <v>144</v>
          </cell>
          <cell r="W115" t="b">
            <v>1</v>
          </cell>
        </row>
        <row r="116">
          <cell r="C116" t="str">
            <v>WJAPTM06046</v>
          </cell>
          <cell r="D116">
            <v>250</v>
          </cell>
          <cell r="E116">
            <v>40262</v>
          </cell>
          <cell r="F116">
            <v>40262</v>
          </cell>
          <cell r="G116">
            <v>255</v>
          </cell>
          <cell r="H116">
            <v>131</v>
          </cell>
          <cell r="I116">
            <v>13</v>
          </cell>
          <cell r="J116">
            <v>5.0999999999999996</v>
          </cell>
          <cell r="L116">
            <v>1</v>
          </cell>
          <cell r="M116">
            <v>2</v>
          </cell>
          <cell r="N116">
            <v>1</v>
          </cell>
          <cell r="O116">
            <v>4</v>
          </cell>
          <cell r="P116">
            <v>1</v>
          </cell>
          <cell r="Q116">
            <v>1</v>
          </cell>
          <cell r="T116">
            <v>3</v>
          </cell>
          <cell r="U116" t="str">
            <v>APT</v>
          </cell>
          <cell r="V116">
            <v>13</v>
          </cell>
          <cell r="W116" t="b">
            <v>1</v>
          </cell>
        </row>
        <row r="117">
          <cell r="C117" t="str">
            <v>WJAPTM06107</v>
          </cell>
          <cell r="D117">
            <v>400</v>
          </cell>
          <cell r="E117">
            <v>40312</v>
          </cell>
          <cell r="F117">
            <v>40315</v>
          </cell>
          <cell r="G117">
            <v>403</v>
          </cell>
          <cell r="H117">
            <v>110</v>
          </cell>
          <cell r="I117">
            <v>24</v>
          </cell>
          <cell r="J117">
            <v>5.96</v>
          </cell>
          <cell r="S117">
            <v>11</v>
          </cell>
          <cell r="T117">
            <v>13</v>
          </cell>
          <cell r="U117" t="str">
            <v>APT</v>
          </cell>
          <cell r="V117">
            <v>24</v>
          </cell>
          <cell r="W117" t="b">
            <v>1</v>
          </cell>
        </row>
        <row r="118">
          <cell r="C118" t="str">
            <v>WJAPTM07007</v>
          </cell>
          <cell r="D118">
            <v>580</v>
          </cell>
          <cell r="E118">
            <v>40298</v>
          </cell>
          <cell r="F118">
            <v>40301</v>
          </cell>
          <cell r="G118">
            <v>574</v>
          </cell>
          <cell r="H118">
            <v>106</v>
          </cell>
          <cell r="I118">
            <v>9</v>
          </cell>
          <cell r="J118">
            <v>1.57</v>
          </cell>
          <cell r="Q118">
            <v>3</v>
          </cell>
          <cell r="R118">
            <v>3</v>
          </cell>
          <cell r="S118">
            <v>2</v>
          </cell>
          <cell r="T118">
            <v>1</v>
          </cell>
          <cell r="U118" t="str">
            <v>APT</v>
          </cell>
          <cell r="V118">
            <v>9</v>
          </cell>
          <cell r="W118" t="b">
            <v>1</v>
          </cell>
        </row>
        <row r="119">
          <cell r="C119" t="str">
            <v>WJAPTM07075</v>
          </cell>
          <cell r="D119">
            <v>450</v>
          </cell>
          <cell r="E119">
            <v>40298</v>
          </cell>
          <cell r="F119">
            <v>40301</v>
          </cell>
          <cell r="G119">
            <v>447</v>
          </cell>
          <cell r="H119">
            <v>94</v>
          </cell>
          <cell r="I119">
            <v>7</v>
          </cell>
          <cell r="J119">
            <v>1.57</v>
          </cell>
          <cell r="Q119">
            <v>1</v>
          </cell>
          <cell r="R119">
            <v>1</v>
          </cell>
          <cell r="S119">
            <v>3</v>
          </cell>
          <cell r="T119">
            <v>2</v>
          </cell>
          <cell r="U119" t="str">
            <v>APT</v>
          </cell>
          <cell r="V119">
            <v>7</v>
          </cell>
          <cell r="W119" t="b">
            <v>1</v>
          </cell>
        </row>
        <row r="120">
          <cell r="C120" t="str">
            <v>WJAPTM21006</v>
          </cell>
          <cell r="D120">
            <v>250</v>
          </cell>
          <cell r="E120">
            <v>40312</v>
          </cell>
          <cell r="F120">
            <v>40315</v>
          </cell>
          <cell r="G120">
            <v>250</v>
          </cell>
          <cell r="H120">
            <v>45</v>
          </cell>
          <cell r="U120" t="str">
            <v>APT</v>
          </cell>
          <cell r="V120">
            <v>0</v>
          </cell>
          <cell r="W120" t="b">
            <v>1</v>
          </cell>
        </row>
        <row r="121">
          <cell r="C121" t="str">
            <v>WJAPTM21007</v>
          </cell>
          <cell r="D121">
            <v>400</v>
          </cell>
          <cell r="E121">
            <v>40312</v>
          </cell>
          <cell r="F121">
            <v>40315</v>
          </cell>
          <cell r="G121">
            <v>400</v>
          </cell>
          <cell r="H121">
            <v>58</v>
          </cell>
          <cell r="I121">
            <v>2</v>
          </cell>
          <cell r="J121">
            <v>0.5</v>
          </cell>
          <cell r="T121">
            <v>2</v>
          </cell>
          <cell r="U121" t="str">
            <v>APT</v>
          </cell>
          <cell r="V121">
            <v>2</v>
          </cell>
          <cell r="W121" t="b">
            <v>1</v>
          </cell>
        </row>
        <row r="122">
          <cell r="C122" t="str">
            <v>WJAPTM22007</v>
          </cell>
          <cell r="D122">
            <v>400</v>
          </cell>
          <cell r="E122">
            <v>40262</v>
          </cell>
          <cell r="F122">
            <v>40262</v>
          </cell>
          <cell r="G122">
            <v>399</v>
          </cell>
          <cell r="H122">
            <v>139</v>
          </cell>
          <cell r="I122">
            <v>20</v>
          </cell>
          <cell r="J122">
            <v>5.01</v>
          </cell>
          <cell r="K122">
            <v>3</v>
          </cell>
          <cell r="L122">
            <v>1</v>
          </cell>
          <cell r="M122">
            <v>1</v>
          </cell>
          <cell r="N122">
            <v>2</v>
          </cell>
          <cell r="O122">
            <v>3</v>
          </cell>
          <cell r="P122">
            <v>3</v>
          </cell>
          <cell r="Q122">
            <v>1</v>
          </cell>
          <cell r="R122">
            <v>4</v>
          </cell>
          <cell r="S122">
            <v>1</v>
          </cell>
          <cell r="T122">
            <v>1</v>
          </cell>
          <cell r="U122" t="str">
            <v>APT</v>
          </cell>
          <cell r="V122">
            <v>20</v>
          </cell>
          <cell r="W122" t="b">
            <v>1</v>
          </cell>
        </row>
        <row r="123">
          <cell r="C123" t="str">
            <v>WJAPTM22016</v>
          </cell>
          <cell r="D123">
            <v>160</v>
          </cell>
          <cell r="E123">
            <v>40262</v>
          </cell>
          <cell r="F123">
            <v>40262</v>
          </cell>
          <cell r="G123">
            <v>128</v>
          </cell>
          <cell r="H123">
            <v>60</v>
          </cell>
          <cell r="I123">
            <v>20</v>
          </cell>
          <cell r="J123">
            <v>15.63</v>
          </cell>
          <cell r="L123">
            <v>1</v>
          </cell>
          <cell r="M123">
            <v>2</v>
          </cell>
          <cell r="O123">
            <v>3</v>
          </cell>
          <cell r="P123">
            <v>3</v>
          </cell>
          <cell r="Q123">
            <v>4</v>
          </cell>
          <cell r="R123">
            <v>2</v>
          </cell>
          <cell r="S123">
            <v>2</v>
          </cell>
          <cell r="T123">
            <v>3</v>
          </cell>
          <cell r="U123" t="str">
            <v>APT</v>
          </cell>
          <cell r="V123">
            <v>20</v>
          </cell>
          <cell r="W123" t="b">
            <v>1</v>
          </cell>
        </row>
        <row r="124">
          <cell r="C124" t="str">
            <v>WJAPTM22074</v>
          </cell>
          <cell r="D124">
            <v>175</v>
          </cell>
          <cell r="E124">
            <v>40262</v>
          </cell>
          <cell r="F124">
            <v>40262</v>
          </cell>
          <cell r="G124">
            <v>146</v>
          </cell>
          <cell r="H124">
            <v>56</v>
          </cell>
          <cell r="I124">
            <v>6</v>
          </cell>
          <cell r="J124">
            <v>4.1100000000000003</v>
          </cell>
          <cell r="K124">
            <v>1</v>
          </cell>
          <cell r="M124">
            <v>1</v>
          </cell>
          <cell r="P124">
            <v>1</v>
          </cell>
          <cell r="Q124">
            <v>2</v>
          </cell>
          <cell r="R124">
            <v>1</v>
          </cell>
          <cell r="U124" t="str">
            <v>APT</v>
          </cell>
          <cell r="V124">
            <v>6</v>
          </cell>
          <cell r="W124" t="b">
            <v>1</v>
          </cell>
        </row>
        <row r="125">
          <cell r="C125" t="str">
            <v>WJAPTM23003</v>
          </cell>
          <cell r="D125">
            <v>250</v>
          </cell>
          <cell r="E125">
            <v>40259</v>
          </cell>
          <cell r="F125">
            <v>40260</v>
          </cell>
          <cell r="G125">
            <v>239</v>
          </cell>
          <cell r="H125">
            <v>105</v>
          </cell>
          <cell r="I125">
            <v>19</v>
          </cell>
          <cell r="J125">
            <v>7.95</v>
          </cell>
          <cell r="K125">
            <v>1</v>
          </cell>
          <cell r="L125">
            <v>1</v>
          </cell>
          <cell r="M125">
            <v>4</v>
          </cell>
          <cell r="N125">
            <v>3</v>
          </cell>
          <cell r="O125">
            <v>5</v>
          </cell>
          <cell r="P125">
            <v>1</v>
          </cell>
          <cell r="Q125">
            <v>2</v>
          </cell>
          <cell r="R125">
            <v>-1</v>
          </cell>
          <cell r="S125">
            <v>1</v>
          </cell>
          <cell r="T125">
            <v>2</v>
          </cell>
          <cell r="U125" t="str">
            <v>APT</v>
          </cell>
          <cell r="V125">
            <v>19</v>
          </cell>
          <cell r="W125" t="b">
            <v>1</v>
          </cell>
        </row>
        <row r="126">
          <cell r="C126" t="str">
            <v>WJAPTM23046</v>
          </cell>
          <cell r="D126">
            <v>250</v>
          </cell>
          <cell r="E126">
            <v>40259</v>
          </cell>
          <cell r="F126">
            <v>40260</v>
          </cell>
          <cell r="G126">
            <v>203</v>
          </cell>
          <cell r="H126">
            <v>64</v>
          </cell>
          <cell r="I126">
            <v>9</v>
          </cell>
          <cell r="J126">
            <v>4.43</v>
          </cell>
          <cell r="K126">
            <v>1</v>
          </cell>
          <cell r="L126">
            <v>2</v>
          </cell>
          <cell r="M126">
            <v>1</v>
          </cell>
          <cell r="N126">
            <v>1</v>
          </cell>
          <cell r="R126">
            <v>1</v>
          </cell>
          <cell r="S126">
            <v>1</v>
          </cell>
          <cell r="T126">
            <v>2</v>
          </cell>
          <cell r="U126" t="str">
            <v>APT</v>
          </cell>
          <cell r="V126">
            <v>9</v>
          </cell>
          <cell r="W126" t="b">
            <v>1</v>
          </cell>
        </row>
        <row r="127">
          <cell r="C127" t="str">
            <v>WJAPTM24007</v>
          </cell>
          <cell r="D127">
            <v>250</v>
          </cell>
          <cell r="E127">
            <v>40262</v>
          </cell>
          <cell r="F127">
            <v>40262</v>
          </cell>
          <cell r="G127">
            <v>250</v>
          </cell>
          <cell r="H127">
            <v>74</v>
          </cell>
          <cell r="I127">
            <v>4</v>
          </cell>
          <cell r="J127">
            <v>1.6</v>
          </cell>
          <cell r="K127">
            <v>2</v>
          </cell>
          <cell r="L127">
            <v>1</v>
          </cell>
          <cell r="O127">
            <v>2</v>
          </cell>
          <cell r="T127">
            <v>-1</v>
          </cell>
          <cell r="U127" t="str">
            <v>ASC</v>
          </cell>
          <cell r="V127">
            <v>4</v>
          </cell>
          <cell r="W127" t="b">
            <v>1</v>
          </cell>
        </row>
        <row r="128">
          <cell r="C128" t="str">
            <v>WJAPTM24045</v>
          </cell>
          <cell r="D128">
            <v>250</v>
          </cell>
          <cell r="E128">
            <v>40262</v>
          </cell>
          <cell r="F128">
            <v>40262</v>
          </cell>
          <cell r="G128">
            <v>247</v>
          </cell>
          <cell r="H128">
            <v>74</v>
          </cell>
          <cell r="I128">
            <v>5</v>
          </cell>
          <cell r="J128">
            <v>2.02</v>
          </cell>
          <cell r="K128">
            <v>1</v>
          </cell>
          <cell r="O128">
            <v>1</v>
          </cell>
          <cell r="P128">
            <v>1</v>
          </cell>
          <cell r="S128">
            <v>1</v>
          </cell>
          <cell r="T128">
            <v>1</v>
          </cell>
          <cell r="U128" t="str">
            <v>ASC</v>
          </cell>
          <cell r="V128">
            <v>5</v>
          </cell>
          <cell r="W128" t="b">
            <v>1</v>
          </cell>
        </row>
        <row r="129">
          <cell r="C129" t="str">
            <v>WJAPTM51074</v>
          </cell>
          <cell r="D129">
            <v>200</v>
          </cell>
          <cell r="E129">
            <v>40260</v>
          </cell>
          <cell r="F129">
            <v>40260</v>
          </cell>
          <cell r="G129">
            <v>115</v>
          </cell>
          <cell r="H129">
            <v>55</v>
          </cell>
          <cell r="I129">
            <v>5</v>
          </cell>
          <cell r="J129">
            <v>4.3499999999999996</v>
          </cell>
          <cell r="K129">
            <v>1</v>
          </cell>
          <cell r="L129">
            <v>1</v>
          </cell>
          <cell r="N129">
            <v>1</v>
          </cell>
          <cell r="S129">
            <v>1</v>
          </cell>
          <cell r="T129">
            <v>1</v>
          </cell>
          <cell r="U129" t="str">
            <v>ASC</v>
          </cell>
          <cell r="V129">
            <v>5</v>
          </cell>
          <cell r="W129" t="b">
            <v>1</v>
          </cell>
        </row>
        <row r="130">
          <cell r="C130" t="str">
            <v>WJAPTM51077</v>
          </cell>
          <cell r="D130">
            <v>200</v>
          </cell>
          <cell r="E130">
            <v>40260</v>
          </cell>
          <cell r="F130">
            <v>40260</v>
          </cell>
          <cell r="G130">
            <v>118</v>
          </cell>
          <cell r="H130">
            <v>56</v>
          </cell>
          <cell r="I130">
            <v>9</v>
          </cell>
          <cell r="J130">
            <v>7.63</v>
          </cell>
          <cell r="K130">
            <v>2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R130">
            <v>1</v>
          </cell>
          <cell r="S130">
            <v>1</v>
          </cell>
          <cell r="T130">
            <v>1</v>
          </cell>
          <cell r="U130" t="str">
            <v>ASC</v>
          </cell>
          <cell r="V130">
            <v>9</v>
          </cell>
          <cell r="W130" t="b">
            <v>1</v>
          </cell>
        </row>
        <row r="131">
          <cell r="C131" t="str">
            <v>WJAPTM52007</v>
          </cell>
          <cell r="D131">
            <v>200</v>
          </cell>
          <cell r="E131">
            <v>40260</v>
          </cell>
          <cell r="F131">
            <v>40260</v>
          </cell>
          <cell r="G131">
            <v>198</v>
          </cell>
          <cell r="H131">
            <v>64</v>
          </cell>
          <cell r="I131">
            <v>6</v>
          </cell>
          <cell r="J131">
            <v>3.03</v>
          </cell>
          <cell r="K131">
            <v>1</v>
          </cell>
          <cell r="L131">
            <v>2</v>
          </cell>
          <cell r="M131">
            <v>1</v>
          </cell>
          <cell r="N131">
            <v>-1</v>
          </cell>
          <cell r="O131">
            <v>1</v>
          </cell>
          <cell r="Q131">
            <v>1</v>
          </cell>
          <cell r="R131">
            <v>1</v>
          </cell>
          <cell r="U131" t="str">
            <v>ASC</v>
          </cell>
          <cell r="V131">
            <v>6</v>
          </cell>
          <cell r="W131" t="b">
            <v>1</v>
          </cell>
        </row>
        <row r="132">
          <cell r="C132" t="str">
            <v>WJAPTM52077</v>
          </cell>
          <cell r="D132">
            <v>200</v>
          </cell>
          <cell r="E132">
            <v>40260</v>
          </cell>
          <cell r="F132">
            <v>40260</v>
          </cell>
          <cell r="G132">
            <v>187</v>
          </cell>
          <cell r="H132">
            <v>54</v>
          </cell>
          <cell r="I132">
            <v>6</v>
          </cell>
          <cell r="J132">
            <v>3.21</v>
          </cell>
          <cell r="K132">
            <v>1</v>
          </cell>
          <cell r="P132">
            <v>2</v>
          </cell>
          <cell r="R132">
            <v>3</v>
          </cell>
          <cell r="U132" t="str">
            <v>ASC</v>
          </cell>
          <cell r="V132">
            <v>6</v>
          </cell>
          <cell r="W132" t="b">
            <v>1</v>
          </cell>
        </row>
        <row r="133">
          <cell r="C133" t="str">
            <v>WJAPTP71007</v>
          </cell>
          <cell r="D133">
            <v>1200</v>
          </cell>
          <cell r="E133">
            <v>40259</v>
          </cell>
          <cell r="F133">
            <v>40260</v>
          </cell>
          <cell r="G133">
            <v>1183</v>
          </cell>
          <cell r="H133">
            <v>423</v>
          </cell>
          <cell r="I133">
            <v>90</v>
          </cell>
          <cell r="J133">
            <v>7.61</v>
          </cell>
          <cell r="K133">
            <v>10</v>
          </cell>
          <cell r="L133">
            <v>9</v>
          </cell>
          <cell r="M133">
            <v>12</v>
          </cell>
          <cell r="N133">
            <v>8</v>
          </cell>
          <cell r="O133">
            <v>7</v>
          </cell>
          <cell r="P133">
            <v>11</v>
          </cell>
          <cell r="Q133">
            <v>7</v>
          </cell>
          <cell r="R133">
            <v>9</v>
          </cell>
          <cell r="S133">
            <v>11</v>
          </cell>
          <cell r="T133">
            <v>6</v>
          </cell>
          <cell r="U133" t="str">
            <v>ASC</v>
          </cell>
          <cell r="V133">
            <v>90</v>
          </cell>
          <cell r="W133" t="b">
            <v>1</v>
          </cell>
        </row>
        <row r="134">
          <cell r="C134" t="str">
            <v>WJAPTP71053</v>
          </cell>
          <cell r="D134">
            <v>200</v>
          </cell>
          <cell r="E134">
            <v>40259</v>
          </cell>
          <cell r="F134">
            <v>40260</v>
          </cell>
          <cell r="G134">
            <v>193</v>
          </cell>
          <cell r="H134">
            <v>145</v>
          </cell>
          <cell r="I134">
            <v>18</v>
          </cell>
          <cell r="J134">
            <v>9.33</v>
          </cell>
          <cell r="K134">
            <v>2</v>
          </cell>
          <cell r="L134">
            <v>2</v>
          </cell>
          <cell r="M134">
            <v>1</v>
          </cell>
          <cell r="N134">
            <v>1</v>
          </cell>
          <cell r="P134">
            <v>1</v>
          </cell>
          <cell r="Q134">
            <v>3</v>
          </cell>
          <cell r="R134">
            <v>3</v>
          </cell>
          <cell r="S134">
            <v>2</v>
          </cell>
          <cell r="T134">
            <v>3</v>
          </cell>
          <cell r="U134" t="str">
            <v>ASF</v>
          </cell>
          <cell r="V134">
            <v>18</v>
          </cell>
          <cell r="W134" t="b">
            <v>1</v>
          </cell>
        </row>
        <row r="135">
          <cell r="C135" t="str">
            <v>WJAPTP71073</v>
          </cell>
          <cell r="D135">
            <v>200</v>
          </cell>
          <cell r="E135">
            <v>40259</v>
          </cell>
          <cell r="F135">
            <v>40260</v>
          </cell>
          <cell r="G135">
            <v>195</v>
          </cell>
          <cell r="H135">
            <v>49</v>
          </cell>
          <cell r="I135">
            <v>9</v>
          </cell>
          <cell r="J135">
            <v>4.62</v>
          </cell>
          <cell r="L135">
            <v>1</v>
          </cell>
          <cell r="M135">
            <v>1</v>
          </cell>
          <cell r="N135">
            <v>1</v>
          </cell>
          <cell r="O135">
            <v>2</v>
          </cell>
          <cell r="Q135">
            <v>1</v>
          </cell>
          <cell r="R135">
            <v>2</v>
          </cell>
          <cell r="S135">
            <v>1</v>
          </cell>
          <cell r="U135" t="str">
            <v>ASF</v>
          </cell>
          <cell r="V135">
            <v>9</v>
          </cell>
          <cell r="W135" t="b">
            <v>1</v>
          </cell>
        </row>
        <row r="136">
          <cell r="C136" t="str">
            <v>WJAPTS21007</v>
          </cell>
          <cell r="D136">
            <v>250</v>
          </cell>
          <cell r="E136">
            <v>40327</v>
          </cell>
          <cell r="G136">
            <v>250</v>
          </cell>
          <cell r="U136" t="str">
            <v>ASH</v>
          </cell>
          <cell r="V136">
            <v>0</v>
          </cell>
          <cell r="W136" t="b">
            <v>1</v>
          </cell>
        </row>
        <row r="137">
          <cell r="C137" t="str">
            <v>WJAPTS21055</v>
          </cell>
          <cell r="D137">
            <v>160</v>
          </cell>
          <cell r="E137">
            <v>40327</v>
          </cell>
          <cell r="U137" t="str">
            <v>ASH</v>
          </cell>
          <cell r="V137">
            <v>0</v>
          </cell>
          <cell r="W137" t="b">
            <v>1</v>
          </cell>
        </row>
        <row r="138">
          <cell r="C138" t="str">
            <v>WJASCM01071</v>
          </cell>
          <cell r="D138">
            <v>300</v>
          </cell>
          <cell r="E138">
            <v>40256</v>
          </cell>
          <cell r="F138">
            <v>40261</v>
          </cell>
          <cell r="G138">
            <v>300</v>
          </cell>
          <cell r="H138">
            <v>108</v>
          </cell>
          <cell r="I138">
            <v>14</v>
          </cell>
          <cell r="J138">
            <v>4.67</v>
          </cell>
          <cell r="M138">
            <v>1</v>
          </cell>
          <cell r="O138">
            <v>1</v>
          </cell>
          <cell r="Q138">
            <v>6</v>
          </cell>
          <cell r="S138">
            <v>3</v>
          </cell>
          <cell r="T138">
            <v>3</v>
          </cell>
          <cell r="U138" t="str">
            <v>ASH</v>
          </cell>
          <cell r="V138">
            <v>14</v>
          </cell>
          <cell r="W138" t="b">
            <v>1</v>
          </cell>
        </row>
        <row r="139">
          <cell r="C139" t="str">
            <v>WJASCM02024</v>
          </cell>
          <cell r="D139">
            <v>300</v>
          </cell>
          <cell r="E139">
            <v>40256</v>
          </cell>
          <cell r="F139">
            <v>40261</v>
          </cell>
          <cell r="G139">
            <v>301</v>
          </cell>
          <cell r="H139">
            <v>122</v>
          </cell>
          <cell r="I139">
            <v>28</v>
          </cell>
          <cell r="J139">
            <v>9.3000000000000007</v>
          </cell>
          <cell r="K139">
            <v>5</v>
          </cell>
          <cell r="M139">
            <v>2</v>
          </cell>
          <cell r="N139">
            <v>11</v>
          </cell>
          <cell r="O139">
            <v>2</v>
          </cell>
          <cell r="P139">
            <v>2</v>
          </cell>
          <cell r="Q139">
            <v>1</v>
          </cell>
          <cell r="R139">
            <v>2</v>
          </cell>
          <cell r="T139">
            <v>3</v>
          </cell>
          <cell r="U139" t="str">
            <v>ASH</v>
          </cell>
          <cell r="V139">
            <v>28</v>
          </cell>
          <cell r="W139" t="b">
            <v>1</v>
          </cell>
        </row>
        <row r="140">
          <cell r="C140" t="str">
            <v>WJASCM11024</v>
          </cell>
          <cell r="D140">
            <v>400</v>
          </cell>
          <cell r="E140">
            <v>40256</v>
          </cell>
          <cell r="F140">
            <v>40261</v>
          </cell>
          <cell r="G140">
            <v>400</v>
          </cell>
          <cell r="H140">
            <v>115</v>
          </cell>
          <cell r="I140">
            <v>18</v>
          </cell>
          <cell r="J140">
            <v>4.5</v>
          </cell>
          <cell r="K140">
            <v>1</v>
          </cell>
          <cell r="N140">
            <v>10</v>
          </cell>
          <cell r="O140">
            <v>3</v>
          </cell>
          <cell r="P140">
            <v>1</v>
          </cell>
          <cell r="S140">
            <v>2</v>
          </cell>
          <cell r="T140">
            <v>1</v>
          </cell>
          <cell r="U140" t="str">
            <v>ASH</v>
          </cell>
          <cell r="V140">
            <v>18</v>
          </cell>
          <cell r="W140" t="b">
            <v>1</v>
          </cell>
        </row>
        <row r="141">
          <cell r="C141" t="str">
            <v>WJASCM12073</v>
          </cell>
          <cell r="D141">
            <v>300</v>
          </cell>
          <cell r="E141">
            <v>40256</v>
          </cell>
          <cell r="F141">
            <v>40261</v>
          </cell>
          <cell r="G141">
            <v>295</v>
          </cell>
          <cell r="H141">
            <v>109</v>
          </cell>
          <cell r="I141">
            <v>16</v>
          </cell>
          <cell r="J141">
            <v>5.42</v>
          </cell>
          <cell r="K141">
            <v>1</v>
          </cell>
          <cell r="L141">
            <v>3</v>
          </cell>
          <cell r="N141">
            <v>1</v>
          </cell>
          <cell r="O141">
            <v>2</v>
          </cell>
          <cell r="Q141">
            <v>2</v>
          </cell>
          <cell r="R141">
            <v>3</v>
          </cell>
          <cell r="T141">
            <v>4</v>
          </cell>
          <cell r="U141" t="str">
            <v>ASH</v>
          </cell>
          <cell r="V141">
            <v>16</v>
          </cell>
          <cell r="W141" t="b">
            <v>1</v>
          </cell>
        </row>
        <row r="142">
          <cell r="C142" t="str">
            <v>WJASCM13041</v>
          </cell>
          <cell r="D142">
            <v>400</v>
          </cell>
          <cell r="E142">
            <v>40256</v>
          </cell>
          <cell r="F142">
            <v>40262</v>
          </cell>
          <cell r="G142">
            <v>400</v>
          </cell>
          <cell r="H142">
            <v>104</v>
          </cell>
          <cell r="I142">
            <v>9</v>
          </cell>
          <cell r="J142">
            <v>2.25</v>
          </cell>
          <cell r="K142">
            <v>1</v>
          </cell>
          <cell r="L142">
            <v>2</v>
          </cell>
          <cell r="O142">
            <v>1</v>
          </cell>
          <cell r="P142">
            <v>1</v>
          </cell>
          <cell r="Q142">
            <v>1</v>
          </cell>
          <cell r="T142">
            <v>3</v>
          </cell>
          <cell r="U142" t="str">
            <v>ASH</v>
          </cell>
          <cell r="V142">
            <v>9</v>
          </cell>
          <cell r="W142" t="b">
            <v>1</v>
          </cell>
        </row>
        <row r="143">
          <cell r="C143" t="str">
            <v>WJASCM14073</v>
          </cell>
          <cell r="D143">
            <v>300</v>
          </cell>
          <cell r="E143">
            <v>40256</v>
          </cell>
          <cell r="F143">
            <v>40261</v>
          </cell>
          <cell r="G143">
            <v>300</v>
          </cell>
          <cell r="H143">
            <v>110</v>
          </cell>
          <cell r="I143">
            <v>18</v>
          </cell>
          <cell r="J143">
            <v>6</v>
          </cell>
          <cell r="L143">
            <v>1</v>
          </cell>
          <cell r="O143">
            <v>2</v>
          </cell>
          <cell r="P143">
            <v>4</v>
          </cell>
          <cell r="Q143">
            <v>1</v>
          </cell>
          <cell r="R143">
            <v>2</v>
          </cell>
          <cell r="S143">
            <v>5</v>
          </cell>
          <cell r="T143">
            <v>3</v>
          </cell>
          <cell r="U143" t="str">
            <v>ASH</v>
          </cell>
          <cell r="V143">
            <v>18</v>
          </cell>
          <cell r="W143" t="b">
            <v>1</v>
          </cell>
        </row>
        <row r="144">
          <cell r="C144" t="str">
            <v>WJASCM15007</v>
          </cell>
          <cell r="D144">
            <v>300</v>
          </cell>
          <cell r="E144">
            <v>40256</v>
          </cell>
          <cell r="F144">
            <v>40261</v>
          </cell>
          <cell r="G144">
            <v>300</v>
          </cell>
          <cell r="H144">
            <v>115</v>
          </cell>
          <cell r="I144">
            <v>18</v>
          </cell>
          <cell r="J144">
            <v>6</v>
          </cell>
          <cell r="K144">
            <v>1</v>
          </cell>
          <cell r="M144">
            <v>1</v>
          </cell>
          <cell r="N144">
            <v>2</v>
          </cell>
          <cell r="O144">
            <v>8</v>
          </cell>
          <cell r="Q144">
            <v>2</v>
          </cell>
          <cell r="R144">
            <v>1</v>
          </cell>
          <cell r="S144">
            <v>1</v>
          </cell>
          <cell r="T144">
            <v>2</v>
          </cell>
          <cell r="U144" t="str">
            <v>ASH</v>
          </cell>
          <cell r="V144">
            <v>18</v>
          </cell>
          <cell r="W144" t="b">
            <v>1</v>
          </cell>
        </row>
        <row r="145">
          <cell r="C145" t="str">
            <v>WJASFM01025</v>
          </cell>
          <cell r="D145">
            <v>500</v>
          </cell>
          <cell r="E145">
            <v>40256</v>
          </cell>
          <cell r="F145">
            <v>40284</v>
          </cell>
          <cell r="U145" t="str">
            <v>ASH</v>
          </cell>
          <cell r="V145">
            <v>0</v>
          </cell>
          <cell r="W145" t="b">
            <v>1</v>
          </cell>
        </row>
        <row r="146">
          <cell r="C146" t="str">
            <v>WJASFM02004</v>
          </cell>
          <cell r="D146">
            <v>500</v>
          </cell>
          <cell r="E146">
            <v>40256</v>
          </cell>
          <cell r="U146" t="str">
            <v>ASH</v>
          </cell>
          <cell r="V146">
            <v>0</v>
          </cell>
          <cell r="W146" t="b">
            <v>1</v>
          </cell>
        </row>
        <row r="147">
          <cell r="C147" t="str">
            <v>WJASHM01006</v>
          </cell>
          <cell r="D147">
            <v>200</v>
          </cell>
          <cell r="E147">
            <v>40259</v>
          </cell>
          <cell r="F147">
            <v>40260</v>
          </cell>
          <cell r="G147">
            <v>200</v>
          </cell>
          <cell r="H147">
            <v>157</v>
          </cell>
          <cell r="I147">
            <v>55</v>
          </cell>
          <cell r="J147">
            <v>27.5</v>
          </cell>
          <cell r="K147">
            <v>5</v>
          </cell>
          <cell r="L147">
            <v>2</v>
          </cell>
          <cell r="M147">
            <v>5</v>
          </cell>
          <cell r="N147">
            <v>1</v>
          </cell>
          <cell r="O147">
            <v>5</v>
          </cell>
          <cell r="P147">
            <v>8</v>
          </cell>
          <cell r="Q147">
            <v>6</v>
          </cell>
          <cell r="R147">
            <v>10</v>
          </cell>
          <cell r="S147">
            <v>5</v>
          </cell>
          <cell r="T147">
            <v>8</v>
          </cell>
          <cell r="U147" t="str">
            <v>ASH</v>
          </cell>
          <cell r="V147">
            <v>55</v>
          </cell>
          <cell r="W147" t="b">
            <v>1</v>
          </cell>
        </row>
        <row r="148">
          <cell r="C148" t="str">
            <v>WJASHM01027</v>
          </cell>
          <cell r="D148">
            <v>200</v>
          </cell>
          <cell r="E148">
            <v>40259</v>
          </cell>
          <cell r="F148">
            <v>40260</v>
          </cell>
          <cell r="G148">
            <v>200</v>
          </cell>
          <cell r="H148">
            <v>157</v>
          </cell>
          <cell r="I148">
            <v>67</v>
          </cell>
          <cell r="J148">
            <v>33.5</v>
          </cell>
          <cell r="K148">
            <v>6</v>
          </cell>
          <cell r="L148">
            <v>3</v>
          </cell>
          <cell r="M148">
            <v>6</v>
          </cell>
          <cell r="N148">
            <v>6</v>
          </cell>
          <cell r="O148">
            <v>13</v>
          </cell>
          <cell r="P148">
            <v>7</v>
          </cell>
          <cell r="Q148">
            <v>6</v>
          </cell>
          <cell r="R148">
            <v>10</v>
          </cell>
          <cell r="S148">
            <v>9</v>
          </cell>
          <cell r="T148">
            <v>1</v>
          </cell>
          <cell r="U148" t="str">
            <v>ASH</v>
          </cell>
          <cell r="V148">
            <v>67</v>
          </cell>
          <cell r="W148" t="b">
            <v>1</v>
          </cell>
        </row>
        <row r="149">
          <cell r="C149" t="str">
            <v>WJASHM01106</v>
          </cell>
          <cell r="D149">
            <v>106</v>
          </cell>
          <cell r="E149">
            <v>40324</v>
          </cell>
          <cell r="F149">
            <v>40325</v>
          </cell>
          <cell r="G149">
            <v>106</v>
          </cell>
          <cell r="H149">
            <v>12</v>
          </cell>
          <cell r="U149" t="str">
            <v>ASH</v>
          </cell>
          <cell r="V149">
            <v>0</v>
          </cell>
          <cell r="W149" t="b">
            <v>1</v>
          </cell>
        </row>
        <row r="150">
          <cell r="C150" t="str">
            <v>WJASHM01127</v>
          </cell>
          <cell r="D150">
            <v>160</v>
          </cell>
          <cell r="E150">
            <v>40324</v>
          </cell>
          <cell r="F150">
            <v>40325</v>
          </cell>
          <cell r="G150">
            <v>160</v>
          </cell>
          <cell r="H150">
            <v>34</v>
          </cell>
          <cell r="I150">
            <v>1</v>
          </cell>
          <cell r="J150">
            <v>0.63</v>
          </cell>
          <cell r="T150">
            <v>1</v>
          </cell>
          <cell r="U150" t="str">
            <v>ASH</v>
          </cell>
          <cell r="V150">
            <v>1</v>
          </cell>
          <cell r="W150" t="b">
            <v>1</v>
          </cell>
        </row>
        <row r="151">
          <cell r="C151" t="str">
            <v>WJASHM02065</v>
          </cell>
          <cell r="D151">
            <v>200</v>
          </cell>
          <cell r="E151">
            <v>40259</v>
          </cell>
          <cell r="F151">
            <v>40261</v>
          </cell>
          <cell r="G151">
            <v>200</v>
          </cell>
          <cell r="H151">
            <v>121</v>
          </cell>
          <cell r="I151">
            <v>24</v>
          </cell>
          <cell r="J151">
            <v>12</v>
          </cell>
          <cell r="M151">
            <v>2</v>
          </cell>
          <cell r="N151">
            <v>2</v>
          </cell>
          <cell r="O151">
            <v>6</v>
          </cell>
          <cell r="P151">
            <v>3</v>
          </cell>
          <cell r="Q151">
            <v>2</v>
          </cell>
          <cell r="R151">
            <v>2</v>
          </cell>
          <cell r="S151">
            <v>1</v>
          </cell>
          <cell r="T151">
            <v>6</v>
          </cell>
          <cell r="U151" t="str">
            <v>ASH</v>
          </cell>
          <cell r="V151">
            <v>24</v>
          </cell>
          <cell r="W151" t="b">
            <v>1</v>
          </cell>
        </row>
        <row r="152">
          <cell r="C152" t="str">
            <v>WJASHM03057</v>
          </cell>
          <cell r="D152">
            <v>200</v>
          </cell>
          <cell r="E152">
            <v>40259</v>
          </cell>
          <cell r="F152">
            <v>40261</v>
          </cell>
          <cell r="G152">
            <v>160</v>
          </cell>
          <cell r="H152">
            <v>90</v>
          </cell>
          <cell r="I152">
            <v>6</v>
          </cell>
          <cell r="J152">
            <v>3.75</v>
          </cell>
          <cell r="L152">
            <v>1</v>
          </cell>
          <cell r="N152">
            <v>1</v>
          </cell>
          <cell r="P152">
            <v>2</v>
          </cell>
          <cell r="T152">
            <v>2</v>
          </cell>
          <cell r="U152" t="str">
            <v>ASH</v>
          </cell>
          <cell r="V152">
            <v>6</v>
          </cell>
          <cell r="W152" t="b">
            <v>1</v>
          </cell>
        </row>
        <row r="153">
          <cell r="C153" t="str">
            <v>WJASHM14006</v>
          </cell>
          <cell r="D153">
            <v>300</v>
          </cell>
          <cell r="E153">
            <v>40298</v>
          </cell>
          <cell r="F153">
            <v>40305</v>
          </cell>
          <cell r="G153">
            <v>108</v>
          </cell>
          <cell r="H153">
            <v>59</v>
          </cell>
          <cell r="I153">
            <v>8</v>
          </cell>
          <cell r="J153">
            <v>7.41</v>
          </cell>
          <cell r="R153">
            <v>3</v>
          </cell>
          <cell r="S153">
            <v>4</v>
          </cell>
          <cell r="T153">
            <v>1</v>
          </cell>
          <cell r="U153" t="str">
            <v>ASH</v>
          </cell>
          <cell r="V153">
            <v>8</v>
          </cell>
          <cell r="W153" t="b">
            <v>1</v>
          </cell>
        </row>
        <row r="154">
          <cell r="C154" t="str">
            <v>WJASHM16014</v>
          </cell>
          <cell r="D154">
            <v>300</v>
          </cell>
          <cell r="E154">
            <v>40298</v>
          </cell>
          <cell r="F154">
            <v>40305</v>
          </cell>
          <cell r="G154">
            <v>108</v>
          </cell>
          <cell r="H154">
            <v>69</v>
          </cell>
          <cell r="I154">
            <v>10</v>
          </cell>
          <cell r="J154">
            <v>9.26</v>
          </cell>
          <cell r="Q154">
            <v>3</v>
          </cell>
          <cell r="R154">
            <v>1</v>
          </cell>
          <cell r="S154">
            <v>4</v>
          </cell>
          <cell r="T154">
            <v>2</v>
          </cell>
          <cell r="U154" t="str">
            <v>ASO</v>
          </cell>
          <cell r="V154">
            <v>10</v>
          </cell>
          <cell r="W154" t="b">
            <v>1</v>
          </cell>
        </row>
        <row r="155">
          <cell r="C155" t="str">
            <v>WJASHM19027</v>
          </cell>
          <cell r="D155">
            <v>264</v>
          </cell>
          <cell r="E155">
            <v>40298</v>
          </cell>
          <cell r="F155">
            <v>40305</v>
          </cell>
          <cell r="G155">
            <v>96</v>
          </cell>
          <cell r="H155">
            <v>54</v>
          </cell>
          <cell r="I155">
            <v>8</v>
          </cell>
          <cell r="J155">
            <v>8.33</v>
          </cell>
          <cell r="Q155">
            <v>1</v>
          </cell>
          <cell r="R155">
            <v>4</v>
          </cell>
          <cell r="S155">
            <v>1</v>
          </cell>
          <cell r="T155">
            <v>2</v>
          </cell>
          <cell r="U155" t="str">
            <v>ASO</v>
          </cell>
          <cell r="V155">
            <v>8</v>
          </cell>
          <cell r="W155" t="b">
            <v>1</v>
          </cell>
        </row>
        <row r="156">
          <cell r="C156" t="str">
            <v>WJASHM41066</v>
          </cell>
          <cell r="D156">
            <v>70</v>
          </cell>
          <cell r="E156">
            <v>40259</v>
          </cell>
          <cell r="F156">
            <v>40260</v>
          </cell>
          <cell r="G156">
            <v>70</v>
          </cell>
          <cell r="H156">
            <v>58</v>
          </cell>
          <cell r="I156">
            <v>5</v>
          </cell>
          <cell r="J156">
            <v>7.14</v>
          </cell>
          <cell r="M156">
            <v>4</v>
          </cell>
          <cell r="R156">
            <v>-1</v>
          </cell>
          <cell r="T156">
            <v>2</v>
          </cell>
          <cell r="U156" t="str">
            <v>ASO</v>
          </cell>
          <cell r="V156">
            <v>5</v>
          </cell>
          <cell r="W156" t="b">
            <v>1</v>
          </cell>
        </row>
        <row r="157">
          <cell r="C157" t="str">
            <v>WJASHM42014</v>
          </cell>
          <cell r="D157">
            <v>64</v>
          </cell>
          <cell r="E157">
            <v>40259</v>
          </cell>
          <cell r="F157">
            <v>40260</v>
          </cell>
          <cell r="G157">
            <v>64</v>
          </cell>
          <cell r="H157">
            <v>53</v>
          </cell>
          <cell r="I157">
            <v>4</v>
          </cell>
          <cell r="J157">
            <v>6.25</v>
          </cell>
          <cell r="K157">
            <v>1</v>
          </cell>
          <cell r="L157">
            <v>1</v>
          </cell>
          <cell r="N157">
            <v>1</v>
          </cell>
          <cell r="P157">
            <v>1</v>
          </cell>
          <cell r="U157" t="str">
            <v>ASO</v>
          </cell>
          <cell r="V157">
            <v>4</v>
          </cell>
          <cell r="W157" t="b">
            <v>1</v>
          </cell>
        </row>
        <row r="158">
          <cell r="C158" t="str">
            <v>WJASHM43065</v>
          </cell>
          <cell r="D158">
            <v>78</v>
          </cell>
          <cell r="E158">
            <v>40259</v>
          </cell>
          <cell r="F158">
            <v>40260</v>
          </cell>
          <cell r="G158">
            <v>78</v>
          </cell>
          <cell r="H158">
            <v>68</v>
          </cell>
          <cell r="I158">
            <v>2</v>
          </cell>
          <cell r="J158">
            <v>2.56</v>
          </cell>
          <cell r="M158">
            <v>1</v>
          </cell>
          <cell r="Q158">
            <v>1</v>
          </cell>
          <cell r="U158" t="str">
            <v>ASO</v>
          </cell>
          <cell r="V158">
            <v>2</v>
          </cell>
          <cell r="W158" t="b">
            <v>1</v>
          </cell>
        </row>
        <row r="159">
          <cell r="C159" t="str">
            <v>WJASHM51007</v>
          </cell>
          <cell r="D159">
            <v>100</v>
          </cell>
          <cell r="E159">
            <v>40259</v>
          </cell>
          <cell r="F159">
            <v>40261</v>
          </cell>
          <cell r="G159">
            <v>100</v>
          </cell>
          <cell r="H159">
            <v>73</v>
          </cell>
          <cell r="I159">
            <v>3</v>
          </cell>
          <cell r="J159">
            <v>3</v>
          </cell>
          <cell r="K159">
            <v>1</v>
          </cell>
          <cell r="R159">
            <v>1</v>
          </cell>
          <cell r="S159">
            <v>1</v>
          </cell>
          <cell r="U159" t="str">
            <v>ASO</v>
          </cell>
          <cell r="V159">
            <v>3</v>
          </cell>
          <cell r="W159" t="b">
            <v>1</v>
          </cell>
        </row>
        <row r="160">
          <cell r="C160" t="str">
            <v>WJASHM52006</v>
          </cell>
          <cell r="D160">
            <v>100</v>
          </cell>
          <cell r="E160">
            <v>40259</v>
          </cell>
          <cell r="F160">
            <v>40261</v>
          </cell>
          <cell r="G160">
            <v>100</v>
          </cell>
          <cell r="H160">
            <v>76</v>
          </cell>
          <cell r="I160">
            <v>4</v>
          </cell>
          <cell r="J160">
            <v>4</v>
          </cell>
          <cell r="K160">
            <v>1</v>
          </cell>
          <cell r="O160">
            <v>2</v>
          </cell>
          <cell r="P160">
            <v>1</v>
          </cell>
          <cell r="U160" t="str">
            <v>ASO</v>
          </cell>
          <cell r="V160">
            <v>4</v>
          </cell>
          <cell r="W160" t="b">
            <v>1</v>
          </cell>
        </row>
        <row r="161">
          <cell r="C161" t="str">
            <v>WJASHM61043</v>
          </cell>
          <cell r="D161">
            <v>200</v>
          </cell>
          <cell r="E161">
            <v>40259</v>
          </cell>
          <cell r="F161">
            <v>40260</v>
          </cell>
          <cell r="G161">
            <v>200</v>
          </cell>
          <cell r="H161">
            <v>118</v>
          </cell>
          <cell r="I161">
            <v>8</v>
          </cell>
          <cell r="J161">
            <v>4</v>
          </cell>
          <cell r="K161">
            <v>1</v>
          </cell>
          <cell r="M161">
            <v>2</v>
          </cell>
          <cell r="O161">
            <v>1</v>
          </cell>
          <cell r="Q161">
            <v>1</v>
          </cell>
          <cell r="S161">
            <v>2</v>
          </cell>
          <cell r="T161">
            <v>1</v>
          </cell>
          <cell r="U161" t="str">
            <v>ASO</v>
          </cell>
          <cell r="V161">
            <v>8</v>
          </cell>
          <cell r="W161" t="b">
            <v>1</v>
          </cell>
        </row>
        <row r="162">
          <cell r="C162" t="str">
            <v>WJASHM62051</v>
          </cell>
          <cell r="D162">
            <v>187</v>
          </cell>
          <cell r="E162">
            <v>40259</v>
          </cell>
          <cell r="F162">
            <v>40260</v>
          </cell>
          <cell r="G162">
            <v>187</v>
          </cell>
          <cell r="H162">
            <v>101</v>
          </cell>
          <cell r="U162" t="str">
            <v>ASO</v>
          </cell>
          <cell r="V162">
            <v>0</v>
          </cell>
          <cell r="W162" t="b">
            <v>1</v>
          </cell>
        </row>
        <row r="163">
          <cell r="C163" t="str">
            <v>WJASHM63035</v>
          </cell>
          <cell r="D163">
            <v>197</v>
          </cell>
          <cell r="E163">
            <v>40259</v>
          </cell>
          <cell r="F163">
            <v>40261</v>
          </cell>
          <cell r="G163">
            <v>196</v>
          </cell>
          <cell r="H163">
            <v>104</v>
          </cell>
          <cell r="I163">
            <v>8</v>
          </cell>
          <cell r="J163">
            <v>4.08</v>
          </cell>
          <cell r="K163">
            <v>3</v>
          </cell>
          <cell r="L163">
            <v>1</v>
          </cell>
          <cell r="M163">
            <v>1</v>
          </cell>
          <cell r="P163">
            <v>1</v>
          </cell>
          <cell r="R163">
            <v>2</v>
          </cell>
          <cell r="U163" t="str">
            <v>ASO</v>
          </cell>
          <cell r="V163">
            <v>8</v>
          </cell>
          <cell r="W163" t="b">
            <v>1</v>
          </cell>
        </row>
        <row r="164">
          <cell r="C164" t="str">
            <v>WJASHM64064</v>
          </cell>
          <cell r="D164">
            <v>139</v>
          </cell>
          <cell r="E164">
            <v>40259</v>
          </cell>
          <cell r="F164">
            <v>40261</v>
          </cell>
          <cell r="G164">
            <v>138</v>
          </cell>
          <cell r="H164">
            <v>85</v>
          </cell>
          <cell r="I164">
            <v>12</v>
          </cell>
          <cell r="J164">
            <v>8.6999999999999993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3</v>
          </cell>
          <cell r="S164">
            <v>3</v>
          </cell>
          <cell r="T164">
            <v>2</v>
          </cell>
          <cell r="U164" t="str">
            <v>ASO</v>
          </cell>
          <cell r="V164">
            <v>12</v>
          </cell>
          <cell r="W164" t="b">
            <v>1</v>
          </cell>
        </row>
        <row r="165">
          <cell r="C165" t="str">
            <v>WJASOM01053</v>
          </cell>
          <cell r="D165">
            <v>300</v>
          </cell>
          <cell r="E165">
            <v>40256</v>
          </cell>
          <cell r="F165">
            <v>40262</v>
          </cell>
          <cell r="G165">
            <v>300</v>
          </cell>
          <cell r="H165">
            <v>200</v>
          </cell>
          <cell r="I165">
            <v>29</v>
          </cell>
          <cell r="J165">
            <v>9.67</v>
          </cell>
          <cell r="K165">
            <v>2</v>
          </cell>
          <cell r="M165">
            <v>3</v>
          </cell>
          <cell r="N165">
            <v>4</v>
          </cell>
          <cell r="O165">
            <v>4</v>
          </cell>
          <cell r="P165">
            <v>1</v>
          </cell>
          <cell r="Q165">
            <v>2</v>
          </cell>
          <cell r="R165">
            <v>3</v>
          </cell>
          <cell r="S165">
            <v>8</v>
          </cell>
          <cell r="T165">
            <v>2</v>
          </cell>
          <cell r="U165" t="str">
            <v>ASO</v>
          </cell>
          <cell r="V165">
            <v>29</v>
          </cell>
          <cell r="W165" t="b">
            <v>1</v>
          </cell>
        </row>
        <row r="166">
          <cell r="C166" t="str">
            <v>WJASOM01073</v>
          </cell>
          <cell r="D166">
            <v>400</v>
          </cell>
          <cell r="E166">
            <v>40256</v>
          </cell>
          <cell r="F166">
            <v>40262</v>
          </cell>
          <cell r="G166">
            <v>267</v>
          </cell>
          <cell r="H166">
            <v>135</v>
          </cell>
          <cell r="I166">
            <v>10</v>
          </cell>
          <cell r="J166">
            <v>3.75</v>
          </cell>
          <cell r="K166">
            <v>1</v>
          </cell>
          <cell r="M166">
            <v>1</v>
          </cell>
          <cell r="N166">
            <v>1</v>
          </cell>
          <cell r="P166">
            <v>1</v>
          </cell>
          <cell r="R166">
            <v>1</v>
          </cell>
          <cell r="S166">
            <v>5</v>
          </cell>
          <cell r="U166" t="str">
            <v>ASP</v>
          </cell>
          <cell r="V166">
            <v>10</v>
          </cell>
          <cell r="W166" t="b">
            <v>1</v>
          </cell>
        </row>
        <row r="167">
          <cell r="C167" t="str">
            <v>WJASOM02024</v>
          </cell>
          <cell r="D167">
            <v>400</v>
          </cell>
          <cell r="E167">
            <v>40256</v>
          </cell>
          <cell r="F167">
            <v>40262</v>
          </cell>
          <cell r="G167">
            <v>400</v>
          </cell>
          <cell r="H167">
            <v>175</v>
          </cell>
          <cell r="I167">
            <v>26</v>
          </cell>
          <cell r="J167">
            <v>6.5</v>
          </cell>
          <cell r="K167">
            <v>5</v>
          </cell>
          <cell r="L167">
            <v>2</v>
          </cell>
          <cell r="M167">
            <v>2</v>
          </cell>
          <cell r="N167">
            <v>5</v>
          </cell>
          <cell r="O167">
            <v>3</v>
          </cell>
          <cell r="Q167">
            <v>2</v>
          </cell>
          <cell r="R167">
            <v>4</v>
          </cell>
          <cell r="S167">
            <v>2</v>
          </cell>
          <cell r="T167">
            <v>1</v>
          </cell>
          <cell r="U167" t="str">
            <v>ASP</v>
          </cell>
          <cell r="V167">
            <v>26</v>
          </cell>
          <cell r="W167" t="b">
            <v>1</v>
          </cell>
        </row>
        <row r="168">
          <cell r="C168" t="str">
            <v>WJASOM02073</v>
          </cell>
          <cell r="D168">
            <v>300</v>
          </cell>
          <cell r="E168">
            <v>40256</v>
          </cell>
          <cell r="F168">
            <v>40262</v>
          </cell>
          <cell r="G168">
            <v>289</v>
          </cell>
          <cell r="H168">
            <v>159</v>
          </cell>
          <cell r="I168">
            <v>16</v>
          </cell>
          <cell r="J168">
            <v>5.54</v>
          </cell>
          <cell r="L168">
            <v>1</v>
          </cell>
          <cell r="N168">
            <v>5</v>
          </cell>
          <cell r="O168">
            <v>4</v>
          </cell>
          <cell r="Q168">
            <v>3</v>
          </cell>
          <cell r="R168">
            <v>1</v>
          </cell>
          <cell r="S168">
            <v>1</v>
          </cell>
          <cell r="T168">
            <v>1</v>
          </cell>
          <cell r="U168" t="str">
            <v>ASP</v>
          </cell>
          <cell r="V168">
            <v>16</v>
          </cell>
          <cell r="W168" t="b">
            <v>1</v>
          </cell>
        </row>
        <row r="169">
          <cell r="C169" t="str">
            <v>WJASOM03014</v>
          </cell>
          <cell r="D169">
            <v>300</v>
          </cell>
          <cell r="E169">
            <v>40256</v>
          </cell>
          <cell r="F169">
            <v>40262</v>
          </cell>
          <cell r="G169">
            <v>165</v>
          </cell>
          <cell r="H169">
            <v>95</v>
          </cell>
          <cell r="I169">
            <v>6</v>
          </cell>
          <cell r="J169">
            <v>3.64</v>
          </cell>
          <cell r="N169">
            <v>1</v>
          </cell>
          <cell r="O169">
            <v>1</v>
          </cell>
          <cell r="P169">
            <v>2</v>
          </cell>
          <cell r="Q169">
            <v>1</v>
          </cell>
          <cell r="S169">
            <v>1</v>
          </cell>
          <cell r="U169" t="str">
            <v>ASP</v>
          </cell>
          <cell r="V169">
            <v>6</v>
          </cell>
          <cell r="W169" t="b">
            <v>1</v>
          </cell>
        </row>
        <row r="170">
          <cell r="C170" t="str">
            <v>WJASOM03054</v>
          </cell>
          <cell r="D170">
            <v>200</v>
          </cell>
          <cell r="E170">
            <v>40256</v>
          </cell>
          <cell r="F170">
            <v>40262</v>
          </cell>
          <cell r="G170">
            <v>200</v>
          </cell>
          <cell r="H170">
            <v>90</v>
          </cell>
          <cell r="I170">
            <v>4</v>
          </cell>
          <cell r="J170">
            <v>2</v>
          </cell>
          <cell r="P170">
            <v>2</v>
          </cell>
          <cell r="Q170">
            <v>1</v>
          </cell>
          <cell r="T170">
            <v>1</v>
          </cell>
          <cell r="U170" t="str">
            <v>ASP</v>
          </cell>
          <cell r="V170">
            <v>4</v>
          </cell>
          <cell r="W170" t="b">
            <v>1</v>
          </cell>
        </row>
        <row r="171">
          <cell r="C171" t="str">
            <v>WJASOM04024</v>
          </cell>
          <cell r="D171">
            <v>200</v>
          </cell>
          <cell r="E171">
            <v>40256</v>
          </cell>
          <cell r="F171">
            <v>40262</v>
          </cell>
          <cell r="G171">
            <v>200</v>
          </cell>
          <cell r="H171">
            <v>120</v>
          </cell>
          <cell r="I171">
            <v>18</v>
          </cell>
          <cell r="J171">
            <v>9</v>
          </cell>
          <cell r="M171">
            <v>3</v>
          </cell>
          <cell r="N171">
            <v>1</v>
          </cell>
          <cell r="O171">
            <v>2</v>
          </cell>
          <cell r="P171">
            <v>2</v>
          </cell>
          <cell r="Q171">
            <v>5</v>
          </cell>
          <cell r="S171">
            <v>3</v>
          </cell>
          <cell r="T171">
            <v>2</v>
          </cell>
          <cell r="U171" t="str">
            <v>ASP</v>
          </cell>
          <cell r="V171">
            <v>18</v>
          </cell>
          <cell r="W171" t="b">
            <v>1</v>
          </cell>
        </row>
        <row r="172">
          <cell r="C172" t="str">
            <v>WJASOM11073</v>
          </cell>
          <cell r="D172">
            <v>400</v>
          </cell>
          <cell r="E172">
            <v>40256</v>
          </cell>
          <cell r="F172">
            <v>40262</v>
          </cell>
          <cell r="G172">
            <v>400</v>
          </cell>
          <cell r="H172">
            <v>140</v>
          </cell>
          <cell r="I172">
            <v>19</v>
          </cell>
          <cell r="J172">
            <v>4.75</v>
          </cell>
          <cell r="O172">
            <v>4</v>
          </cell>
          <cell r="P172">
            <v>1</v>
          </cell>
          <cell r="Q172">
            <v>2</v>
          </cell>
          <cell r="R172">
            <v>7</v>
          </cell>
          <cell r="S172">
            <v>1</v>
          </cell>
          <cell r="T172">
            <v>4</v>
          </cell>
          <cell r="U172" t="str">
            <v>ASP</v>
          </cell>
          <cell r="V172">
            <v>19</v>
          </cell>
          <cell r="W172" t="b">
            <v>1</v>
          </cell>
        </row>
        <row r="173">
          <cell r="C173" t="str">
            <v>WJASOM12025</v>
          </cell>
          <cell r="D173">
            <v>300</v>
          </cell>
          <cell r="E173">
            <v>40256</v>
          </cell>
          <cell r="F173">
            <v>40262</v>
          </cell>
          <cell r="G173">
            <v>300</v>
          </cell>
          <cell r="H173">
            <v>135</v>
          </cell>
          <cell r="I173">
            <v>11</v>
          </cell>
          <cell r="J173">
            <v>3.67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P173">
            <v>1</v>
          </cell>
          <cell r="Q173">
            <v>4</v>
          </cell>
          <cell r="S173">
            <v>1</v>
          </cell>
          <cell r="T173">
            <v>1</v>
          </cell>
          <cell r="U173" t="str">
            <v>ASP</v>
          </cell>
          <cell r="V173">
            <v>11</v>
          </cell>
          <cell r="W173" t="b">
            <v>1</v>
          </cell>
        </row>
        <row r="174">
          <cell r="C174" t="str">
            <v>WJASOM13027</v>
          </cell>
          <cell r="D174">
            <v>300</v>
          </cell>
          <cell r="E174">
            <v>40256</v>
          </cell>
          <cell r="F174">
            <v>40262</v>
          </cell>
          <cell r="G174">
            <v>300</v>
          </cell>
          <cell r="H174">
            <v>150</v>
          </cell>
          <cell r="I174">
            <v>12</v>
          </cell>
          <cell r="J174">
            <v>4</v>
          </cell>
          <cell r="N174">
            <v>1</v>
          </cell>
          <cell r="P174">
            <v>1</v>
          </cell>
          <cell r="Q174">
            <v>2</v>
          </cell>
          <cell r="R174">
            <v>6</v>
          </cell>
          <cell r="T174">
            <v>2</v>
          </cell>
          <cell r="U174" t="str">
            <v>ASP</v>
          </cell>
          <cell r="V174">
            <v>12</v>
          </cell>
          <cell r="W174" t="b">
            <v>1</v>
          </cell>
        </row>
        <row r="175">
          <cell r="C175" t="str">
            <v>WJASOM13073</v>
          </cell>
          <cell r="D175">
            <v>400</v>
          </cell>
          <cell r="E175">
            <v>40256</v>
          </cell>
          <cell r="F175">
            <v>40262</v>
          </cell>
          <cell r="G175">
            <v>400</v>
          </cell>
          <cell r="H175">
            <v>175</v>
          </cell>
          <cell r="I175">
            <v>35</v>
          </cell>
          <cell r="J175">
            <v>8.75</v>
          </cell>
          <cell r="M175">
            <v>3</v>
          </cell>
          <cell r="N175">
            <v>4</v>
          </cell>
          <cell r="O175">
            <v>2</v>
          </cell>
          <cell r="P175">
            <v>4</v>
          </cell>
          <cell r="Q175">
            <v>5</v>
          </cell>
          <cell r="R175">
            <v>7</v>
          </cell>
          <cell r="S175">
            <v>7</v>
          </cell>
          <cell r="T175">
            <v>3</v>
          </cell>
          <cell r="U175" t="str">
            <v>ASP</v>
          </cell>
          <cell r="V175">
            <v>35</v>
          </cell>
          <cell r="W175" t="b">
            <v>1</v>
          </cell>
        </row>
        <row r="176">
          <cell r="C176" t="str">
            <v>WJASOM14007</v>
          </cell>
          <cell r="D176">
            <v>300</v>
          </cell>
          <cell r="E176">
            <v>40256</v>
          </cell>
          <cell r="F176">
            <v>40262</v>
          </cell>
          <cell r="G176">
            <v>300</v>
          </cell>
          <cell r="H176">
            <v>165</v>
          </cell>
          <cell r="I176">
            <v>24</v>
          </cell>
          <cell r="J176">
            <v>8</v>
          </cell>
          <cell r="K176">
            <v>1</v>
          </cell>
          <cell r="M176">
            <v>2</v>
          </cell>
          <cell r="N176">
            <v>2</v>
          </cell>
          <cell r="P176">
            <v>4</v>
          </cell>
          <cell r="Q176">
            <v>1</v>
          </cell>
          <cell r="R176">
            <v>4</v>
          </cell>
          <cell r="S176">
            <v>9</v>
          </cell>
          <cell r="T176">
            <v>1</v>
          </cell>
          <cell r="U176" t="str">
            <v>ASP</v>
          </cell>
          <cell r="V176">
            <v>24</v>
          </cell>
          <cell r="W176" t="b">
            <v>1</v>
          </cell>
        </row>
        <row r="177">
          <cell r="C177" t="str">
            <v>WJASPM01008</v>
          </cell>
          <cell r="D177">
            <v>300</v>
          </cell>
          <cell r="E177">
            <v>40255</v>
          </cell>
          <cell r="F177">
            <v>40260</v>
          </cell>
          <cell r="G177">
            <v>292</v>
          </cell>
          <cell r="H177">
            <v>124</v>
          </cell>
          <cell r="I177">
            <v>13</v>
          </cell>
          <cell r="J177">
            <v>4.45</v>
          </cell>
          <cell r="M177">
            <v>2</v>
          </cell>
          <cell r="O177">
            <v>4</v>
          </cell>
          <cell r="P177">
            <v>1</v>
          </cell>
          <cell r="Q177">
            <v>1</v>
          </cell>
          <cell r="R177">
            <v>1</v>
          </cell>
          <cell r="S177">
            <v>3</v>
          </cell>
          <cell r="T177">
            <v>1</v>
          </cell>
          <cell r="U177" t="str">
            <v>ASP</v>
          </cell>
          <cell r="V177">
            <v>13</v>
          </cell>
          <cell r="W177" t="b">
            <v>1</v>
          </cell>
        </row>
        <row r="178">
          <cell r="C178" t="str">
            <v>WJASPM01013</v>
          </cell>
          <cell r="D178">
            <v>300</v>
          </cell>
          <cell r="E178">
            <v>40255</v>
          </cell>
          <cell r="F178">
            <v>40260</v>
          </cell>
          <cell r="G178">
            <v>298</v>
          </cell>
          <cell r="H178">
            <v>124</v>
          </cell>
          <cell r="I178">
            <v>15</v>
          </cell>
          <cell r="J178">
            <v>5.03</v>
          </cell>
          <cell r="M178">
            <v>3</v>
          </cell>
          <cell r="N178">
            <v>3</v>
          </cell>
          <cell r="O178">
            <v>2</v>
          </cell>
          <cell r="Q178">
            <v>1</v>
          </cell>
          <cell r="R178">
            <v>2</v>
          </cell>
          <cell r="S178">
            <v>2</v>
          </cell>
          <cell r="T178">
            <v>2</v>
          </cell>
          <cell r="U178" t="str">
            <v>ASP</v>
          </cell>
          <cell r="V178">
            <v>15</v>
          </cell>
          <cell r="W178" t="b">
            <v>1</v>
          </cell>
        </row>
        <row r="179">
          <cell r="C179" t="str">
            <v>WJASPM02008</v>
          </cell>
          <cell r="D179">
            <v>600</v>
          </cell>
          <cell r="E179">
            <v>40255</v>
          </cell>
          <cell r="F179">
            <v>40260</v>
          </cell>
          <cell r="G179">
            <v>597</v>
          </cell>
          <cell r="H179">
            <v>140</v>
          </cell>
          <cell r="I179">
            <v>13</v>
          </cell>
          <cell r="J179">
            <v>2.1800000000000002</v>
          </cell>
          <cell r="M179">
            <v>2</v>
          </cell>
          <cell r="N179">
            <v>3</v>
          </cell>
          <cell r="O179">
            <v>4</v>
          </cell>
          <cell r="P179">
            <v>2</v>
          </cell>
          <cell r="S179">
            <v>1</v>
          </cell>
          <cell r="T179">
            <v>1</v>
          </cell>
          <cell r="U179" t="str">
            <v>ASP</v>
          </cell>
          <cell r="V179">
            <v>13</v>
          </cell>
          <cell r="W179" t="b">
            <v>1</v>
          </cell>
        </row>
        <row r="180">
          <cell r="C180" t="str">
            <v>WJASPM02013</v>
          </cell>
          <cell r="D180">
            <v>600</v>
          </cell>
          <cell r="E180">
            <v>40255</v>
          </cell>
          <cell r="F180">
            <v>40260</v>
          </cell>
          <cell r="G180">
            <v>586</v>
          </cell>
          <cell r="H180">
            <v>155</v>
          </cell>
          <cell r="I180">
            <v>23</v>
          </cell>
          <cell r="J180">
            <v>3.92</v>
          </cell>
          <cell r="K180">
            <v>4</v>
          </cell>
          <cell r="L180">
            <v>1</v>
          </cell>
          <cell r="M180">
            <v>4</v>
          </cell>
          <cell r="N180">
            <v>1</v>
          </cell>
          <cell r="O180">
            <v>3</v>
          </cell>
          <cell r="Q180">
            <v>4</v>
          </cell>
          <cell r="R180">
            <v>1</v>
          </cell>
          <cell r="S180">
            <v>2</v>
          </cell>
          <cell r="T180">
            <v>3</v>
          </cell>
          <cell r="U180" t="str">
            <v>ASP</v>
          </cell>
          <cell r="V180">
            <v>23</v>
          </cell>
          <cell r="W180" t="b">
            <v>1</v>
          </cell>
        </row>
        <row r="181">
          <cell r="C181" t="str">
            <v>WJASPM03008</v>
          </cell>
          <cell r="D181">
            <v>600</v>
          </cell>
          <cell r="E181">
            <v>40255</v>
          </cell>
          <cell r="F181">
            <v>40260</v>
          </cell>
          <cell r="G181">
            <v>583</v>
          </cell>
          <cell r="H181">
            <v>134</v>
          </cell>
          <cell r="I181">
            <v>11</v>
          </cell>
          <cell r="J181">
            <v>1.89</v>
          </cell>
          <cell r="M181">
            <v>2</v>
          </cell>
          <cell r="N181">
            <v>2</v>
          </cell>
          <cell r="O181">
            <v>1</v>
          </cell>
          <cell r="P181">
            <v>4</v>
          </cell>
          <cell r="S181">
            <v>1</v>
          </cell>
          <cell r="T181">
            <v>1</v>
          </cell>
          <cell r="U181" t="str">
            <v>ASP</v>
          </cell>
          <cell r="V181">
            <v>11</v>
          </cell>
          <cell r="W181" t="b">
            <v>1</v>
          </cell>
        </row>
        <row r="182">
          <cell r="C182" t="str">
            <v>WJASPM03013</v>
          </cell>
          <cell r="D182">
            <v>600</v>
          </cell>
          <cell r="E182">
            <v>40255</v>
          </cell>
          <cell r="F182">
            <v>40260</v>
          </cell>
          <cell r="G182">
            <v>595</v>
          </cell>
          <cell r="H182">
            <v>148</v>
          </cell>
          <cell r="I182">
            <v>21</v>
          </cell>
          <cell r="J182">
            <v>3.53</v>
          </cell>
          <cell r="K182">
            <v>3</v>
          </cell>
          <cell r="L182">
            <v>1</v>
          </cell>
          <cell r="M182">
            <v>4</v>
          </cell>
          <cell r="N182">
            <v>2</v>
          </cell>
          <cell r="O182">
            <v>2</v>
          </cell>
          <cell r="Q182">
            <v>4</v>
          </cell>
          <cell r="R182">
            <v>2</v>
          </cell>
          <cell r="T182">
            <v>3</v>
          </cell>
          <cell r="U182" t="str">
            <v>ASP</v>
          </cell>
          <cell r="V182">
            <v>21</v>
          </cell>
          <cell r="W182" t="b">
            <v>1</v>
          </cell>
        </row>
        <row r="183">
          <cell r="C183" t="str">
            <v>WJASPM11021</v>
          </cell>
          <cell r="D183">
            <v>500</v>
          </cell>
          <cell r="E183">
            <v>40287</v>
          </cell>
          <cell r="F183">
            <v>40289</v>
          </cell>
          <cell r="G183">
            <v>500</v>
          </cell>
          <cell r="H183">
            <v>104</v>
          </cell>
          <cell r="I183">
            <v>4</v>
          </cell>
          <cell r="J183">
            <v>0.8</v>
          </cell>
          <cell r="O183">
            <v>1</v>
          </cell>
          <cell r="P183">
            <v>1</v>
          </cell>
          <cell r="R183">
            <v>1</v>
          </cell>
          <cell r="S183">
            <v>1</v>
          </cell>
          <cell r="U183" t="str">
            <v>ASP</v>
          </cell>
          <cell r="V183">
            <v>4</v>
          </cell>
          <cell r="W183" t="b">
            <v>1</v>
          </cell>
        </row>
        <row r="184">
          <cell r="C184" t="str">
            <v>WJASPM11022</v>
          </cell>
          <cell r="D184">
            <v>500</v>
          </cell>
          <cell r="E184">
            <v>40287</v>
          </cell>
          <cell r="F184">
            <v>40289</v>
          </cell>
          <cell r="G184">
            <v>485</v>
          </cell>
          <cell r="H184">
            <v>157</v>
          </cell>
          <cell r="I184">
            <v>16</v>
          </cell>
          <cell r="J184">
            <v>3.3</v>
          </cell>
          <cell r="O184">
            <v>4</v>
          </cell>
          <cell r="P184">
            <v>4</v>
          </cell>
          <cell r="Q184">
            <v>2</v>
          </cell>
          <cell r="R184">
            <v>4</v>
          </cell>
          <cell r="S184">
            <v>2</v>
          </cell>
          <cell r="U184" t="str">
            <v>ASP</v>
          </cell>
          <cell r="V184">
            <v>16</v>
          </cell>
          <cell r="W184" t="b">
            <v>1</v>
          </cell>
        </row>
        <row r="185">
          <cell r="C185" t="str">
            <v>WJASPM12021</v>
          </cell>
          <cell r="D185">
            <v>500</v>
          </cell>
          <cell r="U185" t="str">
            <v>AST</v>
          </cell>
          <cell r="V185">
            <v>0</v>
          </cell>
          <cell r="W185" t="b">
            <v>1</v>
          </cell>
        </row>
        <row r="186">
          <cell r="C186" t="str">
            <v>WJASPM12022</v>
          </cell>
          <cell r="D186">
            <v>500</v>
          </cell>
          <cell r="U186" t="str">
            <v>AST</v>
          </cell>
          <cell r="V186">
            <v>0</v>
          </cell>
          <cell r="W186" t="b">
            <v>1</v>
          </cell>
        </row>
        <row r="187">
          <cell r="C187" t="str">
            <v>WJASPM21021</v>
          </cell>
          <cell r="D187">
            <v>700</v>
          </cell>
          <cell r="E187">
            <v>40290</v>
          </cell>
          <cell r="F187">
            <v>40292</v>
          </cell>
          <cell r="G187">
            <v>699</v>
          </cell>
          <cell r="H187">
            <v>88</v>
          </cell>
          <cell r="I187">
            <v>1</v>
          </cell>
          <cell r="J187">
            <v>0.14000000000000001</v>
          </cell>
          <cell r="T187">
            <v>1</v>
          </cell>
          <cell r="U187" t="str">
            <v>AST</v>
          </cell>
          <cell r="V187">
            <v>1</v>
          </cell>
          <cell r="W187" t="b">
            <v>1</v>
          </cell>
        </row>
        <row r="188">
          <cell r="C188" t="str">
            <v>WJASPM21022</v>
          </cell>
          <cell r="D188">
            <v>700</v>
          </cell>
          <cell r="E188">
            <v>40290</v>
          </cell>
          <cell r="F188">
            <v>40292</v>
          </cell>
          <cell r="G188">
            <v>701</v>
          </cell>
          <cell r="H188">
            <v>90</v>
          </cell>
          <cell r="I188">
            <v>2</v>
          </cell>
          <cell r="J188">
            <v>0.28999999999999998</v>
          </cell>
          <cell r="P188">
            <v>1</v>
          </cell>
          <cell r="R188">
            <v>1</v>
          </cell>
          <cell r="U188" t="str">
            <v>AST</v>
          </cell>
          <cell r="V188">
            <v>2</v>
          </cell>
          <cell r="W188" t="b">
            <v>1</v>
          </cell>
        </row>
        <row r="189">
          <cell r="C189" t="str">
            <v>WJASPM22021</v>
          </cell>
          <cell r="D189">
            <v>500</v>
          </cell>
          <cell r="E189">
            <v>40287</v>
          </cell>
          <cell r="F189">
            <v>40289</v>
          </cell>
          <cell r="G189">
            <v>489</v>
          </cell>
          <cell r="H189">
            <v>90</v>
          </cell>
          <cell r="I189">
            <v>4</v>
          </cell>
          <cell r="J189">
            <v>0.82</v>
          </cell>
          <cell r="P189">
            <v>1</v>
          </cell>
          <cell r="R189">
            <v>1</v>
          </cell>
          <cell r="S189">
            <v>2</v>
          </cell>
          <cell r="U189" t="str">
            <v>AST</v>
          </cell>
          <cell r="V189">
            <v>4</v>
          </cell>
          <cell r="W189" t="b">
            <v>1</v>
          </cell>
        </row>
        <row r="190">
          <cell r="C190" t="str">
            <v>WJASPM22022</v>
          </cell>
          <cell r="D190">
            <v>500</v>
          </cell>
          <cell r="E190">
            <v>40287</v>
          </cell>
          <cell r="F190">
            <v>40289</v>
          </cell>
          <cell r="G190">
            <v>500</v>
          </cell>
          <cell r="H190">
            <v>98</v>
          </cell>
          <cell r="I190">
            <v>10</v>
          </cell>
          <cell r="J190">
            <v>2</v>
          </cell>
          <cell r="O190">
            <v>1</v>
          </cell>
          <cell r="P190">
            <v>4</v>
          </cell>
          <cell r="Q190">
            <v>2</v>
          </cell>
          <cell r="R190">
            <v>3</v>
          </cell>
          <cell r="U190" t="str">
            <v>ATP</v>
          </cell>
          <cell r="V190">
            <v>10</v>
          </cell>
          <cell r="W190" t="b">
            <v>1</v>
          </cell>
        </row>
        <row r="191">
          <cell r="C191" t="str">
            <v>WJASPM23021</v>
          </cell>
          <cell r="D191">
            <v>230</v>
          </cell>
          <cell r="E191">
            <v>40297</v>
          </cell>
          <cell r="F191">
            <v>40301</v>
          </cell>
          <cell r="G191">
            <v>230</v>
          </cell>
          <cell r="H191">
            <v>45</v>
          </cell>
          <cell r="I191">
            <v>1</v>
          </cell>
          <cell r="J191">
            <v>0.43</v>
          </cell>
          <cell r="Q191">
            <v>1</v>
          </cell>
          <cell r="U191" t="str">
            <v>ATP</v>
          </cell>
          <cell r="V191">
            <v>1</v>
          </cell>
          <cell r="W191" t="b">
            <v>1</v>
          </cell>
        </row>
        <row r="192">
          <cell r="C192" t="str">
            <v>WJASPM23022</v>
          </cell>
          <cell r="D192">
            <v>230</v>
          </cell>
          <cell r="E192">
            <v>40297</v>
          </cell>
          <cell r="F192">
            <v>40301</v>
          </cell>
          <cell r="G192">
            <v>230</v>
          </cell>
          <cell r="H192">
            <v>51</v>
          </cell>
          <cell r="I192">
            <v>3</v>
          </cell>
          <cell r="J192">
            <v>1.3</v>
          </cell>
          <cell r="R192">
            <v>4</v>
          </cell>
          <cell r="S192">
            <v>-1</v>
          </cell>
          <cell r="U192" t="str">
            <v>ATP</v>
          </cell>
          <cell r="V192">
            <v>3</v>
          </cell>
          <cell r="W192" t="b">
            <v>1</v>
          </cell>
        </row>
        <row r="193">
          <cell r="C193" t="str">
            <v>WJASPM31024</v>
          </cell>
          <cell r="D193">
            <v>700</v>
          </cell>
          <cell r="E193">
            <v>40297</v>
          </cell>
          <cell r="F193">
            <v>40301</v>
          </cell>
          <cell r="G193">
            <v>700</v>
          </cell>
          <cell r="H193">
            <v>113</v>
          </cell>
          <cell r="I193">
            <v>2</v>
          </cell>
          <cell r="J193">
            <v>0.28999999999999998</v>
          </cell>
          <cell r="R193">
            <v>2</v>
          </cell>
          <cell r="U193" t="str">
            <v>ATS</v>
          </cell>
          <cell r="V193">
            <v>2</v>
          </cell>
          <cell r="W193" t="b">
            <v>1</v>
          </cell>
        </row>
        <row r="194">
          <cell r="C194" t="str">
            <v>WJASPM31073</v>
          </cell>
          <cell r="D194">
            <v>700</v>
          </cell>
          <cell r="E194">
            <v>40297</v>
          </cell>
          <cell r="F194">
            <v>40301</v>
          </cell>
          <cell r="G194">
            <v>700</v>
          </cell>
          <cell r="H194">
            <v>114</v>
          </cell>
          <cell r="I194">
            <v>2</v>
          </cell>
          <cell r="J194">
            <v>0.28999999999999998</v>
          </cell>
          <cell r="R194">
            <v>2</v>
          </cell>
          <cell r="U194" t="str">
            <v>ATS</v>
          </cell>
          <cell r="V194">
            <v>2</v>
          </cell>
          <cell r="W194" t="b">
            <v>1</v>
          </cell>
        </row>
        <row r="195">
          <cell r="C195" t="str">
            <v>WJASPM32024</v>
          </cell>
          <cell r="D195">
            <v>700</v>
          </cell>
          <cell r="E195">
            <v>40297</v>
          </cell>
          <cell r="F195">
            <v>40301</v>
          </cell>
          <cell r="G195">
            <v>700</v>
          </cell>
          <cell r="H195">
            <v>116</v>
          </cell>
          <cell r="I195">
            <v>2</v>
          </cell>
          <cell r="J195">
            <v>0.28999999999999998</v>
          </cell>
          <cell r="R195">
            <v>2</v>
          </cell>
          <cell r="U195" t="str">
            <v>ATS</v>
          </cell>
          <cell r="V195">
            <v>2</v>
          </cell>
          <cell r="W195" t="b">
            <v>1</v>
          </cell>
        </row>
        <row r="196">
          <cell r="C196" t="str">
            <v>WJASPM32073</v>
          </cell>
          <cell r="D196">
            <v>700</v>
          </cell>
          <cell r="E196">
            <v>40297</v>
          </cell>
          <cell r="F196">
            <v>40301</v>
          </cell>
          <cell r="G196">
            <v>700</v>
          </cell>
          <cell r="H196">
            <v>115</v>
          </cell>
          <cell r="I196">
            <v>1</v>
          </cell>
          <cell r="J196">
            <v>0.14000000000000001</v>
          </cell>
          <cell r="R196">
            <v>1</v>
          </cell>
          <cell r="U196" t="str">
            <v>ATS</v>
          </cell>
          <cell r="V196">
            <v>1</v>
          </cell>
          <cell r="W196" t="b">
            <v>1</v>
          </cell>
        </row>
        <row r="197">
          <cell r="C197" t="str">
            <v>WJASPM41008</v>
          </cell>
          <cell r="D197">
            <v>300</v>
          </cell>
          <cell r="E197">
            <v>40297</v>
          </cell>
          <cell r="F197">
            <v>40301</v>
          </cell>
          <cell r="G197">
            <v>276</v>
          </cell>
          <cell r="H197">
            <v>88</v>
          </cell>
          <cell r="I197">
            <v>14</v>
          </cell>
          <cell r="J197">
            <v>5.07</v>
          </cell>
          <cell r="Q197">
            <v>1</v>
          </cell>
          <cell r="R197">
            <v>4</v>
          </cell>
          <cell r="S197">
            <v>9</v>
          </cell>
          <cell r="U197" t="str">
            <v>ATS</v>
          </cell>
          <cell r="V197">
            <v>14</v>
          </cell>
          <cell r="W197" t="b">
            <v>1</v>
          </cell>
        </row>
        <row r="198">
          <cell r="C198" t="str">
            <v>WJASTM01015</v>
          </cell>
          <cell r="D198">
            <v>335</v>
          </cell>
          <cell r="E198">
            <v>40261</v>
          </cell>
          <cell r="F198">
            <v>40261</v>
          </cell>
          <cell r="G198">
            <v>301</v>
          </cell>
          <cell r="H198">
            <v>126</v>
          </cell>
          <cell r="I198">
            <v>28</v>
          </cell>
          <cell r="J198">
            <v>9.3000000000000007</v>
          </cell>
          <cell r="K198">
            <v>2</v>
          </cell>
          <cell r="L198">
            <v>1</v>
          </cell>
          <cell r="M198">
            <v>4</v>
          </cell>
          <cell r="N198">
            <v>3</v>
          </cell>
          <cell r="O198">
            <v>6</v>
          </cell>
          <cell r="P198">
            <v>2</v>
          </cell>
          <cell r="Q198">
            <v>3</v>
          </cell>
          <cell r="R198">
            <v>1</v>
          </cell>
          <cell r="S198">
            <v>3</v>
          </cell>
          <cell r="T198">
            <v>3</v>
          </cell>
          <cell r="U198" t="str">
            <v>ATS</v>
          </cell>
          <cell r="V198">
            <v>28</v>
          </cell>
          <cell r="W198" t="b">
            <v>1</v>
          </cell>
        </row>
        <row r="199">
          <cell r="C199" t="str">
            <v>WJASTM01027</v>
          </cell>
          <cell r="D199">
            <v>350</v>
          </cell>
          <cell r="E199">
            <v>40261</v>
          </cell>
          <cell r="F199">
            <v>40261</v>
          </cell>
          <cell r="G199">
            <v>317</v>
          </cell>
          <cell r="H199">
            <v>95</v>
          </cell>
          <cell r="I199">
            <v>7</v>
          </cell>
          <cell r="J199">
            <v>2.21</v>
          </cell>
          <cell r="K199">
            <v>3</v>
          </cell>
          <cell r="Q199">
            <v>2</v>
          </cell>
          <cell r="S199">
            <v>1</v>
          </cell>
          <cell r="T199">
            <v>1</v>
          </cell>
          <cell r="U199" t="str">
            <v>ATS</v>
          </cell>
          <cell r="V199">
            <v>7</v>
          </cell>
          <cell r="W199" t="b">
            <v>1</v>
          </cell>
        </row>
        <row r="200">
          <cell r="C200" t="str">
            <v>WJASTM02024</v>
          </cell>
          <cell r="D200">
            <v>350</v>
          </cell>
          <cell r="E200">
            <v>40261</v>
          </cell>
          <cell r="F200">
            <v>40261</v>
          </cell>
          <cell r="G200">
            <v>308</v>
          </cell>
          <cell r="H200">
            <v>90</v>
          </cell>
          <cell r="I200">
            <v>8</v>
          </cell>
          <cell r="J200">
            <v>2.6</v>
          </cell>
          <cell r="K200">
            <v>3</v>
          </cell>
          <cell r="M200">
            <v>2</v>
          </cell>
          <cell r="N200">
            <v>1</v>
          </cell>
          <cell r="Q200">
            <v>2</v>
          </cell>
          <cell r="U200" t="str">
            <v>ATS</v>
          </cell>
          <cell r="V200">
            <v>8</v>
          </cell>
          <cell r="W200" t="b">
            <v>1</v>
          </cell>
        </row>
        <row r="201">
          <cell r="C201" t="str">
            <v>WJASTM03053</v>
          </cell>
          <cell r="D201">
            <v>350</v>
          </cell>
          <cell r="E201">
            <v>40261</v>
          </cell>
          <cell r="F201">
            <v>40261</v>
          </cell>
          <cell r="G201">
            <v>267</v>
          </cell>
          <cell r="H201">
            <v>98</v>
          </cell>
          <cell r="I201">
            <v>22</v>
          </cell>
          <cell r="J201">
            <v>8.24</v>
          </cell>
          <cell r="K201">
            <v>5</v>
          </cell>
          <cell r="M201">
            <v>4</v>
          </cell>
          <cell r="N201">
            <v>1</v>
          </cell>
          <cell r="O201">
            <v>4</v>
          </cell>
          <cell r="P201">
            <v>2</v>
          </cell>
          <cell r="Q201">
            <v>2</v>
          </cell>
          <cell r="R201">
            <v>3</v>
          </cell>
          <cell r="T201">
            <v>1</v>
          </cell>
          <cell r="U201" t="str">
            <v>ATS</v>
          </cell>
          <cell r="V201">
            <v>22</v>
          </cell>
          <cell r="W201" t="b">
            <v>1</v>
          </cell>
        </row>
        <row r="202">
          <cell r="C202" t="str">
            <v>WJASTM03064</v>
          </cell>
          <cell r="D202">
            <v>270</v>
          </cell>
          <cell r="E202">
            <v>40261</v>
          </cell>
          <cell r="F202">
            <v>40261</v>
          </cell>
          <cell r="G202">
            <v>161</v>
          </cell>
          <cell r="H202">
            <v>93</v>
          </cell>
          <cell r="I202">
            <v>23</v>
          </cell>
          <cell r="J202">
            <v>14.29</v>
          </cell>
          <cell r="K202">
            <v>5</v>
          </cell>
          <cell r="L202">
            <v>2</v>
          </cell>
          <cell r="M202">
            <v>4</v>
          </cell>
          <cell r="N202">
            <v>3</v>
          </cell>
          <cell r="O202">
            <v>2</v>
          </cell>
          <cell r="Q202">
            <v>1</v>
          </cell>
          <cell r="R202">
            <v>2</v>
          </cell>
          <cell r="S202">
            <v>1</v>
          </cell>
          <cell r="T202">
            <v>3</v>
          </cell>
          <cell r="U202" t="str">
            <v>ATS</v>
          </cell>
          <cell r="V202">
            <v>23</v>
          </cell>
          <cell r="W202" t="b">
            <v>1</v>
          </cell>
        </row>
        <row r="203">
          <cell r="C203" t="str">
            <v>WJATPM41007</v>
          </cell>
          <cell r="D203">
            <v>200</v>
          </cell>
          <cell r="E203">
            <v>40304</v>
          </cell>
          <cell r="F203">
            <v>40305</v>
          </cell>
          <cell r="G203">
            <v>201</v>
          </cell>
          <cell r="H203">
            <v>88</v>
          </cell>
          <cell r="I203">
            <v>2</v>
          </cell>
          <cell r="J203">
            <v>1</v>
          </cell>
          <cell r="R203">
            <v>1</v>
          </cell>
          <cell r="T203">
            <v>1</v>
          </cell>
          <cell r="U203" t="str">
            <v>ATS</v>
          </cell>
          <cell r="V203">
            <v>2</v>
          </cell>
          <cell r="W203" t="b">
            <v>1</v>
          </cell>
        </row>
        <row r="204">
          <cell r="C204" t="str">
            <v>WJATPM41024</v>
          </cell>
          <cell r="D204">
            <v>200</v>
          </cell>
          <cell r="E204">
            <v>40304</v>
          </cell>
          <cell r="F204">
            <v>40305</v>
          </cell>
          <cell r="G204">
            <v>203</v>
          </cell>
          <cell r="H204">
            <v>75</v>
          </cell>
          <cell r="I204">
            <v>9</v>
          </cell>
          <cell r="J204">
            <v>4.43</v>
          </cell>
          <cell r="Q204">
            <v>2</v>
          </cell>
          <cell r="R204">
            <v>4</v>
          </cell>
          <cell r="T204">
            <v>3</v>
          </cell>
          <cell r="U204" t="str">
            <v>ATS</v>
          </cell>
          <cell r="V204">
            <v>9</v>
          </cell>
          <cell r="W204" t="b">
            <v>1</v>
          </cell>
        </row>
        <row r="205">
          <cell r="C205" t="str">
            <v>WJATPM42007</v>
          </cell>
          <cell r="D205">
            <v>200</v>
          </cell>
          <cell r="E205">
            <v>40262</v>
          </cell>
          <cell r="F205">
            <v>40262</v>
          </cell>
          <cell r="G205">
            <v>201</v>
          </cell>
          <cell r="H205">
            <v>51</v>
          </cell>
          <cell r="I205">
            <v>4</v>
          </cell>
          <cell r="J205">
            <v>1.99</v>
          </cell>
          <cell r="M205">
            <v>3</v>
          </cell>
          <cell r="T205">
            <v>1</v>
          </cell>
          <cell r="U205" t="str">
            <v>ATS</v>
          </cell>
          <cell r="V205">
            <v>4</v>
          </cell>
          <cell r="W205" t="b">
            <v>1</v>
          </cell>
        </row>
        <row r="206">
          <cell r="C206" t="str">
            <v>WJATSM01008</v>
          </cell>
          <cell r="D206">
            <v>350</v>
          </cell>
          <cell r="E206">
            <v>40256</v>
          </cell>
          <cell r="F206">
            <v>40260</v>
          </cell>
          <cell r="G206">
            <v>330</v>
          </cell>
          <cell r="H206">
            <v>152</v>
          </cell>
          <cell r="I206">
            <v>17</v>
          </cell>
          <cell r="J206">
            <v>5.15</v>
          </cell>
          <cell r="K206">
            <v>2</v>
          </cell>
          <cell r="M206">
            <v>1</v>
          </cell>
          <cell r="N206">
            <v>6</v>
          </cell>
          <cell r="O206">
            <v>4</v>
          </cell>
          <cell r="P206">
            <v>1</v>
          </cell>
          <cell r="R206">
            <v>1</v>
          </cell>
          <cell r="S206">
            <v>1</v>
          </cell>
          <cell r="T206">
            <v>1</v>
          </cell>
          <cell r="U206" t="str">
            <v>ATS</v>
          </cell>
          <cell r="V206">
            <v>17</v>
          </cell>
          <cell r="W206" t="b">
            <v>1</v>
          </cell>
        </row>
        <row r="207">
          <cell r="C207" t="str">
            <v>WJATSM01015</v>
          </cell>
          <cell r="D207">
            <v>300</v>
          </cell>
          <cell r="E207">
            <v>40256</v>
          </cell>
          <cell r="F207">
            <v>40260</v>
          </cell>
          <cell r="G207">
            <v>307</v>
          </cell>
          <cell r="H207">
            <v>115</v>
          </cell>
          <cell r="I207">
            <v>15</v>
          </cell>
          <cell r="J207">
            <v>4.8899999999999997</v>
          </cell>
          <cell r="K207">
            <v>1</v>
          </cell>
          <cell r="M207">
            <v>3</v>
          </cell>
          <cell r="N207">
            <v>1</v>
          </cell>
          <cell r="O207">
            <v>5</v>
          </cell>
          <cell r="P207">
            <v>4</v>
          </cell>
          <cell r="T207">
            <v>1</v>
          </cell>
          <cell r="U207" t="str">
            <v>ATS</v>
          </cell>
          <cell r="V207">
            <v>15</v>
          </cell>
          <cell r="W207" t="b">
            <v>1</v>
          </cell>
        </row>
        <row r="208">
          <cell r="C208" t="str">
            <v>WJATSM01027</v>
          </cell>
          <cell r="D208">
            <v>350</v>
          </cell>
          <cell r="E208">
            <v>40256</v>
          </cell>
          <cell r="F208">
            <v>40260</v>
          </cell>
          <cell r="G208">
            <v>273</v>
          </cell>
          <cell r="H208">
            <v>105</v>
          </cell>
          <cell r="I208">
            <v>9</v>
          </cell>
          <cell r="J208">
            <v>3.3</v>
          </cell>
          <cell r="K208">
            <v>2</v>
          </cell>
          <cell r="L208">
            <v>1</v>
          </cell>
          <cell r="M208">
            <v>1</v>
          </cell>
          <cell r="O208">
            <v>1</v>
          </cell>
          <cell r="P208">
            <v>1</v>
          </cell>
          <cell r="Q208">
            <v>1</v>
          </cell>
          <cell r="R208">
            <v>1</v>
          </cell>
          <cell r="T208">
            <v>1</v>
          </cell>
          <cell r="U208" t="str">
            <v>ATS</v>
          </cell>
          <cell r="V208">
            <v>9</v>
          </cell>
          <cell r="W208" t="b">
            <v>1</v>
          </cell>
        </row>
        <row r="209">
          <cell r="C209" t="str">
            <v>WJATSM02015</v>
          </cell>
          <cell r="D209">
            <v>300</v>
          </cell>
          <cell r="E209">
            <v>40259</v>
          </cell>
          <cell r="F209">
            <v>40260</v>
          </cell>
          <cell r="G209">
            <v>175</v>
          </cell>
          <cell r="H209">
            <v>108</v>
          </cell>
          <cell r="I209">
            <v>20</v>
          </cell>
          <cell r="J209">
            <v>11.43</v>
          </cell>
          <cell r="L209">
            <v>2</v>
          </cell>
          <cell r="M209">
            <v>4</v>
          </cell>
          <cell r="N209">
            <v>2</v>
          </cell>
          <cell r="O209">
            <v>3</v>
          </cell>
          <cell r="P209">
            <v>1</v>
          </cell>
          <cell r="Q209">
            <v>2</v>
          </cell>
          <cell r="R209">
            <v>2</v>
          </cell>
          <cell r="S209">
            <v>2</v>
          </cell>
          <cell r="T209">
            <v>2</v>
          </cell>
          <cell r="U209" t="str">
            <v>ATS</v>
          </cell>
          <cell r="V209">
            <v>20</v>
          </cell>
          <cell r="W209" t="b">
            <v>1</v>
          </cell>
        </row>
        <row r="210">
          <cell r="C210" t="str">
            <v>WJATSM02024</v>
          </cell>
          <cell r="D210">
            <v>450</v>
          </cell>
          <cell r="E210">
            <v>40259</v>
          </cell>
          <cell r="F210">
            <v>40260</v>
          </cell>
          <cell r="G210">
            <v>428</v>
          </cell>
          <cell r="H210">
            <v>179</v>
          </cell>
          <cell r="I210">
            <v>23</v>
          </cell>
          <cell r="J210">
            <v>5.37</v>
          </cell>
          <cell r="L210">
            <v>1</v>
          </cell>
          <cell r="M210">
            <v>2</v>
          </cell>
          <cell r="N210">
            <v>7</v>
          </cell>
          <cell r="O210">
            <v>4</v>
          </cell>
          <cell r="P210">
            <v>2</v>
          </cell>
          <cell r="R210">
            <v>2</v>
          </cell>
          <cell r="S210">
            <v>1</v>
          </cell>
          <cell r="T210">
            <v>4</v>
          </cell>
          <cell r="U210" t="str">
            <v>ATS</v>
          </cell>
          <cell r="V210">
            <v>23</v>
          </cell>
          <cell r="W210" t="b">
            <v>1</v>
          </cell>
        </row>
        <row r="211">
          <cell r="C211" t="str">
            <v>WJATSM02053</v>
          </cell>
          <cell r="D211">
            <v>350</v>
          </cell>
          <cell r="E211">
            <v>40259</v>
          </cell>
          <cell r="F211">
            <v>40260</v>
          </cell>
          <cell r="G211">
            <v>345</v>
          </cell>
          <cell r="H211">
            <v>119</v>
          </cell>
          <cell r="I211">
            <v>16</v>
          </cell>
          <cell r="J211">
            <v>4.6399999999999997</v>
          </cell>
          <cell r="K211">
            <v>2</v>
          </cell>
          <cell r="N211">
            <v>1</v>
          </cell>
          <cell r="Q211">
            <v>3</v>
          </cell>
          <cell r="R211">
            <v>2</v>
          </cell>
          <cell r="S211">
            <v>4</v>
          </cell>
          <cell r="T211">
            <v>4</v>
          </cell>
          <cell r="U211" t="str">
            <v>ATS</v>
          </cell>
          <cell r="V211">
            <v>16</v>
          </cell>
          <cell r="W211" t="b">
            <v>1</v>
          </cell>
        </row>
        <row r="212">
          <cell r="C212" t="str">
            <v>WJATSM03027</v>
          </cell>
          <cell r="D212">
            <v>450</v>
          </cell>
          <cell r="E212">
            <v>40259</v>
          </cell>
          <cell r="F212">
            <v>40260</v>
          </cell>
          <cell r="G212">
            <v>421</v>
          </cell>
          <cell r="H212">
            <v>157</v>
          </cell>
          <cell r="I212">
            <v>30</v>
          </cell>
          <cell r="J212">
            <v>7.13</v>
          </cell>
          <cell r="K212">
            <v>2</v>
          </cell>
          <cell r="L212">
            <v>2</v>
          </cell>
          <cell r="M212">
            <v>5</v>
          </cell>
          <cell r="N212">
            <v>2</v>
          </cell>
          <cell r="O212">
            <v>6</v>
          </cell>
          <cell r="P212">
            <v>2</v>
          </cell>
          <cell r="Q212">
            <v>4</v>
          </cell>
          <cell r="R212">
            <v>1</v>
          </cell>
          <cell r="S212">
            <v>4</v>
          </cell>
          <cell r="T212">
            <v>2</v>
          </cell>
          <cell r="U212" t="str">
            <v>ATS</v>
          </cell>
          <cell r="V212">
            <v>30</v>
          </cell>
          <cell r="W212" t="b">
            <v>1</v>
          </cell>
        </row>
        <row r="213">
          <cell r="C213" t="str">
            <v>WJATSM03034</v>
          </cell>
          <cell r="D213">
            <v>350</v>
          </cell>
          <cell r="E213">
            <v>40259</v>
          </cell>
          <cell r="F213">
            <v>40260</v>
          </cell>
          <cell r="G213">
            <v>354</v>
          </cell>
          <cell r="H213">
            <v>115</v>
          </cell>
          <cell r="I213">
            <v>17</v>
          </cell>
          <cell r="J213">
            <v>4.8</v>
          </cell>
          <cell r="K213">
            <v>1</v>
          </cell>
          <cell r="L213">
            <v>1</v>
          </cell>
          <cell r="M213">
            <v>3</v>
          </cell>
          <cell r="N213">
            <v>3</v>
          </cell>
          <cell r="O213">
            <v>2</v>
          </cell>
          <cell r="P213">
            <v>3</v>
          </cell>
          <cell r="T213">
            <v>4</v>
          </cell>
          <cell r="U213" t="str">
            <v>ATS</v>
          </cell>
          <cell r="V213">
            <v>17</v>
          </cell>
          <cell r="W213" t="b">
            <v>1</v>
          </cell>
        </row>
        <row r="214">
          <cell r="C214" t="str">
            <v>WJATSM04024</v>
          </cell>
          <cell r="D214">
            <v>350</v>
          </cell>
          <cell r="E214">
            <v>40289</v>
          </cell>
          <cell r="F214">
            <v>40292</v>
          </cell>
          <cell r="G214">
            <v>331</v>
          </cell>
          <cell r="H214">
            <v>116</v>
          </cell>
          <cell r="I214">
            <v>21</v>
          </cell>
          <cell r="J214">
            <v>6.34</v>
          </cell>
          <cell r="P214">
            <v>4</v>
          </cell>
          <cell r="Q214">
            <v>8</v>
          </cell>
          <cell r="R214">
            <v>3</v>
          </cell>
          <cell r="S214">
            <v>2</v>
          </cell>
          <cell r="T214">
            <v>4</v>
          </cell>
          <cell r="U214" t="str">
            <v>ATS</v>
          </cell>
          <cell r="V214">
            <v>21</v>
          </cell>
          <cell r="W214" t="b">
            <v>1</v>
          </cell>
        </row>
        <row r="215">
          <cell r="C215" t="str">
            <v>WJATSM04025</v>
          </cell>
          <cell r="D215">
            <v>450</v>
          </cell>
          <cell r="E215">
            <v>40289</v>
          </cell>
          <cell r="F215">
            <v>40292</v>
          </cell>
          <cell r="G215">
            <v>430</v>
          </cell>
          <cell r="H215">
            <v>89</v>
          </cell>
          <cell r="I215">
            <v>8</v>
          </cell>
          <cell r="J215">
            <v>1.86</v>
          </cell>
          <cell r="P215">
            <v>1</v>
          </cell>
          <cell r="R215">
            <v>2</v>
          </cell>
          <cell r="S215">
            <v>1</v>
          </cell>
          <cell r="T215">
            <v>4</v>
          </cell>
          <cell r="U215" t="str">
            <v>ATS</v>
          </cell>
          <cell r="V215">
            <v>8</v>
          </cell>
          <cell r="W215" t="b">
            <v>1</v>
          </cell>
        </row>
        <row r="216">
          <cell r="C216" t="str">
            <v>WJATSM04034</v>
          </cell>
          <cell r="D216">
            <v>300</v>
          </cell>
          <cell r="E216">
            <v>40289</v>
          </cell>
          <cell r="F216">
            <v>40292</v>
          </cell>
          <cell r="G216">
            <v>301</v>
          </cell>
          <cell r="H216">
            <v>103</v>
          </cell>
          <cell r="I216">
            <v>21</v>
          </cell>
          <cell r="J216">
            <v>6.98</v>
          </cell>
          <cell r="O216">
            <v>2</v>
          </cell>
          <cell r="P216">
            <v>5</v>
          </cell>
          <cell r="Q216">
            <v>1</v>
          </cell>
          <cell r="R216">
            <v>2</v>
          </cell>
          <cell r="S216">
            <v>5</v>
          </cell>
          <cell r="T216">
            <v>6</v>
          </cell>
          <cell r="U216" t="str">
            <v>ATS</v>
          </cell>
          <cell r="V216">
            <v>21</v>
          </cell>
          <cell r="W216" t="b">
            <v>1</v>
          </cell>
        </row>
        <row r="217">
          <cell r="C217" t="str">
            <v>WJATSM05024</v>
          </cell>
          <cell r="D217">
            <v>350</v>
          </cell>
          <cell r="E217">
            <v>40291</v>
          </cell>
          <cell r="F217">
            <v>40297</v>
          </cell>
          <cell r="G217">
            <v>285</v>
          </cell>
          <cell r="H217">
            <v>65</v>
          </cell>
          <cell r="I217">
            <v>5</v>
          </cell>
          <cell r="J217">
            <v>1.75</v>
          </cell>
          <cell r="Q217">
            <v>1</v>
          </cell>
          <cell r="R217">
            <v>1</v>
          </cell>
          <cell r="S217">
            <v>2</v>
          </cell>
          <cell r="T217">
            <v>1</v>
          </cell>
          <cell r="U217" t="str">
            <v>ATS</v>
          </cell>
          <cell r="V217">
            <v>5</v>
          </cell>
          <cell r="W217" t="b">
            <v>1</v>
          </cell>
        </row>
        <row r="218">
          <cell r="C218" t="str">
            <v>WJATSM05034</v>
          </cell>
          <cell r="D218">
            <v>300</v>
          </cell>
          <cell r="E218">
            <v>40291</v>
          </cell>
          <cell r="F218">
            <v>40297</v>
          </cell>
          <cell r="G218">
            <v>248</v>
          </cell>
          <cell r="H218">
            <v>68</v>
          </cell>
          <cell r="I218">
            <v>11</v>
          </cell>
          <cell r="J218">
            <v>4.4400000000000004</v>
          </cell>
          <cell r="P218">
            <v>1</v>
          </cell>
          <cell r="Q218">
            <v>1</v>
          </cell>
          <cell r="R218">
            <v>4</v>
          </cell>
          <cell r="S218">
            <v>2</v>
          </cell>
          <cell r="T218">
            <v>3</v>
          </cell>
          <cell r="U218" t="str">
            <v>ATS</v>
          </cell>
          <cell r="V218">
            <v>11</v>
          </cell>
          <cell r="W218" t="b">
            <v>1</v>
          </cell>
        </row>
        <row r="219">
          <cell r="C219" t="str">
            <v>WJATSM06008</v>
          </cell>
          <cell r="D219">
            <v>350</v>
          </cell>
          <cell r="E219">
            <v>40313</v>
          </cell>
          <cell r="F219">
            <v>40316</v>
          </cell>
          <cell r="G219">
            <v>330</v>
          </cell>
          <cell r="H219">
            <v>12</v>
          </cell>
          <cell r="U219" t="str">
            <v>ATS</v>
          </cell>
          <cell r="V219">
            <v>0</v>
          </cell>
          <cell r="W219" t="b">
            <v>1</v>
          </cell>
        </row>
        <row r="220">
          <cell r="C220" t="str">
            <v>WJATSM06024</v>
          </cell>
          <cell r="D220">
            <v>350</v>
          </cell>
          <cell r="E220">
            <v>40313</v>
          </cell>
          <cell r="F220">
            <v>40316</v>
          </cell>
          <cell r="G220">
            <v>307</v>
          </cell>
          <cell r="H220">
            <v>14</v>
          </cell>
          <cell r="I220">
            <v>1</v>
          </cell>
          <cell r="J220">
            <v>0.33</v>
          </cell>
          <cell r="T220">
            <v>1</v>
          </cell>
          <cell r="U220" t="str">
            <v>ATS</v>
          </cell>
          <cell r="V220">
            <v>1</v>
          </cell>
          <cell r="W220" t="b">
            <v>1</v>
          </cell>
        </row>
        <row r="221">
          <cell r="C221" t="str">
            <v>WJATSM07008</v>
          </cell>
          <cell r="D221">
            <v>350</v>
          </cell>
          <cell r="E221">
            <v>40277</v>
          </cell>
          <cell r="F221">
            <v>40278</v>
          </cell>
          <cell r="G221">
            <v>260</v>
          </cell>
          <cell r="H221">
            <v>117</v>
          </cell>
          <cell r="I221">
            <v>20</v>
          </cell>
          <cell r="J221">
            <v>7.69</v>
          </cell>
          <cell r="M221">
            <v>1</v>
          </cell>
          <cell r="N221">
            <v>1</v>
          </cell>
          <cell r="O221">
            <v>4</v>
          </cell>
          <cell r="P221">
            <v>2</v>
          </cell>
          <cell r="Q221">
            <v>1</v>
          </cell>
          <cell r="R221">
            <v>5</v>
          </cell>
          <cell r="S221">
            <v>3</v>
          </cell>
          <cell r="T221">
            <v>3</v>
          </cell>
          <cell r="U221" t="str">
            <v>ATS</v>
          </cell>
          <cell r="V221">
            <v>20</v>
          </cell>
          <cell r="W221" t="b">
            <v>1</v>
          </cell>
        </row>
        <row r="222">
          <cell r="C222" t="str">
            <v>WJATSM07025</v>
          </cell>
          <cell r="D222">
            <v>350</v>
          </cell>
          <cell r="E222">
            <v>40277</v>
          </cell>
          <cell r="F222">
            <v>40278</v>
          </cell>
          <cell r="G222">
            <v>273</v>
          </cell>
          <cell r="H222">
            <v>141</v>
          </cell>
          <cell r="I222">
            <v>34</v>
          </cell>
          <cell r="J222">
            <v>12.45</v>
          </cell>
          <cell r="M222">
            <v>1</v>
          </cell>
          <cell r="N222">
            <v>1</v>
          </cell>
          <cell r="O222">
            <v>1</v>
          </cell>
          <cell r="P222">
            <v>5</v>
          </cell>
          <cell r="R222">
            <v>9</v>
          </cell>
          <cell r="S222">
            <v>4</v>
          </cell>
          <cell r="T222">
            <v>13</v>
          </cell>
          <cell r="U222" t="str">
            <v>ATS</v>
          </cell>
          <cell r="V222">
            <v>34</v>
          </cell>
          <cell r="W222" t="b">
            <v>1</v>
          </cell>
        </row>
        <row r="223">
          <cell r="C223" t="str">
            <v>WJATSM08007</v>
          </cell>
          <cell r="D223">
            <v>300</v>
          </cell>
          <cell r="E223">
            <v>40260</v>
          </cell>
          <cell r="F223">
            <v>40261</v>
          </cell>
          <cell r="G223">
            <v>280</v>
          </cell>
          <cell r="H223">
            <v>262</v>
          </cell>
          <cell r="I223">
            <v>92</v>
          </cell>
          <cell r="J223">
            <v>32.86</v>
          </cell>
          <cell r="K223">
            <v>7</v>
          </cell>
          <cell r="L223">
            <v>5</v>
          </cell>
          <cell r="M223">
            <v>12</v>
          </cell>
          <cell r="N223">
            <v>13</v>
          </cell>
          <cell r="O223">
            <v>7</v>
          </cell>
          <cell r="P223">
            <v>10</v>
          </cell>
          <cell r="Q223">
            <v>10</v>
          </cell>
          <cell r="R223">
            <v>7</v>
          </cell>
          <cell r="S223">
            <v>12</v>
          </cell>
          <cell r="T223">
            <v>9</v>
          </cell>
          <cell r="U223" t="str">
            <v>ATS</v>
          </cell>
          <cell r="V223">
            <v>92</v>
          </cell>
          <cell r="W223" t="b">
            <v>1</v>
          </cell>
        </row>
        <row r="224">
          <cell r="C224" t="str">
            <v>WJATSM08073</v>
          </cell>
          <cell r="D224">
            <v>300</v>
          </cell>
          <cell r="E224">
            <v>40260</v>
          </cell>
          <cell r="F224">
            <v>40261</v>
          </cell>
          <cell r="G224">
            <v>256</v>
          </cell>
          <cell r="H224">
            <v>251</v>
          </cell>
          <cell r="I224">
            <v>111</v>
          </cell>
          <cell r="J224">
            <v>43.36</v>
          </cell>
          <cell r="K224">
            <v>2</v>
          </cell>
          <cell r="L224">
            <v>16</v>
          </cell>
          <cell r="M224">
            <v>7</v>
          </cell>
          <cell r="N224">
            <v>10</v>
          </cell>
          <cell r="O224">
            <v>14</v>
          </cell>
          <cell r="P224">
            <v>11</v>
          </cell>
          <cell r="Q224">
            <v>14</v>
          </cell>
          <cell r="R224">
            <v>8</v>
          </cell>
          <cell r="S224">
            <v>13</v>
          </cell>
          <cell r="T224">
            <v>16</v>
          </cell>
          <cell r="U224" t="str">
            <v>ATS</v>
          </cell>
          <cell r="V224">
            <v>111</v>
          </cell>
          <cell r="W224" t="b">
            <v>1</v>
          </cell>
        </row>
        <row r="225">
          <cell r="C225" t="str">
            <v>WJATSM08173</v>
          </cell>
          <cell r="D225">
            <v>400</v>
          </cell>
          <cell r="U225" t="str">
            <v>ATS</v>
          </cell>
          <cell r="V225">
            <v>0</v>
          </cell>
          <cell r="W225" t="b">
            <v>1</v>
          </cell>
        </row>
        <row r="226">
          <cell r="C226" t="str">
            <v>WJATSM09024</v>
          </cell>
          <cell r="D226">
            <v>300</v>
          </cell>
          <cell r="E226">
            <v>40262</v>
          </cell>
          <cell r="F226">
            <v>40262</v>
          </cell>
          <cell r="G226">
            <v>185</v>
          </cell>
          <cell r="H226">
            <v>161</v>
          </cell>
          <cell r="I226">
            <v>94</v>
          </cell>
          <cell r="J226">
            <v>50.81</v>
          </cell>
          <cell r="K226">
            <v>3</v>
          </cell>
          <cell r="M226">
            <v>1</v>
          </cell>
          <cell r="O226">
            <v>15</v>
          </cell>
          <cell r="P226">
            <v>6</v>
          </cell>
          <cell r="Q226">
            <v>20</v>
          </cell>
          <cell r="R226">
            <v>24</v>
          </cell>
          <cell r="S226">
            <v>16</v>
          </cell>
          <cell r="T226">
            <v>9</v>
          </cell>
          <cell r="U226" t="str">
            <v>ATS</v>
          </cell>
          <cell r="V226">
            <v>94</v>
          </cell>
          <cell r="W226" t="b">
            <v>1</v>
          </cell>
        </row>
        <row r="227">
          <cell r="C227" t="str">
            <v>WJATSM09053</v>
          </cell>
          <cell r="D227">
            <v>300</v>
          </cell>
          <cell r="E227">
            <v>40262</v>
          </cell>
          <cell r="F227">
            <v>40262</v>
          </cell>
          <cell r="G227">
            <v>92</v>
          </cell>
          <cell r="H227">
            <v>68</v>
          </cell>
          <cell r="I227">
            <v>18</v>
          </cell>
          <cell r="J227">
            <v>19.57</v>
          </cell>
          <cell r="K227">
            <v>1</v>
          </cell>
          <cell r="M227">
            <v>2</v>
          </cell>
          <cell r="N227">
            <v>1</v>
          </cell>
          <cell r="O227">
            <v>-1</v>
          </cell>
          <cell r="P227">
            <v>3</v>
          </cell>
          <cell r="Q227">
            <v>2</v>
          </cell>
          <cell r="R227">
            <v>3</v>
          </cell>
          <cell r="S227">
            <v>5</v>
          </cell>
          <cell r="T227">
            <v>2</v>
          </cell>
          <cell r="U227" t="str">
            <v>ATS</v>
          </cell>
          <cell r="V227">
            <v>18</v>
          </cell>
          <cell r="W227" t="b">
            <v>1</v>
          </cell>
        </row>
        <row r="228">
          <cell r="C228" t="str">
            <v>WJATSM10015</v>
          </cell>
          <cell r="D228">
            <v>350</v>
          </cell>
          <cell r="E228">
            <v>40259</v>
          </cell>
          <cell r="F228">
            <v>40260</v>
          </cell>
          <cell r="G228">
            <v>299</v>
          </cell>
          <cell r="H228">
            <v>142</v>
          </cell>
          <cell r="I228">
            <v>23</v>
          </cell>
          <cell r="J228">
            <v>7.69</v>
          </cell>
          <cell r="K228">
            <v>5</v>
          </cell>
          <cell r="L228">
            <v>3</v>
          </cell>
          <cell r="M228">
            <v>1</v>
          </cell>
          <cell r="N228">
            <v>1</v>
          </cell>
          <cell r="O228">
            <v>5</v>
          </cell>
          <cell r="P228">
            <v>1</v>
          </cell>
          <cell r="R228">
            <v>4</v>
          </cell>
          <cell r="S228">
            <v>3</v>
          </cell>
          <cell r="U228" t="str">
            <v>ATS</v>
          </cell>
          <cell r="V228">
            <v>23</v>
          </cell>
          <cell r="W228" t="b">
            <v>1</v>
          </cell>
        </row>
        <row r="229">
          <cell r="C229" t="str">
            <v>WJATSM10034</v>
          </cell>
          <cell r="D229">
            <v>350</v>
          </cell>
          <cell r="E229">
            <v>40259</v>
          </cell>
          <cell r="F229">
            <v>40260</v>
          </cell>
          <cell r="G229">
            <v>351</v>
          </cell>
          <cell r="H229">
            <v>128</v>
          </cell>
          <cell r="I229">
            <v>11</v>
          </cell>
          <cell r="J229">
            <v>3.13</v>
          </cell>
          <cell r="K229">
            <v>1</v>
          </cell>
          <cell r="L229">
            <v>1</v>
          </cell>
          <cell r="M229">
            <v>4</v>
          </cell>
          <cell r="N229">
            <v>1</v>
          </cell>
          <cell r="O229">
            <v>1</v>
          </cell>
          <cell r="P229">
            <v>1</v>
          </cell>
          <cell r="S229">
            <v>1</v>
          </cell>
          <cell r="T229">
            <v>1</v>
          </cell>
          <cell r="U229" t="str">
            <v>ATS</v>
          </cell>
          <cell r="V229">
            <v>11</v>
          </cell>
          <cell r="W229" t="b">
            <v>1</v>
          </cell>
        </row>
        <row r="230">
          <cell r="C230" t="str">
            <v>WJATSM11001</v>
          </cell>
          <cell r="D230">
            <v>350</v>
          </cell>
          <cell r="E230">
            <v>40260</v>
          </cell>
          <cell r="F230">
            <v>40262</v>
          </cell>
          <cell r="G230">
            <v>350</v>
          </cell>
          <cell r="H230">
            <v>113</v>
          </cell>
          <cell r="I230">
            <v>9</v>
          </cell>
          <cell r="J230">
            <v>2.57</v>
          </cell>
          <cell r="N230">
            <v>1</v>
          </cell>
          <cell r="P230">
            <v>2</v>
          </cell>
          <cell r="Q230">
            <v>2</v>
          </cell>
          <cell r="R230">
            <v>3</v>
          </cell>
          <cell r="S230">
            <v>2</v>
          </cell>
          <cell r="T230">
            <v>-1</v>
          </cell>
          <cell r="U230" t="str">
            <v>ATT</v>
          </cell>
          <cell r="V230">
            <v>9</v>
          </cell>
          <cell r="W230" t="b">
            <v>1</v>
          </cell>
        </row>
        <row r="231">
          <cell r="C231" t="str">
            <v>WJATSM11034</v>
          </cell>
          <cell r="D231">
            <v>350</v>
          </cell>
          <cell r="E231">
            <v>40260</v>
          </cell>
          <cell r="F231">
            <v>40262</v>
          </cell>
          <cell r="G231">
            <v>361</v>
          </cell>
          <cell r="H231">
            <v>141</v>
          </cell>
          <cell r="I231">
            <v>6</v>
          </cell>
          <cell r="J231">
            <v>1.66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-1</v>
          </cell>
          <cell r="S231">
            <v>3</v>
          </cell>
          <cell r="U231" t="str">
            <v>ATT</v>
          </cell>
          <cell r="V231">
            <v>6</v>
          </cell>
          <cell r="W231" t="b">
            <v>1</v>
          </cell>
        </row>
        <row r="232">
          <cell r="C232" t="str">
            <v>WJATSM12003</v>
          </cell>
          <cell r="D232">
            <v>300</v>
          </cell>
          <cell r="E232">
            <v>40259</v>
          </cell>
          <cell r="F232">
            <v>40260</v>
          </cell>
          <cell r="G232">
            <v>272</v>
          </cell>
          <cell r="H232">
            <v>112</v>
          </cell>
          <cell r="I232">
            <v>9</v>
          </cell>
          <cell r="J232">
            <v>3.31</v>
          </cell>
          <cell r="K232">
            <v>1</v>
          </cell>
          <cell r="N232">
            <v>1</v>
          </cell>
          <cell r="P232">
            <v>1</v>
          </cell>
          <cell r="Q232">
            <v>2</v>
          </cell>
          <cell r="S232">
            <v>2</v>
          </cell>
          <cell r="T232">
            <v>2</v>
          </cell>
          <cell r="U232" t="str">
            <v>ATT</v>
          </cell>
          <cell r="V232">
            <v>9</v>
          </cell>
          <cell r="W232" t="b">
            <v>1</v>
          </cell>
        </row>
        <row r="233">
          <cell r="C233" t="str">
            <v>WJATSM12034</v>
          </cell>
          <cell r="D233">
            <v>350</v>
          </cell>
          <cell r="E233">
            <v>40259</v>
          </cell>
          <cell r="F233">
            <v>40260</v>
          </cell>
          <cell r="G233">
            <v>357</v>
          </cell>
          <cell r="H233">
            <v>126</v>
          </cell>
          <cell r="I233">
            <v>13</v>
          </cell>
          <cell r="J233">
            <v>3.64</v>
          </cell>
          <cell r="K233">
            <v>3</v>
          </cell>
          <cell r="L233">
            <v>1</v>
          </cell>
          <cell r="M233">
            <v>2</v>
          </cell>
          <cell r="N233">
            <v>1</v>
          </cell>
          <cell r="O233">
            <v>1</v>
          </cell>
          <cell r="Q233">
            <v>2</v>
          </cell>
          <cell r="R233">
            <v>2</v>
          </cell>
          <cell r="S233">
            <v>1</v>
          </cell>
          <cell r="U233" t="str">
            <v>ATT</v>
          </cell>
          <cell r="V233">
            <v>13</v>
          </cell>
          <cell r="W233" t="b">
            <v>1</v>
          </cell>
        </row>
        <row r="234">
          <cell r="C234" t="str">
            <v>WJATSM13024</v>
          </cell>
          <cell r="D234">
            <v>350</v>
          </cell>
          <cell r="E234">
            <v>40256</v>
          </cell>
          <cell r="F234">
            <v>40260</v>
          </cell>
          <cell r="G234">
            <v>337</v>
          </cell>
          <cell r="H234">
            <v>222</v>
          </cell>
          <cell r="I234">
            <v>57</v>
          </cell>
          <cell r="J234">
            <v>16.91</v>
          </cell>
          <cell r="K234">
            <v>3</v>
          </cell>
          <cell r="L234">
            <v>1</v>
          </cell>
          <cell r="M234">
            <v>6</v>
          </cell>
          <cell r="N234">
            <v>8</v>
          </cell>
          <cell r="O234">
            <v>5</v>
          </cell>
          <cell r="P234">
            <v>9</v>
          </cell>
          <cell r="Q234">
            <v>13</v>
          </cell>
          <cell r="R234">
            <v>5</v>
          </cell>
          <cell r="S234">
            <v>3</v>
          </cell>
          <cell r="T234">
            <v>4</v>
          </cell>
          <cell r="U234" t="str">
            <v>ATT</v>
          </cell>
          <cell r="V234">
            <v>57</v>
          </cell>
          <cell r="W234" t="b">
            <v>1</v>
          </cell>
        </row>
        <row r="235">
          <cell r="C235" t="str">
            <v>WJATSM13073</v>
          </cell>
          <cell r="D235">
            <v>300</v>
          </cell>
          <cell r="E235">
            <v>40256</v>
          </cell>
          <cell r="F235">
            <v>40260</v>
          </cell>
          <cell r="G235">
            <v>287</v>
          </cell>
          <cell r="H235">
            <v>203</v>
          </cell>
          <cell r="I235">
            <v>44</v>
          </cell>
          <cell r="J235">
            <v>15.33</v>
          </cell>
          <cell r="K235">
            <v>1</v>
          </cell>
          <cell r="M235">
            <v>4</v>
          </cell>
          <cell r="N235">
            <v>7</v>
          </cell>
          <cell r="O235">
            <v>7</v>
          </cell>
          <cell r="P235">
            <v>10</v>
          </cell>
          <cell r="Q235">
            <v>5</v>
          </cell>
          <cell r="R235">
            <v>1</v>
          </cell>
          <cell r="S235">
            <v>3</v>
          </cell>
          <cell r="T235">
            <v>6</v>
          </cell>
          <cell r="U235" t="str">
            <v>ATT</v>
          </cell>
          <cell r="V235">
            <v>44</v>
          </cell>
          <cell r="W235" t="b">
            <v>1</v>
          </cell>
        </row>
        <row r="236">
          <cell r="C236" t="str">
            <v>WJATSM13076</v>
          </cell>
          <cell r="D236">
            <v>300</v>
          </cell>
          <cell r="E236">
            <v>40256</v>
          </cell>
          <cell r="F236">
            <v>40260</v>
          </cell>
          <cell r="G236">
            <v>297</v>
          </cell>
          <cell r="H236">
            <v>215</v>
          </cell>
          <cell r="I236">
            <v>47</v>
          </cell>
          <cell r="J236">
            <v>15.82</v>
          </cell>
          <cell r="K236">
            <v>1</v>
          </cell>
          <cell r="M236">
            <v>1</v>
          </cell>
          <cell r="N236">
            <v>5</v>
          </cell>
          <cell r="O236">
            <v>9</v>
          </cell>
          <cell r="P236">
            <v>11</v>
          </cell>
          <cell r="Q236">
            <v>12</v>
          </cell>
          <cell r="R236">
            <v>-1</v>
          </cell>
          <cell r="S236">
            <v>6</v>
          </cell>
          <cell r="T236">
            <v>3</v>
          </cell>
          <cell r="U236" t="str">
            <v>ATT</v>
          </cell>
          <cell r="V236">
            <v>47</v>
          </cell>
          <cell r="W236" t="b">
            <v>1</v>
          </cell>
        </row>
        <row r="237">
          <cell r="C237" t="str">
            <v>WJATSM21007</v>
          </cell>
          <cell r="D237">
            <v>300</v>
          </cell>
          <cell r="E237">
            <v>40256</v>
          </cell>
          <cell r="F237">
            <v>40260</v>
          </cell>
          <cell r="G237">
            <v>298</v>
          </cell>
          <cell r="H237">
            <v>93</v>
          </cell>
          <cell r="I237">
            <v>8</v>
          </cell>
          <cell r="J237">
            <v>2.68</v>
          </cell>
          <cell r="K237">
            <v>5</v>
          </cell>
          <cell r="M237">
            <v>1</v>
          </cell>
          <cell r="N237">
            <v>1</v>
          </cell>
          <cell r="P237">
            <v>1</v>
          </cell>
          <cell r="U237" t="str">
            <v>ATT</v>
          </cell>
          <cell r="V237">
            <v>8</v>
          </cell>
          <cell r="W237" t="b">
            <v>1</v>
          </cell>
        </row>
        <row r="238">
          <cell r="C238" t="str">
            <v>WJATSM21027</v>
          </cell>
          <cell r="D238">
            <v>350</v>
          </cell>
          <cell r="E238">
            <v>40256</v>
          </cell>
          <cell r="F238">
            <v>40260</v>
          </cell>
          <cell r="G238">
            <v>279</v>
          </cell>
          <cell r="H238">
            <v>94</v>
          </cell>
          <cell r="I238">
            <v>11</v>
          </cell>
          <cell r="J238">
            <v>3.94</v>
          </cell>
          <cell r="K238">
            <v>4</v>
          </cell>
          <cell r="M238">
            <v>2</v>
          </cell>
          <cell r="N238">
            <v>1</v>
          </cell>
          <cell r="O238">
            <v>2</v>
          </cell>
          <cell r="P238">
            <v>1</v>
          </cell>
          <cell r="R238">
            <v>1</v>
          </cell>
          <cell r="U238" t="str">
            <v>ATT</v>
          </cell>
          <cell r="V238">
            <v>11</v>
          </cell>
          <cell r="W238" t="b">
            <v>1</v>
          </cell>
        </row>
        <row r="239">
          <cell r="C239" t="str">
            <v>WJATSM22046</v>
          </cell>
          <cell r="D239">
            <v>300</v>
          </cell>
          <cell r="E239">
            <v>40256</v>
          </cell>
          <cell r="F239">
            <v>40260</v>
          </cell>
          <cell r="G239">
            <v>288</v>
          </cell>
          <cell r="H239">
            <v>84</v>
          </cell>
          <cell r="I239">
            <v>10</v>
          </cell>
          <cell r="J239">
            <v>3.47</v>
          </cell>
          <cell r="K239">
            <v>1</v>
          </cell>
          <cell r="M239">
            <v>1</v>
          </cell>
          <cell r="N239">
            <v>2</v>
          </cell>
          <cell r="O239">
            <v>4</v>
          </cell>
          <cell r="R239">
            <v>1</v>
          </cell>
          <cell r="S239">
            <v>1</v>
          </cell>
          <cell r="U239" t="str">
            <v>AXX</v>
          </cell>
          <cell r="V239">
            <v>10</v>
          </cell>
          <cell r="W239" t="b">
            <v>1</v>
          </cell>
        </row>
        <row r="240">
          <cell r="C240" t="str">
            <v>WJATSM22060</v>
          </cell>
          <cell r="D240">
            <v>350</v>
          </cell>
          <cell r="E240">
            <v>40256</v>
          </cell>
          <cell r="F240">
            <v>40260</v>
          </cell>
          <cell r="G240">
            <v>337</v>
          </cell>
          <cell r="H240">
            <v>99</v>
          </cell>
          <cell r="I240">
            <v>16</v>
          </cell>
          <cell r="J240">
            <v>4.75</v>
          </cell>
          <cell r="K240">
            <v>3</v>
          </cell>
          <cell r="M240">
            <v>6</v>
          </cell>
          <cell r="N240">
            <v>3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U240" t="str">
            <v>AXX</v>
          </cell>
          <cell r="V240">
            <v>16</v>
          </cell>
          <cell r="W240" t="b">
            <v>1</v>
          </cell>
        </row>
        <row r="241">
          <cell r="C241" t="str">
            <v>WJATSM23008</v>
          </cell>
          <cell r="D241">
            <v>300</v>
          </cell>
          <cell r="E241">
            <v>40263</v>
          </cell>
          <cell r="F241">
            <v>40263</v>
          </cell>
          <cell r="G241">
            <v>301</v>
          </cell>
          <cell r="H241">
            <v>78</v>
          </cell>
          <cell r="I241">
            <v>9</v>
          </cell>
          <cell r="J241">
            <v>2.99</v>
          </cell>
          <cell r="L241">
            <v>1</v>
          </cell>
          <cell r="M241">
            <v>2</v>
          </cell>
          <cell r="N241">
            <v>1</v>
          </cell>
          <cell r="O241">
            <v>2</v>
          </cell>
          <cell r="R241">
            <v>1</v>
          </cell>
          <cell r="S241">
            <v>1</v>
          </cell>
          <cell r="T241">
            <v>1</v>
          </cell>
          <cell r="U241" t="str">
            <v>AXX</v>
          </cell>
          <cell r="V241">
            <v>9</v>
          </cell>
          <cell r="W241" t="b">
            <v>1</v>
          </cell>
        </row>
        <row r="242">
          <cell r="C242" t="str">
            <v>WJATSM23016</v>
          </cell>
          <cell r="D242">
            <v>350</v>
          </cell>
          <cell r="E242">
            <v>40263</v>
          </cell>
          <cell r="F242">
            <v>40263</v>
          </cell>
          <cell r="G242">
            <v>250</v>
          </cell>
          <cell r="H242">
            <v>77</v>
          </cell>
          <cell r="I242">
            <v>6</v>
          </cell>
          <cell r="J242">
            <v>2.4</v>
          </cell>
          <cell r="K242">
            <v>1</v>
          </cell>
          <cell r="M242">
            <v>1</v>
          </cell>
          <cell r="O242">
            <v>2</v>
          </cell>
          <cell r="P242">
            <v>1</v>
          </cell>
          <cell r="R242">
            <v>1</v>
          </cell>
          <cell r="U242" t="str">
            <v>AXX</v>
          </cell>
          <cell r="V242">
            <v>6</v>
          </cell>
          <cell r="W242" t="b">
            <v>1</v>
          </cell>
        </row>
        <row r="243">
          <cell r="C243" t="str">
            <v>WJATSM24016</v>
          </cell>
          <cell r="D243">
            <v>300</v>
          </cell>
          <cell r="E243">
            <v>40292</v>
          </cell>
          <cell r="F243">
            <v>40297</v>
          </cell>
          <cell r="G243">
            <v>224</v>
          </cell>
          <cell r="H243">
            <v>64</v>
          </cell>
          <cell r="I243">
            <v>8</v>
          </cell>
          <cell r="J243">
            <v>3.57</v>
          </cell>
          <cell r="P243">
            <v>1</v>
          </cell>
          <cell r="R243">
            <v>4</v>
          </cell>
          <cell r="S243">
            <v>3</v>
          </cell>
          <cell r="U243" t="str">
            <v>AXX</v>
          </cell>
          <cell r="V243">
            <v>8</v>
          </cell>
          <cell r="W243" t="b">
            <v>1</v>
          </cell>
        </row>
        <row r="244">
          <cell r="C244" t="str">
            <v>WJATSM24074</v>
          </cell>
          <cell r="D244">
            <v>300</v>
          </cell>
          <cell r="E244">
            <v>40292</v>
          </cell>
          <cell r="F244">
            <v>40297</v>
          </cell>
          <cell r="G244">
            <v>247</v>
          </cell>
          <cell r="H244">
            <v>47</v>
          </cell>
          <cell r="I244">
            <v>3</v>
          </cell>
          <cell r="J244">
            <v>1.21</v>
          </cell>
          <cell r="T244">
            <v>3</v>
          </cell>
          <cell r="U244" t="str">
            <v>AXX</v>
          </cell>
          <cell r="V244">
            <v>3</v>
          </cell>
          <cell r="W244" t="b">
            <v>1</v>
          </cell>
        </row>
        <row r="245">
          <cell r="C245" t="str">
            <v>WJATSM25007</v>
          </cell>
          <cell r="D245">
            <v>250</v>
          </cell>
          <cell r="E245">
            <v>40262</v>
          </cell>
          <cell r="F245">
            <v>40262</v>
          </cell>
          <cell r="G245">
            <v>234</v>
          </cell>
          <cell r="H245">
            <v>111</v>
          </cell>
          <cell r="I245">
            <v>9</v>
          </cell>
          <cell r="J245">
            <v>3.85</v>
          </cell>
          <cell r="M245">
            <v>1</v>
          </cell>
          <cell r="N245">
            <v>3</v>
          </cell>
          <cell r="O245">
            <v>4</v>
          </cell>
          <cell r="S245">
            <v>1</v>
          </cell>
          <cell r="U245" t="str">
            <v>AXX</v>
          </cell>
          <cell r="V245">
            <v>9</v>
          </cell>
          <cell r="W245" t="b">
            <v>1</v>
          </cell>
        </row>
        <row r="246">
          <cell r="C246" t="str">
            <v>WJATSM25008</v>
          </cell>
          <cell r="D246">
            <v>250</v>
          </cell>
          <cell r="E246">
            <v>40262</v>
          </cell>
          <cell r="F246">
            <v>40262</v>
          </cell>
          <cell r="G246">
            <v>257</v>
          </cell>
          <cell r="H246">
            <v>148</v>
          </cell>
          <cell r="I246">
            <v>25</v>
          </cell>
          <cell r="J246">
            <v>9.73</v>
          </cell>
          <cell r="K246">
            <v>2</v>
          </cell>
          <cell r="L246">
            <v>1</v>
          </cell>
          <cell r="M246">
            <v>2</v>
          </cell>
          <cell r="N246">
            <v>12</v>
          </cell>
          <cell r="O246">
            <v>4</v>
          </cell>
          <cell r="P246">
            <v>3</v>
          </cell>
          <cell r="Q246">
            <v>-2</v>
          </cell>
          <cell r="R246">
            <v>2</v>
          </cell>
          <cell r="T246">
            <v>1</v>
          </cell>
          <cell r="U246" t="str">
            <v>AXX</v>
          </cell>
          <cell r="V246">
            <v>25</v>
          </cell>
          <cell r="W246" t="b">
            <v>1</v>
          </cell>
        </row>
        <row r="247">
          <cell r="C247" t="str">
            <v>WJATSM25035</v>
          </cell>
          <cell r="D247">
            <v>250</v>
          </cell>
          <cell r="E247">
            <v>40262</v>
          </cell>
          <cell r="F247">
            <v>40262</v>
          </cell>
          <cell r="G247">
            <v>228</v>
          </cell>
          <cell r="H247">
            <v>148</v>
          </cell>
          <cell r="I247">
            <v>22</v>
          </cell>
          <cell r="J247">
            <v>9.65</v>
          </cell>
          <cell r="K247">
            <v>2</v>
          </cell>
          <cell r="L247">
            <v>1</v>
          </cell>
          <cell r="M247">
            <v>2</v>
          </cell>
          <cell r="N247">
            <v>12</v>
          </cell>
          <cell r="O247">
            <v>4</v>
          </cell>
          <cell r="P247">
            <v>1</v>
          </cell>
          <cell r="U247" t="str">
            <v>AXX</v>
          </cell>
          <cell r="V247">
            <v>22</v>
          </cell>
          <cell r="W247" t="b">
            <v>1</v>
          </cell>
        </row>
        <row r="248">
          <cell r="C248" t="str">
            <v>WJATSM26060</v>
          </cell>
          <cell r="D248">
            <v>350</v>
          </cell>
          <cell r="E248">
            <v>40299</v>
          </cell>
          <cell r="F248">
            <v>40309</v>
          </cell>
          <cell r="G248">
            <v>319</v>
          </cell>
          <cell r="H248">
            <v>63</v>
          </cell>
          <cell r="I248">
            <v>3</v>
          </cell>
          <cell r="J248">
            <v>0.94</v>
          </cell>
          <cell r="R248">
            <v>1</v>
          </cell>
          <cell r="S248">
            <v>1</v>
          </cell>
          <cell r="T248">
            <v>1</v>
          </cell>
          <cell r="U248" t="str">
            <v>AXX</v>
          </cell>
          <cell r="V248">
            <v>3</v>
          </cell>
          <cell r="W248" t="b">
            <v>1</v>
          </cell>
        </row>
        <row r="249">
          <cell r="C249" t="str">
            <v>WJATSM26073</v>
          </cell>
          <cell r="D249">
            <v>300</v>
          </cell>
          <cell r="E249">
            <v>40299</v>
          </cell>
          <cell r="F249">
            <v>40309</v>
          </cell>
          <cell r="G249">
            <v>294</v>
          </cell>
          <cell r="H249">
            <v>70</v>
          </cell>
          <cell r="I249">
            <v>6</v>
          </cell>
          <cell r="J249">
            <v>2.04</v>
          </cell>
          <cell r="R249">
            <v>2</v>
          </cell>
          <cell r="S249">
            <v>1</v>
          </cell>
          <cell r="T249">
            <v>3</v>
          </cell>
          <cell r="U249" t="str">
            <v>AXX</v>
          </cell>
          <cell r="V249">
            <v>6</v>
          </cell>
          <cell r="W249" t="b">
            <v>1</v>
          </cell>
        </row>
        <row r="250">
          <cell r="C250" t="str">
            <v>WJATSP71007</v>
          </cell>
          <cell r="D250">
            <v>800</v>
          </cell>
          <cell r="E250">
            <v>40256</v>
          </cell>
          <cell r="F250">
            <v>40260</v>
          </cell>
          <cell r="G250">
            <v>821</v>
          </cell>
          <cell r="H250">
            <v>271</v>
          </cell>
          <cell r="I250">
            <v>49</v>
          </cell>
          <cell r="J250">
            <v>5.97</v>
          </cell>
          <cell r="K250">
            <v>8</v>
          </cell>
          <cell r="M250">
            <v>5</v>
          </cell>
          <cell r="N250">
            <v>7</v>
          </cell>
          <cell r="O250">
            <v>3</v>
          </cell>
          <cell r="P250">
            <v>5</v>
          </cell>
          <cell r="Q250">
            <v>4</v>
          </cell>
          <cell r="R250">
            <v>6</v>
          </cell>
          <cell r="S250">
            <v>5</v>
          </cell>
          <cell r="T250">
            <v>6</v>
          </cell>
          <cell r="U250" t="str">
            <v>AXX</v>
          </cell>
          <cell r="V250">
            <v>49</v>
          </cell>
          <cell r="W250" t="b">
            <v>1</v>
          </cell>
        </row>
        <row r="251">
          <cell r="C251" t="str">
            <v>WJATSP71024</v>
          </cell>
          <cell r="D251">
            <v>1000</v>
          </cell>
          <cell r="E251">
            <v>40256</v>
          </cell>
          <cell r="F251">
            <v>40260</v>
          </cell>
          <cell r="G251">
            <v>984</v>
          </cell>
          <cell r="H251">
            <v>341</v>
          </cell>
          <cell r="I251">
            <v>92</v>
          </cell>
          <cell r="J251">
            <v>9.35</v>
          </cell>
          <cell r="K251">
            <v>4</v>
          </cell>
          <cell r="L251">
            <v>1</v>
          </cell>
          <cell r="M251">
            <v>9</v>
          </cell>
          <cell r="N251">
            <v>3</v>
          </cell>
          <cell r="O251">
            <v>12</v>
          </cell>
          <cell r="P251">
            <v>13</v>
          </cell>
          <cell r="Q251">
            <v>17</v>
          </cell>
          <cell r="R251">
            <v>14</v>
          </cell>
          <cell r="S251">
            <v>7</v>
          </cell>
          <cell r="T251">
            <v>12</v>
          </cell>
          <cell r="U251" t="str">
            <v>AXX</v>
          </cell>
          <cell r="V251">
            <v>92</v>
          </cell>
          <cell r="W251" t="b">
            <v>1</v>
          </cell>
        </row>
        <row r="252">
          <cell r="C252" t="str">
            <v>WJATSP71073</v>
          </cell>
          <cell r="D252">
            <v>400</v>
          </cell>
          <cell r="E252">
            <v>40256</v>
          </cell>
          <cell r="F252">
            <v>40260</v>
          </cell>
          <cell r="G252">
            <v>395</v>
          </cell>
          <cell r="H252">
            <v>180</v>
          </cell>
          <cell r="I252">
            <v>33</v>
          </cell>
          <cell r="J252">
            <v>8.35</v>
          </cell>
          <cell r="L252">
            <v>1</v>
          </cell>
          <cell r="N252">
            <v>12</v>
          </cell>
          <cell r="O252">
            <v>4</v>
          </cell>
          <cell r="P252">
            <v>3</v>
          </cell>
          <cell r="Q252">
            <v>4</v>
          </cell>
          <cell r="R252">
            <v>5</v>
          </cell>
          <cell r="S252">
            <v>4</v>
          </cell>
          <cell r="U252" t="str">
            <v>AXX</v>
          </cell>
          <cell r="V252">
            <v>33</v>
          </cell>
          <cell r="W252" t="b">
            <v>1</v>
          </cell>
        </row>
        <row r="253">
          <cell r="C253" t="str">
            <v>WJATTI01007</v>
          </cell>
          <cell r="D253">
            <v>50</v>
          </cell>
          <cell r="E253">
            <v>40263</v>
          </cell>
          <cell r="F253">
            <v>40263</v>
          </cell>
          <cell r="G253">
            <v>50</v>
          </cell>
          <cell r="H253">
            <v>30</v>
          </cell>
          <cell r="I253">
            <v>4</v>
          </cell>
          <cell r="J253">
            <v>8</v>
          </cell>
          <cell r="L253">
            <v>1</v>
          </cell>
          <cell r="M253">
            <v>1</v>
          </cell>
          <cell r="P253">
            <v>1</v>
          </cell>
          <cell r="T253">
            <v>1</v>
          </cell>
          <cell r="U253" t="str">
            <v>AXX</v>
          </cell>
          <cell r="V253">
            <v>4</v>
          </cell>
          <cell r="W253" t="b">
            <v>1</v>
          </cell>
        </row>
        <row r="254">
          <cell r="C254" t="str">
            <v>WJATTI01026</v>
          </cell>
          <cell r="D254">
            <v>50</v>
          </cell>
          <cell r="E254">
            <v>40263</v>
          </cell>
          <cell r="F254">
            <v>40263</v>
          </cell>
          <cell r="G254">
            <v>50</v>
          </cell>
          <cell r="H254">
            <v>25</v>
          </cell>
          <cell r="I254">
            <v>2</v>
          </cell>
          <cell r="J254">
            <v>4</v>
          </cell>
          <cell r="P254">
            <v>1</v>
          </cell>
          <cell r="S254">
            <v>1</v>
          </cell>
          <cell r="U254" t="str">
            <v>AXX</v>
          </cell>
          <cell r="V254">
            <v>2</v>
          </cell>
          <cell r="W254" t="b">
            <v>1</v>
          </cell>
        </row>
        <row r="255">
          <cell r="C255" t="str">
            <v>WJATTI01073</v>
          </cell>
          <cell r="D255">
            <v>60</v>
          </cell>
          <cell r="E255">
            <v>40263</v>
          </cell>
          <cell r="F255">
            <v>40263</v>
          </cell>
          <cell r="G255">
            <v>60</v>
          </cell>
          <cell r="H255">
            <v>33</v>
          </cell>
          <cell r="I255">
            <v>5</v>
          </cell>
          <cell r="J255">
            <v>8.33</v>
          </cell>
          <cell r="P255">
            <v>1</v>
          </cell>
          <cell r="Q255">
            <v>1</v>
          </cell>
          <cell r="R255">
            <v>1</v>
          </cell>
          <cell r="S255">
            <v>1</v>
          </cell>
          <cell r="T255">
            <v>1</v>
          </cell>
          <cell r="U255" t="str">
            <v>AXX</v>
          </cell>
          <cell r="V255">
            <v>5</v>
          </cell>
          <cell r="W255" t="b">
            <v>1</v>
          </cell>
        </row>
        <row r="256">
          <cell r="C256" t="str">
            <v>WJATTI10026</v>
          </cell>
          <cell r="D256">
            <v>60</v>
          </cell>
          <cell r="E256">
            <v>40294</v>
          </cell>
          <cell r="F256">
            <v>40301</v>
          </cell>
          <cell r="G256">
            <v>58</v>
          </cell>
          <cell r="H256">
            <v>31</v>
          </cell>
          <cell r="U256" t="str">
            <v>AXX</v>
          </cell>
          <cell r="V256">
            <v>0</v>
          </cell>
          <cell r="W256" t="b">
            <v>1</v>
          </cell>
        </row>
        <row r="257">
          <cell r="C257" t="str">
            <v>WJATTI10073</v>
          </cell>
          <cell r="D257">
            <v>60</v>
          </cell>
          <cell r="E257">
            <v>40294</v>
          </cell>
          <cell r="F257">
            <v>40301</v>
          </cell>
          <cell r="G257">
            <v>60</v>
          </cell>
          <cell r="H257">
            <v>33</v>
          </cell>
          <cell r="U257" t="str">
            <v>AXX</v>
          </cell>
          <cell r="V257">
            <v>0</v>
          </cell>
          <cell r="W257" t="b">
            <v>1</v>
          </cell>
        </row>
        <row r="258">
          <cell r="C258" t="str">
            <v>WJATTM41015</v>
          </cell>
          <cell r="D258">
            <v>200</v>
          </cell>
          <cell r="E258">
            <v>40311</v>
          </cell>
          <cell r="F258">
            <v>40315</v>
          </cell>
          <cell r="G258">
            <v>180</v>
          </cell>
          <cell r="H258">
            <v>74</v>
          </cell>
          <cell r="I258">
            <v>2</v>
          </cell>
          <cell r="J258">
            <v>1.1100000000000001</v>
          </cell>
          <cell r="T258">
            <v>2</v>
          </cell>
          <cell r="U258" t="str">
            <v>AXX</v>
          </cell>
          <cell r="V258">
            <v>2</v>
          </cell>
          <cell r="W258" t="b">
            <v>1</v>
          </cell>
        </row>
        <row r="259">
          <cell r="C259" t="str">
            <v>WJATTM41025</v>
          </cell>
          <cell r="D259">
            <v>200</v>
          </cell>
          <cell r="E259">
            <v>40311</v>
          </cell>
          <cell r="F259">
            <v>40315</v>
          </cell>
          <cell r="G259">
            <v>191</v>
          </cell>
          <cell r="H259">
            <v>41</v>
          </cell>
          <cell r="U259" t="str">
            <v>AXX</v>
          </cell>
          <cell r="V259">
            <v>0</v>
          </cell>
          <cell r="W259" t="b">
            <v>1</v>
          </cell>
        </row>
        <row r="260">
          <cell r="C260" t="str">
            <v>WJATTM42001</v>
          </cell>
          <cell r="D260">
            <v>200</v>
          </cell>
          <cell r="E260">
            <v>40327</v>
          </cell>
          <cell r="G260">
            <v>173</v>
          </cell>
          <cell r="U260" t="str">
            <v>AXX</v>
          </cell>
          <cell r="V260">
            <v>0</v>
          </cell>
          <cell r="W260" t="b">
            <v>1</v>
          </cell>
        </row>
        <row r="261">
          <cell r="C261" t="str">
            <v>WJATTM42007</v>
          </cell>
          <cell r="D261">
            <v>170</v>
          </cell>
          <cell r="E261">
            <v>40327</v>
          </cell>
          <cell r="G261">
            <v>173</v>
          </cell>
          <cell r="U261" t="str">
            <v>AXX</v>
          </cell>
          <cell r="V261">
            <v>0</v>
          </cell>
          <cell r="W261" t="b">
            <v>1</v>
          </cell>
        </row>
        <row r="262">
          <cell r="C262" t="str">
            <v>WJATTM51076</v>
          </cell>
          <cell r="D262">
            <v>200</v>
          </cell>
          <cell r="E262">
            <v>40260</v>
          </cell>
          <cell r="F262">
            <v>40260</v>
          </cell>
          <cell r="G262">
            <v>159</v>
          </cell>
          <cell r="H262">
            <v>51</v>
          </cell>
          <cell r="I262">
            <v>2</v>
          </cell>
          <cell r="J262">
            <v>1.26</v>
          </cell>
          <cell r="K262">
            <v>1</v>
          </cell>
          <cell r="L262">
            <v>1</v>
          </cell>
          <cell r="U262" t="str">
            <v>AXX</v>
          </cell>
          <cell r="V262">
            <v>2</v>
          </cell>
          <cell r="W262" t="b">
            <v>1</v>
          </cell>
        </row>
        <row r="263">
          <cell r="C263" t="str">
            <v>WJATTM51077</v>
          </cell>
          <cell r="D263">
            <v>200</v>
          </cell>
          <cell r="E263">
            <v>40260</v>
          </cell>
          <cell r="F263">
            <v>40260</v>
          </cell>
          <cell r="G263">
            <v>143</v>
          </cell>
          <cell r="H263">
            <v>63</v>
          </cell>
          <cell r="I263">
            <v>5</v>
          </cell>
          <cell r="J263">
            <v>3.5</v>
          </cell>
          <cell r="K263">
            <v>1</v>
          </cell>
          <cell r="N263">
            <v>1</v>
          </cell>
          <cell r="R263">
            <v>3</v>
          </cell>
          <cell r="U263" t="str">
            <v>AXX</v>
          </cell>
          <cell r="V263">
            <v>5</v>
          </cell>
          <cell r="W263" t="b">
            <v>1</v>
          </cell>
        </row>
        <row r="264">
          <cell r="C264" t="str">
            <v>WJATTM52074</v>
          </cell>
          <cell r="D264">
            <v>200</v>
          </cell>
          <cell r="E264">
            <v>40255</v>
          </cell>
          <cell r="F264">
            <v>40260</v>
          </cell>
          <cell r="G264">
            <v>197</v>
          </cell>
          <cell r="H264">
            <v>54</v>
          </cell>
          <cell r="I264">
            <v>4</v>
          </cell>
          <cell r="J264">
            <v>2.0299999999999998</v>
          </cell>
          <cell r="O264">
            <v>1</v>
          </cell>
          <cell r="P264">
            <v>1</v>
          </cell>
          <cell r="Q264">
            <v>1</v>
          </cell>
          <cell r="S264">
            <v>1</v>
          </cell>
          <cell r="U264" t="str">
            <v>AXX</v>
          </cell>
          <cell r="V264">
            <v>4</v>
          </cell>
          <cell r="W264" t="b">
            <v>1</v>
          </cell>
        </row>
        <row r="265">
          <cell r="C265" t="str">
            <v>WJATTM52077</v>
          </cell>
          <cell r="D265">
            <v>200</v>
          </cell>
          <cell r="E265">
            <v>40255</v>
          </cell>
          <cell r="F265">
            <v>40260</v>
          </cell>
          <cell r="G265">
            <v>197</v>
          </cell>
          <cell r="H265">
            <v>53</v>
          </cell>
          <cell r="I265">
            <v>6</v>
          </cell>
          <cell r="J265">
            <v>3.05</v>
          </cell>
          <cell r="M265">
            <v>2</v>
          </cell>
          <cell r="O265">
            <v>1</v>
          </cell>
          <cell r="P265">
            <v>1</v>
          </cell>
          <cell r="R265">
            <v>2</v>
          </cell>
          <cell r="U265" t="str">
            <v>AXX</v>
          </cell>
          <cell r="V265">
            <v>6</v>
          </cell>
          <cell r="W265" t="b">
            <v>1</v>
          </cell>
        </row>
        <row r="266">
          <cell r="C266" t="str">
            <v>WJAXXM01025</v>
          </cell>
          <cell r="D266">
            <v>30</v>
          </cell>
          <cell r="E266">
            <v>40259</v>
          </cell>
          <cell r="F266">
            <v>40262</v>
          </cell>
          <cell r="G266">
            <v>30</v>
          </cell>
          <cell r="H266">
            <v>9</v>
          </cell>
          <cell r="I266">
            <v>3</v>
          </cell>
          <cell r="J266">
            <v>10</v>
          </cell>
          <cell r="O266">
            <v>3</v>
          </cell>
          <cell r="U266" t="str">
            <v>AXX</v>
          </cell>
          <cell r="V266">
            <v>3</v>
          </cell>
          <cell r="W266" t="b">
            <v>1</v>
          </cell>
        </row>
        <row r="267">
          <cell r="C267" t="str">
            <v>WJAXXM01026</v>
          </cell>
          <cell r="D267">
            <v>30</v>
          </cell>
          <cell r="E267">
            <v>40259</v>
          </cell>
          <cell r="F267">
            <v>40262</v>
          </cell>
          <cell r="G267">
            <v>30</v>
          </cell>
          <cell r="H267">
            <v>11</v>
          </cell>
          <cell r="I267">
            <v>5</v>
          </cell>
          <cell r="J267">
            <v>16.670000000000002</v>
          </cell>
          <cell r="K267">
            <v>1</v>
          </cell>
          <cell r="M267">
            <v>3</v>
          </cell>
          <cell r="R267">
            <v>1</v>
          </cell>
          <cell r="U267" t="str">
            <v>AXX</v>
          </cell>
          <cell r="V267">
            <v>5</v>
          </cell>
          <cell r="W267" t="b">
            <v>1</v>
          </cell>
        </row>
        <row r="268">
          <cell r="C268" t="str">
            <v>WJAXXM01034</v>
          </cell>
          <cell r="D268">
            <v>30</v>
          </cell>
          <cell r="E268">
            <v>40259</v>
          </cell>
          <cell r="F268">
            <v>40262</v>
          </cell>
          <cell r="G268">
            <v>30</v>
          </cell>
          <cell r="H268">
            <v>11</v>
          </cell>
          <cell r="I268">
            <v>5</v>
          </cell>
          <cell r="J268">
            <v>16.670000000000002</v>
          </cell>
          <cell r="K268">
            <v>1</v>
          </cell>
          <cell r="O268">
            <v>3</v>
          </cell>
          <cell r="R268">
            <v>1</v>
          </cell>
          <cell r="U268" t="str">
            <v>AXX</v>
          </cell>
          <cell r="V268">
            <v>5</v>
          </cell>
          <cell r="W268" t="b">
            <v>1</v>
          </cell>
        </row>
        <row r="269">
          <cell r="C269" t="str">
            <v>WJAXXM01043</v>
          </cell>
          <cell r="D269">
            <v>30</v>
          </cell>
          <cell r="E269">
            <v>40259</v>
          </cell>
          <cell r="F269">
            <v>40262</v>
          </cell>
          <cell r="G269">
            <v>30</v>
          </cell>
          <cell r="H269">
            <v>9</v>
          </cell>
          <cell r="I269">
            <v>3</v>
          </cell>
          <cell r="J269">
            <v>10</v>
          </cell>
          <cell r="M269">
            <v>3</v>
          </cell>
          <cell r="U269" t="str">
            <v>AXX</v>
          </cell>
          <cell r="V269">
            <v>3</v>
          </cell>
          <cell r="W269" t="b">
            <v>1</v>
          </cell>
        </row>
        <row r="270">
          <cell r="C270" t="str">
            <v>WJAXXM02005</v>
          </cell>
          <cell r="D270">
            <v>30</v>
          </cell>
          <cell r="E270">
            <v>40259</v>
          </cell>
          <cell r="F270">
            <v>40262</v>
          </cell>
          <cell r="G270">
            <v>30</v>
          </cell>
          <cell r="H270">
            <v>9</v>
          </cell>
          <cell r="I270">
            <v>4</v>
          </cell>
          <cell r="J270">
            <v>13.33</v>
          </cell>
          <cell r="M270">
            <v>3</v>
          </cell>
          <cell r="R270">
            <v>1</v>
          </cell>
          <cell r="U270" t="str">
            <v>AXX</v>
          </cell>
          <cell r="V270">
            <v>4</v>
          </cell>
          <cell r="W270" t="b">
            <v>1</v>
          </cell>
        </row>
        <row r="271">
          <cell r="C271" t="str">
            <v>WJAXXM02041</v>
          </cell>
          <cell r="D271">
            <v>30</v>
          </cell>
          <cell r="E271">
            <v>40259</v>
          </cell>
          <cell r="F271">
            <v>40262</v>
          </cell>
          <cell r="G271">
            <v>30</v>
          </cell>
          <cell r="H271">
            <v>9</v>
          </cell>
          <cell r="I271">
            <v>3</v>
          </cell>
          <cell r="J271">
            <v>10</v>
          </cell>
          <cell r="M271">
            <v>3</v>
          </cell>
          <cell r="U271" t="str">
            <v>AXX</v>
          </cell>
          <cell r="V271">
            <v>3</v>
          </cell>
          <cell r="W271" t="b">
            <v>1</v>
          </cell>
        </row>
        <row r="272">
          <cell r="C272" t="str">
            <v>WJAXXM03005</v>
          </cell>
          <cell r="D272">
            <v>30</v>
          </cell>
          <cell r="E272">
            <v>40259</v>
          </cell>
          <cell r="F272">
            <v>40262</v>
          </cell>
          <cell r="G272">
            <v>30</v>
          </cell>
          <cell r="H272">
            <v>6</v>
          </cell>
          <cell r="U272" t="str">
            <v>AXX</v>
          </cell>
          <cell r="V272">
            <v>0</v>
          </cell>
          <cell r="W272" t="b">
            <v>1</v>
          </cell>
        </row>
        <row r="273">
          <cell r="C273" t="str">
            <v>WJAXXM03043</v>
          </cell>
          <cell r="D273">
            <v>30</v>
          </cell>
          <cell r="E273">
            <v>40259</v>
          </cell>
          <cell r="F273">
            <v>40262</v>
          </cell>
          <cell r="G273">
            <v>30</v>
          </cell>
          <cell r="H273">
            <v>6</v>
          </cell>
          <cell r="U273" t="str">
            <v>AXX</v>
          </cell>
          <cell r="V273">
            <v>0</v>
          </cell>
          <cell r="W273" t="b">
            <v>1</v>
          </cell>
        </row>
        <row r="274">
          <cell r="C274" t="str">
            <v>WJAXXM04005</v>
          </cell>
          <cell r="D274">
            <v>30</v>
          </cell>
          <cell r="E274">
            <v>40259</v>
          </cell>
          <cell r="F274">
            <v>40262</v>
          </cell>
          <cell r="G274">
            <v>30</v>
          </cell>
          <cell r="H274">
            <v>6</v>
          </cell>
          <cell r="U274" t="str">
            <v>AXX</v>
          </cell>
          <cell r="V274">
            <v>0</v>
          </cell>
          <cell r="W274" t="b">
            <v>1</v>
          </cell>
        </row>
        <row r="275">
          <cell r="C275" t="str">
            <v>WJAXXM04034</v>
          </cell>
          <cell r="D275">
            <v>30</v>
          </cell>
          <cell r="E275">
            <v>40259</v>
          </cell>
          <cell r="F275">
            <v>40262</v>
          </cell>
          <cell r="G275">
            <v>30</v>
          </cell>
          <cell r="H275">
            <v>6</v>
          </cell>
          <cell r="U275" t="str">
            <v>AXX</v>
          </cell>
          <cell r="V275">
            <v>0</v>
          </cell>
          <cell r="W275" t="b">
            <v>1</v>
          </cell>
        </row>
        <row r="276">
          <cell r="C276" t="str">
            <v>WJAXXM05005</v>
          </cell>
          <cell r="D276">
            <v>30</v>
          </cell>
          <cell r="E276">
            <v>40259</v>
          </cell>
          <cell r="F276">
            <v>40262</v>
          </cell>
          <cell r="G276">
            <v>30</v>
          </cell>
          <cell r="H276">
            <v>6</v>
          </cell>
          <cell r="U276" t="str">
            <v>AXX</v>
          </cell>
          <cell r="V276">
            <v>0</v>
          </cell>
          <cell r="W276" t="b">
            <v>1</v>
          </cell>
        </row>
        <row r="277">
          <cell r="C277" t="str">
            <v>WJAXXM05034</v>
          </cell>
          <cell r="D277">
            <v>30</v>
          </cell>
          <cell r="E277">
            <v>40259</v>
          </cell>
          <cell r="F277">
            <v>40262</v>
          </cell>
          <cell r="G277">
            <v>30</v>
          </cell>
          <cell r="H277">
            <v>6</v>
          </cell>
          <cell r="U277" t="str">
            <v>AXX</v>
          </cell>
          <cell r="V277">
            <v>0</v>
          </cell>
          <cell r="W277" t="b">
            <v>1</v>
          </cell>
        </row>
        <row r="278">
          <cell r="C278" t="str">
            <v>WJAXXM06006</v>
          </cell>
          <cell r="D278">
            <v>30</v>
          </cell>
          <cell r="E278">
            <v>40259</v>
          </cell>
          <cell r="F278">
            <v>40262</v>
          </cell>
          <cell r="G278">
            <v>30</v>
          </cell>
          <cell r="H278">
            <v>6</v>
          </cell>
          <cell r="U278" t="str">
            <v>AXX</v>
          </cell>
          <cell r="V278">
            <v>0</v>
          </cell>
          <cell r="W278" t="b">
            <v>1</v>
          </cell>
        </row>
        <row r="279">
          <cell r="C279" t="str">
            <v>WJAXXM06054</v>
          </cell>
          <cell r="D279">
            <v>30</v>
          </cell>
          <cell r="E279">
            <v>40259</v>
          </cell>
          <cell r="F279">
            <v>40262</v>
          </cell>
          <cell r="G279">
            <v>30</v>
          </cell>
          <cell r="H279">
            <v>6</v>
          </cell>
          <cell r="I279">
            <v>1</v>
          </cell>
          <cell r="J279">
            <v>3.33</v>
          </cell>
          <cell r="O279">
            <v>1</v>
          </cell>
          <cell r="U279" t="str">
            <v>AXX</v>
          </cell>
          <cell r="V279">
            <v>1</v>
          </cell>
          <cell r="W279" t="b">
            <v>1</v>
          </cell>
        </row>
        <row r="280">
          <cell r="C280" t="str">
            <v>WJAXXM07072</v>
          </cell>
          <cell r="D280">
            <v>30</v>
          </cell>
          <cell r="E280">
            <v>40259</v>
          </cell>
          <cell r="F280">
            <v>40262</v>
          </cell>
          <cell r="G280">
            <v>30</v>
          </cell>
          <cell r="H280">
            <v>6</v>
          </cell>
          <cell r="U280" t="str">
            <v>AXX</v>
          </cell>
          <cell r="V280">
            <v>0</v>
          </cell>
          <cell r="W280" t="b">
            <v>1</v>
          </cell>
        </row>
        <row r="281">
          <cell r="C281" t="str">
            <v>WJAXXM08072</v>
          </cell>
          <cell r="D281">
            <v>30</v>
          </cell>
          <cell r="E281">
            <v>40259</v>
          </cell>
          <cell r="F281">
            <v>40262</v>
          </cell>
          <cell r="G281">
            <v>30</v>
          </cell>
          <cell r="H281">
            <v>9</v>
          </cell>
          <cell r="I281">
            <v>3</v>
          </cell>
          <cell r="J281">
            <v>10</v>
          </cell>
          <cell r="M281">
            <v>3</v>
          </cell>
          <cell r="U281" t="str">
            <v>AXX</v>
          </cell>
          <cell r="V281">
            <v>3</v>
          </cell>
          <cell r="W281" t="b">
            <v>1</v>
          </cell>
        </row>
        <row r="282">
          <cell r="C282" t="str">
            <v>WJAXXM11005</v>
          </cell>
          <cell r="D282">
            <v>60</v>
          </cell>
          <cell r="E282">
            <v>40259</v>
          </cell>
          <cell r="F282">
            <v>40262</v>
          </cell>
          <cell r="G282">
            <v>60</v>
          </cell>
          <cell r="H282">
            <v>12</v>
          </cell>
          <cell r="I282">
            <v>1</v>
          </cell>
          <cell r="J282">
            <v>1.67</v>
          </cell>
          <cell r="R282">
            <v>1</v>
          </cell>
          <cell r="U282" t="str">
            <v>AXX</v>
          </cell>
          <cell r="V282">
            <v>1</v>
          </cell>
          <cell r="W282" t="b">
            <v>1</v>
          </cell>
        </row>
        <row r="283">
          <cell r="C283" t="str">
            <v>WJAXXM11034</v>
          </cell>
          <cell r="D283">
            <v>60</v>
          </cell>
          <cell r="E283">
            <v>40259</v>
          </cell>
          <cell r="F283">
            <v>40262</v>
          </cell>
          <cell r="G283">
            <v>60</v>
          </cell>
          <cell r="H283">
            <v>18</v>
          </cell>
          <cell r="I283">
            <v>8</v>
          </cell>
          <cell r="J283">
            <v>13.33</v>
          </cell>
          <cell r="O283">
            <v>6</v>
          </cell>
          <cell r="R283">
            <v>1</v>
          </cell>
          <cell r="T283">
            <v>1</v>
          </cell>
          <cell r="U283" t="str">
            <v>AXX</v>
          </cell>
          <cell r="V283">
            <v>8</v>
          </cell>
          <cell r="W283" t="b">
            <v>1</v>
          </cell>
        </row>
        <row r="284">
          <cell r="C284" t="str">
            <v>WJAXXM11043</v>
          </cell>
          <cell r="D284">
            <v>60</v>
          </cell>
          <cell r="E284">
            <v>40259</v>
          </cell>
          <cell r="F284">
            <v>40262</v>
          </cell>
          <cell r="G284">
            <v>60</v>
          </cell>
          <cell r="H284">
            <v>12</v>
          </cell>
          <cell r="I284">
            <v>1</v>
          </cell>
          <cell r="J284">
            <v>1.67</v>
          </cell>
          <cell r="Q284">
            <v>1</v>
          </cell>
          <cell r="U284" t="str">
            <v>AXX</v>
          </cell>
          <cell r="V284">
            <v>1</v>
          </cell>
          <cell r="W284" t="b">
            <v>1</v>
          </cell>
        </row>
        <row r="285">
          <cell r="C285" t="str">
            <v>WJAXXM12005</v>
          </cell>
          <cell r="D285">
            <v>60</v>
          </cell>
          <cell r="E285">
            <v>40259</v>
          </cell>
          <cell r="F285">
            <v>40262</v>
          </cell>
          <cell r="G285">
            <v>60</v>
          </cell>
          <cell r="H285">
            <v>25</v>
          </cell>
          <cell r="I285">
            <v>14</v>
          </cell>
          <cell r="J285">
            <v>23.33</v>
          </cell>
          <cell r="K285">
            <v>1</v>
          </cell>
          <cell r="M285">
            <v>6</v>
          </cell>
          <cell r="O285">
            <v>6</v>
          </cell>
          <cell r="Q285">
            <v>1</v>
          </cell>
          <cell r="U285" t="str">
            <v>AXX</v>
          </cell>
          <cell r="V285">
            <v>14</v>
          </cell>
          <cell r="W285" t="b">
            <v>1</v>
          </cell>
        </row>
        <row r="286">
          <cell r="C286" t="str">
            <v>WJAXXM12034</v>
          </cell>
          <cell r="D286">
            <v>60</v>
          </cell>
          <cell r="E286">
            <v>40259</v>
          </cell>
          <cell r="F286">
            <v>40262</v>
          </cell>
          <cell r="G286">
            <v>60</v>
          </cell>
          <cell r="H286">
            <v>18</v>
          </cell>
          <cell r="I286">
            <v>7</v>
          </cell>
          <cell r="J286">
            <v>11.67</v>
          </cell>
          <cell r="M286">
            <v>7</v>
          </cell>
          <cell r="U286" t="str">
            <v>AXX</v>
          </cell>
          <cell r="V286">
            <v>7</v>
          </cell>
          <cell r="W286" t="b">
            <v>1</v>
          </cell>
        </row>
        <row r="287">
          <cell r="C287" t="str">
            <v>WJAXXM12043</v>
          </cell>
          <cell r="D287">
            <v>60</v>
          </cell>
          <cell r="E287">
            <v>40259</v>
          </cell>
          <cell r="F287">
            <v>40262</v>
          </cell>
          <cell r="G287">
            <v>60</v>
          </cell>
          <cell r="H287">
            <v>24</v>
          </cell>
          <cell r="I287">
            <v>14</v>
          </cell>
          <cell r="J287">
            <v>23.33</v>
          </cell>
          <cell r="K287">
            <v>1</v>
          </cell>
          <cell r="M287">
            <v>7</v>
          </cell>
          <cell r="O287">
            <v>6</v>
          </cell>
          <cell r="U287" t="str">
            <v>AXX</v>
          </cell>
          <cell r="V287">
            <v>14</v>
          </cell>
          <cell r="W287" t="b">
            <v>1</v>
          </cell>
        </row>
        <row r="288">
          <cell r="C288" t="str">
            <v>WJAXXM13024</v>
          </cell>
          <cell r="D288">
            <v>60</v>
          </cell>
          <cell r="E288">
            <v>40259</v>
          </cell>
          <cell r="F288">
            <v>40262</v>
          </cell>
          <cell r="G288">
            <v>60</v>
          </cell>
          <cell r="H288">
            <v>19</v>
          </cell>
          <cell r="I288">
            <v>8</v>
          </cell>
          <cell r="J288">
            <v>13.33</v>
          </cell>
          <cell r="K288">
            <v>1</v>
          </cell>
          <cell r="L288">
            <v>1</v>
          </cell>
          <cell r="M288">
            <v>6</v>
          </cell>
          <cell r="U288" t="str">
            <v>AXX</v>
          </cell>
          <cell r="V288">
            <v>8</v>
          </cell>
          <cell r="W288" t="b">
            <v>1</v>
          </cell>
        </row>
        <row r="289">
          <cell r="C289" t="str">
            <v>WJAXXM13043</v>
          </cell>
          <cell r="D289">
            <v>60</v>
          </cell>
          <cell r="E289">
            <v>40259</v>
          </cell>
          <cell r="F289">
            <v>40262</v>
          </cell>
          <cell r="G289">
            <v>60</v>
          </cell>
          <cell r="H289">
            <v>18</v>
          </cell>
          <cell r="I289">
            <v>9</v>
          </cell>
          <cell r="J289">
            <v>15</v>
          </cell>
          <cell r="K289">
            <v>2</v>
          </cell>
          <cell r="L289">
            <v>1</v>
          </cell>
          <cell r="M289">
            <v>6</v>
          </cell>
          <cell r="U289" t="str">
            <v>AXX</v>
          </cell>
          <cell r="V289">
            <v>9</v>
          </cell>
          <cell r="W289" t="b">
            <v>1</v>
          </cell>
        </row>
        <row r="290">
          <cell r="C290" t="str">
            <v>WJAXXM13053</v>
          </cell>
          <cell r="D290">
            <v>60</v>
          </cell>
          <cell r="E290">
            <v>40259</v>
          </cell>
          <cell r="F290">
            <v>40262</v>
          </cell>
          <cell r="G290">
            <v>60</v>
          </cell>
          <cell r="H290">
            <v>19</v>
          </cell>
          <cell r="I290">
            <v>12</v>
          </cell>
          <cell r="J290">
            <v>20</v>
          </cell>
          <cell r="K290">
            <v>5</v>
          </cell>
          <cell r="M290">
            <v>6</v>
          </cell>
          <cell r="R290">
            <v>1</v>
          </cell>
          <cell r="U290" t="str">
            <v>AXX</v>
          </cell>
          <cell r="V290">
            <v>12</v>
          </cell>
          <cell r="W290" t="b">
            <v>1</v>
          </cell>
        </row>
        <row r="291">
          <cell r="C291" t="str">
            <v>WJAXXM14024</v>
          </cell>
          <cell r="D291">
            <v>60</v>
          </cell>
          <cell r="E291">
            <v>40259</v>
          </cell>
          <cell r="F291">
            <v>40262</v>
          </cell>
          <cell r="G291">
            <v>60</v>
          </cell>
          <cell r="H291">
            <v>12</v>
          </cell>
          <cell r="I291">
            <v>2</v>
          </cell>
          <cell r="J291">
            <v>3.33</v>
          </cell>
          <cell r="K291">
            <v>1</v>
          </cell>
          <cell r="S291">
            <v>1</v>
          </cell>
          <cell r="V291">
            <v>2</v>
          </cell>
          <cell r="W291" t="b">
            <v>1</v>
          </cell>
        </row>
        <row r="292">
          <cell r="C292" t="str">
            <v>WJAXXM14027</v>
          </cell>
          <cell r="D292">
            <v>60</v>
          </cell>
          <cell r="E292">
            <v>40259</v>
          </cell>
          <cell r="F292">
            <v>40262</v>
          </cell>
          <cell r="G292">
            <v>42</v>
          </cell>
          <cell r="H292">
            <v>12</v>
          </cell>
          <cell r="I292">
            <v>1</v>
          </cell>
          <cell r="J292">
            <v>2.38</v>
          </cell>
          <cell r="K292">
            <v>1</v>
          </cell>
          <cell r="U292" t="str">
            <v>MCP</v>
          </cell>
          <cell r="V292">
            <v>1</v>
          </cell>
          <cell r="W292" t="b">
            <v>1</v>
          </cell>
        </row>
        <row r="293">
          <cell r="C293" t="str">
            <v>WJAXXM14034</v>
          </cell>
          <cell r="D293">
            <v>60</v>
          </cell>
          <cell r="E293">
            <v>40259</v>
          </cell>
          <cell r="F293">
            <v>40262</v>
          </cell>
          <cell r="G293">
            <v>60</v>
          </cell>
          <cell r="H293">
            <v>12</v>
          </cell>
          <cell r="I293">
            <v>5</v>
          </cell>
          <cell r="J293">
            <v>8.33</v>
          </cell>
          <cell r="K293">
            <v>3</v>
          </cell>
          <cell r="L293">
            <v>1</v>
          </cell>
          <cell r="S293">
            <v>1</v>
          </cell>
          <cell r="U293" t="str">
            <v>MCP</v>
          </cell>
          <cell r="V293">
            <v>5</v>
          </cell>
          <cell r="W293" t="b">
            <v>1</v>
          </cell>
        </row>
        <row r="294">
          <cell r="C294" t="str">
            <v>WJAXXM14043</v>
          </cell>
          <cell r="D294">
            <v>60</v>
          </cell>
          <cell r="E294">
            <v>40259</v>
          </cell>
          <cell r="F294">
            <v>40262</v>
          </cell>
          <cell r="G294">
            <v>60</v>
          </cell>
          <cell r="H294">
            <v>12</v>
          </cell>
          <cell r="I294">
            <v>3</v>
          </cell>
          <cell r="J294">
            <v>5</v>
          </cell>
          <cell r="L294">
            <v>1</v>
          </cell>
          <cell r="R294">
            <v>1</v>
          </cell>
          <cell r="T294">
            <v>1</v>
          </cell>
          <cell r="U294" t="str">
            <v>MCP</v>
          </cell>
          <cell r="V294">
            <v>3</v>
          </cell>
          <cell r="W294" t="b">
            <v>1</v>
          </cell>
        </row>
        <row r="295">
          <cell r="C295" t="str">
            <v>WJAXXM15007</v>
          </cell>
          <cell r="D295">
            <v>60</v>
          </cell>
          <cell r="E295">
            <v>40259</v>
          </cell>
          <cell r="F295">
            <v>40262</v>
          </cell>
          <cell r="G295">
            <v>60</v>
          </cell>
          <cell r="H295">
            <v>18</v>
          </cell>
          <cell r="I295">
            <v>6</v>
          </cell>
          <cell r="J295">
            <v>10</v>
          </cell>
          <cell r="M295">
            <v>6</v>
          </cell>
          <cell r="U295" t="str">
            <v>MCP</v>
          </cell>
          <cell r="V295">
            <v>6</v>
          </cell>
          <cell r="W295" t="b">
            <v>1</v>
          </cell>
        </row>
        <row r="296">
          <cell r="C296" t="str">
            <v>WJAXXM15034</v>
          </cell>
          <cell r="D296">
            <v>60</v>
          </cell>
          <cell r="E296">
            <v>40259</v>
          </cell>
          <cell r="F296">
            <v>40262</v>
          </cell>
          <cell r="G296">
            <v>60</v>
          </cell>
          <cell r="H296">
            <v>18</v>
          </cell>
          <cell r="I296">
            <v>8</v>
          </cell>
          <cell r="J296">
            <v>13.33</v>
          </cell>
          <cell r="M296">
            <v>6</v>
          </cell>
          <cell r="S296">
            <v>2</v>
          </cell>
          <cell r="U296" t="str">
            <v>MCP</v>
          </cell>
          <cell r="V296">
            <v>8</v>
          </cell>
          <cell r="W296" t="b">
            <v>1</v>
          </cell>
        </row>
        <row r="297">
          <cell r="C297" t="str">
            <v>WJAXXM15043</v>
          </cell>
          <cell r="D297">
            <v>60</v>
          </cell>
          <cell r="E297">
            <v>40259</v>
          </cell>
          <cell r="F297">
            <v>40262</v>
          </cell>
          <cell r="G297">
            <v>60</v>
          </cell>
          <cell r="H297">
            <v>18</v>
          </cell>
          <cell r="I297">
            <v>8</v>
          </cell>
          <cell r="J297">
            <v>13.33</v>
          </cell>
          <cell r="M297">
            <v>6</v>
          </cell>
          <cell r="S297">
            <v>2</v>
          </cell>
          <cell r="U297" t="str">
            <v>MCP</v>
          </cell>
          <cell r="V297">
            <v>8</v>
          </cell>
          <cell r="W297" t="b">
            <v>1</v>
          </cell>
        </row>
        <row r="298">
          <cell r="C298" t="str">
            <v>WJAXXM16014</v>
          </cell>
          <cell r="D298">
            <v>60</v>
          </cell>
          <cell r="E298">
            <v>40280</v>
          </cell>
          <cell r="F298">
            <v>40309</v>
          </cell>
          <cell r="G298">
            <v>60</v>
          </cell>
          <cell r="H298">
            <v>6</v>
          </cell>
          <cell r="I298">
            <v>1</v>
          </cell>
          <cell r="J298">
            <v>1.67</v>
          </cell>
          <cell r="S298">
            <v>1</v>
          </cell>
          <cell r="U298" t="str">
            <v>MCP</v>
          </cell>
          <cell r="V298">
            <v>1</v>
          </cell>
          <cell r="W298" t="b">
            <v>1</v>
          </cell>
        </row>
        <row r="299">
          <cell r="C299" t="str">
            <v>WJAXXM16043</v>
          </cell>
          <cell r="D299">
            <v>60</v>
          </cell>
          <cell r="E299">
            <v>40280</v>
          </cell>
          <cell r="F299">
            <v>40309</v>
          </cell>
          <cell r="G299">
            <v>60</v>
          </cell>
          <cell r="H299">
            <v>6</v>
          </cell>
          <cell r="U299" t="str">
            <v>MCP</v>
          </cell>
          <cell r="V299">
            <v>0</v>
          </cell>
          <cell r="W299" t="b">
            <v>1</v>
          </cell>
        </row>
        <row r="300">
          <cell r="C300" t="str">
            <v>WJAXXM17072</v>
          </cell>
          <cell r="D300">
            <v>60</v>
          </cell>
          <cell r="E300">
            <v>40280</v>
          </cell>
          <cell r="F300">
            <v>40309</v>
          </cell>
          <cell r="G300">
            <v>60</v>
          </cell>
          <cell r="H300">
            <v>6</v>
          </cell>
          <cell r="U300" t="str">
            <v>MCP</v>
          </cell>
          <cell r="V300">
            <v>0</v>
          </cell>
          <cell r="W300" t="b">
            <v>1</v>
          </cell>
        </row>
        <row r="301">
          <cell r="C301" t="str">
            <v>WJAXXM18008</v>
          </cell>
          <cell r="D301">
            <v>60</v>
          </cell>
          <cell r="E301">
            <v>40280</v>
          </cell>
          <cell r="F301">
            <v>40309</v>
          </cell>
          <cell r="G301">
            <v>60</v>
          </cell>
          <cell r="H301">
            <v>6</v>
          </cell>
          <cell r="U301" t="str">
            <v>MCP</v>
          </cell>
          <cell r="V301">
            <v>0</v>
          </cell>
          <cell r="W301" t="b">
            <v>1</v>
          </cell>
        </row>
        <row r="302">
          <cell r="C302" t="str">
            <v>WJAXXM18027</v>
          </cell>
          <cell r="D302">
            <v>60</v>
          </cell>
          <cell r="E302">
            <v>40280</v>
          </cell>
          <cell r="F302">
            <v>40309</v>
          </cell>
          <cell r="G302">
            <v>60</v>
          </cell>
          <cell r="H302">
            <v>6</v>
          </cell>
          <cell r="I302">
            <v>1</v>
          </cell>
          <cell r="J302">
            <v>1.67</v>
          </cell>
          <cell r="R302">
            <v>1</v>
          </cell>
          <cell r="U302" t="str">
            <v>MCP</v>
          </cell>
          <cell r="V302">
            <v>1</v>
          </cell>
          <cell r="W302" t="b">
            <v>1</v>
          </cell>
        </row>
        <row r="303">
          <cell r="C303" t="str">
            <v>WJAXXM21007</v>
          </cell>
          <cell r="D303">
            <v>30</v>
          </cell>
          <cell r="E303">
            <v>40260</v>
          </cell>
          <cell r="F303">
            <v>40262</v>
          </cell>
          <cell r="G303">
            <v>30</v>
          </cell>
          <cell r="H303">
            <v>12</v>
          </cell>
          <cell r="I303">
            <v>5</v>
          </cell>
          <cell r="J303">
            <v>16.670000000000002</v>
          </cell>
          <cell r="N303">
            <v>1</v>
          </cell>
          <cell r="O303">
            <v>3</v>
          </cell>
          <cell r="P303">
            <v>1</v>
          </cell>
          <cell r="U303" t="str">
            <v>MCP</v>
          </cell>
          <cell r="V303">
            <v>5</v>
          </cell>
          <cell r="W303" t="b">
            <v>1</v>
          </cell>
        </row>
        <row r="304">
          <cell r="C304" t="str">
            <v>WJAXXM21027</v>
          </cell>
          <cell r="D304">
            <v>30</v>
          </cell>
          <cell r="E304">
            <v>40260</v>
          </cell>
          <cell r="F304">
            <v>40262</v>
          </cell>
          <cell r="G304">
            <v>30</v>
          </cell>
          <cell r="H304">
            <v>9</v>
          </cell>
          <cell r="I304">
            <v>2</v>
          </cell>
          <cell r="J304">
            <v>6.67</v>
          </cell>
          <cell r="O304">
            <v>1</v>
          </cell>
          <cell r="P304">
            <v>1</v>
          </cell>
          <cell r="U304" t="str">
            <v>MCP</v>
          </cell>
          <cell r="V304">
            <v>2</v>
          </cell>
          <cell r="W304" t="b">
            <v>1</v>
          </cell>
        </row>
        <row r="305">
          <cell r="C305" t="str">
            <v>WJAXXM21053</v>
          </cell>
          <cell r="D305">
            <v>30</v>
          </cell>
          <cell r="E305">
            <v>40260</v>
          </cell>
          <cell r="F305">
            <v>40262</v>
          </cell>
          <cell r="G305">
            <v>30</v>
          </cell>
          <cell r="H305">
            <v>9</v>
          </cell>
          <cell r="I305">
            <v>5</v>
          </cell>
          <cell r="J305">
            <v>16.670000000000002</v>
          </cell>
          <cell r="M305">
            <v>1</v>
          </cell>
          <cell r="O305">
            <v>4</v>
          </cell>
          <cell r="U305" t="str">
            <v>MCP</v>
          </cell>
          <cell r="V305">
            <v>5</v>
          </cell>
          <cell r="W305" t="b">
            <v>1</v>
          </cell>
        </row>
        <row r="306">
          <cell r="C306" t="str">
            <v>WJAXXM22027</v>
          </cell>
          <cell r="D306">
            <v>30</v>
          </cell>
          <cell r="E306">
            <v>40260</v>
          </cell>
          <cell r="F306">
            <v>40262</v>
          </cell>
          <cell r="G306">
            <v>30</v>
          </cell>
          <cell r="H306">
            <v>6</v>
          </cell>
          <cell r="I306">
            <v>1</v>
          </cell>
          <cell r="J306">
            <v>3.33</v>
          </cell>
          <cell r="O306">
            <v>1</v>
          </cell>
          <cell r="U306" t="str">
            <v>MCP</v>
          </cell>
          <cell r="V306">
            <v>1</v>
          </cell>
          <cell r="W306" t="b">
            <v>1</v>
          </cell>
        </row>
        <row r="307">
          <cell r="C307" t="str">
            <v>WJAXXM22064</v>
          </cell>
          <cell r="D307">
            <v>30</v>
          </cell>
          <cell r="E307">
            <v>40260</v>
          </cell>
          <cell r="F307">
            <v>40262</v>
          </cell>
          <cell r="G307">
            <v>30</v>
          </cell>
          <cell r="H307">
            <v>6</v>
          </cell>
          <cell r="I307">
            <v>1</v>
          </cell>
          <cell r="J307">
            <v>3.33</v>
          </cell>
          <cell r="P307">
            <v>1</v>
          </cell>
          <cell r="U307" t="str">
            <v>MCP</v>
          </cell>
          <cell r="V307">
            <v>1</v>
          </cell>
          <cell r="W307" t="b">
            <v>1</v>
          </cell>
        </row>
        <row r="308">
          <cell r="C308" t="str">
            <v>WJAXXM23027</v>
          </cell>
          <cell r="D308">
            <v>30</v>
          </cell>
          <cell r="E308">
            <v>40260</v>
          </cell>
          <cell r="F308">
            <v>40262</v>
          </cell>
          <cell r="G308">
            <v>30</v>
          </cell>
          <cell r="H308">
            <v>6</v>
          </cell>
          <cell r="U308" t="str">
            <v>MCP</v>
          </cell>
          <cell r="V308">
            <v>0</v>
          </cell>
          <cell r="W308" t="b">
            <v>1</v>
          </cell>
        </row>
        <row r="309">
          <cell r="C309" t="str">
            <v>WJAXXM23034</v>
          </cell>
          <cell r="D309">
            <v>30</v>
          </cell>
          <cell r="E309">
            <v>40260</v>
          </cell>
          <cell r="F309">
            <v>40262</v>
          </cell>
          <cell r="G309">
            <v>30</v>
          </cell>
          <cell r="H309">
            <v>6</v>
          </cell>
          <cell r="U309" t="str">
            <v>MCP</v>
          </cell>
          <cell r="V309">
            <v>0</v>
          </cell>
          <cell r="W309" t="b">
            <v>1</v>
          </cell>
        </row>
        <row r="310">
          <cell r="C310" t="str">
            <v>WJAXXM24064</v>
          </cell>
          <cell r="D310">
            <v>30</v>
          </cell>
          <cell r="E310">
            <v>40260</v>
          </cell>
          <cell r="F310">
            <v>40262</v>
          </cell>
          <cell r="G310">
            <v>30</v>
          </cell>
          <cell r="H310">
            <v>6</v>
          </cell>
          <cell r="I310">
            <v>1</v>
          </cell>
          <cell r="J310">
            <v>3.33</v>
          </cell>
          <cell r="O310">
            <v>1</v>
          </cell>
          <cell r="U310" t="str">
            <v>MCP</v>
          </cell>
          <cell r="V310">
            <v>1</v>
          </cell>
          <cell r="W310" t="b">
            <v>1</v>
          </cell>
        </row>
        <row r="311">
          <cell r="C311" t="str">
            <v>WJAXXM25007</v>
          </cell>
          <cell r="D311">
            <v>30</v>
          </cell>
          <cell r="E311">
            <v>40260</v>
          </cell>
          <cell r="F311">
            <v>40262</v>
          </cell>
          <cell r="G311">
            <v>30</v>
          </cell>
          <cell r="H311">
            <v>6</v>
          </cell>
          <cell r="I311">
            <v>1</v>
          </cell>
          <cell r="J311">
            <v>3.33</v>
          </cell>
          <cell r="O311">
            <v>1</v>
          </cell>
          <cell r="U311" t="str">
            <v>MCP</v>
          </cell>
          <cell r="V311">
            <v>1</v>
          </cell>
          <cell r="W311" t="b">
            <v>1</v>
          </cell>
        </row>
        <row r="312">
          <cell r="C312" t="str">
            <v>WJAXXM25027</v>
          </cell>
          <cell r="D312">
            <v>30</v>
          </cell>
          <cell r="E312">
            <v>40260</v>
          </cell>
          <cell r="F312">
            <v>40262</v>
          </cell>
          <cell r="G312">
            <v>30</v>
          </cell>
          <cell r="H312">
            <v>6</v>
          </cell>
          <cell r="U312" t="str">
            <v>MCP</v>
          </cell>
          <cell r="V312">
            <v>0</v>
          </cell>
          <cell r="W312" t="b">
            <v>1</v>
          </cell>
        </row>
        <row r="313">
          <cell r="C313" t="str">
            <v>WJAXXM25064</v>
          </cell>
          <cell r="D313">
            <v>30</v>
          </cell>
          <cell r="E313">
            <v>40260</v>
          </cell>
          <cell r="F313">
            <v>40262</v>
          </cell>
          <cell r="G313">
            <v>30</v>
          </cell>
          <cell r="H313">
            <v>6</v>
          </cell>
          <cell r="U313" t="str">
            <v>MCP</v>
          </cell>
          <cell r="V313">
            <v>0</v>
          </cell>
          <cell r="W313" t="b">
            <v>1</v>
          </cell>
        </row>
        <row r="314">
          <cell r="C314" t="str">
            <v>WJAXXM26007</v>
          </cell>
          <cell r="D314">
            <v>30</v>
          </cell>
          <cell r="E314">
            <v>40260</v>
          </cell>
          <cell r="F314">
            <v>40262</v>
          </cell>
          <cell r="G314">
            <v>30</v>
          </cell>
          <cell r="H314">
            <v>6</v>
          </cell>
          <cell r="U314" t="str">
            <v>MCP</v>
          </cell>
          <cell r="V314">
            <v>0</v>
          </cell>
          <cell r="W314" t="b">
            <v>1</v>
          </cell>
        </row>
        <row r="315">
          <cell r="C315" t="str">
            <v>WJAXXM26064</v>
          </cell>
          <cell r="D315">
            <v>30</v>
          </cell>
          <cell r="E315">
            <v>40260</v>
          </cell>
          <cell r="F315">
            <v>40262</v>
          </cell>
          <cell r="G315">
            <v>30</v>
          </cell>
          <cell r="H315">
            <v>7</v>
          </cell>
          <cell r="I315">
            <v>4</v>
          </cell>
          <cell r="J315">
            <v>13.33</v>
          </cell>
          <cell r="N315">
            <v>2</v>
          </cell>
          <cell r="S315">
            <v>2</v>
          </cell>
          <cell r="U315" t="str">
            <v>MCP</v>
          </cell>
          <cell r="V315">
            <v>4</v>
          </cell>
          <cell r="W315" t="b">
            <v>1</v>
          </cell>
        </row>
        <row r="316">
          <cell r="C316" t="str">
            <v>WJAXXM27007</v>
          </cell>
          <cell r="D316">
            <v>30</v>
          </cell>
          <cell r="E316">
            <v>40260</v>
          </cell>
          <cell r="F316">
            <v>40262</v>
          </cell>
          <cell r="G316">
            <v>30</v>
          </cell>
          <cell r="H316">
            <v>6</v>
          </cell>
          <cell r="I316">
            <v>1</v>
          </cell>
          <cell r="J316">
            <v>3.33</v>
          </cell>
          <cell r="R316">
            <v>1</v>
          </cell>
          <cell r="U316" t="str">
            <v>MCP</v>
          </cell>
          <cell r="V316">
            <v>1</v>
          </cell>
          <cell r="W316" t="b">
            <v>1</v>
          </cell>
        </row>
        <row r="317">
          <cell r="C317" t="str">
            <v>WJAXXM28007</v>
          </cell>
          <cell r="D317">
            <v>30</v>
          </cell>
          <cell r="E317">
            <v>40260</v>
          </cell>
          <cell r="F317">
            <v>40262</v>
          </cell>
          <cell r="G317">
            <v>30</v>
          </cell>
          <cell r="H317">
            <v>6</v>
          </cell>
          <cell r="U317" t="str">
            <v>MCP</v>
          </cell>
          <cell r="V317">
            <v>0</v>
          </cell>
          <cell r="W317" t="b">
            <v>1</v>
          </cell>
        </row>
        <row r="318">
          <cell r="C318" t="str">
            <v>WJMCPM03025</v>
          </cell>
          <cell r="D318">
            <v>200</v>
          </cell>
          <cell r="E318">
            <v>40255</v>
          </cell>
          <cell r="F318">
            <v>40260</v>
          </cell>
          <cell r="G318">
            <v>202</v>
          </cell>
          <cell r="H318">
            <v>126</v>
          </cell>
          <cell r="I318">
            <v>33</v>
          </cell>
          <cell r="J318">
            <v>16.34</v>
          </cell>
          <cell r="K318">
            <v>1</v>
          </cell>
          <cell r="L318">
            <v>3</v>
          </cell>
          <cell r="M318">
            <v>3</v>
          </cell>
          <cell r="N318">
            <v>4</v>
          </cell>
          <cell r="O318">
            <v>3</v>
          </cell>
          <cell r="P318">
            <v>5</v>
          </cell>
          <cell r="Q318">
            <v>5</v>
          </cell>
          <cell r="R318">
            <v>4</v>
          </cell>
          <cell r="S318">
            <v>1</v>
          </cell>
          <cell r="T318">
            <v>4</v>
          </cell>
          <cell r="U318" t="str">
            <v>MGL</v>
          </cell>
          <cell r="V318">
            <v>33</v>
          </cell>
          <cell r="W318" t="b">
            <v>1</v>
          </cell>
        </row>
        <row r="319">
          <cell r="C319" t="str">
            <v>WJMCPM04054</v>
          </cell>
          <cell r="D319">
            <v>200</v>
          </cell>
          <cell r="E319">
            <v>40255</v>
          </cell>
          <cell r="F319">
            <v>40260</v>
          </cell>
          <cell r="G319">
            <v>193</v>
          </cell>
          <cell r="H319">
            <v>102</v>
          </cell>
          <cell r="I319">
            <v>30</v>
          </cell>
          <cell r="J319">
            <v>15.54</v>
          </cell>
          <cell r="K319">
            <v>1</v>
          </cell>
          <cell r="L319">
            <v>1</v>
          </cell>
          <cell r="M319">
            <v>3</v>
          </cell>
          <cell r="N319">
            <v>2</v>
          </cell>
          <cell r="O319">
            <v>3</v>
          </cell>
          <cell r="P319">
            <v>3</v>
          </cell>
          <cell r="Q319">
            <v>3</v>
          </cell>
          <cell r="R319">
            <v>2</v>
          </cell>
          <cell r="S319">
            <v>7</v>
          </cell>
          <cell r="T319">
            <v>5</v>
          </cell>
          <cell r="U319" t="str">
            <v>MGL</v>
          </cell>
          <cell r="V319">
            <v>30</v>
          </cell>
          <cell r="W319" t="b">
            <v>1</v>
          </cell>
        </row>
        <row r="320">
          <cell r="C320" t="str">
            <v>WJMCPM05021</v>
          </cell>
          <cell r="D320">
            <v>300</v>
          </cell>
          <cell r="E320">
            <v>40255</v>
          </cell>
          <cell r="F320">
            <v>40260</v>
          </cell>
          <cell r="G320">
            <v>287</v>
          </cell>
          <cell r="H320">
            <v>149</v>
          </cell>
          <cell r="I320">
            <v>34</v>
          </cell>
          <cell r="J320">
            <v>11.85</v>
          </cell>
          <cell r="N320">
            <v>6</v>
          </cell>
          <cell r="O320">
            <v>3</v>
          </cell>
          <cell r="P320">
            <v>4</v>
          </cell>
          <cell r="Q320">
            <v>4</v>
          </cell>
          <cell r="R320">
            <v>1</v>
          </cell>
          <cell r="S320">
            <v>10</v>
          </cell>
          <cell r="T320">
            <v>6</v>
          </cell>
          <cell r="U320" t="str">
            <v>MGL</v>
          </cell>
          <cell r="V320">
            <v>34</v>
          </cell>
          <cell r="W320" t="b">
            <v>1</v>
          </cell>
        </row>
        <row r="321">
          <cell r="C321" t="str">
            <v>WJMCPM05025</v>
          </cell>
          <cell r="D321">
            <v>200</v>
          </cell>
          <cell r="E321">
            <v>40255</v>
          </cell>
          <cell r="F321">
            <v>40260</v>
          </cell>
          <cell r="G321">
            <v>187</v>
          </cell>
          <cell r="H321">
            <v>80</v>
          </cell>
          <cell r="I321">
            <v>8</v>
          </cell>
          <cell r="J321">
            <v>4.28</v>
          </cell>
          <cell r="N321">
            <v>2</v>
          </cell>
          <cell r="O321">
            <v>2</v>
          </cell>
          <cell r="P321">
            <v>1</v>
          </cell>
          <cell r="R321">
            <v>1</v>
          </cell>
          <cell r="S321">
            <v>1</v>
          </cell>
          <cell r="T321">
            <v>1</v>
          </cell>
          <cell r="U321" t="str">
            <v>MGL</v>
          </cell>
          <cell r="V321">
            <v>8</v>
          </cell>
          <cell r="W321" t="b">
            <v>1</v>
          </cell>
        </row>
        <row r="322">
          <cell r="C322" t="str">
            <v>WJMCPM05073</v>
          </cell>
          <cell r="D322">
            <v>300</v>
          </cell>
          <cell r="E322">
            <v>40255</v>
          </cell>
          <cell r="F322">
            <v>40260</v>
          </cell>
          <cell r="G322">
            <v>301</v>
          </cell>
          <cell r="H322">
            <v>117</v>
          </cell>
          <cell r="I322">
            <v>24</v>
          </cell>
          <cell r="J322">
            <v>7.97</v>
          </cell>
          <cell r="M322">
            <v>2</v>
          </cell>
          <cell r="O322">
            <v>5</v>
          </cell>
          <cell r="P322">
            <v>5</v>
          </cell>
          <cell r="Q322">
            <v>6</v>
          </cell>
          <cell r="R322">
            <v>2</v>
          </cell>
          <cell r="S322">
            <v>2</v>
          </cell>
          <cell r="T322">
            <v>2</v>
          </cell>
          <cell r="U322" t="str">
            <v>MGL</v>
          </cell>
          <cell r="V322">
            <v>24</v>
          </cell>
          <cell r="W322" t="b">
            <v>1</v>
          </cell>
        </row>
        <row r="323">
          <cell r="C323" t="str">
            <v>WJMCPM06015</v>
          </cell>
          <cell r="D323">
            <v>200</v>
          </cell>
          <cell r="E323">
            <v>40255</v>
          </cell>
          <cell r="F323">
            <v>40260</v>
          </cell>
          <cell r="G323">
            <v>204</v>
          </cell>
          <cell r="H323">
            <v>92</v>
          </cell>
          <cell r="I323">
            <v>22</v>
          </cell>
          <cell r="J323">
            <v>10.78</v>
          </cell>
          <cell r="K323">
            <v>3</v>
          </cell>
          <cell r="M323">
            <v>2</v>
          </cell>
          <cell r="N323">
            <v>1</v>
          </cell>
          <cell r="O323">
            <v>4</v>
          </cell>
          <cell r="P323">
            <v>1</v>
          </cell>
          <cell r="Q323">
            <v>1</v>
          </cell>
          <cell r="R323">
            <v>5</v>
          </cell>
          <cell r="S323">
            <v>1</v>
          </cell>
          <cell r="T323">
            <v>4</v>
          </cell>
          <cell r="U323" t="str">
            <v>MGL</v>
          </cell>
          <cell r="V323">
            <v>22</v>
          </cell>
          <cell r="W323" t="b">
            <v>1</v>
          </cell>
        </row>
        <row r="324">
          <cell r="C324" t="str">
            <v>WJMCPM06024</v>
          </cell>
          <cell r="D324">
            <v>300</v>
          </cell>
          <cell r="E324">
            <v>40255</v>
          </cell>
          <cell r="F324">
            <v>40260</v>
          </cell>
          <cell r="G324">
            <v>287</v>
          </cell>
          <cell r="H324">
            <v>88</v>
          </cell>
          <cell r="I324">
            <v>14</v>
          </cell>
          <cell r="J324">
            <v>4.88</v>
          </cell>
          <cell r="K324">
            <v>1</v>
          </cell>
          <cell r="L324">
            <v>1</v>
          </cell>
          <cell r="N324">
            <v>1</v>
          </cell>
          <cell r="O324">
            <v>1</v>
          </cell>
          <cell r="P324">
            <v>3</v>
          </cell>
          <cell r="Q324">
            <v>2</v>
          </cell>
          <cell r="R324">
            <v>4</v>
          </cell>
          <cell r="T324">
            <v>1</v>
          </cell>
          <cell r="U324" t="str">
            <v>MJK</v>
          </cell>
          <cell r="V324">
            <v>14</v>
          </cell>
          <cell r="W324" t="b">
            <v>1</v>
          </cell>
        </row>
        <row r="325">
          <cell r="C325" t="str">
            <v>WJMCPM06025</v>
          </cell>
          <cell r="D325">
            <v>200</v>
          </cell>
          <cell r="E325">
            <v>40255</v>
          </cell>
          <cell r="F325">
            <v>40260</v>
          </cell>
          <cell r="G325">
            <v>208</v>
          </cell>
          <cell r="H325">
            <v>78</v>
          </cell>
          <cell r="I325">
            <v>11</v>
          </cell>
          <cell r="J325">
            <v>5.29</v>
          </cell>
          <cell r="K325">
            <v>1</v>
          </cell>
          <cell r="L325">
            <v>1</v>
          </cell>
          <cell r="M325">
            <v>1</v>
          </cell>
          <cell r="N325">
            <v>2</v>
          </cell>
          <cell r="O325">
            <v>2</v>
          </cell>
          <cell r="P325">
            <v>1</v>
          </cell>
          <cell r="Q325">
            <v>1</v>
          </cell>
          <cell r="T325">
            <v>2</v>
          </cell>
          <cell r="U325" t="str">
            <v>MJK</v>
          </cell>
          <cell r="V325">
            <v>11</v>
          </cell>
          <cell r="W325" t="b">
            <v>1</v>
          </cell>
        </row>
        <row r="326">
          <cell r="C326" t="str">
            <v>WJMCPM07014</v>
          </cell>
          <cell r="D326">
            <v>200</v>
          </cell>
          <cell r="E326">
            <v>40274</v>
          </cell>
          <cell r="F326">
            <v>40276</v>
          </cell>
          <cell r="G326">
            <v>195</v>
          </cell>
          <cell r="H326">
            <v>89</v>
          </cell>
          <cell r="I326">
            <v>20</v>
          </cell>
          <cell r="J326">
            <v>10.26</v>
          </cell>
          <cell r="N326">
            <v>3</v>
          </cell>
          <cell r="O326">
            <v>4</v>
          </cell>
          <cell r="P326">
            <v>5</v>
          </cell>
          <cell r="Q326">
            <v>1</v>
          </cell>
          <cell r="R326">
            <v>4</v>
          </cell>
          <cell r="S326">
            <v>2</v>
          </cell>
          <cell r="T326">
            <v>1</v>
          </cell>
          <cell r="U326" t="str">
            <v>MJK</v>
          </cell>
          <cell r="V326">
            <v>20</v>
          </cell>
          <cell r="W326" t="b">
            <v>1</v>
          </cell>
        </row>
        <row r="327">
          <cell r="C327" t="str">
            <v>WJMCPM07054</v>
          </cell>
          <cell r="D327">
            <v>150</v>
          </cell>
          <cell r="E327">
            <v>40274</v>
          </cell>
          <cell r="F327">
            <v>40276</v>
          </cell>
          <cell r="G327">
            <v>124</v>
          </cell>
          <cell r="H327">
            <v>68</v>
          </cell>
          <cell r="I327">
            <v>20</v>
          </cell>
          <cell r="J327">
            <v>16.13</v>
          </cell>
          <cell r="M327">
            <v>2</v>
          </cell>
          <cell r="N327">
            <v>6</v>
          </cell>
          <cell r="O327">
            <v>3</v>
          </cell>
          <cell r="P327">
            <v>1</v>
          </cell>
          <cell r="Q327">
            <v>1</v>
          </cell>
          <cell r="S327">
            <v>3</v>
          </cell>
          <cell r="T327">
            <v>4</v>
          </cell>
          <cell r="U327" t="str">
            <v>MJK</v>
          </cell>
          <cell r="V327">
            <v>20</v>
          </cell>
          <cell r="W327" t="b">
            <v>1</v>
          </cell>
        </row>
        <row r="328">
          <cell r="C328" t="str">
            <v>WJMCPM08014</v>
          </cell>
          <cell r="D328">
            <v>150</v>
          </cell>
          <cell r="E328">
            <v>40255</v>
          </cell>
          <cell r="F328">
            <v>40260</v>
          </cell>
          <cell r="G328">
            <v>146</v>
          </cell>
          <cell r="H328">
            <v>70</v>
          </cell>
          <cell r="I328">
            <v>19</v>
          </cell>
          <cell r="J328">
            <v>13.01</v>
          </cell>
          <cell r="K328">
            <v>3</v>
          </cell>
          <cell r="M328">
            <v>2</v>
          </cell>
          <cell r="N328">
            <v>2</v>
          </cell>
          <cell r="P328">
            <v>4</v>
          </cell>
          <cell r="Q328">
            <v>1</v>
          </cell>
          <cell r="R328">
            <v>1</v>
          </cell>
          <cell r="S328">
            <v>2</v>
          </cell>
          <cell r="T328">
            <v>4</v>
          </cell>
          <cell r="U328" t="str">
            <v>MJK</v>
          </cell>
          <cell r="V328">
            <v>19</v>
          </cell>
          <cell r="W328" t="b">
            <v>1</v>
          </cell>
        </row>
        <row r="329">
          <cell r="C329" t="str">
            <v>WJMCPM08046</v>
          </cell>
          <cell r="D329">
            <v>100</v>
          </cell>
          <cell r="E329">
            <v>40255</v>
          </cell>
          <cell r="F329">
            <v>40260</v>
          </cell>
          <cell r="G329">
            <v>101</v>
          </cell>
          <cell r="H329">
            <v>61</v>
          </cell>
          <cell r="I329">
            <v>4</v>
          </cell>
          <cell r="J329">
            <v>3.96</v>
          </cell>
          <cell r="P329">
            <v>2</v>
          </cell>
          <cell r="R329">
            <v>1</v>
          </cell>
          <cell r="S329">
            <v>1</v>
          </cell>
          <cell r="U329" t="str">
            <v>MJK</v>
          </cell>
          <cell r="V329">
            <v>4</v>
          </cell>
          <cell r="W329" t="b">
            <v>1</v>
          </cell>
        </row>
        <row r="330">
          <cell r="C330" t="str">
            <v>WJMCPM09005</v>
          </cell>
          <cell r="D330">
            <v>100</v>
          </cell>
          <cell r="U330" t="str">
            <v>MJK</v>
          </cell>
          <cell r="V330">
            <v>0</v>
          </cell>
          <cell r="W330" t="b">
            <v>1</v>
          </cell>
        </row>
        <row r="331">
          <cell r="C331" t="str">
            <v>WJMCPM09007</v>
          </cell>
          <cell r="D331">
            <v>150</v>
          </cell>
          <cell r="U331" t="str">
            <v>MJK</v>
          </cell>
          <cell r="V331">
            <v>0</v>
          </cell>
          <cell r="W331" t="b">
            <v>1</v>
          </cell>
        </row>
        <row r="332">
          <cell r="C332" t="str">
            <v>WJMCPM11007</v>
          </cell>
          <cell r="D332">
            <v>200</v>
          </cell>
          <cell r="E332">
            <v>40255</v>
          </cell>
          <cell r="F332">
            <v>40260</v>
          </cell>
          <cell r="G332">
            <v>207</v>
          </cell>
          <cell r="H332">
            <v>67</v>
          </cell>
          <cell r="I332">
            <v>7</v>
          </cell>
          <cell r="J332">
            <v>3.38</v>
          </cell>
          <cell r="L332">
            <v>3</v>
          </cell>
          <cell r="M332">
            <v>2</v>
          </cell>
          <cell r="N332">
            <v>2</v>
          </cell>
          <cell r="U332" t="str">
            <v>MJK</v>
          </cell>
          <cell r="V332">
            <v>7</v>
          </cell>
          <cell r="W332" t="b">
            <v>1</v>
          </cell>
        </row>
        <row r="333">
          <cell r="C333" t="str">
            <v>WJMCPM11024</v>
          </cell>
          <cell r="D333">
            <v>300</v>
          </cell>
          <cell r="E333">
            <v>40255</v>
          </cell>
          <cell r="F333">
            <v>40260</v>
          </cell>
          <cell r="G333">
            <v>281</v>
          </cell>
          <cell r="H333">
            <v>94</v>
          </cell>
          <cell r="I333">
            <v>21</v>
          </cell>
          <cell r="J333">
            <v>7.47</v>
          </cell>
          <cell r="K333">
            <v>2</v>
          </cell>
          <cell r="L333">
            <v>-1</v>
          </cell>
          <cell r="M333">
            <v>4</v>
          </cell>
          <cell r="N333">
            <v>3</v>
          </cell>
          <cell r="O333">
            <v>3</v>
          </cell>
          <cell r="P333">
            <v>2</v>
          </cell>
          <cell r="Q333">
            <v>2</v>
          </cell>
          <cell r="R333">
            <v>1</v>
          </cell>
          <cell r="S333">
            <v>3</v>
          </cell>
          <cell r="T333">
            <v>2</v>
          </cell>
          <cell r="U333" t="str">
            <v>MJK</v>
          </cell>
          <cell r="V333">
            <v>21</v>
          </cell>
          <cell r="W333" t="b">
            <v>1</v>
          </cell>
        </row>
        <row r="334">
          <cell r="C334" t="str">
            <v>WJMCPM11073</v>
          </cell>
          <cell r="D334">
            <v>300</v>
          </cell>
          <cell r="E334">
            <v>40255</v>
          </cell>
          <cell r="F334">
            <v>40260</v>
          </cell>
          <cell r="G334">
            <v>291</v>
          </cell>
          <cell r="H334">
            <v>91</v>
          </cell>
          <cell r="I334">
            <v>21</v>
          </cell>
          <cell r="J334">
            <v>7.22</v>
          </cell>
          <cell r="K334">
            <v>1</v>
          </cell>
          <cell r="L334">
            <v>1</v>
          </cell>
          <cell r="M334">
            <v>3</v>
          </cell>
          <cell r="O334">
            <v>2</v>
          </cell>
          <cell r="P334">
            <v>2</v>
          </cell>
          <cell r="Q334">
            <v>3</v>
          </cell>
          <cell r="R334">
            <v>1</v>
          </cell>
          <cell r="S334">
            <v>1</v>
          </cell>
          <cell r="T334">
            <v>7</v>
          </cell>
          <cell r="U334" t="str">
            <v>MJK</v>
          </cell>
          <cell r="V334">
            <v>21</v>
          </cell>
          <cell r="W334" t="b">
            <v>1</v>
          </cell>
        </row>
        <row r="335">
          <cell r="C335" t="str">
            <v>WJMCPM13007</v>
          </cell>
          <cell r="D335">
            <v>350</v>
          </cell>
          <cell r="E335">
            <v>40255</v>
          </cell>
          <cell r="F335">
            <v>40260</v>
          </cell>
          <cell r="G335">
            <v>300</v>
          </cell>
          <cell r="H335">
            <v>69</v>
          </cell>
          <cell r="I335">
            <v>14</v>
          </cell>
          <cell r="J335">
            <v>4.67</v>
          </cell>
          <cell r="K335">
            <v>2</v>
          </cell>
          <cell r="L335">
            <v>1</v>
          </cell>
          <cell r="M335">
            <v>1</v>
          </cell>
          <cell r="O335">
            <v>1</v>
          </cell>
          <cell r="Q335">
            <v>2</v>
          </cell>
          <cell r="R335">
            <v>3</v>
          </cell>
          <cell r="S335">
            <v>2</v>
          </cell>
          <cell r="T335">
            <v>2</v>
          </cell>
          <cell r="U335" t="str">
            <v>MJK</v>
          </cell>
          <cell r="V335">
            <v>14</v>
          </cell>
          <cell r="W335" t="b">
            <v>1</v>
          </cell>
        </row>
        <row r="336">
          <cell r="C336" t="str">
            <v>WJMCPM13025</v>
          </cell>
          <cell r="D336">
            <v>200</v>
          </cell>
          <cell r="E336">
            <v>40255</v>
          </cell>
          <cell r="F336">
            <v>40260</v>
          </cell>
          <cell r="G336">
            <v>186</v>
          </cell>
          <cell r="H336">
            <v>123</v>
          </cell>
          <cell r="I336">
            <v>54</v>
          </cell>
          <cell r="J336">
            <v>29.03</v>
          </cell>
          <cell r="K336">
            <v>4</v>
          </cell>
          <cell r="M336">
            <v>5</v>
          </cell>
          <cell r="N336">
            <v>7</v>
          </cell>
          <cell r="O336">
            <v>5</v>
          </cell>
          <cell r="P336">
            <v>7</v>
          </cell>
          <cell r="Q336">
            <v>3</v>
          </cell>
          <cell r="R336">
            <v>7</v>
          </cell>
          <cell r="S336">
            <v>8</v>
          </cell>
          <cell r="T336">
            <v>8</v>
          </cell>
          <cell r="U336" t="str">
            <v>MJK</v>
          </cell>
          <cell r="V336">
            <v>54</v>
          </cell>
          <cell r="W336" t="b">
            <v>1</v>
          </cell>
        </row>
        <row r="337">
          <cell r="C337" t="str">
            <v>WJMCPM14033</v>
          </cell>
          <cell r="D337">
            <v>150</v>
          </cell>
          <cell r="E337">
            <v>40259</v>
          </cell>
          <cell r="F337">
            <v>40261</v>
          </cell>
          <cell r="G337">
            <v>15</v>
          </cell>
          <cell r="H337">
            <v>15</v>
          </cell>
          <cell r="I337">
            <v>3</v>
          </cell>
          <cell r="J337">
            <v>20</v>
          </cell>
          <cell r="M337">
            <v>1</v>
          </cell>
          <cell r="O337">
            <v>1</v>
          </cell>
          <cell r="Q337">
            <v>1</v>
          </cell>
          <cell r="U337" t="str">
            <v>MJK</v>
          </cell>
          <cell r="V337">
            <v>3</v>
          </cell>
          <cell r="W337" t="b">
            <v>1</v>
          </cell>
        </row>
        <row r="338">
          <cell r="C338" t="str">
            <v>WJMCPM14141</v>
          </cell>
          <cell r="D338">
            <v>100</v>
          </cell>
          <cell r="E338">
            <v>40283</v>
          </cell>
          <cell r="F338">
            <v>40292</v>
          </cell>
          <cell r="G338">
            <v>100</v>
          </cell>
          <cell r="H338">
            <v>32</v>
          </cell>
          <cell r="I338">
            <v>4</v>
          </cell>
          <cell r="J338">
            <v>4</v>
          </cell>
          <cell r="P338">
            <v>1</v>
          </cell>
          <cell r="Q338">
            <v>1</v>
          </cell>
          <cell r="T338">
            <v>2</v>
          </cell>
          <cell r="U338" t="str">
            <v>MJK</v>
          </cell>
          <cell r="V338">
            <v>4</v>
          </cell>
          <cell r="W338" t="b">
            <v>1</v>
          </cell>
        </row>
        <row r="339">
          <cell r="C339" t="str">
            <v>WJMCPM21043</v>
          </cell>
          <cell r="D339">
            <v>200</v>
          </cell>
          <cell r="E339">
            <v>40255</v>
          </cell>
          <cell r="F339">
            <v>40260</v>
          </cell>
          <cell r="G339">
            <v>105</v>
          </cell>
          <cell r="H339">
            <v>-32</v>
          </cell>
          <cell r="I339">
            <v>18</v>
          </cell>
          <cell r="J339">
            <v>17.14</v>
          </cell>
          <cell r="K339">
            <v>1</v>
          </cell>
          <cell r="L339">
            <v>3</v>
          </cell>
          <cell r="M339">
            <v>2</v>
          </cell>
          <cell r="N339">
            <v>3</v>
          </cell>
          <cell r="O339">
            <v>-1</v>
          </cell>
          <cell r="Q339">
            <v>6</v>
          </cell>
          <cell r="R339">
            <v>1</v>
          </cell>
          <cell r="T339">
            <v>3</v>
          </cell>
          <cell r="U339" t="str">
            <v>MJK</v>
          </cell>
          <cell r="V339">
            <v>18</v>
          </cell>
          <cell r="W339" t="b">
            <v>1</v>
          </cell>
        </row>
        <row r="340">
          <cell r="C340" t="str">
            <v>WJMCPM21046</v>
          </cell>
          <cell r="D340">
            <v>200</v>
          </cell>
          <cell r="E340">
            <v>40255</v>
          </cell>
          <cell r="F340">
            <v>40260</v>
          </cell>
          <cell r="G340">
            <v>294</v>
          </cell>
          <cell r="H340">
            <v>261</v>
          </cell>
          <cell r="I340">
            <v>82</v>
          </cell>
          <cell r="J340">
            <v>27.89</v>
          </cell>
          <cell r="L340">
            <v>1</v>
          </cell>
          <cell r="M340">
            <v>5</v>
          </cell>
          <cell r="N340">
            <v>8</v>
          </cell>
          <cell r="O340">
            <v>5</v>
          </cell>
          <cell r="P340">
            <v>8</v>
          </cell>
          <cell r="Q340">
            <v>16</v>
          </cell>
          <cell r="R340">
            <v>14</v>
          </cell>
          <cell r="S340">
            <v>12</v>
          </cell>
          <cell r="T340">
            <v>13</v>
          </cell>
          <cell r="U340" t="str">
            <v>MJK</v>
          </cell>
          <cell r="V340">
            <v>82</v>
          </cell>
          <cell r="W340" t="b">
            <v>1</v>
          </cell>
        </row>
        <row r="341">
          <cell r="C341" t="str">
            <v>WJMCPM21071</v>
          </cell>
          <cell r="D341">
            <v>300</v>
          </cell>
          <cell r="E341">
            <v>40255</v>
          </cell>
          <cell r="F341">
            <v>40260</v>
          </cell>
          <cell r="G341">
            <v>297</v>
          </cell>
          <cell r="H341">
            <v>106</v>
          </cell>
          <cell r="I341">
            <v>26</v>
          </cell>
          <cell r="J341">
            <v>8.75</v>
          </cell>
          <cell r="K341">
            <v>2</v>
          </cell>
          <cell r="L341">
            <v>1</v>
          </cell>
          <cell r="M341">
            <v>1</v>
          </cell>
          <cell r="N341">
            <v>2</v>
          </cell>
          <cell r="O341">
            <v>4</v>
          </cell>
          <cell r="P341">
            <v>3</v>
          </cell>
          <cell r="Q341">
            <v>3</v>
          </cell>
          <cell r="R341">
            <v>2</v>
          </cell>
          <cell r="S341">
            <v>4</v>
          </cell>
          <cell r="T341">
            <v>4</v>
          </cell>
          <cell r="U341" t="str">
            <v>MJK</v>
          </cell>
          <cell r="V341">
            <v>26</v>
          </cell>
          <cell r="W341" t="b">
            <v>1</v>
          </cell>
        </row>
        <row r="342">
          <cell r="C342" t="str">
            <v>WJMCPM22024</v>
          </cell>
          <cell r="D342">
            <v>200</v>
          </cell>
          <cell r="E342">
            <v>40255</v>
          </cell>
          <cell r="F342">
            <v>40260</v>
          </cell>
          <cell r="G342">
            <v>196</v>
          </cell>
          <cell r="H342">
            <v>73</v>
          </cell>
          <cell r="I342">
            <v>15</v>
          </cell>
          <cell r="J342">
            <v>7.65</v>
          </cell>
          <cell r="L342">
            <v>1</v>
          </cell>
          <cell r="M342">
            <v>2</v>
          </cell>
          <cell r="N342">
            <v>2</v>
          </cell>
          <cell r="O342">
            <v>2</v>
          </cell>
          <cell r="Q342">
            <v>3</v>
          </cell>
          <cell r="R342">
            <v>2</v>
          </cell>
          <cell r="S342">
            <v>2</v>
          </cell>
          <cell r="T342">
            <v>1</v>
          </cell>
          <cell r="U342" t="str">
            <v>MJK</v>
          </cell>
          <cell r="V342">
            <v>15</v>
          </cell>
          <cell r="W342" t="b">
            <v>1</v>
          </cell>
        </row>
        <row r="343">
          <cell r="C343" t="str">
            <v>WJMCPM22054</v>
          </cell>
          <cell r="D343">
            <v>200</v>
          </cell>
          <cell r="E343">
            <v>40255</v>
          </cell>
          <cell r="F343">
            <v>40260</v>
          </cell>
          <cell r="G343">
            <v>189</v>
          </cell>
          <cell r="H343">
            <v>80</v>
          </cell>
          <cell r="I343">
            <v>19</v>
          </cell>
          <cell r="J343">
            <v>10.050000000000001</v>
          </cell>
          <cell r="K343">
            <v>3</v>
          </cell>
          <cell r="M343">
            <v>4</v>
          </cell>
          <cell r="O343">
            <v>3</v>
          </cell>
          <cell r="P343">
            <v>1</v>
          </cell>
          <cell r="Q343">
            <v>4</v>
          </cell>
          <cell r="R343">
            <v>2</v>
          </cell>
          <cell r="T343">
            <v>2</v>
          </cell>
          <cell r="U343" t="str">
            <v>MJK</v>
          </cell>
          <cell r="V343">
            <v>19</v>
          </cell>
          <cell r="W343" t="b">
            <v>1</v>
          </cell>
        </row>
        <row r="344">
          <cell r="C344" t="str">
            <v>WJMCPM22072</v>
          </cell>
          <cell r="D344">
            <v>300</v>
          </cell>
          <cell r="E344">
            <v>40255</v>
          </cell>
          <cell r="F344">
            <v>40260</v>
          </cell>
          <cell r="G344">
            <v>296</v>
          </cell>
          <cell r="H344">
            <v>75</v>
          </cell>
          <cell r="I344">
            <v>17</v>
          </cell>
          <cell r="J344">
            <v>5.74</v>
          </cell>
          <cell r="O344">
            <v>1</v>
          </cell>
          <cell r="P344">
            <v>2</v>
          </cell>
          <cell r="Q344">
            <v>2</v>
          </cell>
          <cell r="R344">
            <v>2</v>
          </cell>
          <cell r="S344">
            <v>5</v>
          </cell>
          <cell r="T344">
            <v>5</v>
          </cell>
          <cell r="U344" t="str">
            <v>MJK</v>
          </cell>
          <cell r="V344">
            <v>17</v>
          </cell>
          <cell r="W344" t="b">
            <v>1</v>
          </cell>
        </row>
        <row r="345">
          <cell r="C345" t="str">
            <v>WJMCPS41050</v>
          </cell>
          <cell r="D345">
            <v>200</v>
          </cell>
          <cell r="U345" t="str">
            <v>MJK</v>
          </cell>
          <cell r="V345">
            <v>0</v>
          </cell>
          <cell r="W345" t="b">
            <v>1</v>
          </cell>
        </row>
        <row r="346">
          <cell r="C346" t="str">
            <v>WJMCPS71035</v>
          </cell>
          <cell r="D346">
            <v>150</v>
          </cell>
          <cell r="E346">
            <v>40302</v>
          </cell>
          <cell r="F346">
            <v>40309</v>
          </cell>
          <cell r="G346">
            <v>152</v>
          </cell>
          <cell r="H346">
            <v>75</v>
          </cell>
          <cell r="I346">
            <v>7</v>
          </cell>
          <cell r="J346">
            <v>4.6100000000000003</v>
          </cell>
          <cell r="R346">
            <v>2</v>
          </cell>
          <cell r="S346">
            <v>4</v>
          </cell>
          <cell r="T346">
            <v>1</v>
          </cell>
          <cell r="U346" t="str">
            <v>MJK</v>
          </cell>
          <cell r="V346">
            <v>7</v>
          </cell>
          <cell r="W346" t="b">
            <v>1</v>
          </cell>
        </row>
        <row r="347">
          <cell r="C347" t="str">
            <v>WJMGLM11071</v>
          </cell>
          <cell r="D347">
            <v>300</v>
          </cell>
          <cell r="E347">
            <v>40260</v>
          </cell>
          <cell r="F347">
            <v>40261</v>
          </cell>
          <cell r="G347">
            <v>292</v>
          </cell>
          <cell r="H347">
            <v>118</v>
          </cell>
          <cell r="I347">
            <v>15</v>
          </cell>
          <cell r="J347">
            <v>5.14</v>
          </cell>
          <cell r="K347">
            <v>2</v>
          </cell>
          <cell r="M347">
            <v>3</v>
          </cell>
          <cell r="N347">
            <v>1</v>
          </cell>
          <cell r="O347">
            <v>2</v>
          </cell>
          <cell r="P347">
            <v>2</v>
          </cell>
          <cell r="Q347">
            <v>1</v>
          </cell>
          <cell r="R347">
            <v>4</v>
          </cell>
          <cell r="U347" t="str">
            <v>MJK</v>
          </cell>
          <cell r="V347">
            <v>15</v>
          </cell>
          <cell r="W347" t="b">
            <v>1</v>
          </cell>
        </row>
        <row r="348">
          <cell r="C348" t="str">
            <v>WJMGLM11072</v>
          </cell>
          <cell r="D348">
            <v>200</v>
          </cell>
          <cell r="E348">
            <v>40260</v>
          </cell>
          <cell r="F348">
            <v>40261</v>
          </cell>
          <cell r="G348">
            <v>190</v>
          </cell>
          <cell r="H348">
            <v>100</v>
          </cell>
          <cell r="I348">
            <v>20</v>
          </cell>
          <cell r="J348">
            <v>10.53</v>
          </cell>
          <cell r="L348">
            <v>1</v>
          </cell>
          <cell r="M348">
            <v>2</v>
          </cell>
          <cell r="N348">
            <v>4</v>
          </cell>
          <cell r="P348">
            <v>1</v>
          </cell>
          <cell r="Q348">
            <v>1</v>
          </cell>
          <cell r="R348">
            <v>3</v>
          </cell>
          <cell r="S348">
            <v>5</v>
          </cell>
          <cell r="T348">
            <v>3</v>
          </cell>
          <cell r="U348" t="str">
            <v>MJK</v>
          </cell>
          <cell r="V348">
            <v>20</v>
          </cell>
          <cell r="W348" t="b">
            <v>1</v>
          </cell>
        </row>
        <row r="349">
          <cell r="C349" t="str">
            <v>WJMGLM12054</v>
          </cell>
          <cell r="D349">
            <v>150</v>
          </cell>
          <cell r="E349">
            <v>40260</v>
          </cell>
          <cell r="F349">
            <v>40261</v>
          </cell>
          <cell r="G349">
            <v>143</v>
          </cell>
          <cell r="H349">
            <v>86</v>
          </cell>
          <cell r="I349">
            <v>20</v>
          </cell>
          <cell r="J349">
            <v>13.99</v>
          </cell>
          <cell r="K349">
            <v>2</v>
          </cell>
          <cell r="M349">
            <v>1</v>
          </cell>
          <cell r="N349">
            <v>1</v>
          </cell>
          <cell r="O349">
            <v>2</v>
          </cell>
          <cell r="P349">
            <v>3</v>
          </cell>
          <cell r="Q349">
            <v>4</v>
          </cell>
          <cell r="R349">
            <v>2</v>
          </cell>
          <cell r="S349">
            <v>4</v>
          </cell>
          <cell r="T349">
            <v>1</v>
          </cell>
          <cell r="U349" t="str">
            <v>MJK</v>
          </cell>
          <cell r="V349">
            <v>20</v>
          </cell>
          <cell r="W349" t="b">
            <v>1</v>
          </cell>
        </row>
        <row r="350">
          <cell r="C350" t="str">
            <v>WJMGLM12073</v>
          </cell>
          <cell r="D350">
            <v>200</v>
          </cell>
          <cell r="E350">
            <v>40260</v>
          </cell>
          <cell r="F350">
            <v>40261</v>
          </cell>
          <cell r="G350">
            <v>178</v>
          </cell>
          <cell r="H350">
            <v>96</v>
          </cell>
          <cell r="I350">
            <v>11</v>
          </cell>
          <cell r="J350">
            <v>6.18</v>
          </cell>
          <cell r="K350">
            <v>1</v>
          </cell>
          <cell r="O350">
            <v>3</v>
          </cell>
          <cell r="R350">
            <v>1</v>
          </cell>
          <cell r="S350">
            <v>2</v>
          </cell>
          <cell r="T350">
            <v>4</v>
          </cell>
          <cell r="U350" t="str">
            <v>MJK</v>
          </cell>
          <cell r="V350">
            <v>11</v>
          </cell>
          <cell r="W350" t="b">
            <v>1</v>
          </cell>
        </row>
        <row r="351">
          <cell r="C351" t="str">
            <v>WJMGLM13024</v>
          </cell>
          <cell r="D351">
            <v>150</v>
          </cell>
          <cell r="E351">
            <v>40260</v>
          </cell>
          <cell r="F351">
            <v>40261</v>
          </cell>
          <cell r="G351">
            <v>148</v>
          </cell>
          <cell r="H351">
            <v>89</v>
          </cell>
          <cell r="I351">
            <v>15</v>
          </cell>
          <cell r="J351">
            <v>10.14</v>
          </cell>
          <cell r="M351">
            <v>3</v>
          </cell>
          <cell r="O351">
            <v>1</v>
          </cell>
          <cell r="Q351">
            <v>4</v>
          </cell>
          <cell r="R351">
            <v>3</v>
          </cell>
          <cell r="S351">
            <v>2</v>
          </cell>
          <cell r="T351">
            <v>2</v>
          </cell>
          <cell r="U351" t="str">
            <v>MJK</v>
          </cell>
          <cell r="V351">
            <v>15</v>
          </cell>
          <cell r="W351" t="b">
            <v>1</v>
          </cell>
        </row>
        <row r="352">
          <cell r="C352" t="str">
            <v>WJMGLM13073</v>
          </cell>
          <cell r="D352">
            <v>100</v>
          </cell>
          <cell r="E352">
            <v>40260</v>
          </cell>
          <cell r="F352">
            <v>40261</v>
          </cell>
          <cell r="G352">
            <v>92</v>
          </cell>
          <cell r="H352">
            <v>68</v>
          </cell>
          <cell r="I352">
            <v>15</v>
          </cell>
          <cell r="J352">
            <v>16.3</v>
          </cell>
          <cell r="L352">
            <v>1</v>
          </cell>
          <cell r="M352">
            <v>3</v>
          </cell>
          <cell r="N352">
            <v>2</v>
          </cell>
          <cell r="P352">
            <v>2</v>
          </cell>
          <cell r="Q352">
            <v>1</v>
          </cell>
          <cell r="R352">
            <v>3</v>
          </cell>
          <cell r="S352">
            <v>1</v>
          </cell>
          <cell r="T352">
            <v>2</v>
          </cell>
          <cell r="U352" t="str">
            <v>MJK</v>
          </cell>
          <cell r="V352">
            <v>15</v>
          </cell>
          <cell r="W352" t="b">
            <v>1</v>
          </cell>
        </row>
        <row r="353">
          <cell r="C353" t="str">
            <v>WJMJKI01074</v>
          </cell>
          <cell r="D353">
            <v>250</v>
          </cell>
          <cell r="E353">
            <v>40245</v>
          </cell>
          <cell r="F353">
            <v>40247</v>
          </cell>
          <cell r="G353">
            <v>250</v>
          </cell>
          <cell r="H353">
            <v>78</v>
          </cell>
          <cell r="I353">
            <v>5</v>
          </cell>
          <cell r="J353">
            <v>2</v>
          </cell>
          <cell r="K353">
            <v>3</v>
          </cell>
          <cell r="L353">
            <v>1</v>
          </cell>
          <cell r="M353">
            <v>-1</v>
          </cell>
          <cell r="O353">
            <v>1</v>
          </cell>
          <cell r="P353">
            <v>1</v>
          </cell>
          <cell r="U353" t="str">
            <v>MJK</v>
          </cell>
          <cell r="V353">
            <v>5</v>
          </cell>
          <cell r="W353" t="b">
            <v>1</v>
          </cell>
        </row>
        <row r="354">
          <cell r="C354" t="str">
            <v>WJMJKI01076</v>
          </cell>
          <cell r="D354">
            <v>250</v>
          </cell>
          <cell r="E354">
            <v>40245</v>
          </cell>
          <cell r="F354">
            <v>40247</v>
          </cell>
          <cell r="G354">
            <v>250</v>
          </cell>
          <cell r="H354">
            <v>93</v>
          </cell>
          <cell r="I354">
            <v>13</v>
          </cell>
          <cell r="J354">
            <v>5.2</v>
          </cell>
          <cell r="K354">
            <v>3</v>
          </cell>
          <cell r="L354">
            <v>2</v>
          </cell>
          <cell r="O354">
            <v>4</v>
          </cell>
          <cell r="P354">
            <v>1</v>
          </cell>
          <cell r="T354">
            <v>2</v>
          </cell>
          <cell r="U354" t="str">
            <v>MJK</v>
          </cell>
          <cell r="V354">
            <v>12</v>
          </cell>
          <cell r="W354" t="b">
            <v>0</v>
          </cell>
        </row>
        <row r="355">
          <cell r="C355" t="str">
            <v>WJMJKI04001</v>
          </cell>
          <cell r="D355">
            <v>150</v>
          </cell>
          <cell r="E355">
            <v>40262</v>
          </cell>
          <cell r="F355">
            <v>40262</v>
          </cell>
          <cell r="G355">
            <v>150</v>
          </cell>
          <cell r="H355">
            <v>92</v>
          </cell>
          <cell r="I355">
            <v>1</v>
          </cell>
          <cell r="J355">
            <v>0.67</v>
          </cell>
          <cell r="R355">
            <v>1</v>
          </cell>
          <cell r="U355" t="str">
            <v>MJK</v>
          </cell>
          <cell r="V355">
            <v>1</v>
          </cell>
          <cell r="W355" t="b">
            <v>1</v>
          </cell>
        </row>
        <row r="356">
          <cell r="C356" t="str">
            <v>WJMJKI04027</v>
          </cell>
          <cell r="D356">
            <v>250</v>
          </cell>
          <cell r="E356">
            <v>40262</v>
          </cell>
          <cell r="F356">
            <v>40262</v>
          </cell>
          <cell r="G356">
            <v>250</v>
          </cell>
          <cell r="H356">
            <v>96</v>
          </cell>
          <cell r="I356">
            <v>3</v>
          </cell>
          <cell r="J356">
            <v>1.2</v>
          </cell>
          <cell r="K356">
            <v>1</v>
          </cell>
          <cell r="O356">
            <v>1</v>
          </cell>
          <cell r="Q356">
            <v>1</v>
          </cell>
          <cell r="U356" t="str">
            <v>MJK</v>
          </cell>
          <cell r="V356">
            <v>3</v>
          </cell>
          <cell r="W356" t="b">
            <v>1</v>
          </cell>
        </row>
        <row r="357">
          <cell r="C357" t="str">
            <v>WJMJKI04073</v>
          </cell>
          <cell r="D357">
            <v>200</v>
          </cell>
          <cell r="E357">
            <v>40262</v>
          </cell>
          <cell r="F357">
            <v>40262</v>
          </cell>
          <cell r="G357">
            <v>200</v>
          </cell>
          <cell r="H357">
            <v>103</v>
          </cell>
          <cell r="I357">
            <v>11</v>
          </cell>
          <cell r="J357">
            <v>5.5</v>
          </cell>
          <cell r="L357">
            <v>1</v>
          </cell>
          <cell r="M357">
            <v>4</v>
          </cell>
          <cell r="N357">
            <v>1</v>
          </cell>
          <cell r="O357">
            <v>1</v>
          </cell>
          <cell r="P357">
            <v>2</v>
          </cell>
          <cell r="Q357">
            <v>2</v>
          </cell>
          <cell r="R357">
            <v>1</v>
          </cell>
          <cell r="S357">
            <v>-1</v>
          </cell>
          <cell r="U357" t="str">
            <v>MJK</v>
          </cell>
          <cell r="V357">
            <v>11</v>
          </cell>
          <cell r="W357" t="b">
            <v>1</v>
          </cell>
        </row>
        <row r="358">
          <cell r="C358" t="str">
            <v>WJMJKI10001</v>
          </cell>
          <cell r="D358">
            <v>70</v>
          </cell>
          <cell r="E358">
            <v>40263</v>
          </cell>
          <cell r="F358">
            <v>40263</v>
          </cell>
          <cell r="G358">
            <v>72</v>
          </cell>
          <cell r="H358">
            <v>59</v>
          </cell>
          <cell r="I358">
            <v>26</v>
          </cell>
          <cell r="J358">
            <v>36.11</v>
          </cell>
          <cell r="L358">
            <v>1</v>
          </cell>
          <cell r="M358">
            <v>2</v>
          </cell>
          <cell r="N358">
            <v>6</v>
          </cell>
          <cell r="O358">
            <v>1</v>
          </cell>
          <cell r="P358">
            <v>3</v>
          </cell>
          <cell r="Q358">
            <v>3</v>
          </cell>
          <cell r="R358">
            <v>6</v>
          </cell>
          <cell r="S358">
            <v>3</v>
          </cell>
          <cell r="T358">
            <v>1</v>
          </cell>
          <cell r="U358" t="str">
            <v>MJK</v>
          </cell>
          <cell r="V358">
            <v>26</v>
          </cell>
          <cell r="W358" t="b">
            <v>1</v>
          </cell>
        </row>
        <row r="359">
          <cell r="C359" t="str">
            <v>WJMJKI10026</v>
          </cell>
          <cell r="D359">
            <v>150</v>
          </cell>
          <cell r="E359">
            <v>40263</v>
          </cell>
          <cell r="F359">
            <v>40263</v>
          </cell>
          <cell r="G359">
            <v>151</v>
          </cell>
          <cell r="H359">
            <v>78</v>
          </cell>
          <cell r="I359">
            <v>14</v>
          </cell>
          <cell r="J359">
            <v>9.27</v>
          </cell>
          <cell r="M359">
            <v>2</v>
          </cell>
          <cell r="O359">
            <v>1</v>
          </cell>
          <cell r="P359">
            <v>3</v>
          </cell>
          <cell r="Q359">
            <v>3</v>
          </cell>
          <cell r="R359">
            <v>1</v>
          </cell>
          <cell r="S359">
            <v>2</v>
          </cell>
          <cell r="T359">
            <v>2</v>
          </cell>
          <cell r="U359" t="str">
            <v>MJK</v>
          </cell>
          <cell r="V359">
            <v>14</v>
          </cell>
          <cell r="W359" t="b">
            <v>1</v>
          </cell>
        </row>
        <row r="360">
          <cell r="C360" t="str">
            <v>WJMJKM06001</v>
          </cell>
          <cell r="D360">
            <v>390</v>
          </cell>
          <cell r="E360">
            <v>40262</v>
          </cell>
          <cell r="F360">
            <v>40262</v>
          </cell>
          <cell r="G360">
            <v>344</v>
          </cell>
          <cell r="H360">
            <v>138</v>
          </cell>
          <cell r="I360">
            <v>21</v>
          </cell>
          <cell r="J360">
            <v>6.1</v>
          </cell>
          <cell r="K360">
            <v>2</v>
          </cell>
          <cell r="O360">
            <v>2</v>
          </cell>
          <cell r="P360">
            <v>3</v>
          </cell>
          <cell r="Q360">
            <v>3</v>
          </cell>
          <cell r="R360">
            <v>3</v>
          </cell>
          <cell r="T360">
            <v>8</v>
          </cell>
          <cell r="U360" t="str">
            <v>MJK</v>
          </cell>
          <cell r="V360">
            <v>21</v>
          </cell>
          <cell r="W360" t="b">
            <v>1</v>
          </cell>
        </row>
        <row r="361">
          <cell r="C361" t="str">
            <v>WJMJKM06073</v>
          </cell>
          <cell r="D361">
            <v>390</v>
          </cell>
          <cell r="E361">
            <v>40262</v>
          </cell>
          <cell r="F361">
            <v>40262</v>
          </cell>
          <cell r="G361">
            <v>357</v>
          </cell>
          <cell r="H361">
            <v>212</v>
          </cell>
          <cell r="I361">
            <v>47</v>
          </cell>
          <cell r="J361">
            <v>13.17</v>
          </cell>
          <cell r="K361">
            <v>1</v>
          </cell>
          <cell r="M361">
            <v>3</v>
          </cell>
          <cell r="N361">
            <v>3</v>
          </cell>
          <cell r="O361">
            <v>2</v>
          </cell>
          <cell r="P361">
            <v>5</v>
          </cell>
          <cell r="Q361">
            <v>9</v>
          </cell>
          <cell r="R361">
            <v>1</v>
          </cell>
          <cell r="S361">
            <v>10</v>
          </cell>
          <cell r="T361">
            <v>13</v>
          </cell>
          <cell r="U361" t="str">
            <v>MJK</v>
          </cell>
          <cell r="V361">
            <v>47</v>
          </cell>
          <cell r="W361" t="b">
            <v>1</v>
          </cell>
        </row>
        <row r="362">
          <cell r="C362" t="str">
            <v>WJMJKM06074</v>
          </cell>
          <cell r="D362">
            <v>390</v>
          </cell>
          <cell r="E362">
            <v>40262</v>
          </cell>
          <cell r="F362">
            <v>40262</v>
          </cell>
          <cell r="G362">
            <v>352</v>
          </cell>
          <cell r="H362">
            <v>157</v>
          </cell>
          <cell r="I362">
            <v>15</v>
          </cell>
          <cell r="J362">
            <v>4.26</v>
          </cell>
          <cell r="O362">
            <v>2</v>
          </cell>
          <cell r="P362">
            <v>2</v>
          </cell>
          <cell r="Q362">
            <v>1</v>
          </cell>
          <cell r="R362">
            <v>4</v>
          </cell>
          <cell r="S362">
            <v>3</v>
          </cell>
          <cell r="T362">
            <v>3</v>
          </cell>
          <cell r="U362" t="str">
            <v>MJK</v>
          </cell>
          <cell r="V362">
            <v>15</v>
          </cell>
          <cell r="W362" t="b">
            <v>1</v>
          </cell>
        </row>
        <row r="363">
          <cell r="C363" t="str">
            <v>WJMJKM07025</v>
          </cell>
          <cell r="D363">
            <v>450</v>
          </cell>
          <cell r="E363">
            <v>40259</v>
          </cell>
          <cell r="F363">
            <v>40260</v>
          </cell>
          <cell r="G363">
            <v>423</v>
          </cell>
          <cell r="H363">
            <v>169</v>
          </cell>
          <cell r="I363">
            <v>31</v>
          </cell>
          <cell r="J363">
            <v>7.33</v>
          </cell>
          <cell r="K363">
            <v>3</v>
          </cell>
          <cell r="M363">
            <v>2</v>
          </cell>
          <cell r="O363">
            <v>4</v>
          </cell>
          <cell r="P363">
            <v>3</v>
          </cell>
          <cell r="Q363">
            <v>6</v>
          </cell>
          <cell r="R363">
            <v>6</v>
          </cell>
          <cell r="S363">
            <v>2</v>
          </cell>
          <cell r="T363">
            <v>5</v>
          </cell>
          <cell r="U363" t="str">
            <v>MJK</v>
          </cell>
          <cell r="V363">
            <v>31</v>
          </cell>
          <cell r="W363" t="b">
            <v>1</v>
          </cell>
        </row>
        <row r="364">
          <cell r="C364" t="str">
            <v>WJMJKM07053</v>
          </cell>
          <cell r="D364">
            <v>350</v>
          </cell>
          <cell r="E364">
            <v>40259</v>
          </cell>
          <cell r="F364">
            <v>40260</v>
          </cell>
          <cell r="G364">
            <v>320</v>
          </cell>
          <cell r="H364">
            <v>179</v>
          </cell>
          <cell r="I364">
            <v>52</v>
          </cell>
          <cell r="J364">
            <v>16.25</v>
          </cell>
          <cell r="K364">
            <v>3</v>
          </cell>
          <cell r="L364">
            <v>3</v>
          </cell>
          <cell r="M364">
            <v>5</v>
          </cell>
          <cell r="N364">
            <v>4</v>
          </cell>
          <cell r="O364">
            <v>11</v>
          </cell>
          <cell r="P364">
            <v>8</v>
          </cell>
          <cell r="Q364">
            <v>3</v>
          </cell>
          <cell r="R364">
            <v>2</v>
          </cell>
          <cell r="S364">
            <v>4</v>
          </cell>
          <cell r="T364">
            <v>9</v>
          </cell>
          <cell r="U364" t="str">
            <v>MJK</v>
          </cell>
          <cell r="V364">
            <v>52</v>
          </cell>
          <cell r="W364" t="b">
            <v>1</v>
          </cell>
        </row>
        <row r="365">
          <cell r="C365" t="str">
            <v>WJMJKM07076</v>
          </cell>
          <cell r="D365">
            <v>350</v>
          </cell>
          <cell r="E365">
            <v>40259</v>
          </cell>
          <cell r="F365">
            <v>40260</v>
          </cell>
          <cell r="G365">
            <v>327</v>
          </cell>
          <cell r="H365">
            <v>141</v>
          </cell>
          <cell r="I365">
            <v>38</v>
          </cell>
          <cell r="J365">
            <v>11.62</v>
          </cell>
          <cell r="K365">
            <v>2</v>
          </cell>
          <cell r="L365">
            <v>1</v>
          </cell>
          <cell r="M365">
            <v>5</v>
          </cell>
          <cell r="N365">
            <v>4</v>
          </cell>
          <cell r="O365">
            <v>10</v>
          </cell>
          <cell r="P365">
            <v>4</v>
          </cell>
          <cell r="Q365">
            <v>3</v>
          </cell>
          <cell r="R365">
            <v>4</v>
          </cell>
          <cell r="S365">
            <v>2</v>
          </cell>
          <cell r="T365">
            <v>3</v>
          </cell>
          <cell r="U365" t="str">
            <v>MJK</v>
          </cell>
          <cell r="V365">
            <v>38</v>
          </cell>
          <cell r="W365" t="b">
            <v>1</v>
          </cell>
        </row>
        <row r="366">
          <cell r="C366" t="str">
            <v>WJMJKM08007</v>
          </cell>
          <cell r="D366">
            <v>350</v>
          </cell>
          <cell r="E366">
            <v>40259</v>
          </cell>
          <cell r="F366">
            <v>40260</v>
          </cell>
          <cell r="G366">
            <v>355</v>
          </cell>
          <cell r="H366">
            <v>124</v>
          </cell>
          <cell r="I366">
            <v>22</v>
          </cell>
          <cell r="J366">
            <v>6.2</v>
          </cell>
          <cell r="K366">
            <v>2</v>
          </cell>
          <cell r="M366">
            <v>6</v>
          </cell>
          <cell r="N366">
            <v>2</v>
          </cell>
          <cell r="O366">
            <v>2</v>
          </cell>
          <cell r="P366">
            <v>1</v>
          </cell>
          <cell r="R366">
            <v>4</v>
          </cell>
          <cell r="S366">
            <v>2</v>
          </cell>
          <cell r="T366">
            <v>3</v>
          </cell>
          <cell r="U366" t="str">
            <v>MJK</v>
          </cell>
          <cell r="V366">
            <v>22</v>
          </cell>
          <cell r="W366" t="b">
            <v>1</v>
          </cell>
        </row>
        <row r="367">
          <cell r="C367" t="str">
            <v>WJMJKM08024</v>
          </cell>
          <cell r="D367">
            <v>450</v>
          </cell>
          <cell r="E367">
            <v>40259</v>
          </cell>
          <cell r="F367">
            <v>40260</v>
          </cell>
          <cell r="G367">
            <v>463</v>
          </cell>
          <cell r="H367">
            <v>186</v>
          </cell>
          <cell r="I367">
            <v>55</v>
          </cell>
          <cell r="J367">
            <v>11.88</v>
          </cell>
          <cell r="K367">
            <v>8</v>
          </cell>
          <cell r="L367">
            <v>3</v>
          </cell>
          <cell r="M367">
            <v>4</v>
          </cell>
          <cell r="N367">
            <v>2</v>
          </cell>
          <cell r="O367">
            <v>11</v>
          </cell>
          <cell r="P367">
            <v>8</v>
          </cell>
          <cell r="Q367">
            <v>3</v>
          </cell>
          <cell r="R367">
            <v>5</v>
          </cell>
          <cell r="S367">
            <v>4</v>
          </cell>
          <cell r="T367">
            <v>7</v>
          </cell>
          <cell r="U367" t="str">
            <v>MJK</v>
          </cell>
          <cell r="V367">
            <v>55</v>
          </cell>
          <cell r="W367" t="b">
            <v>1</v>
          </cell>
        </row>
        <row r="368">
          <cell r="C368" t="str">
            <v>WJMJKM08034</v>
          </cell>
          <cell r="D368">
            <v>350</v>
          </cell>
          <cell r="E368">
            <v>40259</v>
          </cell>
          <cell r="F368">
            <v>40260</v>
          </cell>
          <cell r="G368">
            <v>353</v>
          </cell>
          <cell r="H368">
            <v>205</v>
          </cell>
          <cell r="I368">
            <v>56</v>
          </cell>
          <cell r="J368">
            <v>15.86</v>
          </cell>
          <cell r="K368">
            <v>5</v>
          </cell>
          <cell r="L368">
            <v>4</v>
          </cell>
          <cell r="M368">
            <v>1</v>
          </cell>
          <cell r="N368">
            <v>8</v>
          </cell>
          <cell r="O368">
            <v>13</v>
          </cell>
          <cell r="P368">
            <v>5</v>
          </cell>
          <cell r="Q368">
            <v>6</v>
          </cell>
          <cell r="R368">
            <v>5</v>
          </cell>
          <cell r="S368">
            <v>5</v>
          </cell>
          <cell r="T368">
            <v>4</v>
          </cell>
          <cell r="U368" t="str">
            <v>MJK</v>
          </cell>
          <cell r="V368">
            <v>56</v>
          </cell>
          <cell r="W368" t="b">
            <v>1</v>
          </cell>
        </row>
        <row r="369">
          <cell r="C369" t="str">
            <v>WJMJKM09015</v>
          </cell>
          <cell r="D369">
            <v>350</v>
          </cell>
          <cell r="E369">
            <v>40285</v>
          </cell>
          <cell r="F369">
            <v>40288</v>
          </cell>
          <cell r="G369">
            <v>279</v>
          </cell>
          <cell r="H369">
            <v>99</v>
          </cell>
          <cell r="I369">
            <v>16</v>
          </cell>
          <cell r="J369">
            <v>5.73</v>
          </cell>
          <cell r="Q369">
            <v>5</v>
          </cell>
          <cell r="R369">
            <v>1</v>
          </cell>
          <cell r="S369">
            <v>5</v>
          </cell>
          <cell r="T369">
            <v>5</v>
          </cell>
          <cell r="U369" t="str">
            <v>MJK</v>
          </cell>
          <cell r="V369">
            <v>16</v>
          </cell>
          <cell r="W369" t="b">
            <v>1</v>
          </cell>
        </row>
        <row r="370">
          <cell r="C370" t="str">
            <v>WJMJKM09053</v>
          </cell>
          <cell r="D370">
            <v>250</v>
          </cell>
          <cell r="E370">
            <v>40285</v>
          </cell>
          <cell r="F370">
            <v>40288</v>
          </cell>
          <cell r="G370">
            <v>216</v>
          </cell>
          <cell r="H370">
            <v>91</v>
          </cell>
          <cell r="I370">
            <v>17</v>
          </cell>
          <cell r="J370">
            <v>7.87</v>
          </cell>
          <cell r="O370">
            <v>2</v>
          </cell>
          <cell r="Q370">
            <v>2</v>
          </cell>
          <cell r="R370">
            <v>4</v>
          </cell>
          <cell r="S370">
            <v>1</v>
          </cell>
          <cell r="T370">
            <v>8</v>
          </cell>
          <cell r="U370" t="str">
            <v>MJK</v>
          </cell>
          <cell r="V370">
            <v>17</v>
          </cell>
          <cell r="W370" t="b">
            <v>1</v>
          </cell>
        </row>
        <row r="371">
          <cell r="C371" t="str">
            <v>WJMJKM10003</v>
          </cell>
          <cell r="D371">
            <v>250</v>
          </cell>
          <cell r="E371">
            <v>40259</v>
          </cell>
          <cell r="F371">
            <v>40260</v>
          </cell>
          <cell r="G371">
            <v>207</v>
          </cell>
          <cell r="H371">
            <v>102</v>
          </cell>
          <cell r="I371">
            <v>19</v>
          </cell>
          <cell r="J371">
            <v>9.18</v>
          </cell>
          <cell r="L371">
            <v>1</v>
          </cell>
          <cell r="M371">
            <v>1</v>
          </cell>
          <cell r="P371">
            <v>2</v>
          </cell>
          <cell r="R371">
            <v>9</v>
          </cell>
          <cell r="S371">
            <v>3</v>
          </cell>
          <cell r="T371">
            <v>3</v>
          </cell>
          <cell r="U371" t="str">
            <v>MJK</v>
          </cell>
          <cell r="V371">
            <v>19</v>
          </cell>
          <cell r="W371" t="b">
            <v>1</v>
          </cell>
        </row>
        <row r="372">
          <cell r="C372" t="str">
            <v>WJMJKM10076</v>
          </cell>
          <cell r="D372">
            <v>250</v>
          </cell>
          <cell r="E372">
            <v>40259</v>
          </cell>
          <cell r="F372">
            <v>40260</v>
          </cell>
          <cell r="G372">
            <v>209</v>
          </cell>
          <cell r="H372">
            <v>87</v>
          </cell>
          <cell r="I372">
            <v>10</v>
          </cell>
          <cell r="J372">
            <v>4.78</v>
          </cell>
          <cell r="K372">
            <v>2</v>
          </cell>
          <cell r="L372">
            <v>1</v>
          </cell>
          <cell r="M372">
            <v>-1</v>
          </cell>
          <cell r="O372">
            <v>1</v>
          </cell>
          <cell r="P372">
            <v>2</v>
          </cell>
          <cell r="Q372">
            <v>2</v>
          </cell>
          <cell r="S372">
            <v>3</v>
          </cell>
          <cell r="U372" t="str">
            <v>MJK</v>
          </cell>
          <cell r="V372">
            <v>10</v>
          </cell>
          <cell r="W372" t="b">
            <v>1</v>
          </cell>
        </row>
        <row r="373">
          <cell r="C373" t="str">
            <v>WJMJKM11034</v>
          </cell>
          <cell r="D373">
            <v>350</v>
          </cell>
          <cell r="E373">
            <v>40298</v>
          </cell>
          <cell r="F373">
            <v>40301</v>
          </cell>
          <cell r="G373">
            <v>332</v>
          </cell>
          <cell r="H373">
            <v>102</v>
          </cell>
          <cell r="I373">
            <v>3</v>
          </cell>
          <cell r="J373">
            <v>0.9</v>
          </cell>
          <cell r="Q373">
            <v>2</v>
          </cell>
          <cell r="T373">
            <v>1</v>
          </cell>
          <cell r="U373" t="str">
            <v>MJK</v>
          </cell>
          <cell r="V373">
            <v>3</v>
          </cell>
          <cell r="W373" t="b">
            <v>1</v>
          </cell>
        </row>
        <row r="374">
          <cell r="C374" t="str">
            <v>WJMJKM11053</v>
          </cell>
          <cell r="D374">
            <v>250</v>
          </cell>
          <cell r="E374">
            <v>40298</v>
          </cell>
          <cell r="F374">
            <v>40301</v>
          </cell>
          <cell r="G374">
            <v>236</v>
          </cell>
          <cell r="H374">
            <v>91</v>
          </cell>
          <cell r="I374">
            <v>9</v>
          </cell>
          <cell r="J374">
            <v>3.81</v>
          </cell>
          <cell r="Q374">
            <v>3</v>
          </cell>
          <cell r="R374">
            <v>2</v>
          </cell>
          <cell r="T374">
            <v>4</v>
          </cell>
          <cell r="U374" t="str">
            <v>MJK</v>
          </cell>
          <cell r="V374">
            <v>9</v>
          </cell>
          <cell r="W374" t="b">
            <v>1</v>
          </cell>
        </row>
        <row r="375">
          <cell r="C375" t="str">
            <v>WJMJKM15024</v>
          </cell>
          <cell r="D375">
            <v>1200</v>
          </cell>
          <cell r="E375">
            <v>40326</v>
          </cell>
          <cell r="G375">
            <v>98</v>
          </cell>
          <cell r="U375" t="str">
            <v>MPT</v>
          </cell>
          <cell r="V375">
            <v>0</v>
          </cell>
          <cell r="W375" t="b">
            <v>1</v>
          </cell>
        </row>
        <row r="376">
          <cell r="C376" t="str">
            <v>WJMJKM15073</v>
          </cell>
          <cell r="D376">
            <v>800</v>
          </cell>
          <cell r="E376">
            <v>40326</v>
          </cell>
          <cell r="G376">
            <v>98</v>
          </cell>
          <cell r="U376" t="str">
            <v>MPT</v>
          </cell>
          <cell r="V376">
            <v>0</v>
          </cell>
          <cell r="W376" t="b">
            <v>1</v>
          </cell>
        </row>
        <row r="377">
          <cell r="C377" t="str">
            <v>WJMJKM16008</v>
          </cell>
          <cell r="D377">
            <v>700</v>
          </cell>
          <cell r="E377">
            <v>40317</v>
          </cell>
          <cell r="F377">
            <v>40311</v>
          </cell>
          <cell r="H377">
            <v>1</v>
          </cell>
          <cell r="U377" t="str">
            <v>MPT</v>
          </cell>
          <cell r="V377">
            <v>0</v>
          </cell>
          <cell r="W377" t="b">
            <v>1</v>
          </cell>
        </row>
        <row r="378">
          <cell r="C378" t="str">
            <v>WJMJKM16024</v>
          </cell>
          <cell r="D378">
            <v>900</v>
          </cell>
          <cell r="E378">
            <v>40317</v>
          </cell>
          <cell r="F378">
            <v>40311</v>
          </cell>
          <cell r="G378">
            <v>208</v>
          </cell>
          <cell r="H378">
            <v>45</v>
          </cell>
          <cell r="U378" t="str">
            <v>MPT</v>
          </cell>
          <cell r="V378">
            <v>0</v>
          </cell>
          <cell r="W378" t="b">
            <v>1</v>
          </cell>
        </row>
        <row r="379">
          <cell r="C379" t="str">
            <v>WJMJKM16034</v>
          </cell>
          <cell r="D379">
            <v>400</v>
          </cell>
          <cell r="E379">
            <v>40317</v>
          </cell>
          <cell r="F379">
            <v>40311</v>
          </cell>
          <cell r="G379">
            <v>215</v>
          </cell>
          <cell r="H379">
            <v>47</v>
          </cell>
          <cell r="I379">
            <v>1</v>
          </cell>
          <cell r="J379">
            <v>0.47</v>
          </cell>
          <cell r="T379">
            <v>1</v>
          </cell>
          <cell r="U379" t="str">
            <v>MPT</v>
          </cell>
          <cell r="V379">
            <v>1</v>
          </cell>
          <cell r="W379" t="b">
            <v>1</v>
          </cell>
        </row>
        <row r="380">
          <cell r="C380" t="str">
            <v>WJMJKM16108</v>
          </cell>
          <cell r="D380">
            <v>300</v>
          </cell>
          <cell r="E380">
            <v>40262</v>
          </cell>
          <cell r="F380">
            <v>40262</v>
          </cell>
          <cell r="G380">
            <v>230</v>
          </cell>
          <cell r="H380">
            <v>91</v>
          </cell>
          <cell r="I380">
            <v>9</v>
          </cell>
          <cell r="J380">
            <v>3.91</v>
          </cell>
          <cell r="K380">
            <v>1</v>
          </cell>
          <cell r="M380">
            <v>2</v>
          </cell>
          <cell r="Q380">
            <v>3</v>
          </cell>
          <cell r="R380">
            <v>2</v>
          </cell>
          <cell r="T380">
            <v>1</v>
          </cell>
          <cell r="U380" t="str">
            <v>MPT</v>
          </cell>
          <cell r="V380">
            <v>9</v>
          </cell>
          <cell r="W380" t="b">
            <v>1</v>
          </cell>
        </row>
        <row r="381">
          <cell r="C381" t="str">
            <v>WJMJKM16124</v>
          </cell>
          <cell r="D381">
            <v>500</v>
          </cell>
          <cell r="E381">
            <v>40262</v>
          </cell>
          <cell r="F381">
            <v>40262</v>
          </cell>
          <cell r="G381">
            <v>400</v>
          </cell>
          <cell r="H381">
            <v>132</v>
          </cell>
          <cell r="I381">
            <v>11</v>
          </cell>
          <cell r="J381">
            <v>2.75</v>
          </cell>
          <cell r="K381">
            <v>3</v>
          </cell>
          <cell r="M381">
            <v>1</v>
          </cell>
          <cell r="Q381">
            <v>1</v>
          </cell>
          <cell r="R381">
            <v>1</v>
          </cell>
          <cell r="S381">
            <v>3</v>
          </cell>
          <cell r="T381">
            <v>2</v>
          </cell>
          <cell r="U381" t="str">
            <v>MPT</v>
          </cell>
          <cell r="V381">
            <v>11</v>
          </cell>
          <cell r="W381" t="b">
            <v>1</v>
          </cell>
        </row>
        <row r="382">
          <cell r="C382" t="str">
            <v>WJMJKM16134</v>
          </cell>
          <cell r="D382">
            <v>200</v>
          </cell>
          <cell r="E382">
            <v>40262</v>
          </cell>
          <cell r="F382">
            <v>40262</v>
          </cell>
          <cell r="G382">
            <v>157</v>
          </cell>
          <cell r="H382">
            <v>109</v>
          </cell>
          <cell r="I382">
            <v>30</v>
          </cell>
          <cell r="J382">
            <v>19.11</v>
          </cell>
          <cell r="M382">
            <v>1</v>
          </cell>
          <cell r="N382">
            <v>3</v>
          </cell>
          <cell r="O382">
            <v>4</v>
          </cell>
          <cell r="P382">
            <v>2</v>
          </cell>
          <cell r="Q382">
            <v>6</v>
          </cell>
          <cell r="R382">
            <v>6</v>
          </cell>
          <cell r="S382">
            <v>5</v>
          </cell>
          <cell r="T382">
            <v>3</v>
          </cell>
          <cell r="U382" t="str">
            <v>MPT</v>
          </cell>
          <cell r="V382">
            <v>30</v>
          </cell>
          <cell r="W382" t="b">
            <v>1</v>
          </cell>
        </row>
        <row r="383">
          <cell r="C383" t="str">
            <v>WJMJKM17073</v>
          </cell>
          <cell r="D383">
            <v>200</v>
          </cell>
          <cell r="E383">
            <v>40262</v>
          </cell>
          <cell r="F383">
            <v>40262</v>
          </cell>
          <cell r="G383">
            <v>130</v>
          </cell>
          <cell r="H383">
            <v>104</v>
          </cell>
          <cell r="I383">
            <v>16</v>
          </cell>
          <cell r="J383">
            <v>12.31</v>
          </cell>
          <cell r="K383">
            <v>4</v>
          </cell>
          <cell r="L383">
            <v>1</v>
          </cell>
          <cell r="M383">
            <v>3</v>
          </cell>
          <cell r="N383">
            <v>2</v>
          </cell>
          <cell r="O383">
            <v>2</v>
          </cell>
          <cell r="P383">
            <v>2</v>
          </cell>
          <cell r="Q383">
            <v>1</v>
          </cell>
          <cell r="S383">
            <v>1</v>
          </cell>
          <cell r="U383" t="str">
            <v>MPT</v>
          </cell>
          <cell r="V383">
            <v>16</v>
          </cell>
          <cell r="W383" t="b">
            <v>1</v>
          </cell>
        </row>
        <row r="384">
          <cell r="C384" t="str">
            <v>WJMJKM21027</v>
          </cell>
          <cell r="D384">
            <v>350</v>
          </cell>
          <cell r="E384">
            <v>40316</v>
          </cell>
          <cell r="F384">
            <v>40317</v>
          </cell>
          <cell r="G384">
            <v>174</v>
          </cell>
          <cell r="H384">
            <v>45</v>
          </cell>
          <cell r="I384">
            <v>1</v>
          </cell>
          <cell r="J384">
            <v>0.56999999999999995</v>
          </cell>
          <cell r="T384">
            <v>1</v>
          </cell>
          <cell r="U384" t="str">
            <v>MPT</v>
          </cell>
          <cell r="V384">
            <v>1</v>
          </cell>
          <cell r="W384" t="b">
            <v>1</v>
          </cell>
        </row>
        <row r="385">
          <cell r="C385" t="str">
            <v>WJMJKM21072</v>
          </cell>
          <cell r="D385">
            <v>250</v>
          </cell>
          <cell r="E385">
            <v>40316</v>
          </cell>
          <cell r="F385">
            <v>40317</v>
          </cell>
          <cell r="G385">
            <v>45</v>
          </cell>
          <cell r="H385">
            <v>14</v>
          </cell>
          <cell r="U385" t="str">
            <v>MPT</v>
          </cell>
          <cell r="V385">
            <v>0</v>
          </cell>
          <cell r="W385" t="b">
            <v>1</v>
          </cell>
        </row>
        <row r="386">
          <cell r="C386" t="str">
            <v>WJMJKM22008</v>
          </cell>
          <cell r="D386">
            <v>200</v>
          </cell>
          <cell r="E386">
            <v>40263</v>
          </cell>
          <cell r="F386">
            <v>40263</v>
          </cell>
          <cell r="G386">
            <v>171</v>
          </cell>
          <cell r="H386">
            <v>49</v>
          </cell>
          <cell r="I386">
            <v>3</v>
          </cell>
          <cell r="J386">
            <v>1.75</v>
          </cell>
          <cell r="K386">
            <v>1</v>
          </cell>
          <cell r="M386">
            <v>1</v>
          </cell>
          <cell r="T386">
            <v>1</v>
          </cell>
          <cell r="U386" t="str">
            <v>MPT</v>
          </cell>
          <cell r="V386">
            <v>3</v>
          </cell>
          <cell r="W386" t="b">
            <v>1</v>
          </cell>
        </row>
        <row r="387">
          <cell r="C387" t="str">
            <v>WJMJKM22016</v>
          </cell>
          <cell r="D387">
            <v>250</v>
          </cell>
          <cell r="E387">
            <v>40263</v>
          </cell>
          <cell r="F387">
            <v>40263</v>
          </cell>
          <cell r="G387">
            <v>188</v>
          </cell>
          <cell r="H387">
            <v>69</v>
          </cell>
          <cell r="I387">
            <v>14</v>
          </cell>
          <cell r="J387">
            <v>7.45</v>
          </cell>
          <cell r="K387">
            <v>2</v>
          </cell>
          <cell r="M387">
            <v>2</v>
          </cell>
          <cell r="O387">
            <v>1</v>
          </cell>
          <cell r="P387">
            <v>2</v>
          </cell>
          <cell r="R387">
            <v>3</v>
          </cell>
          <cell r="S387">
            <v>1</v>
          </cell>
          <cell r="T387">
            <v>3</v>
          </cell>
          <cell r="U387" t="str">
            <v>MPT</v>
          </cell>
          <cell r="V387">
            <v>14</v>
          </cell>
          <cell r="W387" t="b">
            <v>1</v>
          </cell>
        </row>
        <row r="388">
          <cell r="C388" t="str">
            <v>WJMJKM24016</v>
          </cell>
          <cell r="D388">
            <v>200</v>
          </cell>
          <cell r="E388">
            <v>40285</v>
          </cell>
          <cell r="F388">
            <v>40290</v>
          </cell>
          <cell r="G388">
            <v>41</v>
          </cell>
          <cell r="H388">
            <v>33</v>
          </cell>
          <cell r="I388">
            <v>6</v>
          </cell>
          <cell r="J388">
            <v>14.63</v>
          </cell>
          <cell r="Q388">
            <v>2</v>
          </cell>
          <cell r="R388">
            <v>1</v>
          </cell>
          <cell r="S388">
            <v>1</v>
          </cell>
          <cell r="T388">
            <v>2</v>
          </cell>
          <cell r="U388" t="str">
            <v>MPT</v>
          </cell>
          <cell r="V388">
            <v>6</v>
          </cell>
          <cell r="W388" t="b">
            <v>1</v>
          </cell>
        </row>
        <row r="389">
          <cell r="C389" t="str">
            <v>WJMJKM24072</v>
          </cell>
          <cell r="D389">
            <v>250</v>
          </cell>
          <cell r="E389">
            <v>40285</v>
          </cell>
          <cell r="F389">
            <v>40290</v>
          </cell>
          <cell r="G389">
            <v>47</v>
          </cell>
          <cell r="H389">
            <v>40</v>
          </cell>
          <cell r="I389">
            <v>8</v>
          </cell>
          <cell r="J389">
            <v>17.02</v>
          </cell>
          <cell r="O389">
            <v>1</v>
          </cell>
          <cell r="R389">
            <v>2</v>
          </cell>
          <cell r="S389">
            <v>3</v>
          </cell>
          <cell r="T389">
            <v>2</v>
          </cell>
          <cell r="U389" t="str">
            <v>MPT</v>
          </cell>
          <cell r="V389">
            <v>8</v>
          </cell>
          <cell r="W389" t="b">
            <v>1</v>
          </cell>
        </row>
        <row r="390">
          <cell r="C390" t="str">
            <v>WJMJKM25024</v>
          </cell>
          <cell r="D390">
            <v>250</v>
          </cell>
          <cell r="E390">
            <v>40261</v>
          </cell>
          <cell r="F390">
            <v>40262</v>
          </cell>
          <cell r="G390">
            <v>214</v>
          </cell>
          <cell r="H390">
            <v>93</v>
          </cell>
          <cell r="I390">
            <v>9</v>
          </cell>
          <cell r="J390">
            <v>4.21</v>
          </cell>
          <cell r="K390">
            <v>4</v>
          </cell>
          <cell r="M390">
            <v>1</v>
          </cell>
          <cell r="N390">
            <v>2</v>
          </cell>
          <cell r="O390">
            <v>2</v>
          </cell>
          <cell r="Q390">
            <v>1</v>
          </cell>
          <cell r="R390">
            <v>-1</v>
          </cell>
          <cell r="S390">
            <v>1</v>
          </cell>
          <cell r="T390">
            <v>-1</v>
          </cell>
          <cell r="U390" t="str">
            <v>MPT</v>
          </cell>
          <cell r="V390">
            <v>9</v>
          </cell>
          <cell r="W390" t="b">
            <v>1</v>
          </cell>
        </row>
        <row r="391">
          <cell r="C391" t="str">
            <v>WJMJKM25025</v>
          </cell>
          <cell r="D391">
            <v>200</v>
          </cell>
          <cell r="E391">
            <v>40261</v>
          </cell>
          <cell r="F391">
            <v>40262</v>
          </cell>
          <cell r="G391">
            <v>163</v>
          </cell>
          <cell r="H391">
            <v>93</v>
          </cell>
          <cell r="I391">
            <v>9</v>
          </cell>
          <cell r="J391">
            <v>5.52</v>
          </cell>
          <cell r="K391">
            <v>3</v>
          </cell>
          <cell r="M391">
            <v>2</v>
          </cell>
          <cell r="N391">
            <v>1</v>
          </cell>
          <cell r="O391">
            <v>2</v>
          </cell>
          <cell r="Q391">
            <v>1</v>
          </cell>
          <cell r="U391" t="str">
            <v>MPT</v>
          </cell>
          <cell r="V391">
            <v>9</v>
          </cell>
          <cell r="W391" t="b">
            <v>1</v>
          </cell>
        </row>
        <row r="392">
          <cell r="C392" t="str">
            <v>WJMJKM26014</v>
          </cell>
          <cell r="D392">
            <v>200</v>
          </cell>
          <cell r="E392">
            <v>40316</v>
          </cell>
          <cell r="F392">
            <v>40317</v>
          </cell>
          <cell r="G392">
            <v>182</v>
          </cell>
          <cell r="H392">
            <v>47</v>
          </cell>
          <cell r="I392">
            <v>2</v>
          </cell>
          <cell r="J392">
            <v>1.1000000000000001</v>
          </cell>
          <cell r="S392">
            <v>1</v>
          </cell>
          <cell r="T392">
            <v>1</v>
          </cell>
          <cell r="U392" t="str">
            <v>MPT</v>
          </cell>
          <cell r="V392">
            <v>2</v>
          </cell>
          <cell r="W392" t="b">
            <v>1</v>
          </cell>
        </row>
        <row r="393">
          <cell r="C393" t="str">
            <v>WJMJKM26074</v>
          </cell>
          <cell r="D393">
            <v>250</v>
          </cell>
          <cell r="E393">
            <v>40316</v>
          </cell>
          <cell r="F393">
            <v>40317</v>
          </cell>
          <cell r="G393">
            <v>197</v>
          </cell>
          <cell r="H393">
            <v>52</v>
          </cell>
          <cell r="I393">
            <v>4</v>
          </cell>
          <cell r="J393">
            <v>2.0299999999999998</v>
          </cell>
          <cell r="S393">
            <v>3</v>
          </cell>
          <cell r="T393">
            <v>1</v>
          </cell>
          <cell r="U393" t="str">
            <v>MPT</v>
          </cell>
          <cell r="V393">
            <v>4</v>
          </cell>
          <cell r="W393" t="b">
            <v>1</v>
          </cell>
        </row>
        <row r="394">
          <cell r="C394" t="str">
            <v>WJMJKM30007</v>
          </cell>
          <cell r="D394">
            <v>200</v>
          </cell>
          <cell r="E394">
            <v>40262</v>
          </cell>
          <cell r="F394">
            <v>40262</v>
          </cell>
          <cell r="G394">
            <v>185</v>
          </cell>
          <cell r="H394">
            <v>69</v>
          </cell>
          <cell r="I394">
            <v>13</v>
          </cell>
          <cell r="J394">
            <v>7.03</v>
          </cell>
          <cell r="K394">
            <v>1</v>
          </cell>
          <cell r="L394">
            <v>1</v>
          </cell>
          <cell r="N394">
            <v>1</v>
          </cell>
          <cell r="O394">
            <v>2</v>
          </cell>
          <cell r="P394">
            <v>3</v>
          </cell>
          <cell r="Q394">
            <v>1</v>
          </cell>
          <cell r="R394">
            <v>2</v>
          </cell>
          <cell r="T394">
            <v>2</v>
          </cell>
          <cell r="U394" t="str">
            <v>MPT</v>
          </cell>
          <cell r="V394">
            <v>13</v>
          </cell>
          <cell r="W394" t="b">
            <v>1</v>
          </cell>
        </row>
        <row r="395">
          <cell r="C395" t="str">
            <v>WJMJKM30073</v>
          </cell>
          <cell r="D395">
            <v>200</v>
          </cell>
          <cell r="E395">
            <v>40262</v>
          </cell>
          <cell r="F395">
            <v>40262</v>
          </cell>
          <cell r="G395">
            <v>164</v>
          </cell>
          <cell r="H395">
            <v>56</v>
          </cell>
          <cell r="I395">
            <v>2</v>
          </cell>
          <cell r="J395">
            <v>1.22</v>
          </cell>
          <cell r="N395">
            <v>1</v>
          </cell>
          <cell r="S395">
            <v>1</v>
          </cell>
          <cell r="U395" t="str">
            <v>MPT</v>
          </cell>
          <cell r="V395">
            <v>2</v>
          </cell>
          <cell r="W395" t="b">
            <v>1</v>
          </cell>
        </row>
        <row r="396">
          <cell r="C396" t="str">
            <v>WJMJKM40015</v>
          </cell>
          <cell r="D396">
            <v>250</v>
          </cell>
          <cell r="E396">
            <v>40276</v>
          </cell>
          <cell r="F396">
            <v>40281</v>
          </cell>
          <cell r="G396">
            <v>244</v>
          </cell>
          <cell r="H396">
            <v>81</v>
          </cell>
          <cell r="I396">
            <v>11</v>
          </cell>
          <cell r="J396">
            <v>4.51</v>
          </cell>
          <cell r="N396">
            <v>2</v>
          </cell>
          <cell r="O396">
            <v>2</v>
          </cell>
          <cell r="R396">
            <v>2</v>
          </cell>
          <cell r="S396">
            <v>3</v>
          </cell>
          <cell r="T396">
            <v>2</v>
          </cell>
          <cell r="U396" t="str">
            <v>MPT</v>
          </cell>
          <cell r="V396">
            <v>11</v>
          </cell>
          <cell r="W396" t="b">
            <v>1</v>
          </cell>
        </row>
        <row r="397">
          <cell r="C397" t="str">
            <v>WJMJKM40025</v>
          </cell>
          <cell r="D397">
            <v>250</v>
          </cell>
          <cell r="E397">
            <v>40276</v>
          </cell>
          <cell r="F397">
            <v>40281</v>
          </cell>
          <cell r="G397">
            <v>234</v>
          </cell>
          <cell r="H397">
            <v>88</v>
          </cell>
          <cell r="I397">
            <v>17</v>
          </cell>
          <cell r="J397">
            <v>7.26</v>
          </cell>
          <cell r="P397">
            <v>2</v>
          </cell>
          <cell r="Q397">
            <v>1</v>
          </cell>
          <cell r="R397">
            <v>4</v>
          </cell>
          <cell r="S397">
            <v>3</v>
          </cell>
          <cell r="T397">
            <v>7</v>
          </cell>
          <cell r="U397" t="str">
            <v>MPT</v>
          </cell>
          <cell r="V397">
            <v>17</v>
          </cell>
          <cell r="W397" t="b">
            <v>1</v>
          </cell>
        </row>
        <row r="398">
          <cell r="C398" t="str">
            <v>WJMJKM41001</v>
          </cell>
          <cell r="D398">
            <v>350</v>
          </cell>
          <cell r="E398">
            <v>40259</v>
          </cell>
          <cell r="F398">
            <v>40260</v>
          </cell>
          <cell r="G398">
            <v>304</v>
          </cell>
          <cell r="H398">
            <v>125</v>
          </cell>
          <cell r="I398">
            <v>15</v>
          </cell>
          <cell r="J398">
            <v>4.93</v>
          </cell>
          <cell r="K398">
            <v>3</v>
          </cell>
          <cell r="L398">
            <v>-1</v>
          </cell>
          <cell r="O398">
            <v>2</v>
          </cell>
          <cell r="P398">
            <v>1</v>
          </cell>
          <cell r="R398">
            <v>6</v>
          </cell>
          <cell r="S398">
            <v>1</v>
          </cell>
          <cell r="T398">
            <v>3</v>
          </cell>
          <cell r="U398" t="str">
            <v>MPT</v>
          </cell>
          <cell r="V398">
            <v>15</v>
          </cell>
          <cell r="W398" t="b">
            <v>1</v>
          </cell>
        </row>
        <row r="399">
          <cell r="C399" t="str">
            <v>WJMJKM41007</v>
          </cell>
          <cell r="D399">
            <v>350</v>
          </cell>
          <cell r="E399">
            <v>40259</v>
          </cell>
          <cell r="F399">
            <v>40260</v>
          </cell>
          <cell r="G399">
            <v>350</v>
          </cell>
          <cell r="H399">
            <v>204</v>
          </cell>
          <cell r="I399">
            <v>59</v>
          </cell>
          <cell r="J399">
            <v>16.86</v>
          </cell>
          <cell r="K399">
            <v>5</v>
          </cell>
          <cell r="L399">
            <v>1</v>
          </cell>
          <cell r="M399">
            <v>4</v>
          </cell>
          <cell r="N399">
            <v>4</v>
          </cell>
          <cell r="O399">
            <v>7</v>
          </cell>
          <cell r="P399">
            <v>5</v>
          </cell>
          <cell r="Q399">
            <v>8</v>
          </cell>
          <cell r="R399">
            <v>4</v>
          </cell>
          <cell r="S399">
            <v>12</v>
          </cell>
          <cell r="T399">
            <v>9</v>
          </cell>
          <cell r="U399" t="str">
            <v>MPT</v>
          </cell>
          <cell r="V399">
            <v>59</v>
          </cell>
          <cell r="W399" t="b">
            <v>1</v>
          </cell>
        </row>
        <row r="400">
          <cell r="C400" t="str">
            <v>WJMJKM42015</v>
          </cell>
          <cell r="D400">
            <v>250</v>
          </cell>
          <cell r="E400">
            <v>40277</v>
          </cell>
          <cell r="F400">
            <v>40277</v>
          </cell>
          <cell r="G400">
            <v>219</v>
          </cell>
          <cell r="H400">
            <v>104</v>
          </cell>
          <cell r="I400">
            <v>30</v>
          </cell>
          <cell r="J400">
            <v>13.7</v>
          </cell>
          <cell r="M400">
            <v>1</v>
          </cell>
          <cell r="N400">
            <v>3</v>
          </cell>
          <cell r="O400">
            <v>7</v>
          </cell>
          <cell r="P400">
            <v>1</v>
          </cell>
          <cell r="Q400">
            <v>1</v>
          </cell>
          <cell r="R400">
            <v>7</v>
          </cell>
          <cell r="T400">
            <v>10</v>
          </cell>
          <cell r="U400" t="str">
            <v>MPT</v>
          </cell>
          <cell r="V400">
            <v>30</v>
          </cell>
          <cell r="W400" t="b">
            <v>1</v>
          </cell>
        </row>
        <row r="401">
          <cell r="C401" t="str">
            <v>WJMJKM42024</v>
          </cell>
          <cell r="D401">
            <v>250</v>
          </cell>
          <cell r="E401">
            <v>40277</v>
          </cell>
          <cell r="F401">
            <v>40277</v>
          </cell>
          <cell r="G401">
            <v>228</v>
          </cell>
          <cell r="H401">
            <v>111</v>
          </cell>
          <cell r="I401">
            <v>30</v>
          </cell>
          <cell r="J401">
            <v>13.16</v>
          </cell>
          <cell r="N401">
            <v>2</v>
          </cell>
          <cell r="O401">
            <v>8</v>
          </cell>
          <cell r="P401">
            <v>2</v>
          </cell>
          <cell r="Q401">
            <v>6</v>
          </cell>
          <cell r="R401">
            <v>7</v>
          </cell>
          <cell r="S401">
            <v>4</v>
          </cell>
          <cell r="T401">
            <v>1</v>
          </cell>
          <cell r="U401" t="str">
            <v>MPT</v>
          </cell>
          <cell r="V401">
            <v>30</v>
          </cell>
          <cell r="W401" t="b">
            <v>1</v>
          </cell>
        </row>
        <row r="402">
          <cell r="C402" t="str">
            <v>WJMJKM43001</v>
          </cell>
          <cell r="D402">
            <v>250</v>
          </cell>
          <cell r="E402">
            <v>40271</v>
          </cell>
          <cell r="F402">
            <v>40273</v>
          </cell>
          <cell r="G402">
            <v>221</v>
          </cell>
          <cell r="H402">
            <v>73</v>
          </cell>
          <cell r="I402">
            <v>14</v>
          </cell>
          <cell r="J402">
            <v>6.33</v>
          </cell>
          <cell r="M402">
            <v>1</v>
          </cell>
          <cell r="O402">
            <v>3</v>
          </cell>
          <cell r="Q402">
            <v>3</v>
          </cell>
          <cell r="R402">
            <v>1</v>
          </cell>
          <cell r="S402">
            <v>2</v>
          </cell>
          <cell r="T402">
            <v>4</v>
          </cell>
          <cell r="U402" t="str">
            <v>MPT</v>
          </cell>
          <cell r="V402">
            <v>14</v>
          </cell>
          <cell r="W402" t="b">
            <v>1</v>
          </cell>
        </row>
        <row r="403">
          <cell r="C403" t="str">
            <v>WJMJKM43025</v>
          </cell>
          <cell r="D403">
            <v>350</v>
          </cell>
          <cell r="E403">
            <v>40271</v>
          </cell>
          <cell r="F403">
            <v>40273</v>
          </cell>
          <cell r="G403">
            <v>311</v>
          </cell>
          <cell r="H403">
            <v>114</v>
          </cell>
          <cell r="I403">
            <v>26</v>
          </cell>
          <cell r="J403">
            <v>8.36</v>
          </cell>
          <cell r="M403">
            <v>2</v>
          </cell>
          <cell r="N403">
            <v>3</v>
          </cell>
          <cell r="O403">
            <v>4</v>
          </cell>
          <cell r="P403">
            <v>4</v>
          </cell>
          <cell r="Q403">
            <v>5</v>
          </cell>
          <cell r="R403">
            <v>4</v>
          </cell>
          <cell r="S403">
            <v>1</v>
          </cell>
          <cell r="T403">
            <v>3</v>
          </cell>
          <cell r="U403" t="str">
            <v>MPT</v>
          </cell>
          <cell r="V403">
            <v>26</v>
          </cell>
          <cell r="W403" t="b">
            <v>1</v>
          </cell>
        </row>
        <row r="404">
          <cell r="C404" t="str">
            <v>WJMPTI02007</v>
          </cell>
          <cell r="D404">
            <v>168</v>
          </cell>
          <cell r="E404">
            <v>40245</v>
          </cell>
          <cell r="F404">
            <v>40247</v>
          </cell>
          <cell r="G404">
            <v>168</v>
          </cell>
          <cell r="H404">
            <v>93</v>
          </cell>
          <cell r="I404">
            <v>1</v>
          </cell>
          <cell r="J404">
            <v>0.6</v>
          </cell>
          <cell r="M404">
            <v>1</v>
          </cell>
          <cell r="U404" t="str">
            <v>MPT</v>
          </cell>
          <cell r="V404">
            <v>1</v>
          </cell>
          <cell r="W404" t="b">
            <v>1</v>
          </cell>
        </row>
        <row r="405">
          <cell r="C405" t="str">
            <v>WJMPTI07007</v>
          </cell>
          <cell r="D405">
            <v>60</v>
          </cell>
          <cell r="E405">
            <v>40294</v>
          </cell>
          <cell r="F405">
            <v>40301</v>
          </cell>
          <cell r="G405">
            <v>60</v>
          </cell>
          <cell r="H405">
            <v>31</v>
          </cell>
          <cell r="I405">
            <v>1</v>
          </cell>
          <cell r="J405">
            <v>1.67</v>
          </cell>
          <cell r="T405">
            <v>1</v>
          </cell>
          <cell r="U405" t="str">
            <v>MPT</v>
          </cell>
          <cell r="V405">
            <v>1</v>
          </cell>
          <cell r="W405" t="b">
            <v>1</v>
          </cell>
        </row>
        <row r="406">
          <cell r="C406" t="str">
            <v>WJMPTI07026</v>
          </cell>
          <cell r="D406">
            <v>60</v>
          </cell>
          <cell r="E406">
            <v>40294</v>
          </cell>
          <cell r="F406">
            <v>40301</v>
          </cell>
          <cell r="G406">
            <v>60</v>
          </cell>
          <cell r="H406">
            <v>31</v>
          </cell>
          <cell r="U406" t="str">
            <v>MPT</v>
          </cell>
          <cell r="V406">
            <v>0</v>
          </cell>
          <cell r="W406" t="b">
            <v>1</v>
          </cell>
        </row>
        <row r="407">
          <cell r="C407" t="str">
            <v>WJMPTI08042</v>
          </cell>
          <cell r="D407">
            <v>60</v>
          </cell>
          <cell r="E407">
            <v>40273</v>
          </cell>
          <cell r="F407">
            <v>40281</v>
          </cell>
          <cell r="G407">
            <v>60</v>
          </cell>
          <cell r="H407">
            <v>33</v>
          </cell>
          <cell r="I407">
            <v>2</v>
          </cell>
          <cell r="J407">
            <v>3.33</v>
          </cell>
          <cell r="S407">
            <v>1</v>
          </cell>
          <cell r="T407">
            <v>1</v>
          </cell>
          <cell r="U407" t="str">
            <v>MPT</v>
          </cell>
          <cell r="V407">
            <v>2</v>
          </cell>
          <cell r="W407" t="b">
            <v>1</v>
          </cell>
        </row>
        <row r="408">
          <cell r="C408" t="str">
            <v>WJMPTI08073</v>
          </cell>
          <cell r="D408">
            <v>60</v>
          </cell>
          <cell r="E408">
            <v>40273</v>
          </cell>
          <cell r="F408">
            <v>40281</v>
          </cell>
          <cell r="G408">
            <v>60</v>
          </cell>
          <cell r="H408">
            <v>31</v>
          </cell>
          <cell r="I408">
            <v>1</v>
          </cell>
          <cell r="J408">
            <v>1.67</v>
          </cell>
          <cell r="R408">
            <v>1</v>
          </cell>
          <cell r="U408" t="str">
            <v>MPT</v>
          </cell>
          <cell r="V408">
            <v>1</v>
          </cell>
          <cell r="W408" t="b">
            <v>1</v>
          </cell>
        </row>
        <row r="409">
          <cell r="C409" t="str">
            <v>WJMPTM01007</v>
          </cell>
          <cell r="D409">
            <v>500</v>
          </cell>
          <cell r="E409">
            <v>40260</v>
          </cell>
          <cell r="F409">
            <v>40262</v>
          </cell>
          <cell r="G409">
            <v>494</v>
          </cell>
          <cell r="H409">
            <v>202</v>
          </cell>
          <cell r="I409">
            <v>30</v>
          </cell>
          <cell r="J409">
            <v>6.07</v>
          </cell>
          <cell r="M409">
            <v>4</v>
          </cell>
          <cell r="N409">
            <v>6</v>
          </cell>
          <cell r="O409">
            <v>7</v>
          </cell>
          <cell r="P409">
            <v>3</v>
          </cell>
          <cell r="Q409">
            <v>5</v>
          </cell>
          <cell r="R409">
            <v>1</v>
          </cell>
          <cell r="S409">
            <v>3</v>
          </cell>
          <cell r="T409">
            <v>1</v>
          </cell>
          <cell r="U409" t="str">
            <v>MPT</v>
          </cell>
          <cell r="V409">
            <v>30</v>
          </cell>
          <cell r="W409" t="b">
            <v>1</v>
          </cell>
        </row>
        <row r="410">
          <cell r="C410" t="str">
            <v>WJMPTM01014</v>
          </cell>
          <cell r="D410">
            <v>300</v>
          </cell>
          <cell r="E410">
            <v>40260</v>
          </cell>
          <cell r="F410">
            <v>40262</v>
          </cell>
          <cell r="G410">
            <v>295</v>
          </cell>
          <cell r="H410">
            <v>88</v>
          </cell>
          <cell r="I410">
            <v>4</v>
          </cell>
          <cell r="J410">
            <v>1.36</v>
          </cell>
          <cell r="L410">
            <v>1</v>
          </cell>
          <cell r="M410">
            <v>1</v>
          </cell>
          <cell r="R410">
            <v>1</v>
          </cell>
          <cell r="S410">
            <v>1</v>
          </cell>
          <cell r="U410" t="str">
            <v>MSH</v>
          </cell>
          <cell r="V410">
            <v>4</v>
          </cell>
          <cell r="W410" t="b">
            <v>1</v>
          </cell>
        </row>
        <row r="411">
          <cell r="C411" t="str">
            <v>WJMPTM01024</v>
          </cell>
          <cell r="D411">
            <v>150</v>
          </cell>
          <cell r="E411">
            <v>40260</v>
          </cell>
          <cell r="F411">
            <v>40262</v>
          </cell>
          <cell r="G411">
            <v>150</v>
          </cell>
          <cell r="H411">
            <v>56</v>
          </cell>
          <cell r="I411">
            <v>5</v>
          </cell>
          <cell r="J411">
            <v>3.33</v>
          </cell>
          <cell r="O411">
            <v>1</v>
          </cell>
          <cell r="Q411">
            <v>1</v>
          </cell>
          <cell r="R411">
            <v>2</v>
          </cell>
          <cell r="T411">
            <v>1</v>
          </cell>
          <cell r="U411" t="str">
            <v>MSH</v>
          </cell>
          <cell r="V411">
            <v>5</v>
          </cell>
          <cell r="W411" t="b">
            <v>1</v>
          </cell>
        </row>
        <row r="412">
          <cell r="C412" t="str">
            <v>WJMPTM02005</v>
          </cell>
          <cell r="D412">
            <v>250</v>
          </cell>
          <cell r="E412">
            <v>40312</v>
          </cell>
          <cell r="F412">
            <v>40316</v>
          </cell>
          <cell r="G412">
            <v>254</v>
          </cell>
          <cell r="H412">
            <v>56</v>
          </cell>
          <cell r="I412">
            <v>5</v>
          </cell>
          <cell r="J412">
            <v>1.97</v>
          </cell>
          <cell r="S412">
            <v>1</v>
          </cell>
          <cell r="T412">
            <v>4</v>
          </cell>
          <cell r="U412" t="str">
            <v>MSH</v>
          </cell>
          <cell r="V412">
            <v>5</v>
          </cell>
          <cell r="W412" t="b">
            <v>1</v>
          </cell>
        </row>
        <row r="413">
          <cell r="C413" t="str">
            <v>WJMPTM02046</v>
          </cell>
          <cell r="D413">
            <v>400</v>
          </cell>
          <cell r="E413">
            <v>40312</v>
          </cell>
          <cell r="F413">
            <v>40316</v>
          </cell>
          <cell r="G413">
            <v>364</v>
          </cell>
          <cell r="H413">
            <v>71</v>
          </cell>
          <cell r="I413">
            <v>10</v>
          </cell>
          <cell r="J413">
            <v>2.75</v>
          </cell>
          <cell r="S413">
            <v>3</v>
          </cell>
          <cell r="T413">
            <v>7</v>
          </cell>
          <cell r="U413" t="str">
            <v>MSH</v>
          </cell>
          <cell r="V413">
            <v>10</v>
          </cell>
          <cell r="W413" t="b">
            <v>1</v>
          </cell>
        </row>
        <row r="414">
          <cell r="C414" t="str">
            <v>WJMPTM03025</v>
          </cell>
          <cell r="D414">
            <v>250</v>
          </cell>
          <cell r="E414">
            <v>40267</v>
          </cell>
          <cell r="F414">
            <v>40267</v>
          </cell>
          <cell r="G414">
            <v>226</v>
          </cell>
          <cell r="H414">
            <v>95</v>
          </cell>
          <cell r="I414">
            <v>13</v>
          </cell>
          <cell r="J414">
            <v>5.75</v>
          </cell>
          <cell r="M414">
            <v>1</v>
          </cell>
          <cell r="O414">
            <v>1</v>
          </cell>
          <cell r="Q414">
            <v>1</v>
          </cell>
          <cell r="R414">
            <v>1</v>
          </cell>
          <cell r="S414">
            <v>4</v>
          </cell>
          <cell r="T414">
            <v>5</v>
          </cell>
          <cell r="U414" t="str">
            <v>MSH</v>
          </cell>
          <cell r="V414">
            <v>13</v>
          </cell>
          <cell r="W414" t="b">
            <v>1</v>
          </cell>
        </row>
        <row r="415">
          <cell r="C415" t="str">
            <v>WJMPTM03046</v>
          </cell>
          <cell r="D415">
            <v>250</v>
          </cell>
          <cell r="E415">
            <v>40267</v>
          </cell>
          <cell r="F415">
            <v>40267</v>
          </cell>
          <cell r="G415">
            <v>230</v>
          </cell>
          <cell r="H415">
            <v>129</v>
          </cell>
          <cell r="I415">
            <v>50</v>
          </cell>
          <cell r="J415">
            <v>21.74</v>
          </cell>
          <cell r="L415">
            <v>2</v>
          </cell>
          <cell r="M415">
            <v>4</v>
          </cell>
          <cell r="N415">
            <v>5</v>
          </cell>
          <cell r="O415">
            <v>3</v>
          </cell>
          <cell r="P415">
            <v>5</v>
          </cell>
          <cell r="Q415">
            <v>11</v>
          </cell>
          <cell r="R415">
            <v>4</v>
          </cell>
          <cell r="S415">
            <v>7</v>
          </cell>
          <cell r="T415">
            <v>9</v>
          </cell>
          <cell r="U415" t="str">
            <v>MSH</v>
          </cell>
          <cell r="V415">
            <v>50</v>
          </cell>
          <cell r="W415" t="b">
            <v>1</v>
          </cell>
        </row>
        <row r="416">
          <cell r="C416" t="str">
            <v>WJMPTM04007</v>
          </cell>
          <cell r="D416">
            <v>400</v>
          </cell>
          <cell r="E416">
            <v>40260</v>
          </cell>
          <cell r="F416">
            <v>40260</v>
          </cell>
          <cell r="G416">
            <v>400</v>
          </cell>
          <cell r="H416">
            <v>150</v>
          </cell>
          <cell r="I416">
            <v>24</v>
          </cell>
          <cell r="J416">
            <v>6</v>
          </cell>
          <cell r="K416">
            <v>4</v>
          </cell>
          <cell r="M416">
            <v>1</v>
          </cell>
          <cell r="N416">
            <v>1</v>
          </cell>
          <cell r="O416">
            <v>1</v>
          </cell>
          <cell r="Q416">
            <v>1</v>
          </cell>
          <cell r="R416">
            <v>5</v>
          </cell>
          <cell r="S416">
            <v>7</v>
          </cell>
          <cell r="T416">
            <v>4</v>
          </cell>
          <cell r="U416" t="str">
            <v>MSH</v>
          </cell>
          <cell r="V416">
            <v>24</v>
          </cell>
          <cell r="W416" t="b">
            <v>1</v>
          </cell>
        </row>
        <row r="417">
          <cell r="C417" t="str">
            <v>WJMPTM04014</v>
          </cell>
          <cell r="D417">
            <v>250</v>
          </cell>
          <cell r="E417">
            <v>40260</v>
          </cell>
          <cell r="F417">
            <v>40260</v>
          </cell>
          <cell r="G417">
            <v>250</v>
          </cell>
          <cell r="H417">
            <v>144</v>
          </cell>
          <cell r="I417">
            <v>40</v>
          </cell>
          <cell r="J417">
            <v>16</v>
          </cell>
          <cell r="K417">
            <v>4</v>
          </cell>
          <cell r="M417">
            <v>1</v>
          </cell>
          <cell r="N417">
            <v>1</v>
          </cell>
          <cell r="O417">
            <v>3</v>
          </cell>
          <cell r="P417">
            <v>1</v>
          </cell>
          <cell r="Q417">
            <v>6</v>
          </cell>
          <cell r="R417">
            <v>6</v>
          </cell>
          <cell r="S417">
            <v>4</v>
          </cell>
          <cell r="T417">
            <v>14</v>
          </cell>
          <cell r="U417" t="str">
            <v>MSH</v>
          </cell>
          <cell r="V417">
            <v>40</v>
          </cell>
          <cell r="W417" t="b">
            <v>1</v>
          </cell>
        </row>
        <row r="418">
          <cell r="C418" t="str">
            <v>WJMPTM05007</v>
          </cell>
          <cell r="D418">
            <v>400</v>
          </cell>
          <cell r="E418">
            <v>40275</v>
          </cell>
          <cell r="F418">
            <v>40281</v>
          </cell>
          <cell r="G418">
            <v>385</v>
          </cell>
          <cell r="H418">
            <v>123</v>
          </cell>
          <cell r="I418">
            <v>8</v>
          </cell>
          <cell r="J418">
            <v>2.08</v>
          </cell>
          <cell r="P418">
            <v>1</v>
          </cell>
          <cell r="Q418">
            <v>1</v>
          </cell>
          <cell r="S418">
            <v>4</v>
          </cell>
          <cell r="T418">
            <v>2</v>
          </cell>
          <cell r="U418" t="str">
            <v>MSH</v>
          </cell>
          <cell r="V418">
            <v>8</v>
          </cell>
          <cell r="W418" t="b">
            <v>1</v>
          </cell>
        </row>
        <row r="419">
          <cell r="C419" t="str">
            <v>WJMPTM05075</v>
          </cell>
          <cell r="D419">
            <v>250</v>
          </cell>
          <cell r="E419">
            <v>40275</v>
          </cell>
          <cell r="F419">
            <v>40281</v>
          </cell>
          <cell r="G419">
            <v>255</v>
          </cell>
          <cell r="H419">
            <v>98</v>
          </cell>
          <cell r="I419">
            <v>15</v>
          </cell>
          <cell r="J419">
            <v>5.88</v>
          </cell>
          <cell r="O419">
            <v>1</v>
          </cell>
          <cell r="Q419">
            <v>2</v>
          </cell>
          <cell r="S419">
            <v>6</v>
          </cell>
          <cell r="T419">
            <v>6</v>
          </cell>
          <cell r="U419" t="str">
            <v>MSH</v>
          </cell>
          <cell r="V419">
            <v>15</v>
          </cell>
          <cell r="W419" t="b">
            <v>1</v>
          </cell>
        </row>
        <row r="420">
          <cell r="C420" t="str">
            <v>WJMPTM06007</v>
          </cell>
          <cell r="D420">
            <v>400</v>
          </cell>
          <cell r="E420">
            <v>40266</v>
          </cell>
          <cell r="F420">
            <v>40268</v>
          </cell>
          <cell r="G420">
            <v>361</v>
          </cell>
          <cell r="H420">
            <v>125</v>
          </cell>
          <cell r="I420">
            <v>8</v>
          </cell>
          <cell r="J420">
            <v>2.2200000000000002</v>
          </cell>
          <cell r="M420">
            <v>1</v>
          </cell>
          <cell r="N420">
            <v>2</v>
          </cell>
          <cell r="Q420">
            <v>1</v>
          </cell>
          <cell r="R420">
            <v>1</v>
          </cell>
          <cell r="S420">
            <v>1</v>
          </cell>
          <cell r="T420">
            <v>2</v>
          </cell>
          <cell r="U420" t="str">
            <v>MSH</v>
          </cell>
          <cell r="V420">
            <v>8</v>
          </cell>
          <cell r="W420" t="b">
            <v>1</v>
          </cell>
        </row>
        <row r="421">
          <cell r="C421" t="str">
            <v>WJMPTM06046</v>
          </cell>
          <cell r="D421">
            <v>250</v>
          </cell>
          <cell r="E421">
            <v>40266</v>
          </cell>
          <cell r="F421">
            <v>40268</v>
          </cell>
          <cell r="G421">
            <v>223</v>
          </cell>
          <cell r="H421">
            <v>83</v>
          </cell>
          <cell r="I421">
            <v>3</v>
          </cell>
          <cell r="J421">
            <v>1.35</v>
          </cell>
          <cell r="P421">
            <v>1</v>
          </cell>
          <cell r="R421">
            <v>1</v>
          </cell>
          <cell r="S421">
            <v>1</v>
          </cell>
          <cell r="U421" t="str">
            <v>MST</v>
          </cell>
          <cell r="V421">
            <v>3</v>
          </cell>
          <cell r="W421" t="b">
            <v>1</v>
          </cell>
        </row>
        <row r="422">
          <cell r="C422" t="str">
            <v>WJMPTM07005</v>
          </cell>
          <cell r="D422">
            <v>250</v>
          </cell>
          <cell r="E422">
            <v>40273</v>
          </cell>
          <cell r="F422">
            <v>40281</v>
          </cell>
          <cell r="G422">
            <v>228</v>
          </cell>
          <cell r="H422">
            <v>74</v>
          </cell>
          <cell r="U422" t="str">
            <v>MTP</v>
          </cell>
          <cell r="V422">
            <v>0</v>
          </cell>
          <cell r="W422" t="b">
            <v>1</v>
          </cell>
        </row>
        <row r="423">
          <cell r="C423" t="str">
            <v>WJMPTM07007</v>
          </cell>
          <cell r="D423">
            <v>250</v>
          </cell>
          <cell r="E423">
            <v>40273</v>
          </cell>
          <cell r="F423">
            <v>40281</v>
          </cell>
          <cell r="G423">
            <v>236</v>
          </cell>
          <cell r="H423">
            <v>82</v>
          </cell>
          <cell r="I423">
            <v>2</v>
          </cell>
          <cell r="J423">
            <v>0.85</v>
          </cell>
          <cell r="O423">
            <v>1</v>
          </cell>
          <cell r="Q423">
            <v>1</v>
          </cell>
          <cell r="U423" t="str">
            <v>MTP</v>
          </cell>
          <cell r="V423">
            <v>2</v>
          </cell>
          <cell r="W423" t="b">
            <v>1</v>
          </cell>
        </row>
        <row r="424">
          <cell r="C424" t="str">
            <v>WJMPTM21002</v>
          </cell>
          <cell r="D424">
            <v>250</v>
          </cell>
          <cell r="E424">
            <v>40261</v>
          </cell>
          <cell r="F424">
            <v>40261</v>
          </cell>
          <cell r="G424">
            <v>227</v>
          </cell>
          <cell r="H424">
            <v>44</v>
          </cell>
          <cell r="I424">
            <v>5</v>
          </cell>
          <cell r="J424">
            <v>2.2000000000000002</v>
          </cell>
          <cell r="O424">
            <v>1</v>
          </cell>
          <cell r="Q424">
            <v>2</v>
          </cell>
          <cell r="T424">
            <v>2</v>
          </cell>
          <cell r="U424" t="str">
            <v>MTP</v>
          </cell>
          <cell r="V424">
            <v>5</v>
          </cell>
          <cell r="W424" t="b">
            <v>1</v>
          </cell>
        </row>
        <row r="425">
          <cell r="C425" t="str">
            <v>WJMPTM21046</v>
          </cell>
          <cell r="D425">
            <v>350</v>
          </cell>
          <cell r="E425">
            <v>40261</v>
          </cell>
          <cell r="F425">
            <v>40261</v>
          </cell>
          <cell r="G425">
            <v>327</v>
          </cell>
          <cell r="H425">
            <v>105</v>
          </cell>
          <cell r="I425">
            <v>13</v>
          </cell>
          <cell r="J425">
            <v>3.98</v>
          </cell>
          <cell r="K425">
            <v>4</v>
          </cell>
          <cell r="L425">
            <v>1</v>
          </cell>
          <cell r="N425">
            <v>1</v>
          </cell>
          <cell r="O425">
            <v>3</v>
          </cell>
          <cell r="P425">
            <v>2</v>
          </cell>
          <cell r="R425">
            <v>2</v>
          </cell>
          <cell r="U425" t="str">
            <v>MTP</v>
          </cell>
          <cell r="V425">
            <v>13</v>
          </cell>
          <cell r="W425" t="b">
            <v>1</v>
          </cell>
        </row>
        <row r="426">
          <cell r="C426" t="str">
            <v>WJMPTM22016</v>
          </cell>
          <cell r="D426">
            <v>250</v>
          </cell>
          <cell r="E426">
            <v>40260</v>
          </cell>
          <cell r="F426">
            <v>40261</v>
          </cell>
          <cell r="G426">
            <v>234</v>
          </cell>
          <cell r="H426">
            <v>101</v>
          </cell>
          <cell r="I426">
            <v>11</v>
          </cell>
          <cell r="J426">
            <v>4.7</v>
          </cell>
          <cell r="K426">
            <v>2</v>
          </cell>
          <cell r="L426">
            <v>1</v>
          </cell>
          <cell r="M426">
            <v>1</v>
          </cell>
          <cell r="N426">
            <v>2</v>
          </cell>
          <cell r="O426">
            <v>1</v>
          </cell>
          <cell r="P426">
            <v>1</v>
          </cell>
          <cell r="Q426">
            <v>1</v>
          </cell>
          <cell r="R426">
            <v>3</v>
          </cell>
          <cell r="S426">
            <v>-1</v>
          </cell>
          <cell r="U426" t="str">
            <v>MTP</v>
          </cell>
          <cell r="V426">
            <v>11</v>
          </cell>
          <cell r="W426" t="b">
            <v>1</v>
          </cell>
        </row>
        <row r="427">
          <cell r="C427" t="str">
            <v>WJMPTM22035</v>
          </cell>
          <cell r="D427">
            <v>250</v>
          </cell>
          <cell r="E427">
            <v>40260</v>
          </cell>
          <cell r="F427">
            <v>40261</v>
          </cell>
          <cell r="G427">
            <v>235</v>
          </cell>
          <cell r="H427">
            <v>121</v>
          </cell>
          <cell r="I427">
            <v>14</v>
          </cell>
          <cell r="J427">
            <v>5.96</v>
          </cell>
          <cell r="K427">
            <v>2</v>
          </cell>
          <cell r="M427">
            <v>1</v>
          </cell>
          <cell r="N427">
            <v>1</v>
          </cell>
          <cell r="O427">
            <v>3</v>
          </cell>
          <cell r="P427">
            <v>2</v>
          </cell>
          <cell r="Q427">
            <v>1</v>
          </cell>
          <cell r="R427">
            <v>2</v>
          </cell>
          <cell r="S427">
            <v>3</v>
          </cell>
          <cell r="T427">
            <v>-1</v>
          </cell>
          <cell r="U427" t="str">
            <v>MTS</v>
          </cell>
          <cell r="V427">
            <v>14</v>
          </cell>
          <cell r="W427" t="b">
            <v>1</v>
          </cell>
        </row>
        <row r="428">
          <cell r="C428" t="str">
            <v>WJMPTM23007</v>
          </cell>
          <cell r="D428">
            <v>250</v>
          </cell>
          <cell r="E428">
            <v>40298</v>
          </cell>
          <cell r="F428">
            <v>40301</v>
          </cell>
          <cell r="G428">
            <v>250</v>
          </cell>
          <cell r="H428">
            <v>50</v>
          </cell>
          <cell r="I428">
            <v>7</v>
          </cell>
          <cell r="J428">
            <v>2.8</v>
          </cell>
          <cell r="Q428">
            <v>1</v>
          </cell>
          <cell r="S428">
            <v>1</v>
          </cell>
          <cell r="T428">
            <v>5</v>
          </cell>
          <cell r="U428" t="str">
            <v>MTS</v>
          </cell>
          <cell r="V428">
            <v>7</v>
          </cell>
          <cell r="W428" t="b">
            <v>1</v>
          </cell>
        </row>
        <row r="429">
          <cell r="C429" t="str">
            <v>WJMPTM23016</v>
          </cell>
          <cell r="D429">
            <v>250</v>
          </cell>
          <cell r="E429">
            <v>40298</v>
          </cell>
          <cell r="F429">
            <v>40301</v>
          </cell>
          <cell r="G429">
            <v>250</v>
          </cell>
          <cell r="H429">
            <v>48</v>
          </cell>
          <cell r="I429">
            <v>3</v>
          </cell>
          <cell r="J429">
            <v>1.2</v>
          </cell>
          <cell r="R429">
            <v>1</v>
          </cell>
          <cell r="S429">
            <v>2</v>
          </cell>
          <cell r="U429" t="str">
            <v>MTS</v>
          </cell>
          <cell r="V429">
            <v>3</v>
          </cell>
          <cell r="W429" t="b">
            <v>1</v>
          </cell>
        </row>
        <row r="430">
          <cell r="C430" t="str">
            <v>WJMPTM24015</v>
          </cell>
          <cell r="D430">
            <v>250</v>
          </cell>
          <cell r="E430">
            <v>40284</v>
          </cell>
          <cell r="F430">
            <v>40288</v>
          </cell>
          <cell r="G430">
            <v>249</v>
          </cell>
          <cell r="H430">
            <v>53</v>
          </cell>
          <cell r="I430">
            <v>3</v>
          </cell>
          <cell r="J430">
            <v>1.2</v>
          </cell>
          <cell r="O430">
            <v>1</v>
          </cell>
          <cell r="S430">
            <v>1</v>
          </cell>
          <cell r="T430">
            <v>1</v>
          </cell>
          <cell r="U430" t="str">
            <v>MTS</v>
          </cell>
          <cell r="V430">
            <v>3</v>
          </cell>
          <cell r="W430" t="b">
            <v>1</v>
          </cell>
        </row>
        <row r="431">
          <cell r="C431" t="str">
            <v>WJMPTM24060</v>
          </cell>
          <cell r="D431">
            <v>250</v>
          </cell>
          <cell r="E431">
            <v>40284</v>
          </cell>
          <cell r="F431">
            <v>40288</v>
          </cell>
          <cell r="G431">
            <v>236</v>
          </cell>
          <cell r="H431">
            <v>45</v>
          </cell>
          <cell r="U431" t="str">
            <v>MTS</v>
          </cell>
          <cell r="V431">
            <v>0</v>
          </cell>
          <cell r="W431" t="b">
            <v>1</v>
          </cell>
        </row>
        <row r="432">
          <cell r="C432" t="str">
            <v>WJMPTM25027</v>
          </cell>
          <cell r="D432">
            <v>250</v>
          </cell>
          <cell r="E432">
            <v>40283</v>
          </cell>
          <cell r="F432">
            <v>40288</v>
          </cell>
          <cell r="G432">
            <v>250</v>
          </cell>
          <cell r="H432">
            <v>45</v>
          </cell>
          <cell r="U432" t="str">
            <v>MTS</v>
          </cell>
          <cell r="V432">
            <v>0</v>
          </cell>
          <cell r="W432" t="b">
            <v>1</v>
          </cell>
        </row>
        <row r="433">
          <cell r="C433" t="str">
            <v>WJMPTM25046</v>
          </cell>
          <cell r="D433">
            <v>250</v>
          </cell>
          <cell r="E433">
            <v>40283</v>
          </cell>
          <cell r="F433">
            <v>40288</v>
          </cell>
          <cell r="G433">
            <v>250</v>
          </cell>
          <cell r="H433">
            <v>45</v>
          </cell>
          <cell r="U433" t="str">
            <v>MTS</v>
          </cell>
          <cell r="V433">
            <v>0</v>
          </cell>
          <cell r="W433" t="b">
            <v>1</v>
          </cell>
        </row>
        <row r="434">
          <cell r="C434" t="str">
            <v>WJMPTM26003</v>
          </cell>
          <cell r="D434">
            <v>250</v>
          </cell>
          <cell r="E434">
            <v>40298</v>
          </cell>
          <cell r="F434">
            <v>40301</v>
          </cell>
          <cell r="U434" t="str">
            <v>MTS</v>
          </cell>
          <cell r="V434">
            <v>0</v>
          </cell>
          <cell r="W434" t="b">
            <v>1</v>
          </cell>
        </row>
        <row r="435">
          <cell r="C435" t="str">
            <v>WJMPTM26013</v>
          </cell>
          <cell r="D435">
            <v>250</v>
          </cell>
          <cell r="E435">
            <v>40298</v>
          </cell>
          <cell r="F435">
            <v>40301</v>
          </cell>
          <cell r="G435">
            <v>245</v>
          </cell>
          <cell r="H435">
            <v>45</v>
          </cell>
          <cell r="U435" t="str">
            <v>MTS</v>
          </cell>
          <cell r="V435">
            <v>0</v>
          </cell>
          <cell r="W435" t="b">
            <v>1</v>
          </cell>
        </row>
        <row r="436">
          <cell r="C436" t="str">
            <v>WJMPTM26016</v>
          </cell>
          <cell r="D436">
            <v>250</v>
          </cell>
          <cell r="E436">
            <v>40298</v>
          </cell>
          <cell r="F436">
            <v>40301</v>
          </cell>
          <cell r="G436">
            <v>245</v>
          </cell>
          <cell r="H436">
            <v>45</v>
          </cell>
          <cell r="I436">
            <v>1</v>
          </cell>
          <cell r="J436">
            <v>0.41</v>
          </cell>
          <cell r="S436">
            <v>1</v>
          </cell>
          <cell r="U436" t="str">
            <v>MTS</v>
          </cell>
          <cell r="V436">
            <v>1</v>
          </cell>
          <cell r="W436" t="b">
            <v>1</v>
          </cell>
        </row>
        <row r="437">
          <cell r="C437" t="str">
            <v>WJMPTM30007</v>
          </cell>
          <cell r="D437">
            <v>150</v>
          </cell>
          <cell r="E437">
            <v>40267</v>
          </cell>
          <cell r="F437">
            <v>40267</v>
          </cell>
          <cell r="G437">
            <v>139</v>
          </cell>
          <cell r="H437">
            <v>38</v>
          </cell>
          <cell r="I437">
            <v>2</v>
          </cell>
          <cell r="J437">
            <v>1.44</v>
          </cell>
          <cell r="T437">
            <v>2</v>
          </cell>
          <cell r="U437" t="str">
            <v>MTS</v>
          </cell>
          <cell r="V437">
            <v>2</v>
          </cell>
          <cell r="W437" t="b">
            <v>1</v>
          </cell>
        </row>
        <row r="438">
          <cell r="C438" t="str">
            <v>WJMPTM31007</v>
          </cell>
          <cell r="D438">
            <v>150</v>
          </cell>
          <cell r="E438">
            <v>40262</v>
          </cell>
          <cell r="F438">
            <v>40262</v>
          </cell>
          <cell r="G438">
            <v>143</v>
          </cell>
          <cell r="H438">
            <v>55</v>
          </cell>
          <cell r="I438">
            <v>1</v>
          </cell>
          <cell r="J438">
            <v>0.7</v>
          </cell>
          <cell r="T438">
            <v>1</v>
          </cell>
          <cell r="U438" t="str">
            <v>MTS</v>
          </cell>
          <cell r="V438">
            <v>1</v>
          </cell>
          <cell r="W438" t="b">
            <v>1</v>
          </cell>
        </row>
        <row r="439">
          <cell r="C439" t="str">
            <v>WJMPTM51007</v>
          </cell>
          <cell r="D439">
            <v>200</v>
          </cell>
          <cell r="E439">
            <v>40255</v>
          </cell>
          <cell r="F439">
            <v>40260</v>
          </cell>
          <cell r="G439">
            <v>197</v>
          </cell>
          <cell r="H439">
            <v>86</v>
          </cell>
          <cell r="I439">
            <v>9</v>
          </cell>
          <cell r="J439">
            <v>4.57</v>
          </cell>
          <cell r="K439">
            <v>3</v>
          </cell>
          <cell r="N439">
            <v>1</v>
          </cell>
          <cell r="Q439">
            <v>2</v>
          </cell>
          <cell r="R439">
            <v>1</v>
          </cell>
          <cell r="S439">
            <v>1</v>
          </cell>
          <cell r="T439">
            <v>1</v>
          </cell>
          <cell r="U439" t="str">
            <v>MTS</v>
          </cell>
          <cell r="V439">
            <v>9</v>
          </cell>
          <cell r="W439" t="b">
            <v>1</v>
          </cell>
        </row>
        <row r="440">
          <cell r="C440" t="str">
            <v>WJMPTM51077</v>
          </cell>
          <cell r="D440">
            <v>200</v>
          </cell>
          <cell r="E440">
            <v>40255</v>
          </cell>
          <cell r="F440">
            <v>40260</v>
          </cell>
          <cell r="G440">
            <v>188</v>
          </cell>
          <cell r="H440">
            <v>81</v>
          </cell>
          <cell r="I440">
            <v>9</v>
          </cell>
          <cell r="J440">
            <v>4.79</v>
          </cell>
          <cell r="K440">
            <v>2</v>
          </cell>
          <cell r="M440">
            <v>2</v>
          </cell>
          <cell r="N440">
            <v>1</v>
          </cell>
          <cell r="O440">
            <v>1</v>
          </cell>
          <cell r="P440">
            <v>-1</v>
          </cell>
          <cell r="R440">
            <v>2</v>
          </cell>
          <cell r="S440">
            <v>1</v>
          </cell>
          <cell r="T440">
            <v>1</v>
          </cell>
          <cell r="U440" t="str">
            <v>MTS</v>
          </cell>
          <cell r="V440">
            <v>9</v>
          </cell>
          <cell r="W440" t="b">
            <v>1</v>
          </cell>
        </row>
        <row r="441">
          <cell r="C441" t="str">
            <v>WJMPTM52007</v>
          </cell>
          <cell r="D441">
            <v>200</v>
          </cell>
          <cell r="E441">
            <v>40260</v>
          </cell>
          <cell r="F441">
            <v>40260</v>
          </cell>
          <cell r="G441">
            <v>190</v>
          </cell>
          <cell r="H441">
            <v>85</v>
          </cell>
          <cell r="I441">
            <v>7</v>
          </cell>
          <cell r="J441">
            <v>3.68</v>
          </cell>
          <cell r="K441">
            <v>3</v>
          </cell>
          <cell r="O441">
            <v>1</v>
          </cell>
          <cell r="P441">
            <v>1</v>
          </cell>
          <cell r="Q441">
            <v>1</v>
          </cell>
          <cell r="T441">
            <v>1</v>
          </cell>
          <cell r="U441" t="str">
            <v>MTS</v>
          </cell>
          <cell r="V441">
            <v>7</v>
          </cell>
          <cell r="W441" t="b">
            <v>1</v>
          </cell>
        </row>
        <row r="442">
          <cell r="C442" t="str">
            <v>WJMPTM52076</v>
          </cell>
          <cell r="D442">
            <v>200</v>
          </cell>
          <cell r="E442">
            <v>40260</v>
          </cell>
          <cell r="F442">
            <v>40260</v>
          </cell>
          <cell r="G442">
            <v>183</v>
          </cell>
          <cell r="H442">
            <v>71</v>
          </cell>
          <cell r="I442">
            <v>3</v>
          </cell>
          <cell r="J442">
            <v>1.64</v>
          </cell>
          <cell r="K442">
            <v>2</v>
          </cell>
          <cell r="M442">
            <v>-1</v>
          </cell>
          <cell r="N442">
            <v>1</v>
          </cell>
          <cell r="R442">
            <v>1</v>
          </cell>
          <cell r="U442" t="str">
            <v>MTS</v>
          </cell>
          <cell r="V442">
            <v>3</v>
          </cell>
          <cell r="W442" t="b">
            <v>1</v>
          </cell>
        </row>
        <row r="443">
          <cell r="C443" t="str">
            <v>WJMPTP71001</v>
          </cell>
          <cell r="D443">
            <v>300</v>
          </cell>
          <cell r="E443">
            <v>40271</v>
          </cell>
          <cell r="F443">
            <v>40273</v>
          </cell>
          <cell r="G443">
            <v>289</v>
          </cell>
          <cell r="H443">
            <v>83</v>
          </cell>
          <cell r="I443">
            <v>3</v>
          </cell>
          <cell r="J443">
            <v>1.04</v>
          </cell>
          <cell r="Q443">
            <v>2</v>
          </cell>
          <cell r="R443">
            <v>-1</v>
          </cell>
          <cell r="T443">
            <v>2</v>
          </cell>
          <cell r="U443" t="str">
            <v>MTS</v>
          </cell>
          <cell r="V443">
            <v>3</v>
          </cell>
          <cell r="W443" t="b">
            <v>1</v>
          </cell>
        </row>
        <row r="444">
          <cell r="C444" t="str">
            <v>WJMPTP71007</v>
          </cell>
          <cell r="D444">
            <v>800</v>
          </cell>
          <cell r="E444">
            <v>40271</v>
          </cell>
          <cell r="F444">
            <v>40273</v>
          </cell>
          <cell r="G444">
            <v>763</v>
          </cell>
          <cell r="H444">
            <v>172</v>
          </cell>
          <cell r="I444">
            <v>7</v>
          </cell>
          <cell r="J444">
            <v>0.92</v>
          </cell>
          <cell r="Q444">
            <v>2</v>
          </cell>
          <cell r="S444">
            <v>3</v>
          </cell>
          <cell r="T444">
            <v>2</v>
          </cell>
          <cell r="U444" t="str">
            <v>MTS</v>
          </cell>
          <cell r="V444">
            <v>7</v>
          </cell>
          <cell r="W444" t="b">
            <v>1</v>
          </cell>
        </row>
        <row r="445">
          <cell r="C445" t="str">
            <v>WJMPTP71034</v>
          </cell>
          <cell r="D445">
            <v>200</v>
          </cell>
          <cell r="E445">
            <v>40271</v>
          </cell>
          <cell r="F445">
            <v>40273</v>
          </cell>
          <cell r="G445">
            <v>173</v>
          </cell>
          <cell r="H445">
            <v>74</v>
          </cell>
          <cell r="I445">
            <v>4</v>
          </cell>
          <cell r="J445">
            <v>2.31</v>
          </cell>
          <cell r="P445">
            <v>1</v>
          </cell>
          <cell r="R445">
            <v>1</v>
          </cell>
          <cell r="S445">
            <v>1</v>
          </cell>
          <cell r="T445">
            <v>1</v>
          </cell>
          <cell r="U445" t="str">
            <v>MTS</v>
          </cell>
          <cell r="V445">
            <v>4</v>
          </cell>
          <cell r="W445" t="b">
            <v>1</v>
          </cell>
        </row>
        <row r="446">
          <cell r="C446" t="str">
            <v>WJMPTS22006</v>
          </cell>
          <cell r="D446">
            <v>200</v>
          </cell>
          <cell r="E446">
            <v>40327</v>
          </cell>
          <cell r="G446">
            <v>200</v>
          </cell>
          <cell r="U446" t="str">
            <v>MTS</v>
          </cell>
          <cell r="V446">
            <v>0</v>
          </cell>
          <cell r="W446" t="b">
            <v>1</v>
          </cell>
        </row>
        <row r="447">
          <cell r="C447" t="str">
            <v>WJMSHM31014</v>
          </cell>
          <cell r="D447">
            <v>204</v>
          </cell>
          <cell r="E447">
            <v>40259</v>
          </cell>
          <cell r="F447">
            <v>40260</v>
          </cell>
          <cell r="G447">
            <v>204</v>
          </cell>
          <cell r="H447">
            <v>80</v>
          </cell>
          <cell r="I447">
            <v>2</v>
          </cell>
          <cell r="J447">
            <v>0.98</v>
          </cell>
          <cell r="K447">
            <v>1</v>
          </cell>
          <cell r="T447">
            <v>1</v>
          </cell>
          <cell r="U447" t="str">
            <v>MTS</v>
          </cell>
          <cell r="V447">
            <v>2</v>
          </cell>
          <cell r="W447" t="b">
            <v>1</v>
          </cell>
        </row>
        <row r="448">
          <cell r="C448" t="str">
            <v>WJMSHM31043</v>
          </cell>
          <cell r="D448">
            <v>204</v>
          </cell>
          <cell r="E448">
            <v>40259</v>
          </cell>
          <cell r="F448">
            <v>40260</v>
          </cell>
          <cell r="G448">
            <v>204</v>
          </cell>
          <cell r="H448">
            <v>84</v>
          </cell>
          <cell r="I448">
            <v>7</v>
          </cell>
          <cell r="J448">
            <v>3.43</v>
          </cell>
          <cell r="M448">
            <v>1</v>
          </cell>
          <cell r="O448">
            <v>1</v>
          </cell>
          <cell r="Q448">
            <v>1</v>
          </cell>
          <cell r="S448">
            <v>3</v>
          </cell>
          <cell r="T448">
            <v>1</v>
          </cell>
          <cell r="U448" t="str">
            <v>MTS</v>
          </cell>
          <cell r="V448">
            <v>7</v>
          </cell>
          <cell r="W448" t="b">
            <v>1</v>
          </cell>
        </row>
        <row r="449">
          <cell r="C449" t="str">
            <v>WJMSHM32007</v>
          </cell>
          <cell r="D449">
            <v>300</v>
          </cell>
          <cell r="E449">
            <v>40259</v>
          </cell>
          <cell r="F449">
            <v>40260</v>
          </cell>
          <cell r="G449">
            <v>300</v>
          </cell>
          <cell r="H449">
            <v>124</v>
          </cell>
          <cell r="I449">
            <v>3</v>
          </cell>
          <cell r="J449">
            <v>1</v>
          </cell>
          <cell r="Q449">
            <v>1</v>
          </cell>
          <cell r="S449">
            <v>2</v>
          </cell>
          <cell r="U449" t="str">
            <v>MTS</v>
          </cell>
          <cell r="V449">
            <v>3</v>
          </cell>
          <cell r="W449" t="b">
            <v>1</v>
          </cell>
        </row>
        <row r="450">
          <cell r="C450" t="str">
            <v>WJMSHM32024</v>
          </cell>
          <cell r="D450">
            <v>300</v>
          </cell>
          <cell r="E450">
            <v>40259</v>
          </cell>
          <cell r="F450">
            <v>40260</v>
          </cell>
          <cell r="G450">
            <v>300</v>
          </cell>
          <cell r="H450">
            <v>129</v>
          </cell>
          <cell r="I450">
            <v>11</v>
          </cell>
          <cell r="J450">
            <v>3.67</v>
          </cell>
          <cell r="M450">
            <v>1</v>
          </cell>
          <cell r="N450">
            <v>1</v>
          </cell>
          <cell r="O450">
            <v>1</v>
          </cell>
          <cell r="P450">
            <v>2</v>
          </cell>
          <cell r="Q450">
            <v>1</v>
          </cell>
          <cell r="R450">
            <v>1</v>
          </cell>
          <cell r="T450">
            <v>4</v>
          </cell>
          <cell r="U450" t="str">
            <v>MTS</v>
          </cell>
          <cell r="V450">
            <v>11</v>
          </cell>
          <cell r="W450" t="b">
            <v>1</v>
          </cell>
        </row>
        <row r="451">
          <cell r="C451" t="str">
            <v>WJMSHM32041</v>
          </cell>
          <cell r="D451">
            <v>300</v>
          </cell>
          <cell r="E451">
            <v>40259</v>
          </cell>
          <cell r="F451">
            <v>40260</v>
          </cell>
          <cell r="G451">
            <v>300</v>
          </cell>
          <cell r="H451">
            <v>121</v>
          </cell>
          <cell r="I451">
            <v>1</v>
          </cell>
          <cell r="J451">
            <v>0.33</v>
          </cell>
          <cell r="P451">
            <v>1</v>
          </cell>
          <cell r="U451" t="str">
            <v>MTS</v>
          </cell>
          <cell r="V451">
            <v>1</v>
          </cell>
          <cell r="W451" t="b">
            <v>1</v>
          </cell>
        </row>
        <row r="452">
          <cell r="C452" t="str">
            <v>WJMSHM33005</v>
          </cell>
          <cell r="D452">
            <v>192</v>
          </cell>
          <cell r="E452">
            <v>40259</v>
          </cell>
          <cell r="F452">
            <v>40260</v>
          </cell>
          <cell r="G452">
            <v>192</v>
          </cell>
          <cell r="H452">
            <v>93</v>
          </cell>
          <cell r="I452">
            <v>7</v>
          </cell>
          <cell r="J452">
            <v>3.65</v>
          </cell>
          <cell r="R452">
            <v>1</v>
          </cell>
          <cell r="S452">
            <v>1</v>
          </cell>
          <cell r="T452">
            <v>5</v>
          </cell>
          <cell r="U452" t="str">
            <v>MTS</v>
          </cell>
          <cell r="V452">
            <v>7</v>
          </cell>
          <cell r="W452" t="b">
            <v>1</v>
          </cell>
        </row>
        <row r="453">
          <cell r="C453" t="str">
            <v>WJMSHM33025</v>
          </cell>
          <cell r="D453">
            <v>192</v>
          </cell>
          <cell r="E453">
            <v>40259</v>
          </cell>
          <cell r="F453">
            <v>40260</v>
          </cell>
          <cell r="G453">
            <v>192</v>
          </cell>
          <cell r="H453">
            <v>90</v>
          </cell>
          <cell r="I453">
            <v>5</v>
          </cell>
          <cell r="J453">
            <v>2.6</v>
          </cell>
          <cell r="K453">
            <v>1</v>
          </cell>
          <cell r="M453">
            <v>1</v>
          </cell>
          <cell r="O453">
            <v>1</v>
          </cell>
          <cell r="P453">
            <v>-1</v>
          </cell>
          <cell r="R453">
            <v>2</v>
          </cell>
          <cell r="S453">
            <v>1</v>
          </cell>
          <cell r="U453" t="str">
            <v>MTS</v>
          </cell>
          <cell r="V453">
            <v>5</v>
          </cell>
          <cell r="W453" t="b">
            <v>1</v>
          </cell>
        </row>
        <row r="454">
          <cell r="C454" t="str">
            <v>WJMSHM34007</v>
          </cell>
          <cell r="D454">
            <v>92</v>
          </cell>
          <cell r="U454" t="str">
            <v>MTS</v>
          </cell>
          <cell r="V454">
            <v>0</v>
          </cell>
          <cell r="W454" t="b">
            <v>1</v>
          </cell>
        </row>
        <row r="455">
          <cell r="C455" t="str">
            <v>WJMSHM34034</v>
          </cell>
          <cell r="D455">
            <v>92</v>
          </cell>
          <cell r="U455" t="str">
            <v>MTS</v>
          </cell>
          <cell r="V455">
            <v>0</v>
          </cell>
          <cell r="W455" t="b">
            <v>1</v>
          </cell>
        </row>
        <row r="456">
          <cell r="C456" t="str">
            <v>WJMSHM35008</v>
          </cell>
          <cell r="D456">
            <v>192</v>
          </cell>
          <cell r="E456">
            <v>40259</v>
          </cell>
          <cell r="F456">
            <v>40260</v>
          </cell>
          <cell r="G456">
            <v>192</v>
          </cell>
          <cell r="H456">
            <v>85</v>
          </cell>
          <cell r="U456" t="str">
            <v>MTS</v>
          </cell>
          <cell r="V456">
            <v>0</v>
          </cell>
          <cell r="W456" t="b">
            <v>1</v>
          </cell>
        </row>
        <row r="457">
          <cell r="C457" t="str">
            <v>WJMSHM35054</v>
          </cell>
          <cell r="D457">
            <v>192</v>
          </cell>
          <cell r="E457">
            <v>40259</v>
          </cell>
          <cell r="F457">
            <v>40260</v>
          </cell>
          <cell r="G457">
            <v>192</v>
          </cell>
          <cell r="H457">
            <v>91</v>
          </cell>
          <cell r="I457">
            <v>6</v>
          </cell>
          <cell r="J457">
            <v>3.13</v>
          </cell>
          <cell r="P457">
            <v>1</v>
          </cell>
          <cell r="Q457">
            <v>2</v>
          </cell>
          <cell r="S457">
            <v>1</v>
          </cell>
          <cell r="T457">
            <v>2</v>
          </cell>
          <cell r="U457" t="str">
            <v>MTS</v>
          </cell>
          <cell r="V457">
            <v>6</v>
          </cell>
          <cell r="W457" t="b">
            <v>1</v>
          </cell>
        </row>
        <row r="458">
          <cell r="C458" t="str">
            <v>WJMSTM01046</v>
          </cell>
          <cell r="D458">
            <v>330</v>
          </cell>
          <cell r="E458">
            <v>40261</v>
          </cell>
          <cell r="F458">
            <v>40261</v>
          </cell>
          <cell r="G458">
            <v>288</v>
          </cell>
          <cell r="H458">
            <v>79</v>
          </cell>
          <cell r="I458">
            <v>18</v>
          </cell>
          <cell r="J458">
            <v>6.25</v>
          </cell>
          <cell r="K458">
            <v>4</v>
          </cell>
          <cell r="M458">
            <v>1</v>
          </cell>
          <cell r="O458">
            <v>1</v>
          </cell>
          <cell r="P458">
            <v>2</v>
          </cell>
          <cell r="Q458">
            <v>2</v>
          </cell>
          <cell r="R458">
            <v>4</v>
          </cell>
          <cell r="S458">
            <v>2</v>
          </cell>
          <cell r="T458">
            <v>2</v>
          </cell>
          <cell r="U458" t="str">
            <v>MTS</v>
          </cell>
          <cell r="V458">
            <v>18</v>
          </cell>
          <cell r="W458" t="b">
            <v>1</v>
          </cell>
        </row>
        <row r="459">
          <cell r="C459" t="str">
            <v>WJMTPM41011</v>
          </cell>
          <cell r="D459">
            <v>200</v>
          </cell>
          <cell r="E459">
            <v>40277</v>
          </cell>
          <cell r="F459">
            <v>40281</v>
          </cell>
          <cell r="G459">
            <v>202</v>
          </cell>
          <cell r="H459">
            <v>49</v>
          </cell>
          <cell r="U459" t="str">
            <v>MTS</v>
          </cell>
          <cell r="V459">
            <v>0</v>
          </cell>
          <cell r="W459" t="b">
            <v>1</v>
          </cell>
        </row>
        <row r="460">
          <cell r="C460" t="str">
            <v>WJMTPM41021</v>
          </cell>
          <cell r="D460">
            <v>200</v>
          </cell>
          <cell r="E460">
            <v>40277</v>
          </cell>
          <cell r="F460">
            <v>40281</v>
          </cell>
          <cell r="G460">
            <v>200</v>
          </cell>
          <cell r="H460">
            <v>48</v>
          </cell>
          <cell r="I460">
            <v>3</v>
          </cell>
          <cell r="J460">
            <v>1.5</v>
          </cell>
          <cell r="O460">
            <v>1</v>
          </cell>
          <cell r="Q460">
            <v>1</v>
          </cell>
          <cell r="S460">
            <v>1</v>
          </cell>
          <cell r="U460" t="str">
            <v>MTS</v>
          </cell>
          <cell r="V460">
            <v>3</v>
          </cell>
          <cell r="W460" t="b">
            <v>1</v>
          </cell>
        </row>
        <row r="461">
          <cell r="C461" t="str">
            <v>WJMTPM42043</v>
          </cell>
          <cell r="D461">
            <v>200</v>
          </cell>
          <cell r="E461">
            <v>40276</v>
          </cell>
          <cell r="F461">
            <v>40281</v>
          </cell>
          <cell r="G461">
            <v>185</v>
          </cell>
          <cell r="H461">
            <v>50</v>
          </cell>
          <cell r="I461">
            <v>3</v>
          </cell>
          <cell r="J461">
            <v>1.62</v>
          </cell>
          <cell r="R461">
            <v>1</v>
          </cell>
          <cell r="T461">
            <v>2</v>
          </cell>
          <cell r="U461" t="str">
            <v>MTS</v>
          </cell>
          <cell r="V461">
            <v>3</v>
          </cell>
          <cell r="W461" t="b">
            <v>1</v>
          </cell>
        </row>
        <row r="462">
          <cell r="C462" t="str">
            <v>WJMTPM43007</v>
          </cell>
          <cell r="D462">
            <v>150</v>
          </cell>
          <cell r="E462">
            <v>40262</v>
          </cell>
          <cell r="F462">
            <v>40262</v>
          </cell>
          <cell r="G462">
            <v>147</v>
          </cell>
          <cell r="H462">
            <v>48</v>
          </cell>
          <cell r="I462">
            <v>3</v>
          </cell>
          <cell r="J462">
            <v>2.04</v>
          </cell>
          <cell r="N462">
            <v>1</v>
          </cell>
          <cell r="P462">
            <v>1</v>
          </cell>
          <cell r="S462">
            <v>1</v>
          </cell>
          <cell r="U462" t="str">
            <v>MTS</v>
          </cell>
          <cell r="V462">
            <v>3</v>
          </cell>
          <cell r="W462" t="b">
            <v>1</v>
          </cell>
        </row>
        <row r="463">
          <cell r="C463" t="str">
            <v>WJMTPM44007</v>
          </cell>
          <cell r="D463">
            <v>200</v>
          </cell>
          <cell r="E463">
            <v>40281</v>
          </cell>
          <cell r="F463">
            <v>40287</v>
          </cell>
          <cell r="G463">
            <v>200</v>
          </cell>
          <cell r="H463">
            <v>50</v>
          </cell>
          <cell r="I463">
            <v>2</v>
          </cell>
          <cell r="J463">
            <v>1</v>
          </cell>
          <cell r="P463">
            <v>1</v>
          </cell>
          <cell r="T463">
            <v>1</v>
          </cell>
          <cell r="U463" t="str">
            <v>MTT</v>
          </cell>
          <cell r="V463">
            <v>2</v>
          </cell>
          <cell r="W463" t="b">
            <v>1</v>
          </cell>
        </row>
        <row r="464">
          <cell r="C464" t="str">
            <v>WJMTSM01034</v>
          </cell>
          <cell r="D464">
            <v>450</v>
          </cell>
          <cell r="E464">
            <v>40262</v>
          </cell>
          <cell r="F464">
            <v>40262</v>
          </cell>
          <cell r="G464">
            <v>443</v>
          </cell>
          <cell r="H464">
            <v>228</v>
          </cell>
          <cell r="I464">
            <v>36</v>
          </cell>
          <cell r="J464">
            <v>8.1300000000000008</v>
          </cell>
          <cell r="K464">
            <v>2</v>
          </cell>
          <cell r="L464">
            <v>2</v>
          </cell>
          <cell r="M464">
            <v>-1</v>
          </cell>
          <cell r="N464">
            <v>4</v>
          </cell>
          <cell r="O464">
            <v>4</v>
          </cell>
          <cell r="P464">
            <v>7</v>
          </cell>
          <cell r="Q464">
            <v>6</v>
          </cell>
          <cell r="R464">
            <v>4</v>
          </cell>
          <cell r="S464">
            <v>7</v>
          </cell>
          <cell r="T464">
            <v>1</v>
          </cell>
          <cell r="U464" t="str">
            <v>MTT</v>
          </cell>
          <cell r="V464">
            <v>36</v>
          </cell>
          <cell r="W464" t="b">
            <v>1</v>
          </cell>
        </row>
        <row r="465">
          <cell r="C465" t="str">
            <v>WJMTSM01046</v>
          </cell>
          <cell r="D465">
            <v>550</v>
          </cell>
          <cell r="E465">
            <v>40262</v>
          </cell>
          <cell r="F465">
            <v>40262</v>
          </cell>
          <cell r="G465">
            <v>564</v>
          </cell>
          <cell r="H465">
            <v>297</v>
          </cell>
          <cell r="I465">
            <v>82</v>
          </cell>
          <cell r="J465">
            <v>14.54</v>
          </cell>
          <cell r="K465">
            <v>2</v>
          </cell>
          <cell r="L465">
            <v>2</v>
          </cell>
          <cell r="M465">
            <v>2</v>
          </cell>
          <cell r="N465">
            <v>11</v>
          </cell>
          <cell r="O465">
            <v>7</v>
          </cell>
          <cell r="P465">
            <v>19</v>
          </cell>
          <cell r="Q465">
            <v>16</v>
          </cell>
          <cell r="R465">
            <v>8</v>
          </cell>
          <cell r="S465">
            <v>7</v>
          </cell>
          <cell r="T465">
            <v>8</v>
          </cell>
          <cell r="U465" t="str">
            <v>MTT</v>
          </cell>
          <cell r="V465">
            <v>82</v>
          </cell>
          <cell r="W465" t="b">
            <v>1</v>
          </cell>
        </row>
        <row r="466">
          <cell r="C466" t="str">
            <v>WJMTSM01107</v>
          </cell>
          <cell r="D466">
            <v>400</v>
          </cell>
          <cell r="U466" t="str">
            <v>MTT</v>
          </cell>
          <cell r="V466">
            <v>0</v>
          </cell>
          <cell r="W466" t="b">
            <v>1</v>
          </cell>
        </row>
        <row r="467">
          <cell r="C467" t="str">
            <v>WJMTSM02003</v>
          </cell>
          <cell r="D467">
            <v>450</v>
          </cell>
          <cell r="E467">
            <v>40260</v>
          </cell>
          <cell r="F467">
            <v>40261</v>
          </cell>
          <cell r="G467">
            <v>424</v>
          </cell>
          <cell r="H467">
            <v>167</v>
          </cell>
          <cell r="I467">
            <v>17</v>
          </cell>
          <cell r="J467">
            <v>4.01</v>
          </cell>
          <cell r="K467">
            <v>2</v>
          </cell>
          <cell r="O467">
            <v>3</v>
          </cell>
          <cell r="P467">
            <v>1</v>
          </cell>
          <cell r="Q467">
            <v>3</v>
          </cell>
          <cell r="R467">
            <v>5</v>
          </cell>
          <cell r="S467">
            <v>2</v>
          </cell>
          <cell r="T467">
            <v>1</v>
          </cell>
          <cell r="U467" t="str">
            <v>MTT</v>
          </cell>
          <cell r="V467">
            <v>17</v>
          </cell>
          <cell r="W467" t="b">
            <v>1</v>
          </cell>
        </row>
        <row r="468">
          <cell r="C468" t="str">
            <v>WJMTSM02025</v>
          </cell>
          <cell r="D468">
            <v>550</v>
          </cell>
          <cell r="E468">
            <v>40260</v>
          </cell>
          <cell r="F468">
            <v>40261</v>
          </cell>
          <cell r="G468">
            <v>508</v>
          </cell>
          <cell r="H468">
            <v>183</v>
          </cell>
          <cell r="I468">
            <v>19</v>
          </cell>
          <cell r="J468">
            <v>3.74</v>
          </cell>
          <cell r="K468">
            <v>1</v>
          </cell>
          <cell r="L468">
            <v>1</v>
          </cell>
          <cell r="N468">
            <v>1</v>
          </cell>
          <cell r="Q468">
            <v>6</v>
          </cell>
          <cell r="R468">
            <v>2</v>
          </cell>
          <cell r="S468">
            <v>3</v>
          </cell>
          <cell r="T468">
            <v>5</v>
          </cell>
          <cell r="U468" t="str">
            <v>MTT</v>
          </cell>
          <cell r="V468">
            <v>19</v>
          </cell>
          <cell r="W468" t="b">
            <v>1</v>
          </cell>
        </row>
        <row r="469">
          <cell r="C469" t="str">
            <v>WJMTSM02076</v>
          </cell>
          <cell r="D469">
            <v>300</v>
          </cell>
          <cell r="E469">
            <v>40260</v>
          </cell>
          <cell r="F469">
            <v>40261</v>
          </cell>
          <cell r="G469">
            <v>247</v>
          </cell>
          <cell r="H469">
            <v>120</v>
          </cell>
          <cell r="I469">
            <v>9</v>
          </cell>
          <cell r="J469">
            <v>3.64</v>
          </cell>
          <cell r="K469">
            <v>2</v>
          </cell>
          <cell r="L469">
            <v>1</v>
          </cell>
          <cell r="O469">
            <v>1</v>
          </cell>
          <cell r="P469">
            <v>1</v>
          </cell>
          <cell r="Q469">
            <v>3</v>
          </cell>
          <cell r="R469">
            <v>-1</v>
          </cell>
          <cell r="S469">
            <v>2</v>
          </cell>
          <cell r="U469" t="str">
            <v>MTT</v>
          </cell>
          <cell r="V469">
            <v>9</v>
          </cell>
          <cell r="W469" t="b">
            <v>1</v>
          </cell>
        </row>
        <row r="470">
          <cell r="C470" t="str">
            <v>WJMTSM03005</v>
          </cell>
          <cell r="D470">
            <v>300</v>
          </cell>
          <cell r="E470">
            <v>40256</v>
          </cell>
          <cell r="F470">
            <v>40260</v>
          </cell>
          <cell r="G470">
            <v>307</v>
          </cell>
          <cell r="H470">
            <v>103</v>
          </cell>
          <cell r="I470">
            <v>6</v>
          </cell>
          <cell r="J470">
            <v>1.95</v>
          </cell>
          <cell r="O470">
            <v>2</v>
          </cell>
          <cell r="Q470">
            <v>1</v>
          </cell>
          <cell r="R470">
            <v>1</v>
          </cell>
          <cell r="S470">
            <v>1</v>
          </cell>
          <cell r="T470">
            <v>1</v>
          </cell>
          <cell r="U470" t="str">
            <v>MTT</v>
          </cell>
          <cell r="V470">
            <v>6</v>
          </cell>
          <cell r="W470" t="b">
            <v>1</v>
          </cell>
        </row>
        <row r="471">
          <cell r="C471" t="str">
            <v>WJMTSM03053</v>
          </cell>
          <cell r="D471">
            <v>300</v>
          </cell>
          <cell r="E471">
            <v>40256</v>
          </cell>
          <cell r="F471">
            <v>40260</v>
          </cell>
          <cell r="G471">
            <v>300</v>
          </cell>
          <cell r="H471">
            <v>80</v>
          </cell>
          <cell r="I471">
            <v>11</v>
          </cell>
          <cell r="J471">
            <v>3.67</v>
          </cell>
          <cell r="Q471">
            <v>2</v>
          </cell>
          <cell r="R471">
            <v>1</v>
          </cell>
          <cell r="S471">
            <v>3</v>
          </cell>
          <cell r="T471">
            <v>5</v>
          </cell>
          <cell r="U471" t="str">
            <v>MTT</v>
          </cell>
          <cell r="V471">
            <v>11</v>
          </cell>
          <cell r="W471" t="b">
            <v>1</v>
          </cell>
        </row>
        <row r="472">
          <cell r="C472" t="str">
            <v>WJMTSM04015</v>
          </cell>
          <cell r="D472">
            <v>300</v>
          </cell>
          <cell r="E472">
            <v>40260</v>
          </cell>
          <cell r="F472">
            <v>40261</v>
          </cell>
          <cell r="G472">
            <v>300</v>
          </cell>
          <cell r="H472">
            <v>158</v>
          </cell>
          <cell r="I472">
            <v>17</v>
          </cell>
          <cell r="J472">
            <v>5.67</v>
          </cell>
          <cell r="K472">
            <v>5</v>
          </cell>
          <cell r="L472">
            <v>1</v>
          </cell>
          <cell r="N472">
            <v>1</v>
          </cell>
          <cell r="O472">
            <v>2</v>
          </cell>
          <cell r="Q472">
            <v>4</v>
          </cell>
          <cell r="R472">
            <v>1</v>
          </cell>
          <cell r="S472">
            <v>2</v>
          </cell>
          <cell r="T472">
            <v>1</v>
          </cell>
          <cell r="U472" t="str">
            <v>MTT</v>
          </cell>
          <cell r="V472">
            <v>17</v>
          </cell>
          <cell r="W472" t="b">
            <v>1</v>
          </cell>
        </row>
        <row r="473">
          <cell r="C473" t="str">
            <v>WJMTSM04053</v>
          </cell>
          <cell r="D473">
            <v>300</v>
          </cell>
          <cell r="E473">
            <v>40260</v>
          </cell>
          <cell r="F473">
            <v>40261</v>
          </cell>
          <cell r="G473">
            <v>300</v>
          </cell>
          <cell r="H473">
            <v>107</v>
          </cell>
          <cell r="I473">
            <v>6</v>
          </cell>
          <cell r="J473">
            <v>2</v>
          </cell>
          <cell r="K473">
            <v>4</v>
          </cell>
          <cell r="P473">
            <v>1</v>
          </cell>
          <cell r="R473">
            <v>1</v>
          </cell>
          <cell r="U473" t="str">
            <v>MTT</v>
          </cell>
          <cell r="V473">
            <v>6</v>
          </cell>
          <cell r="W473" t="b">
            <v>1</v>
          </cell>
        </row>
        <row r="474">
          <cell r="C474" t="str">
            <v>WJMTSM05001</v>
          </cell>
          <cell r="D474">
            <v>300</v>
          </cell>
          <cell r="E474">
            <v>40260</v>
          </cell>
          <cell r="F474">
            <v>40261</v>
          </cell>
          <cell r="G474">
            <v>301</v>
          </cell>
          <cell r="H474">
            <v>95</v>
          </cell>
          <cell r="I474">
            <v>8</v>
          </cell>
          <cell r="J474">
            <v>2.66</v>
          </cell>
          <cell r="K474">
            <v>2</v>
          </cell>
          <cell r="O474">
            <v>1</v>
          </cell>
          <cell r="P474">
            <v>1</v>
          </cell>
          <cell r="Q474">
            <v>1</v>
          </cell>
          <cell r="T474">
            <v>3</v>
          </cell>
          <cell r="U474" t="str">
            <v>MTT</v>
          </cell>
          <cell r="V474">
            <v>8</v>
          </cell>
          <cell r="W474" t="b">
            <v>1</v>
          </cell>
        </row>
        <row r="475">
          <cell r="C475" t="str">
            <v>WJMTSM05025</v>
          </cell>
          <cell r="D475">
            <v>450</v>
          </cell>
          <cell r="E475">
            <v>40260</v>
          </cell>
          <cell r="F475">
            <v>40261</v>
          </cell>
          <cell r="G475">
            <v>461</v>
          </cell>
          <cell r="H475">
            <v>148</v>
          </cell>
          <cell r="I475">
            <v>28</v>
          </cell>
          <cell r="J475">
            <v>6.07</v>
          </cell>
          <cell r="N475">
            <v>3</v>
          </cell>
          <cell r="O475">
            <v>6</v>
          </cell>
          <cell r="P475">
            <v>5</v>
          </cell>
          <cell r="Q475">
            <v>3</v>
          </cell>
          <cell r="R475">
            <v>3</v>
          </cell>
          <cell r="S475">
            <v>4</v>
          </cell>
          <cell r="T475">
            <v>4</v>
          </cell>
          <cell r="U475" t="str">
            <v>MTT</v>
          </cell>
          <cell r="V475">
            <v>28</v>
          </cell>
          <cell r="W475" t="b">
            <v>1</v>
          </cell>
        </row>
        <row r="476">
          <cell r="C476" t="str">
            <v>WJMTSM06008</v>
          </cell>
          <cell r="D476">
            <v>300</v>
          </cell>
          <cell r="E476">
            <v>40259</v>
          </cell>
          <cell r="F476">
            <v>40260</v>
          </cell>
          <cell r="G476">
            <v>292</v>
          </cell>
          <cell r="H476">
            <v>98</v>
          </cell>
          <cell r="I476">
            <v>9</v>
          </cell>
          <cell r="J476">
            <v>3.08</v>
          </cell>
          <cell r="K476">
            <v>2</v>
          </cell>
          <cell r="M476">
            <v>1</v>
          </cell>
          <cell r="O476">
            <v>1</v>
          </cell>
          <cell r="Q476">
            <v>3</v>
          </cell>
          <cell r="R476">
            <v>1</v>
          </cell>
          <cell r="S476">
            <v>1</v>
          </cell>
          <cell r="U476" t="str">
            <v>MTT</v>
          </cell>
          <cell r="V476">
            <v>9</v>
          </cell>
          <cell r="W476" t="b">
            <v>1</v>
          </cell>
        </row>
        <row r="477">
          <cell r="C477" t="str">
            <v>WJMTSM06025</v>
          </cell>
          <cell r="D477">
            <v>300</v>
          </cell>
          <cell r="E477">
            <v>40259</v>
          </cell>
          <cell r="F477">
            <v>40260</v>
          </cell>
          <cell r="G477">
            <v>291</v>
          </cell>
          <cell r="H477">
            <v>128</v>
          </cell>
          <cell r="I477">
            <v>29</v>
          </cell>
          <cell r="J477">
            <v>9.9700000000000006</v>
          </cell>
          <cell r="K477">
            <v>1</v>
          </cell>
          <cell r="M477">
            <v>3</v>
          </cell>
          <cell r="N477">
            <v>6</v>
          </cell>
          <cell r="O477">
            <v>4</v>
          </cell>
          <cell r="P477">
            <v>1</v>
          </cell>
          <cell r="Q477">
            <v>4</v>
          </cell>
          <cell r="R477">
            <v>4</v>
          </cell>
          <cell r="S477">
            <v>2</v>
          </cell>
          <cell r="T477">
            <v>4</v>
          </cell>
          <cell r="U477" t="str">
            <v>MTT</v>
          </cell>
          <cell r="V477">
            <v>29</v>
          </cell>
          <cell r="W477" t="b">
            <v>1</v>
          </cell>
        </row>
        <row r="478">
          <cell r="C478" t="str">
            <v>WJMTSM07007</v>
          </cell>
          <cell r="D478">
            <v>250</v>
          </cell>
          <cell r="E478">
            <v>40295</v>
          </cell>
          <cell r="F478">
            <v>40301</v>
          </cell>
          <cell r="G478">
            <v>243</v>
          </cell>
          <cell r="H478">
            <v>47</v>
          </cell>
          <cell r="I478">
            <v>1</v>
          </cell>
          <cell r="J478">
            <v>0.41</v>
          </cell>
          <cell r="T478">
            <v>1</v>
          </cell>
          <cell r="U478" t="str">
            <v>MTT</v>
          </cell>
          <cell r="V478">
            <v>1</v>
          </cell>
          <cell r="W478" t="b">
            <v>1</v>
          </cell>
        </row>
        <row r="479">
          <cell r="C479" t="str">
            <v>WJMTSM21046</v>
          </cell>
          <cell r="D479">
            <v>300</v>
          </cell>
          <cell r="E479">
            <v>40323</v>
          </cell>
          <cell r="F479">
            <v>40324</v>
          </cell>
          <cell r="G479">
            <v>193</v>
          </cell>
          <cell r="H479">
            <v>44</v>
          </cell>
          <cell r="I479">
            <v>1</v>
          </cell>
          <cell r="J479">
            <v>0.52</v>
          </cell>
          <cell r="T479">
            <v>1</v>
          </cell>
          <cell r="U479" t="str">
            <v>MTT</v>
          </cell>
          <cell r="V479">
            <v>1</v>
          </cell>
          <cell r="W479" t="b">
            <v>1</v>
          </cell>
        </row>
        <row r="480">
          <cell r="C480" t="str">
            <v>WJMTSM21060</v>
          </cell>
          <cell r="D480">
            <v>300</v>
          </cell>
          <cell r="E480">
            <v>40323</v>
          </cell>
          <cell r="F480">
            <v>40324</v>
          </cell>
          <cell r="G480">
            <v>195</v>
          </cell>
          <cell r="H480">
            <v>46</v>
          </cell>
          <cell r="I480">
            <v>3</v>
          </cell>
          <cell r="J480">
            <v>1.54</v>
          </cell>
          <cell r="T480">
            <v>3</v>
          </cell>
          <cell r="U480" t="str">
            <v>MTT</v>
          </cell>
          <cell r="V480">
            <v>3</v>
          </cell>
          <cell r="W480" t="b">
            <v>1</v>
          </cell>
        </row>
        <row r="481">
          <cell r="C481" t="str">
            <v>WJMTSM22007</v>
          </cell>
          <cell r="D481">
            <v>300</v>
          </cell>
          <cell r="E481">
            <v>40297</v>
          </cell>
          <cell r="F481">
            <v>40301</v>
          </cell>
          <cell r="G481">
            <v>181</v>
          </cell>
          <cell r="H481">
            <v>67</v>
          </cell>
          <cell r="I481">
            <v>14</v>
          </cell>
          <cell r="J481">
            <v>7.73</v>
          </cell>
          <cell r="Q481">
            <v>1</v>
          </cell>
          <cell r="R481">
            <v>5</v>
          </cell>
          <cell r="S481">
            <v>2</v>
          </cell>
          <cell r="T481">
            <v>6</v>
          </cell>
          <cell r="U481" t="str">
            <v>MTT</v>
          </cell>
          <cell r="V481">
            <v>14</v>
          </cell>
          <cell r="W481" t="b">
            <v>1</v>
          </cell>
        </row>
        <row r="482">
          <cell r="C482" t="str">
            <v>WJMTSM22008</v>
          </cell>
          <cell r="D482">
            <v>300</v>
          </cell>
          <cell r="E482">
            <v>40297</v>
          </cell>
          <cell r="F482">
            <v>40301</v>
          </cell>
          <cell r="G482">
            <v>306</v>
          </cell>
          <cell r="H482">
            <v>90</v>
          </cell>
          <cell r="I482">
            <v>21</v>
          </cell>
          <cell r="J482">
            <v>6.86</v>
          </cell>
          <cell r="Q482">
            <v>4</v>
          </cell>
          <cell r="R482">
            <v>4</v>
          </cell>
          <cell r="S482">
            <v>4</v>
          </cell>
          <cell r="T482">
            <v>9</v>
          </cell>
          <cell r="U482" t="str">
            <v>MTT</v>
          </cell>
          <cell r="V482">
            <v>21</v>
          </cell>
          <cell r="W482" t="b">
            <v>1</v>
          </cell>
        </row>
        <row r="483">
          <cell r="C483" t="str">
            <v>WJMTSM22073</v>
          </cell>
          <cell r="D483">
            <v>300</v>
          </cell>
          <cell r="E483">
            <v>40297</v>
          </cell>
          <cell r="F483">
            <v>40301</v>
          </cell>
          <cell r="U483" t="str">
            <v>MTT</v>
          </cell>
          <cell r="V483">
            <v>0</v>
          </cell>
          <cell r="W483" t="b">
            <v>1</v>
          </cell>
        </row>
        <row r="484">
          <cell r="C484" t="str">
            <v>WJMTSM23024</v>
          </cell>
          <cell r="D484">
            <v>500</v>
          </cell>
          <cell r="E484">
            <v>40305</v>
          </cell>
          <cell r="F484">
            <v>40309</v>
          </cell>
          <cell r="G484">
            <v>482</v>
          </cell>
          <cell r="H484">
            <v>55</v>
          </cell>
          <cell r="I484">
            <v>8</v>
          </cell>
          <cell r="J484">
            <v>1.66</v>
          </cell>
          <cell r="S484">
            <v>1</v>
          </cell>
          <cell r="T484">
            <v>7</v>
          </cell>
          <cell r="U484" t="str">
            <v>MTT</v>
          </cell>
          <cell r="V484">
            <v>8</v>
          </cell>
          <cell r="W484" t="b">
            <v>1</v>
          </cell>
        </row>
        <row r="485">
          <cell r="C485" t="str">
            <v>WJMTSM23053</v>
          </cell>
          <cell r="D485">
            <v>400</v>
          </cell>
          <cell r="E485">
            <v>40305</v>
          </cell>
          <cell r="F485">
            <v>40309</v>
          </cell>
          <cell r="G485">
            <v>390</v>
          </cell>
          <cell r="H485">
            <v>46</v>
          </cell>
          <cell r="I485">
            <v>2</v>
          </cell>
          <cell r="J485">
            <v>0.51</v>
          </cell>
          <cell r="S485">
            <v>1</v>
          </cell>
          <cell r="T485">
            <v>1</v>
          </cell>
          <cell r="U485" t="str">
            <v>MTT</v>
          </cell>
          <cell r="V485">
            <v>2</v>
          </cell>
          <cell r="W485" t="b">
            <v>1</v>
          </cell>
        </row>
        <row r="486">
          <cell r="C486" t="str">
            <v>WJMTSM24003</v>
          </cell>
          <cell r="D486">
            <v>400</v>
          </cell>
          <cell r="E486">
            <v>40311</v>
          </cell>
          <cell r="F486">
            <v>40315</v>
          </cell>
          <cell r="G486">
            <v>367</v>
          </cell>
          <cell r="H486">
            <v>52</v>
          </cell>
          <cell r="I486">
            <v>4</v>
          </cell>
          <cell r="J486">
            <v>1.0900000000000001</v>
          </cell>
          <cell r="S486">
            <v>1</v>
          </cell>
          <cell r="T486">
            <v>3</v>
          </cell>
          <cell r="U486" t="str">
            <v>MTT</v>
          </cell>
          <cell r="V486">
            <v>4</v>
          </cell>
          <cell r="W486" t="b">
            <v>1</v>
          </cell>
        </row>
        <row r="487">
          <cell r="C487" t="str">
            <v>WJMTSM24013</v>
          </cell>
          <cell r="D487">
            <v>500</v>
          </cell>
          <cell r="E487">
            <v>40311</v>
          </cell>
          <cell r="F487">
            <v>40315</v>
          </cell>
          <cell r="G487">
            <v>429</v>
          </cell>
          <cell r="H487">
            <v>45</v>
          </cell>
          <cell r="U487" t="str">
            <v>MTT</v>
          </cell>
          <cell r="V487">
            <v>0</v>
          </cell>
          <cell r="W487" t="b">
            <v>1</v>
          </cell>
        </row>
        <row r="488">
          <cell r="C488" t="str">
            <v>WJMTSM24031</v>
          </cell>
          <cell r="D488">
            <v>350</v>
          </cell>
          <cell r="E488">
            <v>40311</v>
          </cell>
          <cell r="F488">
            <v>40315</v>
          </cell>
          <cell r="G488">
            <v>340</v>
          </cell>
          <cell r="H488">
            <v>56</v>
          </cell>
          <cell r="I488">
            <v>4</v>
          </cell>
          <cell r="J488">
            <v>1.18</v>
          </cell>
          <cell r="S488">
            <v>2</v>
          </cell>
          <cell r="T488">
            <v>2</v>
          </cell>
          <cell r="U488" t="str">
            <v>MTT</v>
          </cell>
          <cell r="V488">
            <v>4</v>
          </cell>
          <cell r="W488" t="b">
            <v>1</v>
          </cell>
        </row>
        <row r="489">
          <cell r="C489" t="str">
            <v>WJMTSM25024</v>
          </cell>
          <cell r="D489">
            <v>500</v>
          </cell>
          <cell r="E489">
            <v>40305</v>
          </cell>
          <cell r="F489">
            <v>40309</v>
          </cell>
          <cell r="G489">
            <v>381</v>
          </cell>
          <cell r="H489">
            <v>46</v>
          </cell>
          <cell r="I489">
            <v>2</v>
          </cell>
          <cell r="J489">
            <v>0.52</v>
          </cell>
          <cell r="R489">
            <v>1</v>
          </cell>
          <cell r="T489">
            <v>1</v>
          </cell>
          <cell r="U489" t="str">
            <v>MTT</v>
          </cell>
          <cell r="V489">
            <v>2</v>
          </cell>
          <cell r="W489" t="b">
            <v>1</v>
          </cell>
        </row>
        <row r="490">
          <cell r="C490" t="str">
            <v>WJMTSM25027</v>
          </cell>
          <cell r="D490">
            <v>400</v>
          </cell>
          <cell r="E490">
            <v>40305</v>
          </cell>
          <cell r="F490">
            <v>40309</v>
          </cell>
          <cell r="U490" t="str">
            <v>MTT</v>
          </cell>
          <cell r="V490">
            <v>0</v>
          </cell>
          <cell r="W490" t="b">
            <v>1</v>
          </cell>
        </row>
        <row r="491">
          <cell r="C491" t="str">
            <v>WJMTSM26013</v>
          </cell>
          <cell r="D491">
            <v>300</v>
          </cell>
          <cell r="E491">
            <v>40318</v>
          </cell>
          <cell r="F491">
            <v>40320</v>
          </cell>
          <cell r="U491" t="str">
            <v>MVS</v>
          </cell>
          <cell r="V491">
            <v>0</v>
          </cell>
          <cell r="W491" t="b">
            <v>1</v>
          </cell>
        </row>
        <row r="492">
          <cell r="C492" t="str">
            <v>WJMTSM26046</v>
          </cell>
          <cell r="D492">
            <v>300</v>
          </cell>
          <cell r="E492">
            <v>40318</v>
          </cell>
          <cell r="F492">
            <v>40320</v>
          </cell>
          <cell r="G492">
            <v>288</v>
          </cell>
          <cell r="H492">
            <v>44</v>
          </cell>
          <cell r="U492" t="str">
            <v>MVS</v>
          </cell>
          <cell r="V492">
            <v>0</v>
          </cell>
          <cell r="W492" t="b">
            <v>1</v>
          </cell>
        </row>
        <row r="493">
          <cell r="C493" t="str">
            <v>WJMTSM26060</v>
          </cell>
          <cell r="D493">
            <v>350</v>
          </cell>
          <cell r="E493">
            <v>40318</v>
          </cell>
          <cell r="F493">
            <v>40320</v>
          </cell>
          <cell r="G493">
            <v>340</v>
          </cell>
          <cell r="H493">
            <v>45</v>
          </cell>
          <cell r="I493">
            <v>2</v>
          </cell>
          <cell r="J493">
            <v>0.59</v>
          </cell>
          <cell r="T493">
            <v>2</v>
          </cell>
          <cell r="U493" t="str">
            <v>MVS</v>
          </cell>
          <cell r="V493">
            <v>2</v>
          </cell>
          <cell r="W493" t="b">
            <v>1</v>
          </cell>
        </row>
        <row r="494">
          <cell r="C494" t="str">
            <v>WJMTSM27013</v>
          </cell>
          <cell r="D494">
            <v>450</v>
          </cell>
          <cell r="E494">
            <v>40260</v>
          </cell>
          <cell r="F494">
            <v>40261</v>
          </cell>
          <cell r="G494">
            <v>438</v>
          </cell>
          <cell r="H494">
            <v>107</v>
          </cell>
          <cell r="I494">
            <v>9</v>
          </cell>
          <cell r="J494">
            <v>2.0499999999999998</v>
          </cell>
          <cell r="K494">
            <v>2</v>
          </cell>
          <cell r="O494">
            <v>1</v>
          </cell>
          <cell r="P494">
            <v>1</v>
          </cell>
          <cell r="R494">
            <v>3</v>
          </cell>
          <cell r="S494">
            <v>1</v>
          </cell>
          <cell r="T494">
            <v>1</v>
          </cell>
          <cell r="U494" t="str">
            <v>MVS</v>
          </cell>
          <cell r="V494">
            <v>9</v>
          </cell>
          <cell r="W494" t="b">
            <v>1</v>
          </cell>
        </row>
        <row r="495">
          <cell r="C495" t="str">
            <v>WJMTSM27028</v>
          </cell>
          <cell r="D495">
            <v>300</v>
          </cell>
          <cell r="E495">
            <v>40260</v>
          </cell>
          <cell r="F495">
            <v>40261</v>
          </cell>
          <cell r="G495">
            <v>275</v>
          </cell>
          <cell r="H495">
            <v>102</v>
          </cell>
          <cell r="I495">
            <v>15</v>
          </cell>
          <cell r="J495">
            <v>5.45</v>
          </cell>
          <cell r="K495">
            <v>3</v>
          </cell>
          <cell r="M495">
            <v>1</v>
          </cell>
          <cell r="O495">
            <v>3</v>
          </cell>
          <cell r="P495">
            <v>1</v>
          </cell>
          <cell r="Q495">
            <v>3</v>
          </cell>
          <cell r="R495">
            <v>2</v>
          </cell>
          <cell r="T495">
            <v>2</v>
          </cell>
          <cell r="U495" t="str">
            <v>MVS</v>
          </cell>
          <cell r="V495">
            <v>15</v>
          </cell>
          <cell r="W495" t="b">
            <v>1</v>
          </cell>
        </row>
        <row r="496">
          <cell r="C496" t="str">
            <v>WJMTSM27046</v>
          </cell>
          <cell r="D496">
            <v>300</v>
          </cell>
          <cell r="E496">
            <v>40260</v>
          </cell>
          <cell r="F496">
            <v>40261</v>
          </cell>
          <cell r="G496">
            <v>302</v>
          </cell>
          <cell r="H496">
            <v>108</v>
          </cell>
          <cell r="I496">
            <v>12</v>
          </cell>
          <cell r="J496">
            <v>3.97</v>
          </cell>
          <cell r="K496">
            <v>3</v>
          </cell>
          <cell r="L496">
            <v>1</v>
          </cell>
          <cell r="M496">
            <v>1</v>
          </cell>
          <cell r="N496">
            <v>1</v>
          </cell>
          <cell r="O496">
            <v>1</v>
          </cell>
          <cell r="P496">
            <v>1</v>
          </cell>
          <cell r="S496">
            <v>1</v>
          </cell>
          <cell r="T496">
            <v>3</v>
          </cell>
          <cell r="U496" t="str">
            <v>MVS</v>
          </cell>
          <cell r="V496">
            <v>12</v>
          </cell>
          <cell r="W496" t="b">
            <v>1</v>
          </cell>
        </row>
        <row r="497">
          <cell r="C497" t="str">
            <v>WJMTSM28013</v>
          </cell>
          <cell r="D497">
            <v>300</v>
          </cell>
          <cell r="E497">
            <v>40297</v>
          </cell>
          <cell r="F497">
            <v>40301</v>
          </cell>
          <cell r="G497">
            <v>234</v>
          </cell>
          <cell r="H497">
            <v>52</v>
          </cell>
          <cell r="I497">
            <v>2</v>
          </cell>
          <cell r="J497">
            <v>0.85</v>
          </cell>
          <cell r="Q497">
            <v>1</v>
          </cell>
          <cell r="R497">
            <v>1</v>
          </cell>
          <cell r="U497" t="str">
            <v>MVS</v>
          </cell>
          <cell r="V497">
            <v>2</v>
          </cell>
          <cell r="W497" t="b">
            <v>1</v>
          </cell>
        </row>
        <row r="498">
          <cell r="C498" t="str">
            <v>WJMTSM28028</v>
          </cell>
          <cell r="D498">
            <v>300</v>
          </cell>
          <cell r="E498">
            <v>40297</v>
          </cell>
          <cell r="F498">
            <v>40301</v>
          </cell>
          <cell r="G498">
            <v>293</v>
          </cell>
          <cell r="H498">
            <v>67</v>
          </cell>
          <cell r="I498">
            <v>9</v>
          </cell>
          <cell r="J498">
            <v>3.07</v>
          </cell>
          <cell r="Q498">
            <v>3</v>
          </cell>
          <cell r="R498">
            <v>1</v>
          </cell>
          <cell r="S498">
            <v>2</v>
          </cell>
          <cell r="T498">
            <v>3</v>
          </cell>
          <cell r="U498" t="str">
            <v>MVS</v>
          </cell>
          <cell r="V498">
            <v>9</v>
          </cell>
          <cell r="W498" t="b">
            <v>1</v>
          </cell>
        </row>
        <row r="499">
          <cell r="C499" t="str">
            <v>WJMTSM29046</v>
          </cell>
          <cell r="D499">
            <v>300</v>
          </cell>
          <cell r="E499">
            <v>40271</v>
          </cell>
          <cell r="F499">
            <v>40273</v>
          </cell>
          <cell r="G499">
            <v>259</v>
          </cell>
          <cell r="H499">
            <v>90</v>
          </cell>
          <cell r="I499">
            <v>8</v>
          </cell>
          <cell r="J499">
            <v>3.09</v>
          </cell>
          <cell r="N499">
            <v>1</v>
          </cell>
          <cell r="O499">
            <v>1</v>
          </cell>
          <cell r="P499">
            <v>2</v>
          </cell>
          <cell r="Q499">
            <v>1</v>
          </cell>
          <cell r="R499">
            <v>1</v>
          </cell>
          <cell r="S499">
            <v>2</v>
          </cell>
          <cell r="U499" t="str">
            <v>MVS</v>
          </cell>
          <cell r="V499">
            <v>8</v>
          </cell>
          <cell r="W499" t="b">
            <v>1</v>
          </cell>
        </row>
        <row r="500">
          <cell r="C500" t="str">
            <v>WJMTSM29060</v>
          </cell>
          <cell r="D500">
            <v>450</v>
          </cell>
          <cell r="E500">
            <v>40271</v>
          </cell>
          <cell r="F500">
            <v>40273</v>
          </cell>
          <cell r="G500">
            <v>396</v>
          </cell>
          <cell r="H500">
            <v>98</v>
          </cell>
          <cell r="I500">
            <v>6</v>
          </cell>
          <cell r="J500">
            <v>1.52</v>
          </cell>
          <cell r="O500">
            <v>2</v>
          </cell>
          <cell r="R500">
            <v>1</v>
          </cell>
          <cell r="T500">
            <v>3</v>
          </cell>
          <cell r="U500" t="str">
            <v>MVS</v>
          </cell>
          <cell r="V500">
            <v>6</v>
          </cell>
          <cell r="W500" t="b">
            <v>1</v>
          </cell>
        </row>
        <row r="501">
          <cell r="C501" t="str">
            <v>WJMTSM30014</v>
          </cell>
          <cell r="D501">
            <v>300</v>
          </cell>
          <cell r="E501">
            <v>40294</v>
          </cell>
          <cell r="F501">
            <v>40301</v>
          </cell>
          <cell r="G501">
            <v>287</v>
          </cell>
          <cell r="H501">
            <v>45</v>
          </cell>
          <cell r="I501">
            <v>1</v>
          </cell>
          <cell r="J501">
            <v>0.35</v>
          </cell>
          <cell r="R501">
            <v>1</v>
          </cell>
          <cell r="U501" t="str">
            <v>MVS</v>
          </cell>
          <cell r="V501">
            <v>1</v>
          </cell>
          <cell r="W501" t="b">
            <v>1</v>
          </cell>
        </row>
        <row r="502">
          <cell r="C502" t="str">
            <v>WJMTSM30053</v>
          </cell>
          <cell r="D502">
            <v>450</v>
          </cell>
          <cell r="E502">
            <v>40294</v>
          </cell>
          <cell r="F502">
            <v>40301</v>
          </cell>
          <cell r="G502">
            <v>410</v>
          </cell>
          <cell r="H502">
            <v>61</v>
          </cell>
          <cell r="I502">
            <v>5</v>
          </cell>
          <cell r="J502">
            <v>1.22</v>
          </cell>
          <cell r="Q502">
            <v>2</v>
          </cell>
          <cell r="S502">
            <v>2</v>
          </cell>
          <cell r="T502">
            <v>1</v>
          </cell>
          <cell r="U502" t="str">
            <v>MVS</v>
          </cell>
          <cell r="V502">
            <v>5</v>
          </cell>
          <cell r="W502" t="b">
            <v>1</v>
          </cell>
        </row>
        <row r="503">
          <cell r="C503" t="str">
            <v>WJMTSM31007</v>
          </cell>
          <cell r="D503">
            <v>300</v>
          </cell>
          <cell r="E503">
            <v>40302</v>
          </cell>
          <cell r="F503">
            <v>40309</v>
          </cell>
          <cell r="G503">
            <v>210</v>
          </cell>
          <cell r="H503">
            <v>53</v>
          </cell>
          <cell r="I503">
            <v>4</v>
          </cell>
          <cell r="J503">
            <v>1.9</v>
          </cell>
          <cell r="S503">
            <v>2</v>
          </cell>
          <cell r="T503">
            <v>2</v>
          </cell>
          <cell r="U503" t="str">
            <v>MVS</v>
          </cell>
          <cell r="V503">
            <v>4</v>
          </cell>
          <cell r="W503" t="b">
            <v>1</v>
          </cell>
        </row>
        <row r="504">
          <cell r="C504" t="str">
            <v>WJMTSM31074</v>
          </cell>
          <cell r="D504">
            <v>450</v>
          </cell>
          <cell r="E504">
            <v>40302</v>
          </cell>
          <cell r="F504">
            <v>40309</v>
          </cell>
          <cell r="G504">
            <v>326</v>
          </cell>
          <cell r="H504">
            <v>45</v>
          </cell>
          <cell r="I504">
            <v>1</v>
          </cell>
          <cell r="J504">
            <v>0.31</v>
          </cell>
          <cell r="T504">
            <v>1</v>
          </cell>
          <cell r="V504">
            <v>1</v>
          </cell>
          <cell r="W504" t="b">
            <v>1</v>
          </cell>
        </row>
        <row r="505">
          <cell r="C505" t="str">
            <v>WJMTSM32046</v>
          </cell>
          <cell r="D505">
            <v>250</v>
          </cell>
          <cell r="E505">
            <v>40290</v>
          </cell>
          <cell r="F505">
            <v>40292</v>
          </cell>
          <cell r="G505">
            <v>219</v>
          </cell>
          <cell r="H505">
            <v>54</v>
          </cell>
          <cell r="I505">
            <v>5</v>
          </cell>
          <cell r="J505">
            <v>2.2799999999999998</v>
          </cell>
          <cell r="P505">
            <v>1</v>
          </cell>
          <cell r="S505">
            <v>2</v>
          </cell>
          <cell r="T505">
            <v>2</v>
          </cell>
          <cell r="V505">
            <v>5</v>
          </cell>
          <cell r="W505" t="b">
            <v>1</v>
          </cell>
        </row>
        <row r="506">
          <cell r="C506" t="str">
            <v>WJMTSM32074</v>
          </cell>
          <cell r="D506">
            <v>300</v>
          </cell>
          <cell r="E506">
            <v>40290</v>
          </cell>
          <cell r="F506">
            <v>40292</v>
          </cell>
          <cell r="G506">
            <v>247</v>
          </cell>
          <cell r="H506">
            <v>46</v>
          </cell>
          <cell r="I506">
            <v>2</v>
          </cell>
          <cell r="J506">
            <v>0.81</v>
          </cell>
          <cell r="O506">
            <v>1</v>
          </cell>
          <cell r="R506">
            <v>1</v>
          </cell>
          <cell r="V506">
            <v>2</v>
          </cell>
          <cell r="W506" t="b">
            <v>1</v>
          </cell>
        </row>
        <row r="507">
          <cell r="C507" t="str">
            <v>WJMTSM33008</v>
          </cell>
          <cell r="D507">
            <v>250</v>
          </cell>
          <cell r="E507">
            <v>40318</v>
          </cell>
          <cell r="F507">
            <v>40320</v>
          </cell>
          <cell r="G507">
            <v>247</v>
          </cell>
          <cell r="H507">
            <v>68</v>
          </cell>
          <cell r="I507">
            <v>18</v>
          </cell>
          <cell r="J507">
            <v>7.29</v>
          </cell>
          <cell r="S507">
            <v>2</v>
          </cell>
          <cell r="T507">
            <v>16</v>
          </cell>
          <cell r="V507">
            <v>18</v>
          </cell>
          <cell r="W507" t="b">
            <v>1</v>
          </cell>
        </row>
        <row r="508">
          <cell r="C508" t="str">
            <v>WJMTSM33016</v>
          </cell>
          <cell r="D508">
            <v>250</v>
          </cell>
          <cell r="E508">
            <v>40318</v>
          </cell>
          <cell r="F508">
            <v>40320</v>
          </cell>
          <cell r="G508">
            <v>250</v>
          </cell>
          <cell r="H508">
            <v>52</v>
          </cell>
          <cell r="I508">
            <v>10</v>
          </cell>
          <cell r="J508">
            <v>4</v>
          </cell>
          <cell r="T508">
            <v>10</v>
          </cell>
          <cell r="V508">
            <v>10</v>
          </cell>
          <cell r="W508" t="b">
            <v>1</v>
          </cell>
        </row>
        <row r="509">
          <cell r="C509" t="str">
            <v>WJMTSM33035</v>
          </cell>
          <cell r="D509">
            <v>250</v>
          </cell>
          <cell r="E509">
            <v>40318</v>
          </cell>
          <cell r="F509">
            <v>40320</v>
          </cell>
          <cell r="G509">
            <v>250</v>
          </cell>
          <cell r="H509">
            <v>52</v>
          </cell>
          <cell r="I509">
            <v>8</v>
          </cell>
          <cell r="J509">
            <v>3.2</v>
          </cell>
          <cell r="T509">
            <v>8</v>
          </cell>
          <cell r="V509">
            <v>8</v>
          </cell>
          <cell r="W509" t="b">
            <v>1</v>
          </cell>
        </row>
        <row r="510">
          <cell r="C510" t="str">
            <v>WJMTSM33074</v>
          </cell>
          <cell r="D510">
            <v>250</v>
          </cell>
          <cell r="E510">
            <v>40318</v>
          </cell>
          <cell r="F510">
            <v>40320</v>
          </cell>
          <cell r="G510">
            <v>250</v>
          </cell>
          <cell r="H510">
            <v>54</v>
          </cell>
          <cell r="I510">
            <v>13</v>
          </cell>
          <cell r="J510">
            <v>5.2</v>
          </cell>
          <cell r="T510">
            <v>13</v>
          </cell>
          <cell r="V510">
            <v>13</v>
          </cell>
          <cell r="W510" t="b">
            <v>1</v>
          </cell>
        </row>
        <row r="511">
          <cell r="C511" t="str">
            <v>WJMTSM34008</v>
          </cell>
          <cell r="D511">
            <v>400</v>
          </cell>
          <cell r="E511">
            <v>40311</v>
          </cell>
          <cell r="F511">
            <v>40315</v>
          </cell>
          <cell r="G511">
            <v>356</v>
          </cell>
          <cell r="H511">
            <v>50</v>
          </cell>
          <cell r="I511">
            <v>2</v>
          </cell>
          <cell r="J511">
            <v>0.56000000000000005</v>
          </cell>
          <cell r="T511">
            <v>2</v>
          </cell>
          <cell r="V511">
            <v>2</v>
          </cell>
          <cell r="W511" t="b">
            <v>1</v>
          </cell>
        </row>
        <row r="512">
          <cell r="C512" t="str">
            <v>WJMTSM34015</v>
          </cell>
          <cell r="D512">
            <v>500</v>
          </cell>
          <cell r="E512">
            <v>40311</v>
          </cell>
          <cell r="F512">
            <v>40315</v>
          </cell>
          <cell r="G512">
            <v>499</v>
          </cell>
          <cell r="H512">
            <v>53</v>
          </cell>
          <cell r="I512">
            <v>2</v>
          </cell>
          <cell r="J512">
            <v>0.4</v>
          </cell>
          <cell r="S512">
            <v>2</v>
          </cell>
          <cell r="V512">
            <v>2</v>
          </cell>
          <cell r="W512" t="b">
            <v>1</v>
          </cell>
        </row>
        <row r="513">
          <cell r="C513" t="str">
            <v>WJMTSP71007</v>
          </cell>
          <cell r="D513">
            <v>800</v>
          </cell>
          <cell r="E513">
            <v>40256</v>
          </cell>
          <cell r="F513">
            <v>40260</v>
          </cell>
          <cell r="G513">
            <v>748</v>
          </cell>
          <cell r="H513">
            <v>245</v>
          </cell>
          <cell r="I513">
            <v>55</v>
          </cell>
          <cell r="J513">
            <v>7.35</v>
          </cell>
          <cell r="K513">
            <v>4</v>
          </cell>
          <cell r="L513">
            <v>4</v>
          </cell>
          <cell r="M513">
            <v>6</v>
          </cell>
          <cell r="N513">
            <v>4</v>
          </cell>
          <cell r="O513">
            <v>8</v>
          </cell>
          <cell r="P513">
            <v>2</v>
          </cell>
          <cell r="Q513">
            <v>4</v>
          </cell>
          <cell r="R513">
            <v>8</v>
          </cell>
          <cell r="S513">
            <v>11</v>
          </cell>
          <cell r="T513">
            <v>4</v>
          </cell>
          <cell r="V513">
            <v>55</v>
          </cell>
          <cell r="W513" t="b">
            <v>1</v>
          </cell>
        </row>
        <row r="514">
          <cell r="C514" t="str">
            <v>WJMTSP71008</v>
          </cell>
          <cell r="D514">
            <v>800</v>
          </cell>
          <cell r="E514">
            <v>40256</v>
          </cell>
          <cell r="F514">
            <v>40260</v>
          </cell>
          <cell r="G514">
            <v>709</v>
          </cell>
          <cell r="H514">
            <v>172</v>
          </cell>
          <cell r="I514">
            <v>25</v>
          </cell>
          <cell r="J514">
            <v>3.53</v>
          </cell>
          <cell r="K514">
            <v>2</v>
          </cell>
          <cell r="M514">
            <v>1</v>
          </cell>
          <cell r="N514">
            <v>1</v>
          </cell>
          <cell r="P514">
            <v>6</v>
          </cell>
          <cell r="Q514">
            <v>4</v>
          </cell>
          <cell r="R514">
            <v>1</v>
          </cell>
          <cell r="S514">
            <v>7</v>
          </cell>
          <cell r="T514">
            <v>3</v>
          </cell>
          <cell r="V514">
            <v>25</v>
          </cell>
          <cell r="W514" t="b">
            <v>1</v>
          </cell>
        </row>
        <row r="515">
          <cell r="C515" t="str">
            <v>WJMTSP71015</v>
          </cell>
          <cell r="D515">
            <v>400</v>
          </cell>
          <cell r="E515">
            <v>40256</v>
          </cell>
          <cell r="F515">
            <v>40260</v>
          </cell>
          <cell r="G515">
            <v>349</v>
          </cell>
          <cell r="H515">
            <v>132</v>
          </cell>
          <cell r="I515">
            <v>24</v>
          </cell>
          <cell r="J515">
            <v>6.88</v>
          </cell>
          <cell r="K515">
            <v>1</v>
          </cell>
          <cell r="L515">
            <v>1</v>
          </cell>
          <cell r="M515">
            <v>2</v>
          </cell>
          <cell r="O515">
            <v>3</v>
          </cell>
          <cell r="P515">
            <v>3</v>
          </cell>
          <cell r="Q515">
            <v>4</v>
          </cell>
          <cell r="R515">
            <v>5</v>
          </cell>
          <cell r="S515">
            <v>4</v>
          </cell>
          <cell r="T515">
            <v>1</v>
          </cell>
          <cell r="V515">
            <v>24</v>
          </cell>
          <cell r="W515" t="b">
            <v>1</v>
          </cell>
        </row>
        <row r="516">
          <cell r="C516" t="str">
            <v>WJMTSP71024</v>
          </cell>
          <cell r="D516">
            <v>400</v>
          </cell>
          <cell r="E516">
            <v>40256</v>
          </cell>
          <cell r="F516">
            <v>40260</v>
          </cell>
          <cell r="G516">
            <v>380</v>
          </cell>
          <cell r="H516">
            <v>209</v>
          </cell>
          <cell r="I516">
            <v>58</v>
          </cell>
          <cell r="J516">
            <v>15.26</v>
          </cell>
          <cell r="K516">
            <v>3</v>
          </cell>
          <cell r="L516">
            <v>5</v>
          </cell>
          <cell r="M516">
            <v>8</v>
          </cell>
          <cell r="N516">
            <v>5</v>
          </cell>
          <cell r="O516">
            <v>6</v>
          </cell>
          <cell r="P516">
            <v>10</v>
          </cell>
          <cell r="Q516">
            <v>5</v>
          </cell>
          <cell r="R516">
            <v>2</v>
          </cell>
          <cell r="S516">
            <v>10</v>
          </cell>
          <cell r="T516">
            <v>4</v>
          </cell>
          <cell r="V516">
            <v>58</v>
          </cell>
          <cell r="W516" t="b">
            <v>1</v>
          </cell>
        </row>
        <row r="517">
          <cell r="C517" t="str">
            <v>WJMTSP71034</v>
          </cell>
          <cell r="D517">
            <v>400</v>
          </cell>
          <cell r="E517">
            <v>40256</v>
          </cell>
          <cell r="F517">
            <v>40260</v>
          </cell>
          <cell r="G517">
            <v>390</v>
          </cell>
          <cell r="H517">
            <v>130</v>
          </cell>
          <cell r="I517">
            <v>16</v>
          </cell>
          <cell r="J517">
            <v>4.0999999999999996</v>
          </cell>
          <cell r="K517">
            <v>1</v>
          </cell>
          <cell r="M517">
            <v>3</v>
          </cell>
          <cell r="N517">
            <v>1</v>
          </cell>
          <cell r="O517">
            <v>3</v>
          </cell>
          <cell r="P517">
            <v>1</v>
          </cell>
          <cell r="Q517">
            <v>3</v>
          </cell>
          <cell r="R517">
            <v>1</v>
          </cell>
          <cell r="S517">
            <v>3</v>
          </cell>
          <cell r="V517">
            <v>16</v>
          </cell>
          <cell r="W517" t="b">
            <v>1</v>
          </cell>
        </row>
        <row r="518">
          <cell r="C518" t="str">
            <v>WJMTSS23008</v>
          </cell>
          <cell r="D518">
            <v>220</v>
          </cell>
          <cell r="V518">
            <v>0</v>
          </cell>
          <cell r="W518" t="b">
            <v>1</v>
          </cell>
        </row>
        <row r="519">
          <cell r="C519" t="str">
            <v>WJMTSS23021</v>
          </cell>
          <cell r="D519">
            <v>280</v>
          </cell>
          <cell r="V519">
            <v>0</v>
          </cell>
          <cell r="W519" t="b">
            <v>1</v>
          </cell>
        </row>
        <row r="520">
          <cell r="C520" t="str">
            <v>WJMTTI02001</v>
          </cell>
          <cell r="D520">
            <v>50</v>
          </cell>
          <cell r="E520">
            <v>40263</v>
          </cell>
          <cell r="F520">
            <v>40263</v>
          </cell>
          <cell r="G520">
            <v>50</v>
          </cell>
          <cell r="H520">
            <v>31</v>
          </cell>
          <cell r="I520">
            <v>4</v>
          </cell>
          <cell r="J520">
            <v>8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V520">
            <v>4</v>
          </cell>
          <cell r="W520" t="b">
            <v>1</v>
          </cell>
        </row>
        <row r="521">
          <cell r="C521" t="str">
            <v>WJMTTI02074</v>
          </cell>
          <cell r="D521">
            <v>50</v>
          </cell>
          <cell r="E521">
            <v>40263</v>
          </cell>
          <cell r="F521">
            <v>40263</v>
          </cell>
          <cell r="G521">
            <v>50</v>
          </cell>
          <cell r="H521">
            <v>30</v>
          </cell>
          <cell r="V521">
            <v>0</v>
          </cell>
          <cell r="W521" t="b">
            <v>1</v>
          </cell>
        </row>
        <row r="522">
          <cell r="C522" t="str">
            <v>WJMTTI02076</v>
          </cell>
          <cell r="D522">
            <v>50</v>
          </cell>
          <cell r="E522">
            <v>40263</v>
          </cell>
          <cell r="F522">
            <v>40263</v>
          </cell>
          <cell r="G522">
            <v>50</v>
          </cell>
          <cell r="H522">
            <v>30</v>
          </cell>
          <cell r="V522">
            <v>0</v>
          </cell>
          <cell r="W522" t="b">
            <v>1</v>
          </cell>
        </row>
        <row r="523">
          <cell r="C523" t="str">
            <v>WJMTTI03002</v>
          </cell>
          <cell r="D523">
            <v>150</v>
          </cell>
          <cell r="E523">
            <v>40263</v>
          </cell>
          <cell r="F523">
            <v>40263</v>
          </cell>
          <cell r="G523">
            <v>150</v>
          </cell>
          <cell r="H523">
            <v>78</v>
          </cell>
          <cell r="I523">
            <v>12</v>
          </cell>
          <cell r="J523">
            <v>8</v>
          </cell>
          <cell r="L523">
            <v>1</v>
          </cell>
          <cell r="N523">
            <v>1</v>
          </cell>
          <cell r="O523">
            <v>2</v>
          </cell>
          <cell r="P523">
            <v>3</v>
          </cell>
          <cell r="Q523">
            <v>2</v>
          </cell>
          <cell r="R523">
            <v>1</v>
          </cell>
          <cell r="S523">
            <v>2</v>
          </cell>
          <cell r="V523">
            <v>12</v>
          </cell>
          <cell r="W523" t="b">
            <v>1</v>
          </cell>
        </row>
        <row r="524">
          <cell r="C524" t="str">
            <v>WJMTTI03053</v>
          </cell>
          <cell r="D524">
            <v>150</v>
          </cell>
          <cell r="E524">
            <v>40263</v>
          </cell>
          <cell r="F524">
            <v>40263</v>
          </cell>
          <cell r="G524">
            <v>150</v>
          </cell>
          <cell r="H524">
            <v>66</v>
          </cell>
          <cell r="I524">
            <v>8</v>
          </cell>
          <cell r="J524">
            <v>5.33</v>
          </cell>
          <cell r="L524">
            <v>2</v>
          </cell>
          <cell r="N524">
            <v>1</v>
          </cell>
          <cell r="O524">
            <v>2</v>
          </cell>
          <cell r="Q524">
            <v>1</v>
          </cell>
          <cell r="R524">
            <v>1</v>
          </cell>
          <cell r="S524">
            <v>1</v>
          </cell>
          <cell r="V524">
            <v>8</v>
          </cell>
          <cell r="W524" t="b">
            <v>1</v>
          </cell>
        </row>
        <row r="525">
          <cell r="C525" t="str">
            <v>WJMTTI04033</v>
          </cell>
          <cell r="D525">
            <v>150</v>
          </cell>
          <cell r="E525">
            <v>40273</v>
          </cell>
          <cell r="F525">
            <v>40281</v>
          </cell>
          <cell r="G525">
            <v>152</v>
          </cell>
          <cell r="H525">
            <v>45</v>
          </cell>
          <cell r="I525">
            <v>1</v>
          </cell>
          <cell r="J525">
            <v>0.66</v>
          </cell>
          <cell r="R525">
            <v>1</v>
          </cell>
          <cell r="V525">
            <v>1</v>
          </cell>
          <cell r="W525" t="b">
            <v>1</v>
          </cell>
        </row>
        <row r="526">
          <cell r="C526" t="str">
            <v>WJMTTI04074</v>
          </cell>
          <cell r="D526">
            <v>150</v>
          </cell>
          <cell r="E526">
            <v>40273</v>
          </cell>
          <cell r="F526">
            <v>40281</v>
          </cell>
          <cell r="G526">
            <v>151</v>
          </cell>
          <cell r="H526">
            <v>49</v>
          </cell>
          <cell r="I526">
            <v>5</v>
          </cell>
          <cell r="J526">
            <v>3.31</v>
          </cell>
          <cell r="P526">
            <v>2</v>
          </cell>
          <cell r="Q526">
            <v>1</v>
          </cell>
          <cell r="R526">
            <v>1</v>
          </cell>
          <cell r="S526">
            <v>1</v>
          </cell>
          <cell r="V526">
            <v>5</v>
          </cell>
          <cell r="W526" t="b">
            <v>1</v>
          </cell>
        </row>
        <row r="527">
          <cell r="C527" t="str">
            <v>WJMTTI05002</v>
          </cell>
          <cell r="D527">
            <v>100</v>
          </cell>
          <cell r="E527">
            <v>40273</v>
          </cell>
          <cell r="F527">
            <v>40281</v>
          </cell>
          <cell r="G527">
            <v>100</v>
          </cell>
          <cell r="H527">
            <v>33</v>
          </cell>
          <cell r="I527">
            <v>4</v>
          </cell>
          <cell r="J527">
            <v>4</v>
          </cell>
          <cell r="O527">
            <v>2</v>
          </cell>
          <cell r="S527">
            <v>2</v>
          </cell>
          <cell r="V527">
            <v>4</v>
          </cell>
          <cell r="W527" t="b">
            <v>1</v>
          </cell>
        </row>
        <row r="528">
          <cell r="C528" t="str">
            <v>WJMTTI05074</v>
          </cell>
          <cell r="D528">
            <v>100</v>
          </cell>
          <cell r="E528">
            <v>40273</v>
          </cell>
          <cell r="F528">
            <v>40281</v>
          </cell>
          <cell r="G528">
            <v>100</v>
          </cell>
          <cell r="H528">
            <v>30</v>
          </cell>
          <cell r="O528">
            <v>1</v>
          </cell>
          <cell r="R528">
            <v>-1</v>
          </cell>
          <cell r="V528">
            <v>0</v>
          </cell>
          <cell r="W528" t="b">
            <v>1</v>
          </cell>
        </row>
        <row r="529">
          <cell r="C529" t="str">
            <v>WJMTTI06024</v>
          </cell>
          <cell r="D529">
            <v>80</v>
          </cell>
          <cell r="E529">
            <v>40294</v>
          </cell>
          <cell r="F529">
            <v>40301</v>
          </cell>
          <cell r="G529">
            <v>80</v>
          </cell>
          <cell r="H529">
            <v>63</v>
          </cell>
          <cell r="I529">
            <v>4</v>
          </cell>
          <cell r="J529">
            <v>5</v>
          </cell>
          <cell r="R529">
            <v>3</v>
          </cell>
          <cell r="T529">
            <v>1</v>
          </cell>
          <cell r="V529">
            <v>4</v>
          </cell>
          <cell r="W529" t="b">
            <v>1</v>
          </cell>
        </row>
        <row r="530">
          <cell r="C530" t="str">
            <v>WJMTTI06073</v>
          </cell>
          <cell r="D530">
            <v>80</v>
          </cell>
          <cell r="E530">
            <v>40294</v>
          </cell>
          <cell r="F530">
            <v>40301</v>
          </cell>
          <cell r="G530">
            <v>80</v>
          </cell>
          <cell r="H530">
            <v>74</v>
          </cell>
          <cell r="I530">
            <v>6</v>
          </cell>
          <cell r="J530">
            <v>7.5</v>
          </cell>
          <cell r="Q530">
            <v>3</v>
          </cell>
          <cell r="R530">
            <v>2</v>
          </cell>
          <cell r="S530">
            <v>1</v>
          </cell>
          <cell r="V530">
            <v>6</v>
          </cell>
          <cell r="W530" t="b">
            <v>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칼라별"/>
      <sheetName val="카타고리별"/>
      <sheetName val="업체별 실적"/>
      <sheetName val="차순"/>
      <sheetName val="IMP"/>
      <sheetName val="06스타일별"/>
      <sheetName val="일자별 판매"/>
      <sheetName val="Q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KNIT</v>
          </cell>
          <cell r="D6" t="str">
            <v>TITANIUM</v>
          </cell>
          <cell r="Z6">
            <v>1</v>
          </cell>
        </row>
        <row r="7">
          <cell r="D7" t="str">
            <v>TITANIUM</v>
          </cell>
          <cell r="Z7">
            <v>1</v>
          </cell>
        </row>
        <row r="8">
          <cell r="D8" t="str">
            <v>TITANIUM</v>
          </cell>
          <cell r="Z8">
            <v>1</v>
          </cell>
        </row>
        <row r="9">
          <cell r="D9" t="str">
            <v>TITANIUM</v>
          </cell>
          <cell r="Z9">
            <v>1</v>
          </cell>
        </row>
        <row r="10">
          <cell r="D10" t="str">
            <v>TITANIUM</v>
          </cell>
          <cell r="Z10">
            <v>1</v>
          </cell>
        </row>
        <row r="11">
          <cell r="D11" t="str">
            <v>TITANIUM</v>
          </cell>
          <cell r="Z11">
            <v>1</v>
          </cell>
        </row>
        <row r="12">
          <cell r="D12" t="str">
            <v>TITANIUM</v>
          </cell>
          <cell r="Z12">
            <v>1</v>
          </cell>
        </row>
        <row r="13">
          <cell r="D13" t="str">
            <v>TITANIUM</v>
          </cell>
          <cell r="Z13">
            <v>1</v>
          </cell>
        </row>
        <row r="14">
          <cell r="D14" t="str">
            <v>TITANIUM</v>
          </cell>
          <cell r="Z14">
            <v>1</v>
          </cell>
        </row>
        <row r="15">
          <cell r="D15" t="str">
            <v>TITANIUM</v>
          </cell>
          <cell r="Z15">
            <v>1</v>
          </cell>
        </row>
        <row r="16">
          <cell r="D16" t="str">
            <v>X.C.O</v>
          </cell>
          <cell r="Z16">
            <v>1</v>
          </cell>
        </row>
        <row r="17">
          <cell r="D17" t="str">
            <v>TITANIUM</v>
          </cell>
          <cell r="Z17">
            <v>1</v>
          </cell>
        </row>
        <row r="18">
          <cell r="D18" t="str">
            <v>TITANIUM</v>
          </cell>
          <cell r="Z18">
            <v>1</v>
          </cell>
        </row>
        <row r="19">
          <cell r="D19" t="str">
            <v>URBAN ADVENTURE</v>
          </cell>
          <cell r="Z19">
            <v>1</v>
          </cell>
        </row>
        <row r="20">
          <cell r="D20" t="str">
            <v>URBAN ADVENTURE</v>
          </cell>
          <cell r="Z20">
            <v>1</v>
          </cell>
        </row>
        <row r="21">
          <cell r="D21" t="str">
            <v>URBAN ADVENTURE</v>
          </cell>
          <cell r="Z21">
            <v>1</v>
          </cell>
        </row>
        <row r="22">
          <cell r="D22" t="str">
            <v>URBAN ADVENTURE</v>
          </cell>
          <cell r="Z22" t="e">
            <v>#N/A</v>
          </cell>
        </row>
        <row r="23">
          <cell r="D23" t="str">
            <v>URBAN ADVENTURE</v>
          </cell>
          <cell r="Z23" t="e">
            <v>#N/A</v>
          </cell>
        </row>
        <row r="25">
          <cell r="D25" t="str">
            <v>TITANIUM</v>
          </cell>
          <cell r="Z25">
            <v>0</v>
          </cell>
        </row>
        <row r="26">
          <cell r="D26" t="str">
            <v>TITANIUM</v>
          </cell>
          <cell r="Z26">
            <v>0</v>
          </cell>
        </row>
        <row r="27">
          <cell r="D27" t="str">
            <v>TITANIUM</v>
          </cell>
          <cell r="Z27">
            <v>0</v>
          </cell>
        </row>
        <row r="28">
          <cell r="D28" t="str">
            <v>TITANIUM</v>
          </cell>
          <cell r="Z28">
            <v>0</v>
          </cell>
        </row>
        <row r="29">
          <cell r="D29" t="str">
            <v>TITANIUM</v>
          </cell>
          <cell r="Z29">
            <v>1</v>
          </cell>
        </row>
        <row r="30">
          <cell r="D30" t="str">
            <v>TITANIUM</v>
          </cell>
          <cell r="Z30">
            <v>1</v>
          </cell>
        </row>
        <row r="31">
          <cell r="D31" t="str">
            <v>TITANIUM</v>
          </cell>
          <cell r="Z31">
            <v>1</v>
          </cell>
        </row>
        <row r="32">
          <cell r="D32" t="str">
            <v>TITANIUM</v>
          </cell>
          <cell r="Z32">
            <v>1</v>
          </cell>
        </row>
        <row r="33">
          <cell r="D33" t="str">
            <v>X.C.O</v>
          </cell>
          <cell r="Z33">
            <v>1</v>
          </cell>
        </row>
        <row r="34">
          <cell r="D34" t="str">
            <v>X.C.O</v>
          </cell>
          <cell r="Z34">
            <v>1</v>
          </cell>
        </row>
        <row r="35">
          <cell r="D35" t="str">
            <v>X.C.O</v>
          </cell>
          <cell r="Z35">
            <v>1</v>
          </cell>
        </row>
        <row r="36">
          <cell r="D36" t="str">
            <v>X.C.O</v>
          </cell>
          <cell r="Z36">
            <v>1</v>
          </cell>
        </row>
        <row r="37">
          <cell r="D37" t="str">
            <v>URBAN ADVENTURE</v>
          </cell>
          <cell r="Z37">
            <v>1</v>
          </cell>
        </row>
        <row r="38">
          <cell r="D38" t="str">
            <v>URBAN ADVENTURE</v>
          </cell>
          <cell r="Z38">
            <v>0</v>
          </cell>
        </row>
        <row r="39">
          <cell r="D39" t="str">
            <v>URBAN ADVENTURE</v>
          </cell>
          <cell r="Z39">
            <v>1</v>
          </cell>
        </row>
        <row r="40">
          <cell r="Z40">
            <v>1</v>
          </cell>
        </row>
        <row r="41">
          <cell r="D41" t="str">
            <v>TITANIUM</v>
          </cell>
          <cell r="Z41">
            <v>1</v>
          </cell>
        </row>
        <row r="42">
          <cell r="D42" t="str">
            <v>TITANIUM</v>
          </cell>
          <cell r="Z42">
            <v>1</v>
          </cell>
        </row>
        <row r="43">
          <cell r="D43" t="str">
            <v>TITANIUM</v>
          </cell>
          <cell r="Z43">
            <v>1</v>
          </cell>
        </row>
        <row r="44">
          <cell r="D44" t="str">
            <v>TITANIUM</v>
          </cell>
          <cell r="Z44">
            <v>1</v>
          </cell>
        </row>
        <row r="45">
          <cell r="D45" t="str">
            <v>TITANIUM</v>
          </cell>
          <cell r="Z45">
            <v>1</v>
          </cell>
        </row>
        <row r="46">
          <cell r="D46" t="str">
            <v>TITANIUM</v>
          </cell>
          <cell r="Z46">
            <v>1</v>
          </cell>
        </row>
        <row r="47">
          <cell r="D47" t="str">
            <v>X.C.O</v>
          </cell>
          <cell r="Z47">
            <v>1</v>
          </cell>
        </row>
        <row r="48">
          <cell r="D48" t="str">
            <v>X.C.O</v>
          </cell>
          <cell r="Z48">
            <v>1</v>
          </cell>
        </row>
        <row r="49">
          <cell r="D49" t="str">
            <v>X.C.O</v>
          </cell>
          <cell r="Z49">
            <v>1</v>
          </cell>
        </row>
        <row r="50">
          <cell r="D50" t="str">
            <v>X.C.O</v>
          </cell>
          <cell r="Z50">
            <v>1</v>
          </cell>
        </row>
        <row r="51">
          <cell r="D51" t="str">
            <v>TITANIUM</v>
          </cell>
          <cell r="Z51">
            <v>1</v>
          </cell>
        </row>
        <row r="52">
          <cell r="D52" t="str">
            <v>TITANIUM</v>
          </cell>
          <cell r="Z52">
            <v>1</v>
          </cell>
        </row>
        <row r="53">
          <cell r="D53" t="str">
            <v>TITANIUM</v>
          </cell>
        </row>
        <row r="54">
          <cell r="Z54">
            <v>1</v>
          </cell>
        </row>
        <row r="55">
          <cell r="D55" t="str">
            <v>TITANIUM</v>
          </cell>
          <cell r="Z55">
            <v>1</v>
          </cell>
        </row>
        <row r="56">
          <cell r="D56" t="str">
            <v>TITANIUM</v>
          </cell>
          <cell r="Z56">
            <v>1</v>
          </cell>
        </row>
        <row r="57">
          <cell r="D57" t="str">
            <v>TITANIUM</v>
          </cell>
          <cell r="Z57">
            <v>1</v>
          </cell>
        </row>
        <row r="58">
          <cell r="D58" t="str">
            <v>TITANIUM</v>
          </cell>
          <cell r="Z58">
            <v>1</v>
          </cell>
        </row>
        <row r="59">
          <cell r="D59" t="str">
            <v>TITANIUM</v>
          </cell>
          <cell r="Z59">
            <v>0</v>
          </cell>
        </row>
        <row r="60">
          <cell r="D60" t="str">
            <v>TITANIUM</v>
          </cell>
          <cell r="Z60">
            <v>0</v>
          </cell>
        </row>
        <row r="61">
          <cell r="D61" t="str">
            <v>TITANIUM</v>
          </cell>
          <cell r="Z61">
            <v>0</v>
          </cell>
        </row>
        <row r="62">
          <cell r="D62" t="str">
            <v>TITANIUM</v>
          </cell>
          <cell r="Z62">
            <v>0</v>
          </cell>
        </row>
        <row r="63">
          <cell r="D63" t="str">
            <v>X.C.O</v>
          </cell>
          <cell r="Z63">
            <v>0</v>
          </cell>
        </row>
        <row r="64">
          <cell r="D64" t="str">
            <v>X.C.O</v>
          </cell>
          <cell r="Z64">
            <v>0</v>
          </cell>
        </row>
        <row r="65">
          <cell r="Z65">
            <v>1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CY47"/>
  <sheetViews>
    <sheetView tabSelected="1" view="pageBreakPreview" zoomScale="70" zoomScaleNormal="85" zoomScaleSheetLayoutView="70" zoomScalePageLayoutView="85" workbookViewId="0">
      <pane xSplit="14" topLeftCell="BO1" activePane="topRight" state="frozen"/>
      <selection pane="topRight" activeCell="CT9" sqref="CT9"/>
    </sheetView>
  </sheetViews>
  <sheetFormatPr defaultRowHeight="16.5" x14ac:dyDescent="0.3"/>
  <cols>
    <col min="1" max="1" width="11.75" customWidth="1"/>
    <col min="2" max="16" width="9" hidden="1" customWidth="1"/>
    <col min="17" max="17" width="9.875" hidden="1" customWidth="1"/>
    <col min="18" max="36" width="9" hidden="1" customWidth="1"/>
    <col min="37" max="37" width="8.5" hidden="1" customWidth="1"/>
    <col min="38" max="47" width="9" hidden="1" customWidth="1"/>
    <col min="48" max="48" width="10" hidden="1" customWidth="1"/>
    <col min="49" max="61" width="9" hidden="1" customWidth="1"/>
    <col min="70" max="70" width="10.375" bestFit="1" customWidth="1"/>
    <col min="71" max="71" width="10.125" customWidth="1"/>
    <col min="100" max="101" width="2.625" customWidth="1"/>
  </cols>
  <sheetData>
    <row r="1" spans="1:103" ht="26.25" x14ac:dyDescent="0.3">
      <c r="A1" s="149" t="s">
        <v>174</v>
      </c>
      <c r="Q1" s="374"/>
      <c r="Y1">
        <v>75.5</v>
      </c>
      <c r="Z1">
        <v>126.9</v>
      </c>
      <c r="AA1">
        <f>(Y1-Z1)/Y1</f>
        <v>-0.68079470198675507</v>
      </c>
      <c r="AB1">
        <v>77.2</v>
      </c>
      <c r="AC1">
        <v>131.19999999999999</v>
      </c>
      <c r="AD1" s="454">
        <f>(AB1-AC1)/AB1</f>
        <v>-0.69948186528497391</v>
      </c>
      <c r="CF1" t="s">
        <v>215</v>
      </c>
      <c r="CG1" s="195">
        <f>AVERAGE(CF13:CG13)</f>
        <v>86.172499999999999</v>
      </c>
    </row>
    <row r="2" spans="1:103" x14ac:dyDescent="0.3">
      <c r="O2" t="s">
        <v>151</v>
      </c>
      <c r="AL2" t="s">
        <v>185</v>
      </c>
      <c r="AV2" s="266"/>
    </row>
    <row r="3" spans="1:103" ht="33" customHeight="1" x14ac:dyDescent="0.3">
      <c r="A3" s="244" t="s">
        <v>91</v>
      </c>
      <c r="B3" s="246">
        <v>44747</v>
      </c>
      <c r="C3" s="246">
        <v>44761</v>
      </c>
      <c r="D3" s="246">
        <v>44783</v>
      </c>
      <c r="E3" s="246">
        <v>44797</v>
      </c>
      <c r="F3" s="246">
        <v>44811</v>
      </c>
      <c r="G3" s="246">
        <v>45191</v>
      </c>
      <c r="H3" s="246">
        <v>45204</v>
      </c>
      <c r="I3" s="246">
        <v>45221</v>
      </c>
      <c r="J3" s="246">
        <v>45232</v>
      </c>
      <c r="K3" s="246">
        <v>45246</v>
      </c>
      <c r="L3" s="246">
        <v>45260</v>
      </c>
      <c r="M3" s="246">
        <v>45273</v>
      </c>
      <c r="N3" s="246">
        <v>45287</v>
      </c>
      <c r="O3" s="245">
        <v>44944</v>
      </c>
      <c r="P3" s="246">
        <v>44957</v>
      </c>
      <c r="Q3" s="246">
        <v>44966</v>
      </c>
      <c r="R3" s="246">
        <v>44980</v>
      </c>
      <c r="S3" s="246">
        <v>44994</v>
      </c>
      <c r="T3" s="246">
        <v>45015</v>
      </c>
      <c r="U3" s="246">
        <v>45033</v>
      </c>
      <c r="V3" s="246">
        <v>45050</v>
      </c>
      <c r="W3" s="246">
        <v>45064</v>
      </c>
      <c r="X3" s="246">
        <v>45078</v>
      </c>
      <c r="Y3" s="246">
        <v>45092</v>
      </c>
      <c r="Z3" s="246">
        <v>45106</v>
      </c>
      <c r="AA3" s="246">
        <v>45120</v>
      </c>
      <c r="AB3" s="246">
        <v>45134</v>
      </c>
      <c r="AC3" s="246">
        <v>45155</v>
      </c>
      <c r="AD3" s="246">
        <v>45169</v>
      </c>
      <c r="AE3" s="246">
        <v>45183</v>
      </c>
      <c r="AF3" s="246">
        <v>45203</v>
      </c>
      <c r="AG3" s="246">
        <v>45225</v>
      </c>
      <c r="AH3" s="246">
        <v>45239</v>
      </c>
      <c r="AI3" s="246">
        <v>45257</v>
      </c>
      <c r="AJ3" s="246">
        <v>45640</v>
      </c>
      <c r="AK3" s="246">
        <v>45654</v>
      </c>
      <c r="AL3" s="246">
        <v>45301</v>
      </c>
      <c r="AM3" s="246">
        <v>45316</v>
      </c>
      <c r="AN3" s="246">
        <v>45329</v>
      </c>
      <c r="AO3" s="246">
        <v>45343</v>
      </c>
      <c r="AP3" s="246">
        <v>45357</v>
      </c>
      <c r="AQ3" s="246">
        <v>45369</v>
      </c>
      <c r="AR3" s="246">
        <v>45385</v>
      </c>
      <c r="AS3" s="246">
        <v>45399</v>
      </c>
      <c r="AT3" s="246">
        <v>45421</v>
      </c>
      <c r="AU3" s="246">
        <v>45434</v>
      </c>
      <c r="AV3" s="246">
        <v>45448</v>
      </c>
      <c r="AW3" s="246">
        <v>45462</v>
      </c>
      <c r="AX3" s="246">
        <v>45476</v>
      </c>
      <c r="AY3" s="246">
        <v>45498</v>
      </c>
      <c r="AZ3" s="246">
        <v>45511</v>
      </c>
      <c r="BA3" s="246">
        <v>45526</v>
      </c>
      <c r="BB3" s="246">
        <v>45541</v>
      </c>
      <c r="BC3" s="246">
        <v>45562</v>
      </c>
      <c r="BD3" s="246">
        <v>45580</v>
      </c>
      <c r="BE3" s="246">
        <v>45593</v>
      </c>
      <c r="BF3" s="246">
        <v>45611</v>
      </c>
      <c r="BG3" s="246">
        <v>45623</v>
      </c>
      <c r="BH3" s="246">
        <v>45639</v>
      </c>
      <c r="BI3" s="246">
        <v>45653</v>
      </c>
      <c r="BJ3" s="246">
        <v>45666</v>
      </c>
      <c r="BK3" s="246">
        <v>45701</v>
      </c>
      <c r="BL3" s="246">
        <v>45716</v>
      </c>
      <c r="BM3" s="246">
        <v>45729</v>
      </c>
      <c r="BN3" s="246">
        <v>45757</v>
      </c>
      <c r="BO3" s="246">
        <v>45764</v>
      </c>
      <c r="BP3" s="246">
        <v>45778</v>
      </c>
      <c r="BQ3" s="246">
        <v>45793</v>
      </c>
      <c r="BR3" s="246">
        <v>45806</v>
      </c>
      <c r="BS3" s="246">
        <v>45820</v>
      </c>
      <c r="BT3" s="246">
        <v>45833</v>
      </c>
      <c r="BU3" s="246">
        <v>45848</v>
      </c>
      <c r="BV3" s="246">
        <v>45862</v>
      </c>
      <c r="BW3" s="246">
        <v>45876</v>
      </c>
      <c r="BX3" s="246">
        <v>45890</v>
      </c>
      <c r="BY3" s="246">
        <v>45904</v>
      </c>
      <c r="BZ3" s="246">
        <v>45917</v>
      </c>
      <c r="CA3" s="246">
        <v>45932</v>
      </c>
      <c r="CB3" s="246">
        <v>45946</v>
      </c>
      <c r="CC3" s="246">
        <v>45959</v>
      </c>
      <c r="CD3" s="246">
        <v>45975</v>
      </c>
      <c r="CE3" s="246">
        <v>45988</v>
      </c>
      <c r="CF3" s="560">
        <v>46002</v>
      </c>
      <c r="CG3" s="560">
        <v>46020</v>
      </c>
      <c r="CH3" s="561">
        <v>46031</v>
      </c>
      <c r="CI3" s="561">
        <v>46051</v>
      </c>
      <c r="CJ3" s="561">
        <v>46057</v>
      </c>
      <c r="CK3" s="561">
        <v>46073</v>
      </c>
      <c r="CL3" s="561">
        <v>46093</v>
      </c>
      <c r="CM3" s="561">
        <v>46114</v>
      </c>
      <c r="CN3" s="561">
        <v>46132</v>
      </c>
      <c r="CO3" s="561">
        <v>46142</v>
      </c>
      <c r="CP3" s="561">
        <v>46163</v>
      </c>
      <c r="CQ3" s="561">
        <v>46192</v>
      </c>
      <c r="CR3" s="561">
        <v>46212</v>
      </c>
      <c r="CS3" s="561">
        <v>46233</v>
      </c>
      <c r="CT3" s="561">
        <v>46247</v>
      </c>
      <c r="CU3" s="561">
        <v>46269</v>
      </c>
    </row>
    <row r="4" spans="1:103" ht="29.25" customHeight="1" x14ac:dyDescent="0.3">
      <c r="A4" s="239" t="s">
        <v>5</v>
      </c>
      <c r="B4" s="238">
        <v>73</v>
      </c>
      <c r="C4" s="238">
        <v>73</v>
      </c>
      <c r="D4" s="238">
        <v>74.5</v>
      </c>
      <c r="E4" s="238">
        <v>74.5</v>
      </c>
      <c r="F4" s="238">
        <v>76.5</v>
      </c>
      <c r="G4" s="238">
        <v>76.5</v>
      </c>
      <c r="H4" s="238">
        <v>84.5</v>
      </c>
      <c r="I4" s="238">
        <v>84.5</v>
      </c>
      <c r="J4" s="238">
        <v>84.5</v>
      </c>
      <c r="K4" s="238">
        <v>80</v>
      </c>
      <c r="L4" s="238">
        <v>74.5</v>
      </c>
      <c r="M4" s="238">
        <v>74.5</v>
      </c>
      <c r="N4" s="238">
        <v>74</v>
      </c>
      <c r="O4" s="238">
        <v>74</v>
      </c>
      <c r="P4" s="238">
        <v>74</v>
      </c>
      <c r="Q4" s="238">
        <v>69.5</v>
      </c>
      <c r="R4" s="238">
        <v>70.5</v>
      </c>
      <c r="S4" s="238">
        <v>71</v>
      </c>
      <c r="T4" s="238">
        <v>70.5</v>
      </c>
      <c r="U4" s="238">
        <v>70.5</v>
      </c>
      <c r="V4" s="238">
        <v>76</v>
      </c>
      <c r="W4" s="238">
        <v>76</v>
      </c>
      <c r="X4" s="238">
        <v>76</v>
      </c>
      <c r="Y4" s="238">
        <v>76</v>
      </c>
      <c r="Z4" s="238">
        <v>78</v>
      </c>
      <c r="AA4" s="238">
        <v>78</v>
      </c>
      <c r="AB4" s="238">
        <v>78</v>
      </c>
      <c r="AC4" s="238">
        <v>78.5</v>
      </c>
      <c r="AD4" s="238">
        <v>79</v>
      </c>
      <c r="AE4" s="238">
        <v>77</v>
      </c>
      <c r="AF4" s="238">
        <v>77</v>
      </c>
      <c r="AG4" s="238">
        <v>78</v>
      </c>
      <c r="AH4" s="238">
        <v>78</v>
      </c>
      <c r="AI4" s="238">
        <v>81</v>
      </c>
      <c r="AJ4" s="238">
        <v>83</v>
      </c>
      <c r="AK4" s="238">
        <v>83</v>
      </c>
      <c r="AL4" s="238">
        <v>82</v>
      </c>
      <c r="AM4" s="238">
        <v>84</v>
      </c>
      <c r="AN4" s="238">
        <v>88</v>
      </c>
      <c r="AO4" s="238">
        <v>95</v>
      </c>
      <c r="AP4" s="238">
        <v>100</v>
      </c>
      <c r="AQ4" s="238">
        <v>102</v>
      </c>
      <c r="AR4" s="238">
        <v>97</v>
      </c>
      <c r="AS4" s="238">
        <v>97</v>
      </c>
      <c r="AT4" s="238">
        <v>97</v>
      </c>
      <c r="AU4" s="238">
        <v>102</v>
      </c>
      <c r="AV4" s="238">
        <v>110</v>
      </c>
      <c r="AW4" s="238">
        <v>113</v>
      </c>
      <c r="AX4" s="238">
        <v>115</v>
      </c>
      <c r="AY4" s="238">
        <v>115</v>
      </c>
      <c r="AZ4" s="238">
        <v>115</v>
      </c>
      <c r="BA4" s="238">
        <v>115</v>
      </c>
      <c r="BB4" s="238">
        <v>115</v>
      </c>
      <c r="BC4" s="238">
        <v>117</v>
      </c>
      <c r="BD4" s="238">
        <v>117</v>
      </c>
      <c r="BE4" s="238">
        <v>116</v>
      </c>
      <c r="BF4" s="238">
        <v>114</v>
      </c>
      <c r="BG4" s="238">
        <v>108</v>
      </c>
      <c r="BH4" s="238">
        <v>98</v>
      </c>
      <c r="BI4" s="238">
        <v>98</v>
      </c>
      <c r="BJ4" s="238">
        <v>98</v>
      </c>
      <c r="BK4" s="238">
        <v>98</v>
      </c>
      <c r="BL4" s="238">
        <v>95</v>
      </c>
      <c r="BM4" s="238">
        <v>94</v>
      </c>
      <c r="BN4" s="238">
        <v>92</v>
      </c>
      <c r="BO4" s="238">
        <v>92</v>
      </c>
      <c r="BP4" s="238">
        <v>92</v>
      </c>
      <c r="BQ4" s="238">
        <v>91</v>
      </c>
      <c r="BR4" s="238">
        <f t="array" ref="BR4">INDEX('DOWN 가격동향'!$DD$10:$AHC$10,MATCH(1,('DOWN 가격동향'!$K$8:$AHC$8='동향 그래프 ~시세반영 '!$A4)*('DOWN 가격동향'!$DD$9:$AHC$9='동향 그래프 ~시세반영 '!BR$3),0))</f>
        <v>91</v>
      </c>
      <c r="BS4" s="238">
        <f t="array" ref="BS4">INDEX('DOWN 가격동향'!$DD$10:$AHC$10,MATCH(1,('DOWN 가격동향'!$K$8:$AHC$8='동향 그래프 ~시세반영 '!$A4)*('DOWN 가격동향'!$DD$9:$AHC$9='동향 그래프 ~시세반영 '!BS$3),0))</f>
        <v>92</v>
      </c>
      <c r="BT4" s="238">
        <f t="array" ref="BT4">INDEX('DOWN 가격동향'!$DD$10:$AHC$10,MATCH(1,('DOWN 가격동향'!$K$8:$AHC$8='동향 그래프 ~시세반영 '!$A4)*('DOWN 가격동향'!$DD$9:$AHC$9='동향 그래프 ~시세반영 '!BT$3),0))</f>
        <v>92</v>
      </c>
      <c r="BU4" s="238">
        <f t="array" ref="BU4">INDEX('DOWN 가격동향'!$DD$10:$AHC$10,MATCH(1,('DOWN 가격동향'!$K$8:$AHC$8='동향 그래프 ~시세반영 '!$A4)*('DOWN 가격동향'!$DD$9:$AHC$9='동향 그래프 ~시세반영 '!BU$3),0))</f>
        <v>91</v>
      </c>
      <c r="BV4" s="238">
        <f t="array" ref="BV4">INDEX('DOWN 가격동향'!$DD$10:$AHC$10,MATCH(1,('DOWN 가격동향'!$K$8:$AHC$8='동향 그래프 ~시세반영 '!$A4)*('DOWN 가격동향'!$DD$9:$AHC$9='동향 그래프 ~시세반영 '!BV$3),0))</f>
        <v>87</v>
      </c>
      <c r="BW4" s="238">
        <f t="array" ref="BW4">INDEX('DOWN 가격동향'!$DD$10:$AHC$10,MATCH(1,('DOWN 가격동향'!$K$8:$AHC$8='동향 그래프 ~시세반영 '!$A4)*('DOWN 가격동향'!$DD$9:$AHC$9='동향 그래프 ~시세반영 '!BW$3),0))</f>
        <v>87</v>
      </c>
      <c r="BX4" s="238">
        <f t="array" ref="BX4">INDEX('DOWN 가격동향'!$DD$10:$AHC$10,MATCH(1,('DOWN 가격동향'!$K$8:$AHC$8='동향 그래프 ~시세반영 '!$A4)*('DOWN 가격동향'!$DD$9:$AHC$9='동향 그래프 ~시세반영 '!BX$3),0))</f>
        <v>87</v>
      </c>
      <c r="BY4" s="238">
        <f t="array" ref="BY4">INDEX('DOWN 가격동향'!$DD$10:$AHC$10,MATCH(1,('DOWN 가격동향'!$K$8:$AHC$8='동향 그래프 ~시세반영 '!$A4)*('DOWN 가격동향'!$DD$9:$AHC$9='동향 그래프 ~시세반영 '!BY$3),0))</f>
        <v>87</v>
      </c>
      <c r="BZ4" s="238">
        <f t="array" ref="BZ4">INDEX('DOWN 가격동향'!$DD$10:$AHC$10,MATCH(1,('DOWN 가격동향'!$K$8:$AHC$8='동향 그래프 ~시세반영 '!$A4)*('DOWN 가격동향'!$DD$9:$AHC$9='동향 그래프 ~시세반영 '!BZ$3),0))</f>
        <v>87</v>
      </c>
      <c r="CA4" s="238">
        <f t="array" ref="CA4">INDEX('DOWN 가격동향'!$DD$10:$AHC$10,MATCH(1,('DOWN 가격동향'!$K$8:$AHC$8='동향 그래프 ~시세반영 '!$A4)*('DOWN 가격동향'!$DD$9:$AHC$9='동향 그래프 ~시세반영 '!CA$3),0))</f>
        <v>88</v>
      </c>
      <c r="CB4" s="238">
        <f t="array" ref="CB4">INDEX('DOWN 가격동향'!$DD$10:$AHC$10,MATCH(1,('DOWN 가격동향'!$K$8:$AHC$8='동향 그래프 ~시세반영 '!$A4)*('DOWN 가격동향'!$DD$9:$AHC$9='동향 그래프 ~시세반영 '!CB$3),0))</f>
        <v>88</v>
      </c>
      <c r="CC4" s="238">
        <f t="array" ref="CC4">INDEX('DOWN 가격동향'!$DD$10:$AHC$10,MATCH(1,('DOWN 가격동향'!$K$8:$AHC$8='동향 그래프 ~시세반영 '!$A4)*('DOWN 가격동향'!$DD$9:$AHC$9='동향 그래프 ~시세반영 '!CC$3),0))</f>
        <v>88</v>
      </c>
      <c r="CD4" s="238">
        <f t="array" ref="CD4">INDEX('DOWN 가격동향'!$DD$10:$AHC$10,MATCH(1,('DOWN 가격동향'!$K$8:$AHC$8='동향 그래프 ~시세반영 '!$A4)*('DOWN 가격동향'!$DD$9:$AHC$9='동향 그래프 ~시세반영 '!CD$3),0))</f>
        <v>88</v>
      </c>
      <c r="CE4" s="238">
        <f t="array" ref="CE4">INDEX('DOWN 가격동향'!$DD$10:$AHC$10,MATCH(1,('DOWN 가격동향'!$K$8:$AHC$8='동향 그래프 ~시세반영 '!$A4)*('DOWN 가격동향'!$DD$9:$AHC$9='동향 그래프 ~시세반영 '!CE$3),0))</f>
        <v>88</v>
      </c>
      <c r="CF4" s="238">
        <f t="array" ref="CF4">INDEX('DOWN 가격동향'!$DD$10:$AHC$10,MATCH(1,('DOWN 가격동향'!$K$8:$AHC$8='동향 그래프 ~시세반영 '!$A4)*('DOWN 가격동향'!$DD$9:$AHC$9='동향 그래프 ~시세반영 '!CF$3),0))</f>
        <v>85.3</v>
      </c>
      <c r="CG4" s="238">
        <f t="array" ref="CG4">INDEX('DOWN 가격동향'!$DD$10:$AHC$10,MATCH(1,('DOWN 가격동향'!$K$8:$AHC$8='동향 그래프 ~시세반영 '!$A4)*('DOWN 가격동향'!$DD$9:$AHC$9='동향 그래프 ~시세반영 '!CG$3),0))</f>
        <v>85.3</v>
      </c>
      <c r="CH4" s="238">
        <f t="array" ref="CH4">INDEX('DOWN 가격동향'!$DD$10:$AHC$10,MATCH(1,('DOWN 가격동향'!$K$8:$AHC$8='동향 그래프 ~시세반영 '!$A4)*('DOWN 가격동향'!$DD$9:$AHC$9='동향 그래프 ~시세반영 '!CH$3),0))</f>
        <v>84</v>
      </c>
      <c r="CI4" s="238">
        <f t="array" ref="CI4">INDEX('DOWN 가격동향'!$DD$10:$AHC$10,MATCH(1,('DOWN 가격동향'!$K$8:$AHC$8='동향 그래프 ~시세반영 '!$A4)*('DOWN 가격동향'!$DD$9:$AHC$9='동향 그래프 ~시세반영 '!CI$3),0))</f>
        <v>84</v>
      </c>
      <c r="CJ4" s="238">
        <f t="array" ref="CJ4">INDEX('DOWN 가격동향'!$DD$10:$AHC$10,MATCH(1,('DOWN 가격동향'!$K$8:$AHC$8='동향 그래프 ~시세반영 '!$A4)*('DOWN 가격동향'!$DD$9:$AHC$9='동향 그래프 ~시세반영 '!CJ$3),0))</f>
        <v>84</v>
      </c>
      <c r="CK4" s="238">
        <f t="array" ref="CK4">INDEX('DOWN 가격동향'!$DD$10:$AHC$10,MATCH(1,('DOWN 가격동향'!$K$8:$AHC$8='동향 그래프 ~시세반영 '!$A4)*('DOWN 가격동향'!$DD$9:$AHC$9='동향 그래프 ~시세반영 '!CK$3),0))</f>
        <v>86</v>
      </c>
      <c r="CL4" s="238">
        <f t="array" ref="CL4">INDEX('DOWN 가격동향'!$DD$10:$AHC$10,MATCH(1,('DOWN 가격동향'!$K$8:$AHC$8='동향 그래프 ~시세반영 '!$A4)*('DOWN 가격동향'!$DD$9:$AHC$9='동향 그래프 ~시세반영 '!CL$3),0))</f>
        <v>95</v>
      </c>
      <c r="CM4" s="238">
        <f t="array" ref="CM4">INDEX('DOWN 가격동향'!$DD$10:$AHC$10,MATCH(1,('DOWN 가격동향'!$K$8:$AHC$8='동향 그래프 ~시세반영 '!$A4)*('DOWN 가격동향'!$DD$9:$AHC$9='동향 그래프 ~시세반영 '!CM$3),0))</f>
        <v>95</v>
      </c>
      <c r="CN4" s="238">
        <f t="array" ref="CN4">INDEX('DOWN 가격동향'!$DD$10:$AHC$10,MATCH(1,('DOWN 가격동향'!$K$8:$AHC$8='동향 그래프 ~시세반영 '!$A4)*('DOWN 가격동향'!$DD$9:$AHC$9='동향 그래프 ~시세반영 '!CN$3),0))</f>
        <v>96</v>
      </c>
      <c r="CO4" s="238">
        <f t="array" ref="CO4">INDEX('DOWN 가격동향'!$DD$10:$AHC$10,MATCH(1,('DOWN 가격동향'!$K$8:$AHC$8='동향 그래프 ~시세반영 '!$A4)*('DOWN 가격동향'!$DD$9:$AHC$9='동향 그래프 ~시세반영 '!CO$3),0))</f>
        <v>96</v>
      </c>
      <c r="CP4" s="238">
        <f t="array" ref="CP4">INDEX('DOWN 가격동향'!$DD$10:$AHC$10,MATCH(1,('DOWN 가격동향'!$K$8:$AHC$8='동향 그래프 ~시세반영 '!$A4)*('DOWN 가격동향'!$DD$9:$AHC$9='동향 그래프 ~시세반영 '!CP$3),0))</f>
        <v>96</v>
      </c>
      <c r="CQ4" s="238">
        <f t="array" ref="CQ4">INDEX('DOWN 가격동향'!$DD$10:$AHC$10,MATCH(1,('DOWN 가격동향'!$K$8:$AHC$8='동향 그래프 ~시세반영 '!$A4)*('DOWN 가격동향'!$DD$9:$AHC$9='동향 그래프 ~시세반영 '!CQ$3),0))</f>
        <v>96</v>
      </c>
      <c r="CR4" s="238">
        <f t="array" ref="CR4">INDEX('DOWN 가격동향'!$DD$10:$AHC$10,MATCH(1,('DOWN 가격동향'!$K$8:$AHC$8='동향 그래프 ~시세반영 '!$A4)*('DOWN 가격동향'!$DD$9:$AHC$9='동향 그래프 ~시세반영 '!CR$3),0))</f>
        <v>96</v>
      </c>
      <c r="CS4" s="238">
        <f t="array" ref="CS4">INDEX('DOWN 가격동향'!$DD$10:$AHC$10,MATCH(1,('DOWN 가격동향'!$K$8:$AHC$8='동향 그래프 ~시세반영 '!$A4)*('DOWN 가격동향'!$DD$9:$AHC$9='동향 그래프 ~시세반영 '!CS$3),0))</f>
        <v>95</v>
      </c>
      <c r="CT4" s="238">
        <f t="array" ref="CT4">INDEX('DOWN 가격동향'!$DD$10:$AHC$10,MATCH(1,('DOWN 가격동향'!$K$8:$AHC$8='동향 그래프 ~시세반영 '!$A4)*('DOWN 가격동향'!$DD$9:$AHC$9='동향 그래프 ~시세반영 '!CT$3),0))</f>
        <v>95</v>
      </c>
      <c r="CU4" s="238">
        <f t="array" ref="CU4">INDEX('DOWN 가격동향'!$DD$10:$BBC$10,MATCH(1,('DOWN 가격동향'!$K$8:$BBC$8='동향 그래프 ~시세반영 '!A4)*('DOWN 가격동향'!$DD$9:$BBC$9='동향 그래프 ~시세반영 '!CU$3),0))</f>
        <v>95</v>
      </c>
    </row>
    <row r="5" spans="1:103" ht="29.25" customHeight="1" x14ac:dyDescent="0.3">
      <c r="A5" s="248" t="s">
        <v>9</v>
      </c>
      <c r="B5" s="249">
        <v>71.5</v>
      </c>
      <c r="C5" s="249">
        <v>73.5</v>
      </c>
      <c r="D5" s="249">
        <v>75.5</v>
      </c>
      <c r="E5" s="249">
        <v>79.5</v>
      </c>
      <c r="F5" s="249">
        <v>75.5</v>
      </c>
      <c r="G5" s="249">
        <v>72.5</v>
      </c>
      <c r="H5" s="249">
        <v>75</v>
      </c>
      <c r="I5" s="249">
        <v>74.5</v>
      </c>
      <c r="J5" s="249">
        <v>73</v>
      </c>
      <c r="K5" s="249">
        <v>72</v>
      </c>
      <c r="L5" s="249">
        <v>71.5</v>
      </c>
      <c r="M5" s="249">
        <v>71</v>
      </c>
      <c r="N5" s="249">
        <v>73.5</v>
      </c>
      <c r="O5" s="249">
        <v>73.5</v>
      </c>
      <c r="P5" s="249">
        <v>73.5</v>
      </c>
      <c r="Q5" s="249">
        <v>70</v>
      </c>
      <c r="R5" s="249">
        <v>85</v>
      </c>
      <c r="S5" s="249">
        <v>88</v>
      </c>
      <c r="T5" s="249">
        <v>91.5</v>
      </c>
      <c r="U5" s="249">
        <v>90</v>
      </c>
      <c r="V5" s="249">
        <v>94</v>
      </c>
      <c r="W5" s="249">
        <v>94</v>
      </c>
      <c r="X5" s="249">
        <v>93.5</v>
      </c>
      <c r="Y5" s="249">
        <v>82.5</v>
      </c>
      <c r="Z5" s="249">
        <v>82.5</v>
      </c>
      <c r="AA5" s="249">
        <v>82.8</v>
      </c>
      <c r="AB5" s="249">
        <v>83</v>
      </c>
      <c r="AC5" s="249">
        <v>82.8</v>
      </c>
      <c r="AD5" s="249">
        <v>83.3</v>
      </c>
      <c r="AE5" s="249">
        <v>83.3</v>
      </c>
      <c r="AF5" s="249">
        <v>90</v>
      </c>
      <c r="AG5" s="249">
        <v>74</v>
      </c>
      <c r="AH5" s="249">
        <v>74</v>
      </c>
      <c r="AI5" s="249">
        <v>75</v>
      </c>
      <c r="AJ5" s="249">
        <v>83.5</v>
      </c>
      <c r="AK5" s="249">
        <v>82</v>
      </c>
      <c r="AL5" s="249">
        <v>83</v>
      </c>
      <c r="AM5" s="249">
        <v>90</v>
      </c>
      <c r="AN5" s="249">
        <v>99.5</v>
      </c>
      <c r="AO5" s="249">
        <v>103</v>
      </c>
      <c r="AP5" s="249">
        <v>107</v>
      </c>
      <c r="AQ5" s="249">
        <v>105</v>
      </c>
      <c r="AR5" s="249">
        <v>104</v>
      </c>
      <c r="AS5" s="249">
        <v>104</v>
      </c>
      <c r="AT5" s="249">
        <v>105</v>
      </c>
      <c r="AU5" s="249">
        <v>107</v>
      </c>
      <c r="AV5" s="249">
        <v>120</v>
      </c>
      <c r="AW5" s="249">
        <v>125</v>
      </c>
      <c r="AX5" s="249">
        <v>123</v>
      </c>
      <c r="AY5" s="249">
        <v>123</v>
      </c>
      <c r="AZ5" s="249">
        <v>122</v>
      </c>
      <c r="BA5" s="249">
        <v>119</v>
      </c>
      <c r="BB5" s="249">
        <v>119</v>
      </c>
      <c r="BC5" s="249">
        <v>115</v>
      </c>
      <c r="BD5" s="249">
        <v>115</v>
      </c>
      <c r="BE5" s="249">
        <v>115</v>
      </c>
      <c r="BF5" s="249">
        <v>114</v>
      </c>
      <c r="BG5" s="249">
        <v>102.5</v>
      </c>
      <c r="BH5" s="249">
        <v>98</v>
      </c>
      <c r="BI5" s="249">
        <v>103.5</v>
      </c>
      <c r="BJ5" s="249">
        <v>103.5</v>
      </c>
      <c r="BK5" s="249">
        <v>102</v>
      </c>
      <c r="BL5" s="249">
        <v>93</v>
      </c>
      <c r="BM5" s="249">
        <v>95</v>
      </c>
      <c r="BN5" s="249">
        <v>91</v>
      </c>
      <c r="BO5" s="249">
        <v>91</v>
      </c>
      <c r="BP5" s="249">
        <v>89</v>
      </c>
      <c r="BQ5" s="249">
        <v>82</v>
      </c>
      <c r="BR5" s="249">
        <f t="array" ref="BR5">INDEX('DOWN 가격동향'!$DD$10:$AHC$10,MATCH(1,('DOWN 가격동향'!$K$8:$AHC$8='동향 그래프 ~시세반영 '!$A5)*('DOWN 가격동향'!$DD$9:$AHC$9='동향 그래프 ~시세반영 '!BR$3),0))</f>
        <v>82</v>
      </c>
      <c r="BS5" s="249">
        <f t="array" ref="BS5">INDEX('DOWN 가격동향'!$DD$10:$AHC$10,MATCH(1,('DOWN 가격동향'!$K$8:$AHC$8='동향 그래프 ~시세반영 '!$A5)*('DOWN 가격동향'!$DD$9:$AHC$9='동향 그래프 ~시세반영 '!BS$3),0))</f>
        <v>85</v>
      </c>
      <c r="BT5" s="249">
        <f t="array" ref="BT5">INDEX('DOWN 가격동향'!$DD$10:$AHC$10,MATCH(1,('DOWN 가격동향'!$K$8:$AHC$8='동향 그래프 ~시세반영 '!$A5)*('DOWN 가격동향'!$DD$9:$AHC$9='동향 그래프 ~시세반영 '!BT$3),0))</f>
        <v>86.6</v>
      </c>
      <c r="BU5" s="249">
        <f t="array" ref="BU5">INDEX('DOWN 가격동향'!$DD$10:$AHC$10,MATCH(1,('DOWN 가격동향'!$K$8:$AHC$8='동향 그래프 ~시세반영 '!$A5)*('DOWN 가격동향'!$DD$9:$AHC$9='동향 그래프 ~시세반영 '!BU$3),0))</f>
        <v>84.6</v>
      </c>
      <c r="BV5" s="249">
        <f t="array" ref="BV5">INDEX('DOWN 가격동향'!$DD$10:$AHC$10,MATCH(1,('DOWN 가격동향'!$K$8:$AHC$8='동향 그래프 ~시세반영 '!$A5)*('DOWN 가격동향'!$DD$9:$AHC$9='동향 그래프 ~시세반영 '!BV$3),0))</f>
        <v>84</v>
      </c>
      <c r="BW5" s="249">
        <f t="array" ref="BW5">INDEX('DOWN 가격동향'!$DD$10:$AHC$10,MATCH(1,('DOWN 가격동향'!$K$8:$AHC$8='동향 그래프 ~시세반영 '!$A5)*('DOWN 가격동향'!$DD$9:$AHC$9='동향 그래프 ~시세반영 '!BW$3),0))</f>
        <v>84</v>
      </c>
      <c r="BX5" s="249">
        <f t="array" ref="BX5">INDEX('DOWN 가격동향'!$DD$10:$AHC$10,MATCH(1,('DOWN 가격동향'!$K$8:$AHC$8='동향 그래프 ~시세반영 '!$A5)*('DOWN 가격동향'!$DD$9:$AHC$9='동향 그래프 ~시세반영 '!BX$3),0))</f>
        <v>84</v>
      </c>
      <c r="BY5" s="249">
        <f t="array" ref="BY5">INDEX('DOWN 가격동향'!$DD$10:$AHC$10,MATCH(1,('DOWN 가격동향'!$K$8:$AHC$8='동향 그래프 ~시세반영 '!$A5)*('DOWN 가격동향'!$DD$9:$AHC$9='동향 그래프 ~시세반영 '!BY$3),0))</f>
        <v>85</v>
      </c>
      <c r="BZ5" s="249">
        <f t="array" ref="BZ5">INDEX('DOWN 가격동향'!$DD$10:$AHC$10,MATCH(1,('DOWN 가격동향'!$K$8:$AHC$8='동향 그래프 ~시세반영 '!$A5)*('DOWN 가격동향'!$DD$9:$AHC$9='동향 그래프 ~시세반영 '!BZ$3),0))</f>
        <v>84</v>
      </c>
      <c r="CA5" s="249">
        <f t="array" ref="CA5">INDEX('DOWN 가격동향'!$DD$10:$AHC$10,MATCH(1,('DOWN 가격동향'!$K$8:$AHC$8='동향 그래프 ~시세반영 '!$A5)*('DOWN 가격동향'!$DD$9:$AHC$9='동향 그래프 ~시세반영 '!CA$3),0))</f>
        <v>84</v>
      </c>
      <c r="CB5" s="249">
        <f t="array" ref="CB5">INDEX('DOWN 가격동향'!$DD$10:$AHC$10,MATCH(1,('DOWN 가격동향'!$K$8:$AHC$8='동향 그래프 ~시세반영 '!$A5)*('DOWN 가격동향'!$DD$9:$AHC$9='동향 그래프 ~시세반영 '!CB$3),0))</f>
        <v>86</v>
      </c>
      <c r="CC5" s="249">
        <f t="array" ref="CC5">INDEX('DOWN 가격동향'!$DD$10:$AHC$10,MATCH(1,('DOWN 가격동향'!$K$8:$AHC$8='동향 그래프 ~시세반영 '!$A5)*('DOWN 가격동향'!$DD$9:$AHC$9='동향 그래프 ~시세반영 '!CC$3),0))</f>
        <v>90</v>
      </c>
      <c r="CD5" s="249">
        <f t="array" ref="CD5">INDEX('DOWN 가격동향'!$DD$10:$AHC$10,MATCH(1,('DOWN 가격동향'!$K$8:$AHC$8='동향 그래프 ~시세반영 '!$A5)*('DOWN 가격동향'!$DD$9:$AHC$9='동향 그래프 ~시세반영 '!CD$3),0))</f>
        <v>95</v>
      </c>
      <c r="CE5" s="249">
        <f t="array" ref="CE5">INDEX('DOWN 가격동향'!$DD$10:$AHC$10,MATCH(1,('DOWN 가격동향'!$K$8:$AHC$8='동향 그래프 ~시세반영 '!$A5)*('DOWN 가격동향'!$DD$9:$AHC$9='동향 그래프 ~시세반영 '!CE$3),0))</f>
        <v>88</v>
      </c>
      <c r="CF5" s="249">
        <f t="array" ref="CF5">INDEX('DOWN 가격동향'!$DD$10:$AHC$10,MATCH(1,('DOWN 가격동향'!$K$8:$AHC$8='동향 그래프 ~시세반영 '!$A5)*('DOWN 가격동향'!$DD$9:$AHC$9='동향 그래프 ~시세반영 '!CF$3),0))</f>
        <v>87</v>
      </c>
      <c r="CG5" s="249">
        <f t="array" ref="CG5">INDEX('DOWN 가격동향'!$DD$10:$AHC$10,MATCH(1,('DOWN 가격동향'!$K$8:$AHC$8='동향 그래프 ~시세반영 '!$A5)*('DOWN 가격동향'!$DD$9:$AHC$9='동향 그래프 ~시세반영 '!CG$3),0))</f>
        <v>87</v>
      </c>
      <c r="CH5" s="249">
        <f t="array" ref="CH5">INDEX('DOWN 가격동향'!$DD$10:$AHC$10,MATCH(1,('DOWN 가격동향'!$K$8:$AHC$8='동향 그래프 ~시세반영 '!$A5)*('DOWN 가격동향'!$DD$9:$AHC$9='동향 그래프 ~시세반영 '!CH$3),0))</f>
        <v>88</v>
      </c>
      <c r="CI5" s="249">
        <f t="array" ref="CI5">INDEX('DOWN 가격동향'!$DD$10:$AHC$10,MATCH(1,('DOWN 가격동향'!$K$8:$AHC$8='동향 그래프 ~시세반영 '!$A5)*('DOWN 가격동향'!$DD$9:$AHC$9='동향 그래프 ~시세반영 '!CI$3),0))</f>
        <v>88</v>
      </c>
      <c r="CJ5" s="249">
        <f t="array" ref="CJ5">INDEX('DOWN 가격동향'!$DD$10:$AHC$10,MATCH(1,('DOWN 가격동향'!$K$8:$AHC$8='동향 그래프 ~시세반영 '!$A5)*('DOWN 가격동향'!$DD$9:$AHC$9='동향 그래프 ~시세반영 '!CJ$3),0))</f>
        <v>91</v>
      </c>
      <c r="CK5" s="249">
        <f t="array" ref="CK5">INDEX('DOWN 가격동향'!$DD$10:$AHC$10,MATCH(1,('DOWN 가격동향'!$K$8:$AHC$8='동향 그래프 ~시세반영 '!$A5)*('DOWN 가격동향'!$DD$9:$AHC$9='동향 그래프 ~시세반영 '!CK$3),0))</f>
        <v>91</v>
      </c>
      <c r="CL5" s="249">
        <f t="array" ref="CL5">INDEX('DOWN 가격동향'!$DD$10:$AHC$10,MATCH(1,('DOWN 가격동향'!$K$8:$AHC$8='동향 그래프 ~시세반영 '!$A5)*('DOWN 가격동향'!$DD$9:$AHC$9='동향 그래프 ~시세반영 '!CL$3),0))</f>
        <v>94</v>
      </c>
      <c r="CM5" s="249">
        <f t="array" ref="CM5">INDEX('DOWN 가격동향'!$DD$10:$AHC$10,MATCH(1,('DOWN 가격동향'!$K$8:$AHC$8='동향 그래프 ~시세반영 '!$A5)*('DOWN 가격동향'!$DD$9:$AHC$9='동향 그래프 ~시세반영 '!CM$3),0))</f>
        <v>94</v>
      </c>
      <c r="CN5" s="249">
        <f t="array" ref="CN5">INDEX('DOWN 가격동향'!$DD$10:$AHC$10,MATCH(1,('DOWN 가격동향'!$K$8:$AHC$8='동향 그래프 ~시세반영 '!$A5)*('DOWN 가격동향'!$DD$9:$AHC$9='동향 그래프 ~시세반영 '!CN$3),0))</f>
        <v>94.5</v>
      </c>
      <c r="CO5" s="249">
        <f t="array" ref="CO5">INDEX('DOWN 가격동향'!$DD$10:$AHC$10,MATCH(1,('DOWN 가격동향'!$K$8:$AHC$8='동향 그래프 ~시세반영 '!$A5)*('DOWN 가격동향'!$DD$9:$AHC$9='동향 그래프 ~시세반영 '!CO$3),0))</f>
        <v>94.5</v>
      </c>
      <c r="CP5" s="249">
        <f t="array" ref="CP5">INDEX('DOWN 가격동향'!$DD$10:$AHC$10,MATCH(1,('DOWN 가격동향'!$K$8:$AHC$8='동향 그래프 ~시세반영 '!$A5)*('DOWN 가격동향'!$DD$9:$AHC$9='동향 그래프 ~시세반영 '!CP$3),0))</f>
        <v>108</v>
      </c>
      <c r="CQ5" s="249">
        <f t="array" ref="CQ5">INDEX('DOWN 가격동향'!$DD$10:$AHC$10,MATCH(1,('DOWN 가격동향'!$K$8:$AHC$8='동향 그래프 ~시세반영 '!$A5)*('DOWN 가격동향'!$DD$9:$AHC$9='동향 그래프 ~시세반영 '!CQ$3),0))</f>
        <v>117</v>
      </c>
      <c r="CR5" s="249">
        <f t="array" ref="CR5">INDEX('DOWN 가격동향'!$DD$10:$AHC$10,MATCH(1,('DOWN 가격동향'!$K$8:$AHC$8='동향 그래프 ~시세반영 '!$A5)*('DOWN 가격동향'!$DD$9:$AHC$9='동향 그래프 ~시세반영 '!CR$3),0))</f>
        <v>117</v>
      </c>
      <c r="CS5" s="249">
        <f t="array" ref="CS5">INDEX('DOWN 가격동향'!$DD$10:$AHC$10,MATCH(1,('DOWN 가격동향'!$K$8:$AHC$8='동향 그래프 ~시세반영 '!$A5)*('DOWN 가격동향'!$DD$9:$AHC$9='동향 그래프 ~시세반영 '!CS$3),0))</f>
        <v>107</v>
      </c>
      <c r="CT5" s="249">
        <f t="array" ref="CT5">INDEX('DOWN 가격동향'!$DD$10:$AHC$10,MATCH(1,('DOWN 가격동향'!$K$8:$AHC$8='동향 그래프 ~시세반영 '!$A5)*('DOWN 가격동향'!$DD$9:$AHC$9='동향 그래프 ~시세반영 '!CT$3),0))</f>
        <v>107</v>
      </c>
      <c r="CU5" s="249">
        <f t="array" ref="CU5">INDEX('DOWN 가격동향'!$DD$10:$BBC$10,MATCH(1,('DOWN 가격동향'!$K$8:$BBC$8='동향 그래프 ~시세반영 '!A5)*('DOWN 가격동향'!$DD$9:$BBC$9='동향 그래프 ~시세반영 '!CU$3),0))</f>
        <v>110</v>
      </c>
    </row>
    <row r="6" spans="1:103" ht="29.25" customHeight="1" x14ac:dyDescent="0.3">
      <c r="A6" s="239" t="s">
        <v>7</v>
      </c>
      <c r="B6" s="238">
        <v>66.3</v>
      </c>
      <c r="C6" s="238">
        <v>66.3</v>
      </c>
      <c r="D6" s="238">
        <v>66.3</v>
      </c>
      <c r="E6" s="238">
        <v>66.3</v>
      </c>
      <c r="F6" s="238">
        <v>72.3</v>
      </c>
      <c r="G6" s="238">
        <v>72.3</v>
      </c>
      <c r="H6" s="238">
        <v>71</v>
      </c>
      <c r="I6" s="238">
        <v>71</v>
      </c>
      <c r="J6" s="238">
        <v>69</v>
      </c>
      <c r="K6" s="238">
        <v>69</v>
      </c>
      <c r="L6" s="238">
        <v>69</v>
      </c>
      <c r="M6" s="238">
        <v>67</v>
      </c>
      <c r="N6" s="238">
        <v>67</v>
      </c>
      <c r="O6" s="238">
        <v>67</v>
      </c>
      <c r="P6" s="238">
        <v>67</v>
      </c>
      <c r="Q6" s="238">
        <v>75.3</v>
      </c>
      <c r="R6" s="238">
        <v>75.3</v>
      </c>
      <c r="S6" s="238">
        <v>71.3</v>
      </c>
      <c r="T6" s="238">
        <v>75.3</v>
      </c>
      <c r="U6" s="238">
        <v>75.3</v>
      </c>
      <c r="V6" s="238">
        <v>72.3</v>
      </c>
      <c r="W6" s="238">
        <v>72.3</v>
      </c>
      <c r="X6" s="238">
        <v>72.3</v>
      </c>
      <c r="Y6" s="238">
        <v>72.3</v>
      </c>
      <c r="Z6" s="238">
        <v>72.3</v>
      </c>
      <c r="AA6" s="238">
        <v>72.3</v>
      </c>
      <c r="AB6" s="238">
        <v>72.3</v>
      </c>
      <c r="AC6" s="238">
        <v>72.3</v>
      </c>
      <c r="AD6" s="238">
        <v>72.3</v>
      </c>
      <c r="AE6" s="238">
        <v>72.3</v>
      </c>
      <c r="AF6" s="238">
        <v>73</v>
      </c>
      <c r="AG6" s="238">
        <v>72</v>
      </c>
      <c r="AH6" s="238">
        <v>73</v>
      </c>
      <c r="AI6" s="238">
        <v>76</v>
      </c>
      <c r="AJ6" s="238">
        <v>79</v>
      </c>
      <c r="AK6" s="238">
        <v>79</v>
      </c>
      <c r="AL6" s="238">
        <v>78</v>
      </c>
      <c r="AM6" s="238">
        <v>90</v>
      </c>
      <c r="AN6" s="238">
        <v>100</v>
      </c>
      <c r="AO6" s="238">
        <v>105</v>
      </c>
      <c r="AP6" s="238">
        <v>105</v>
      </c>
      <c r="AQ6" s="238">
        <v>105</v>
      </c>
      <c r="AR6" s="238">
        <v>110</v>
      </c>
      <c r="AS6" s="238">
        <v>110</v>
      </c>
      <c r="AT6" s="238">
        <v>105</v>
      </c>
      <c r="AU6" s="238">
        <v>115</v>
      </c>
      <c r="AV6" s="238">
        <v>128</v>
      </c>
      <c r="AW6" s="238">
        <v>128</v>
      </c>
      <c r="AX6" s="238">
        <v>132</v>
      </c>
      <c r="AY6" s="238">
        <v>132</v>
      </c>
      <c r="AZ6" s="238">
        <v>118</v>
      </c>
      <c r="BA6" s="238">
        <v>114</v>
      </c>
      <c r="BB6" s="238">
        <v>114</v>
      </c>
      <c r="BC6" s="238">
        <v>114</v>
      </c>
      <c r="BD6" s="238">
        <v>113</v>
      </c>
      <c r="BE6" s="238">
        <v>108</v>
      </c>
      <c r="BF6" s="238">
        <v>103</v>
      </c>
      <c r="BG6" s="238">
        <v>99</v>
      </c>
      <c r="BH6" s="238">
        <v>87.3</v>
      </c>
      <c r="BI6" s="238">
        <v>89.3</v>
      </c>
      <c r="BJ6" s="238">
        <v>86.3</v>
      </c>
      <c r="BK6" s="238">
        <v>86.3</v>
      </c>
      <c r="BL6" s="238">
        <v>86.3</v>
      </c>
      <c r="BM6" s="238">
        <v>86.3</v>
      </c>
      <c r="BN6" s="238">
        <v>85</v>
      </c>
      <c r="BO6" s="238">
        <v>80.3</v>
      </c>
      <c r="BP6" s="238">
        <v>79.3</v>
      </c>
      <c r="BQ6" s="238">
        <v>82.8</v>
      </c>
      <c r="BR6" s="238">
        <f t="array" ref="BR6">INDEX('DOWN 가격동향'!$DD$10:$AHC$10,MATCH(1,('DOWN 가격동향'!$K$8:$AHC$8='동향 그래프 ~시세반영 '!$A6)*('DOWN 가격동향'!$DD$9:$AHC$9='동향 그래프 ~시세반영 '!BR$3),0))</f>
        <v>86.3</v>
      </c>
      <c r="BS6" s="238">
        <f t="array" ref="BS6">INDEX('DOWN 가격동향'!$DD$10:$AHC$10,MATCH(1,('DOWN 가격동향'!$K$8:$AHC$8='동향 그래프 ~시세반영 '!$A6)*('DOWN 가격동향'!$DD$9:$AHC$9='동향 그래프 ~시세반영 '!BS$3),0))</f>
        <v>84.3</v>
      </c>
      <c r="BT6" s="238">
        <f t="array" ref="BT6">INDEX('DOWN 가격동향'!$DD$10:$AHC$10,MATCH(1,('DOWN 가격동향'!$K$8:$AHC$8='동향 그래프 ~시세반영 '!$A6)*('DOWN 가격동향'!$DD$9:$AHC$9='동향 그래프 ~시세반영 '!BT$3),0))</f>
        <v>84.3</v>
      </c>
      <c r="BU6" s="238">
        <f t="array" ref="BU6">INDEX('DOWN 가격동향'!$DD$10:$AHC$10,MATCH(1,('DOWN 가격동향'!$K$8:$AHC$8='동향 그래프 ~시세반영 '!$A6)*('DOWN 가격동향'!$DD$9:$AHC$9='동향 그래프 ~시세반영 '!BU$3),0))</f>
        <v>81.3</v>
      </c>
      <c r="BV6" s="238">
        <f t="array" ref="BV6">INDEX('DOWN 가격동향'!$DD$10:$AHC$10,MATCH(1,('DOWN 가격동향'!$K$8:$AHC$8='동향 그래프 ~시세반영 '!$A6)*('DOWN 가격동향'!$DD$9:$AHC$9='동향 그래프 ~시세반영 '!BV$3),0))</f>
        <v>81.3</v>
      </c>
      <c r="BW6" s="238">
        <f t="array" ref="BW6">INDEX('DOWN 가격동향'!$DD$10:$AHC$10,MATCH(1,('DOWN 가격동향'!$K$8:$AHC$8='동향 그래프 ~시세반영 '!$A6)*('DOWN 가격동향'!$DD$9:$AHC$9='동향 그래프 ~시세반영 '!BW$3),0))</f>
        <v>81.3</v>
      </c>
      <c r="BX6" s="238">
        <f t="array" ref="BX6">INDEX('DOWN 가격동향'!$DD$10:$AHC$10,MATCH(1,('DOWN 가격동향'!$K$8:$AHC$8='동향 그래프 ~시세반영 '!$A6)*('DOWN 가격동향'!$DD$9:$AHC$9='동향 그래프 ~시세반영 '!BX$3),0))</f>
        <v>81.3</v>
      </c>
      <c r="BY6" s="238">
        <f t="array" ref="BY6">INDEX('DOWN 가격동향'!$DD$10:$AHC$10,MATCH(1,('DOWN 가격동향'!$K$8:$AHC$8='동향 그래프 ~시세반영 '!$A6)*('DOWN 가격동향'!$DD$9:$AHC$9='동향 그래프 ~시세반영 '!BY$3),0))</f>
        <v>81.3</v>
      </c>
      <c r="BZ6" s="238">
        <f t="array" ref="BZ6">INDEX('DOWN 가격동향'!$DD$10:$AHC$10,MATCH(1,('DOWN 가격동향'!$K$8:$AHC$8='동향 그래프 ~시세반영 '!$A6)*('DOWN 가격동향'!$DD$9:$AHC$9='동향 그래프 ~시세반영 '!BZ$3),0))</f>
        <v>80.3</v>
      </c>
      <c r="CA6" s="238">
        <f t="array" ref="CA6">INDEX('DOWN 가격동향'!$DD$10:$AHC$10,MATCH(1,('DOWN 가격동향'!$K$8:$AHC$8='동향 그래프 ~시세반영 '!$A6)*('DOWN 가격동향'!$DD$9:$AHC$9='동향 그래프 ~시세반영 '!CA$3),0))</f>
        <v>80.3</v>
      </c>
      <c r="CB6" s="238">
        <f t="array" ref="CB6">INDEX('DOWN 가격동향'!$DD$10:$AHC$10,MATCH(1,('DOWN 가격동향'!$K$8:$AHC$8='동향 그래프 ~시세반영 '!$A6)*('DOWN 가격동향'!$DD$9:$AHC$9='동향 그래프 ~시세반영 '!CB$3),0))</f>
        <v>80</v>
      </c>
      <c r="CC6" s="238">
        <f t="array" ref="CC6">INDEX('DOWN 가격동향'!$DD$10:$AHC$10,MATCH(1,('DOWN 가격동향'!$K$8:$AHC$8='동향 그래프 ~시세반영 '!$A6)*('DOWN 가격동향'!$DD$9:$AHC$9='동향 그래프 ~시세반영 '!CC$3),0))</f>
        <v>81.3</v>
      </c>
      <c r="CD6" s="238">
        <f t="array" ref="CD6">INDEX('DOWN 가격동향'!$DD$10:$AHC$10,MATCH(1,('DOWN 가격동향'!$K$8:$AHC$8='동향 그래프 ~시세반영 '!$A6)*('DOWN 가격동향'!$DD$9:$AHC$9='동향 그래프 ~시세반영 '!CD$3),0))</f>
        <v>89.3</v>
      </c>
      <c r="CE6" s="238">
        <f t="array" ref="CE6">INDEX('DOWN 가격동향'!$DD$10:$AHC$10,MATCH(1,('DOWN 가격동향'!$K$8:$AHC$8='동향 그래프 ~시세반영 '!$A6)*('DOWN 가격동향'!$DD$9:$AHC$9='동향 그래프 ~시세반영 '!CE$3),0))</f>
        <v>87.3</v>
      </c>
      <c r="CF6" s="238">
        <f t="array" ref="CF6">INDEX('DOWN 가격동향'!$DD$10:$AHC$10,MATCH(1,('DOWN 가격동향'!$K$8:$AHC$8='동향 그래프 ~시세반영 '!$A6)*('DOWN 가격동향'!$DD$9:$AHC$9='동향 그래프 ~시세반영 '!CF$3),0))</f>
        <v>85.3</v>
      </c>
      <c r="CG6" s="238">
        <f t="array" ref="CG6">INDEX('DOWN 가격동향'!$DD$10:$AHC$10,MATCH(1,('DOWN 가격동향'!$K$8:$AHC$8='동향 그래프 ~시세반영 '!$A6)*('DOWN 가격동향'!$DD$9:$AHC$9='동향 그래프 ~시세반영 '!CG$3),0))</f>
        <v>79.3</v>
      </c>
      <c r="CH6" s="238">
        <f t="array" ref="CH6">INDEX('DOWN 가격동향'!$DD$10:$AHC$10,MATCH(1,('DOWN 가격동향'!$K$8:$AHC$8='동향 그래프 ~시세반영 '!$A6)*('DOWN 가격동향'!$DD$9:$AHC$9='동향 그래프 ~시세반영 '!CH$3),0))</f>
        <v>78</v>
      </c>
      <c r="CI6" s="238">
        <f t="array" ref="CI6">INDEX('DOWN 가격동향'!$DD$10:$AHC$10,MATCH(1,('DOWN 가격동향'!$K$8:$AHC$8='동향 그래프 ~시세반영 '!$A6)*('DOWN 가격동향'!$DD$9:$AHC$9='동향 그래프 ~시세반영 '!CI$3),0))</f>
        <v>78.5</v>
      </c>
      <c r="CJ6" s="238">
        <f t="array" ref="CJ6">INDEX('DOWN 가격동향'!$DD$10:$AHC$10,MATCH(1,('DOWN 가격동향'!$K$8:$AHC$8='동향 그래프 ~시세반영 '!$A6)*('DOWN 가격동향'!$DD$9:$AHC$9='동향 그래프 ~시세반영 '!CJ$3),0))</f>
        <v>78.8</v>
      </c>
      <c r="CK6" s="238">
        <f t="array" ref="CK6">INDEX('DOWN 가격동향'!$DD$10:$AHC$10,MATCH(1,('DOWN 가격동향'!$K$8:$AHC$8='동향 그래프 ~시세반영 '!$A6)*('DOWN 가격동향'!$DD$9:$AHC$9='동향 그래프 ~시세반영 '!CK$3),0))</f>
        <v>79.8</v>
      </c>
      <c r="CL6" s="238">
        <f t="array" ref="CL6">INDEX('DOWN 가격동향'!$DD$10:$AHC$10,MATCH(1,('DOWN 가격동향'!$K$8:$AHC$8='동향 그래프 ~시세반영 '!$A6)*('DOWN 가격동향'!$DD$9:$AHC$9='동향 그래프 ~시세반영 '!CL$3),0))</f>
        <v>90</v>
      </c>
      <c r="CM6" s="238">
        <f t="array" ref="CM6">INDEX('DOWN 가격동향'!$DD$10:$AHC$10,MATCH(1,('DOWN 가격동향'!$K$8:$AHC$8='동향 그래프 ~시세반영 '!$A6)*('DOWN 가격동향'!$DD$9:$AHC$9='동향 그래프 ~시세반영 '!CM$3),0))</f>
        <v>102</v>
      </c>
      <c r="CN6" s="238">
        <f t="array" ref="CN6">INDEX('DOWN 가격동향'!$DD$10:$AHC$10,MATCH(1,('DOWN 가격동향'!$K$8:$AHC$8='동향 그래프 ~시세반영 '!$A6)*('DOWN 가격동향'!$DD$9:$AHC$9='동향 그래프 ~시세반영 '!CN$3),0))</f>
        <v>95</v>
      </c>
      <c r="CO6" s="238">
        <f t="array" ref="CO6">INDEX('DOWN 가격동향'!$DD$10:$AHC$10,MATCH(1,('DOWN 가격동향'!$K$8:$AHC$8='동향 그래프 ~시세반영 '!$A6)*('DOWN 가격동향'!$DD$9:$AHC$9='동향 그래프 ~시세반영 '!CO$3),0))</f>
        <v>89</v>
      </c>
      <c r="CP6" s="238">
        <f t="array" ref="CP6">INDEX('DOWN 가격동향'!$DD$10:$AHC$10,MATCH(1,('DOWN 가격동향'!$K$8:$AHC$8='동향 그래프 ~시세반영 '!$A6)*('DOWN 가격동향'!$DD$9:$AHC$9='동향 그래프 ~시세반영 '!CP$3),0))</f>
        <v>89</v>
      </c>
      <c r="CQ6" s="238">
        <f t="array" ref="CQ6">INDEX('DOWN 가격동향'!$DD$10:$AHC$10,MATCH(1,('DOWN 가격동향'!$K$8:$AHC$8='동향 그래프 ~시세반영 '!$A6)*('DOWN 가격동향'!$DD$9:$AHC$9='동향 그래프 ~시세반영 '!CQ$3),0))</f>
        <v>96</v>
      </c>
      <c r="CR6" s="238">
        <f t="array" ref="CR6">INDEX('DOWN 가격동향'!$DD$10:$AHC$10,MATCH(1,('DOWN 가격동향'!$K$8:$AHC$8='동향 그래프 ~시세반영 '!$A6)*('DOWN 가격동향'!$DD$9:$AHC$9='동향 그래프 ~시세반영 '!CR$3),0))</f>
        <v>0</v>
      </c>
      <c r="CS6" s="238">
        <f t="array" ref="CS6">INDEX('DOWN 가격동향'!$DD$10:$AHC$10,MATCH(1,('DOWN 가격동향'!$K$8:$AHC$8='동향 그래프 ~시세반영 '!$A6)*('DOWN 가격동향'!$DD$9:$AHC$9='동향 그래프 ~시세반영 '!CS$3),0))</f>
        <v>0</v>
      </c>
      <c r="CT6" s="238">
        <f t="array" ref="CT6">INDEX('DOWN 가격동향'!$DD$10:$AHC$10,MATCH(1,('DOWN 가격동향'!$K$8:$AHC$8='동향 그래프 ~시세반영 '!$A6)*('DOWN 가격동향'!$DD$9:$AHC$9='동향 그래프 ~시세반영 '!CT$3),0))</f>
        <v>0</v>
      </c>
      <c r="CU6" s="238">
        <f t="array" ref="CU6">INDEX('DOWN 가격동향'!$DD$10:$BBC$10,MATCH(1,('DOWN 가격동향'!$K$8:$BBC$8='동향 그래프 ~시세반영 '!A6)*('DOWN 가격동향'!$DD$9:$BBC$9='동향 그래프 ~시세반영 '!CU$3),0))</f>
        <v>0</v>
      </c>
    </row>
    <row r="7" spans="1:103" ht="29.25" customHeight="1" x14ac:dyDescent="0.3">
      <c r="A7" s="248" t="s">
        <v>201</v>
      </c>
      <c r="B7" s="249">
        <v>68.400000000000006</v>
      </c>
      <c r="C7" s="249">
        <v>72</v>
      </c>
      <c r="D7" s="249">
        <v>72</v>
      </c>
      <c r="E7" s="249">
        <v>76.5</v>
      </c>
      <c r="F7" s="249">
        <v>74.5</v>
      </c>
      <c r="G7" s="249">
        <v>74.459999999999994</v>
      </c>
      <c r="H7" s="249">
        <v>71.650000000000006</v>
      </c>
      <c r="I7" s="249">
        <v>71.650000000000006</v>
      </c>
      <c r="J7" s="249">
        <v>71.650000000000006</v>
      </c>
      <c r="K7" s="249">
        <v>71.650000000000006</v>
      </c>
      <c r="L7" s="249">
        <v>71.069999999999993</v>
      </c>
      <c r="M7" s="249">
        <v>71.069999999999993</v>
      </c>
      <c r="N7" s="249">
        <v>69.12</v>
      </c>
      <c r="O7" s="249">
        <v>69.12</v>
      </c>
      <c r="P7" s="249">
        <v>69.12</v>
      </c>
      <c r="Q7" s="249">
        <v>77.2</v>
      </c>
      <c r="R7" s="249">
        <v>82.7</v>
      </c>
      <c r="S7" s="249">
        <v>82.7</v>
      </c>
      <c r="T7" s="249">
        <v>79.8</v>
      </c>
      <c r="U7" s="249">
        <v>79.8</v>
      </c>
      <c r="V7" s="249">
        <v>79.8</v>
      </c>
      <c r="W7" s="249">
        <v>79.3</v>
      </c>
      <c r="X7" s="249">
        <v>78.3</v>
      </c>
      <c r="Y7" s="249">
        <v>77.8</v>
      </c>
      <c r="Z7" s="249">
        <v>77.8</v>
      </c>
      <c r="AA7" s="249">
        <v>77.400000000000006</v>
      </c>
      <c r="AB7" s="249">
        <v>77.400000000000006</v>
      </c>
      <c r="AC7" s="249">
        <v>79.3</v>
      </c>
      <c r="AD7" s="249">
        <v>79.3</v>
      </c>
      <c r="AE7" s="249">
        <v>78.8</v>
      </c>
      <c r="AF7" s="249">
        <v>78.8</v>
      </c>
      <c r="AG7" s="249">
        <v>75.900000000000006</v>
      </c>
      <c r="AH7" s="249">
        <v>76.2</v>
      </c>
      <c r="AI7" s="249">
        <v>81.3</v>
      </c>
      <c r="AJ7" s="249">
        <v>97.2</v>
      </c>
      <c r="AK7" s="249">
        <v>97.2</v>
      </c>
      <c r="AL7" s="249">
        <v>104.6</v>
      </c>
      <c r="AM7" s="249">
        <v>109.1</v>
      </c>
      <c r="AN7" s="249">
        <v>109.1</v>
      </c>
      <c r="AO7" s="249">
        <v>112.1</v>
      </c>
      <c r="AP7" s="249">
        <v>112.1</v>
      </c>
      <c r="AQ7" s="249">
        <v>118.6</v>
      </c>
      <c r="AR7" s="249">
        <v>125.5</v>
      </c>
      <c r="AS7" s="249">
        <v>125.5</v>
      </c>
      <c r="AT7" s="249">
        <v>129.69999999999999</v>
      </c>
      <c r="AU7" s="249">
        <v>129.69999999999999</v>
      </c>
      <c r="AV7" s="249">
        <v>138.1</v>
      </c>
      <c r="AW7" s="249">
        <v>138.1</v>
      </c>
      <c r="AX7" s="249">
        <v>138.1</v>
      </c>
      <c r="AY7" s="249">
        <v>138.1</v>
      </c>
      <c r="AZ7" s="249">
        <v>138.9</v>
      </c>
      <c r="BA7" s="249">
        <v>138.9</v>
      </c>
      <c r="BB7" s="249">
        <v>138.1</v>
      </c>
      <c r="BC7" s="249">
        <v>124.1</v>
      </c>
      <c r="BD7" s="249">
        <v>124.1</v>
      </c>
      <c r="BE7" s="249">
        <v>125.7</v>
      </c>
      <c r="BF7" s="249">
        <v>102.4</v>
      </c>
      <c r="BG7" s="249">
        <v>99</v>
      </c>
      <c r="BH7" s="249">
        <v>92.1</v>
      </c>
      <c r="BI7" s="249">
        <v>92.1</v>
      </c>
      <c r="BJ7" s="249">
        <v>86.3</v>
      </c>
      <c r="BK7" s="249">
        <v>88.4</v>
      </c>
      <c r="BL7" s="249">
        <v>85.1</v>
      </c>
      <c r="BM7" s="249">
        <v>85.1</v>
      </c>
      <c r="BN7" s="249">
        <v>81.900000000000006</v>
      </c>
      <c r="BO7" s="249">
        <v>80.2</v>
      </c>
      <c r="BP7" s="249">
        <v>80.2</v>
      </c>
      <c r="BQ7" s="249">
        <v>77</v>
      </c>
      <c r="BR7" s="249">
        <f t="array" ref="BR7">INDEX('DOWN 가격동향'!$DD$10:$AHC$10,MATCH(1,('DOWN 가격동향'!$K$8:$AHC$8='동향 그래프 ~시세반영 '!$A7)*('DOWN 가격동향'!$DD$9:$AHC$9='동향 그래프 ~시세반영 '!BR$3),0))</f>
        <v>79.099999999999994</v>
      </c>
      <c r="BS7" s="249">
        <f t="array" ref="BS7">INDEX('DOWN 가격동향'!$DD$10:$AHC$10,MATCH(1,('DOWN 가격동향'!$K$8:$AHC$8='동향 그래프 ~시세반영 '!$A7)*('DOWN 가격동향'!$DD$9:$AHC$9='동향 그래프 ~시세반영 '!BS$3),0))</f>
        <v>79.099999999999994</v>
      </c>
      <c r="BT7" s="249">
        <f t="array" ref="BT7">INDEX('DOWN 가격동향'!$DD$10:$AHC$10,MATCH(1,('DOWN 가격동향'!$K$8:$AHC$8='동향 그래프 ~시세반영 '!$A7)*('DOWN 가격동향'!$DD$9:$AHC$9='동향 그래프 ~시세반영 '!BT$3),0))</f>
        <v>79.099999999999994</v>
      </c>
      <c r="BU7" s="249">
        <f t="array" ref="BU7">INDEX('DOWN 가격동향'!$DD$10:$AHC$10,MATCH(1,('DOWN 가격동향'!$K$8:$AHC$8='동향 그래프 ~시세반영 '!$A7)*('DOWN 가격동향'!$DD$9:$AHC$9='동향 그래프 ~시세반영 '!BU$3),0))</f>
        <v>76.3</v>
      </c>
      <c r="BV7" s="249">
        <f t="array" ref="BV7">INDEX('DOWN 가격동향'!$DD$10:$AHC$10,MATCH(1,('DOWN 가격동향'!$K$8:$AHC$8='동향 그래프 ~시세반영 '!$A7)*('DOWN 가격동향'!$DD$9:$AHC$9='동향 그래프 ~시세반영 '!BV$3),0))</f>
        <v>75.8</v>
      </c>
      <c r="BW7" s="249">
        <f t="array" ref="BW7">INDEX('DOWN 가격동향'!$DD$10:$AHC$10,MATCH(1,('DOWN 가격동향'!$K$8:$AHC$8='동향 그래프 ~시세반영 '!$A7)*('DOWN 가격동향'!$DD$9:$AHC$9='동향 그래프 ~시세반영 '!BW$3),0))</f>
        <v>75.8</v>
      </c>
      <c r="BX7" s="249">
        <f t="array" ref="BX7">INDEX('DOWN 가격동향'!$DD$10:$AHC$10,MATCH(1,('DOWN 가격동향'!$K$8:$AHC$8='동향 그래프 ~시세반영 '!$A7)*('DOWN 가격동향'!$DD$9:$AHC$9='동향 그래프 ~시세반영 '!BX$3),0))</f>
        <v>78.3</v>
      </c>
      <c r="BY7" s="249">
        <f t="array" ref="BY7">INDEX('DOWN 가격동향'!$DD$10:$AHC$10,MATCH(1,('DOWN 가격동향'!$K$8:$AHC$8='동향 그래프 ~시세반영 '!$A7)*('DOWN 가격동향'!$DD$9:$AHC$9='동향 그래프 ~시세반영 '!BY$3),0))</f>
        <v>85.7</v>
      </c>
      <c r="BZ7" s="249">
        <f t="array" ref="BZ7">INDEX('DOWN 가격동향'!$DD$10:$AHC$10,MATCH(1,('DOWN 가격동향'!$K$8:$AHC$8='동향 그래프 ~시세반영 '!$A7)*('DOWN 가격동향'!$DD$9:$AHC$9='동향 그래프 ~시세반영 '!BZ$3),0))</f>
        <v>85.7</v>
      </c>
      <c r="CA7" s="249">
        <f t="array" ref="CA7">INDEX('DOWN 가격동향'!$DD$10:$AHC$10,MATCH(1,('DOWN 가격동향'!$K$8:$AHC$8='동향 그래프 ~시세반영 '!$A7)*('DOWN 가격동향'!$DD$9:$AHC$9='동향 그래프 ~시세반영 '!CA$3),0))</f>
        <v>85.7</v>
      </c>
      <c r="CB7" s="249">
        <f t="array" ref="CB7">INDEX('DOWN 가격동향'!$DD$10:$AHC$10,MATCH(1,('DOWN 가격동향'!$K$8:$AHC$8='동향 그래프 ~시세반영 '!$A7)*('DOWN 가격동향'!$DD$9:$AHC$9='동향 그래프 ~시세반영 '!CB$3),0))</f>
        <v>85.7</v>
      </c>
      <c r="CC7" s="249">
        <f t="array" ref="CC7">INDEX('DOWN 가격동향'!$DD$10:$AHC$10,MATCH(1,('DOWN 가격동향'!$K$8:$AHC$8='동향 그래프 ~시세반영 '!$A7)*('DOWN 가격동향'!$DD$9:$AHC$9='동향 그래프 ~시세반영 '!CC$3),0))</f>
        <v>88.9</v>
      </c>
      <c r="CD7" s="249">
        <f t="array" ref="CD7">INDEX('DOWN 가격동향'!$DD$10:$AHC$10,MATCH(1,('DOWN 가격동향'!$K$8:$AHC$8='동향 그래프 ~시세반영 '!$A7)*('DOWN 가격동향'!$DD$9:$AHC$9='동향 그래프 ~시세반영 '!CD$3),0))</f>
        <v>80.3</v>
      </c>
      <c r="CE7" s="249">
        <f t="array" ref="CE7">INDEX('DOWN 가격동향'!$DD$10:$AHC$10,MATCH(1,('DOWN 가격동향'!$K$8:$AHC$8='동향 그래프 ~시세반영 '!$A7)*('DOWN 가격동향'!$DD$9:$AHC$9='동향 그래프 ~시세반영 '!CE$3),0))</f>
        <v>88.9</v>
      </c>
      <c r="CF7" s="249">
        <f t="array" ref="CF7">INDEX('DOWN 가격동향'!$DD$10:$AHC$10,MATCH(1,('DOWN 가격동향'!$K$8:$AHC$8='동향 그래프 ~시세반영 '!$A7)*('DOWN 가격동향'!$DD$9:$AHC$9='동향 그래프 ~시세반영 '!CF$3),0))</f>
        <v>81.88</v>
      </c>
      <c r="CG7" s="249">
        <f t="array" ref="CG7">INDEX('DOWN 가격동향'!$DD$10:$AHC$10,MATCH(1,('DOWN 가격동향'!$K$8:$AHC$8='동향 그래프 ~시세반영 '!$A7)*('DOWN 가격동향'!$DD$9:$AHC$9='동향 그래프 ~시세반영 '!CG$3),0))</f>
        <v>81.88</v>
      </c>
      <c r="CH7" s="249">
        <f t="array" ref="CH7">INDEX('DOWN 가격동향'!$DD$10:$AHC$10,MATCH(1,('DOWN 가격동향'!$K$8:$AHC$8='동향 그래프 ~시세반영 '!$A7)*('DOWN 가격동향'!$DD$9:$AHC$9='동향 그래프 ~시세반영 '!CH$3),0))</f>
        <v>84.27</v>
      </c>
      <c r="CI7" s="249">
        <f t="array" ref="CI7">INDEX('DOWN 가격동향'!$DD$10:$AHC$10,MATCH(1,('DOWN 가격동향'!$K$8:$AHC$8='동향 그래프 ~시세반영 '!$A7)*('DOWN 가격동향'!$DD$9:$AHC$9='동향 그래프 ~시세반영 '!CI$3),0))</f>
        <v>93.44</v>
      </c>
      <c r="CJ7" s="249">
        <f t="array" ref="CJ7">INDEX('DOWN 가격동향'!$DD$10:$AHC$10,MATCH(1,('DOWN 가격동향'!$K$8:$AHC$8='동향 그래프 ~시세반영 '!$A7)*('DOWN 가격동향'!$DD$9:$AHC$9='동향 그래프 ~시세반영 '!CJ$3),0))</f>
        <v>93.44</v>
      </c>
      <c r="CK7" s="249">
        <f t="array" ref="CK7">INDEX('DOWN 가격동향'!$DD$10:$AHC$10,MATCH(1,('DOWN 가격동향'!$K$8:$AHC$8='동향 그래프 ~시세반영 '!$A7)*('DOWN 가격동향'!$DD$9:$AHC$9='동향 그래프 ~시세반영 '!CK$3),0))</f>
        <v>93.44</v>
      </c>
      <c r="CL7" s="249">
        <f t="array" ref="CL7">INDEX('DOWN 가격동향'!$DD$10:$AHC$10,MATCH(1,('DOWN 가격동향'!$K$8:$AHC$8='동향 그래프 ~시세반영 '!$A7)*('DOWN 가격동향'!$DD$9:$AHC$9='동향 그래프 ~시세반영 '!CL$3),0))</f>
        <v>102.86</v>
      </c>
      <c r="CM7" s="249">
        <f t="array" ref="CM7">INDEX('DOWN 가격동향'!$DD$10:$AHC$10,MATCH(1,('DOWN 가격동향'!$K$8:$AHC$8='동향 그래프 ~시세반영 '!$A7)*('DOWN 가격동향'!$DD$9:$AHC$9='동향 그래프 ~시세반영 '!CM$3),0))</f>
        <v>98.99</v>
      </c>
      <c r="CN7" s="249">
        <f t="array" ref="CN7">INDEX('DOWN 가격동향'!$DD$10:$AHC$10,MATCH(1,('DOWN 가격동향'!$K$8:$AHC$8='동향 그래프 ~시세반영 '!$A7)*('DOWN 가격동향'!$DD$9:$AHC$9='동향 그래프 ~시세반영 '!CN$3),0))</f>
        <v>100.3</v>
      </c>
      <c r="CO7" s="249">
        <f t="array" ref="CO7">INDEX('DOWN 가격동향'!$DD$10:$AHC$10,MATCH(1,('DOWN 가격동향'!$K$8:$AHC$8='동향 그래프 ~시세반영 '!$A7)*('DOWN 가격동향'!$DD$9:$AHC$9='동향 그래프 ~시세반영 '!CO$3),0))</f>
        <v>104.5</v>
      </c>
      <c r="CP7" s="249">
        <f t="array" ref="CP7">INDEX('DOWN 가격동향'!$DD$10:$AHC$10,MATCH(1,('DOWN 가격동향'!$K$8:$AHC$8='동향 그래프 ~시세반영 '!$A7)*('DOWN 가격동향'!$DD$9:$AHC$9='동향 그래프 ~시세반영 '!CP$3),0))</f>
        <v>105</v>
      </c>
      <c r="CQ7" s="249">
        <f t="array" ref="CQ7">INDEX('DOWN 가격동향'!$DD$10:$AHC$10,MATCH(1,('DOWN 가격동향'!$K$8:$AHC$8='동향 그래프 ~시세반영 '!$A7)*('DOWN 가격동향'!$DD$9:$AHC$9='동향 그래프 ~시세반영 '!CQ$3),0))</f>
        <v>111.2</v>
      </c>
      <c r="CR7" s="249">
        <f t="array" ref="CR7">INDEX('DOWN 가격동향'!$DD$10:$AHC$10,MATCH(1,('DOWN 가격동향'!$K$8:$AHC$8='동향 그래프 ~시세반영 '!$A7)*('DOWN 가격동향'!$DD$9:$AHC$9='동향 그래프 ~시세반영 '!CR$3),0))</f>
        <v>113.6</v>
      </c>
      <c r="CS7" s="249">
        <f t="array" ref="CS7">INDEX('DOWN 가격동향'!$DD$10:$AHC$10,MATCH(1,('DOWN 가격동향'!$K$8:$AHC$8='동향 그래프 ~시세반영 '!$A7)*('DOWN 가격동향'!$DD$9:$AHC$9='동향 그래프 ~시세반영 '!CS$3),0))</f>
        <v>108.9</v>
      </c>
      <c r="CT7" s="249">
        <f t="array" ref="CT7">INDEX('DOWN 가격동향'!$DD$10:$AHC$10,MATCH(1,('DOWN 가격동향'!$K$8:$AHC$8='동향 그래프 ~시세반영 '!$A7)*('DOWN 가격동향'!$DD$9:$AHC$9='동향 그래프 ~시세반영 '!CT$3),0))</f>
        <v>110.8</v>
      </c>
      <c r="CU7" s="249">
        <f t="array" ref="CU7">INDEX('DOWN 가격동향'!$DD$10:$BBC$10,MATCH(1,('DOWN 가격동향'!$K$8:$BBC$8='동향 그래프 ~시세반영 '!A7)*('DOWN 가격동향'!$DD$9:$BBC$9='동향 그래프 ~시세반영 '!CU$3),0))</f>
        <v>110.2</v>
      </c>
    </row>
    <row r="8" spans="1:103" ht="29.25" customHeight="1" x14ac:dyDescent="0.3">
      <c r="A8" s="239" t="s">
        <v>207</v>
      </c>
      <c r="B8" s="238">
        <v>66.400000000000006</v>
      </c>
      <c r="C8" s="238">
        <v>66.2</v>
      </c>
      <c r="D8" s="238">
        <v>66.2</v>
      </c>
      <c r="E8" s="238">
        <v>67.3</v>
      </c>
      <c r="F8" s="238">
        <v>67.3</v>
      </c>
      <c r="G8" s="238">
        <v>67.3</v>
      </c>
      <c r="H8" s="238">
        <v>67</v>
      </c>
      <c r="I8" s="238">
        <v>66</v>
      </c>
      <c r="J8" s="238">
        <v>66</v>
      </c>
      <c r="K8" s="238">
        <v>66</v>
      </c>
      <c r="L8" s="238">
        <v>66</v>
      </c>
      <c r="M8" s="238">
        <v>66</v>
      </c>
      <c r="N8" s="238">
        <v>66</v>
      </c>
      <c r="O8" s="238">
        <v>66</v>
      </c>
      <c r="P8" s="238">
        <v>72</v>
      </c>
      <c r="Q8" s="238">
        <v>68</v>
      </c>
      <c r="R8" s="238">
        <v>69</v>
      </c>
      <c r="S8" s="238">
        <v>72</v>
      </c>
      <c r="T8" s="238">
        <v>68.3</v>
      </c>
      <c r="U8" s="238">
        <v>68.3</v>
      </c>
      <c r="V8" s="238">
        <v>68.3</v>
      </c>
      <c r="W8" s="238">
        <v>68.3</v>
      </c>
      <c r="X8" s="238">
        <v>68.3</v>
      </c>
      <c r="Y8" s="238">
        <v>68.3</v>
      </c>
      <c r="Z8" s="238">
        <v>76.599999999999994</v>
      </c>
      <c r="AA8" s="238">
        <v>76.599999999999994</v>
      </c>
      <c r="AB8" s="238">
        <v>76.599999999999994</v>
      </c>
      <c r="AC8" s="238">
        <v>76.599999999999994</v>
      </c>
      <c r="AD8" s="238">
        <v>76.599999999999994</v>
      </c>
      <c r="AE8" s="238">
        <v>76.599999999999994</v>
      </c>
      <c r="AF8" s="238">
        <v>76.599999999999994</v>
      </c>
      <c r="AG8" s="238">
        <v>78.7</v>
      </c>
      <c r="AH8" s="238">
        <v>78.7</v>
      </c>
      <c r="AI8" s="238">
        <v>78.7</v>
      </c>
      <c r="AJ8" s="238">
        <v>80.8</v>
      </c>
      <c r="AK8" s="238">
        <v>80.8</v>
      </c>
      <c r="AL8" s="238">
        <v>80.8</v>
      </c>
      <c r="AM8" s="238">
        <v>88.9</v>
      </c>
      <c r="AN8" s="238">
        <v>95</v>
      </c>
      <c r="AO8" s="238">
        <v>95</v>
      </c>
      <c r="AP8" s="238">
        <v>100</v>
      </c>
      <c r="AQ8" s="238">
        <v>100</v>
      </c>
      <c r="AR8" s="238">
        <v>103</v>
      </c>
      <c r="AS8" s="238">
        <v>103</v>
      </c>
      <c r="AT8" s="238">
        <v>106</v>
      </c>
      <c r="AU8" s="238">
        <v>115</v>
      </c>
      <c r="AV8" s="238">
        <v>123</v>
      </c>
      <c r="AW8" s="238">
        <v>123</v>
      </c>
      <c r="AX8" s="238">
        <v>145</v>
      </c>
      <c r="AY8" s="238">
        <v>145</v>
      </c>
      <c r="AZ8" s="238">
        <v>145</v>
      </c>
      <c r="BA8" s="238">
        <v>145</v>
      </c>
      <c r="BB8" s="238">
        <v>145</v>
      </c>
      <c r="BC8" s="238">
        <v>145</v>
      </c>
      <c r="BD8" s="238">
        <v>117.3</v>
      </c>
      <c r="BE8" s="238">
        <v>117.3</v>
      </c>
      <c r="BF8" s="238">
        <v>110.3</v>
      </c>
      <c r="BG8" s="238">
        <v>103</v>
      </c>
      <c r="BH8" s="238">
        <v>103</v>
      </c>
      <c r="BI8" s="238">
        <v>103</v>
      </c>
      <c r="BJ8" s="238">
        <v>103</v>
      </c>
      <c r="BK8" s="238">
        <v>90.3</v>
      </c>
      <c r="BL8" s="238">
        <v>86.8</v>
      </c>
      <c r="BM8" s="238">
        <v>86.3</v>
      </c>
      <c r="BN8" s="238">
        <v>81.3</v>
      </c>
      <c r="BO8" s="238">
        <v>82.3</v>
      </c>
      <c r="BP8" s="238">
        <v>83.3</v>
      </c>
      <c r="BQ8" s="238">
        <v>83.3</v>
      </c>
      <c r="BR8" s="238">
        <f t="array" ref="BR8">INDEX('DOWN 가격동향'!$DD$10:$AHC$10,MATCH(1,('DOWN 가격동향'!$K$8:$AHC$8='동향 그래프 ~시세반영 '!$A8)*('DOWN 가격동향'!$DD$9:$AHC$9='동향 그래프 ~시세반영 '!BR$3),0))</f>
        <v>94.3</v>
      </c>
      <c r="BS8" s="238">
        <f t="array" ref="BS8">INDEX('DOWN 가격동향'!$DD$10:$AHC$10,MATCH(1,('DOWN 가격동향'!$K$8:$AHC$8='동향 그래프 ~시세반영 '!$A8)*('DOWN 가격동향'!$DD$9:$AHC$9='동향 그래프 ~시세반영 '!BS$3),0))</f>
        <v>94.3</v>
      </c>
      <c r="BT8" s="238">
        <f t="array" ref="BT8">INDEX('DOWN 가격동향'!$DD$10:$AHC$10,MATCH(1,('DOWN 가격동향'!$K$8:$AHC$8='동향 그래프 ~시세반영 '!$A8)*('DOWN 가격동향'!$DD$9:$AHC$9='동향 그래프 ~시세반영 '!BT$3),0))</f>
        <v>89.3</v>
      </c>
      <c r="BU8" s="238">
        <f t="array" ref="BU8">INDEX('DOWN 가격동향'!$DD$10:$AHC$10,MATCH(1,('DOWN 가격동향'!$K$8:$AHC$8='동향 그래프 ~시세반영 '!$A8)*('DOWN 가격동향'!$DD$9:$AHC$9='동향 그래프 ~시세반영 '!BU$3),0))</f>
        <v>89.3</v>
      </c>
      <c r="BV8" s="238">
        <f t="array" ref="BV8">INDEX('DOWN 가격동향'!$DD$10:$AHC$10,MATCH(1,('DOWN 가격동향'!$K$8:$AHC$8='동향 그래프 ~시세반영 '!$A8)*('DOWN 가격동향'!$DD$9:$AHC$9='동향 그래프 ~시세반영 '!BV$3),0))</f>
        <v>78.3</v>
      </c>
      <c r="BW8" s="238">
        <f t="array" ref="BW8">INDEX('DOWN 가격동향'!$DD$10:$AHC$10,MATCH(1,('DOWN 가격동향'!$K$8:$AHC$8='동향 그래프 ~시세반영 '!$A8)*('DOWN 가격동향'!$DD$9:$AHC$9='동향 그래프 ~시세반영 '!BW$3),0))</f>
        <v>78.3</v>
      </c>
      <c r="BX8" s="238">
        <f t="array" ref="BX8">INDEX('DOWN 가격동향'!$DD$10:$AHC$10,MATCH(1,('DOWN 가격동향'!$K$8:$AHC$8='동향 그래프 ~시세반영 '!$A8)*('DOWN 가격동향'!$DD$9:$AHC$9='동향 그래프 ~시세반영 '!BX$3),0))</f>
        <v>85.3</v>
      </c>
      <c r="BY8" s="238">
        <f t="array" ref="BY8">INDEX('DOWN 가격동향'!$DD$10:$AHC$10,MATCH(1,('DOWN 가격동향'!$K$8:$AHC$8='동향 그래프 ~시세반영 '!$A8)*('DOWN 가격동향'!$DD$9:$AHC$9='동향 그래프 ~시세반영 '!BY$3),0))</f>
        <v>85.3</v>
      </c>
      <c r="BZ8" s="238">
        <f t="array" ref="BZ8">INDEX('DOWN 가격동향'!$DD$10:$AHC$10,MATCH(1,('DOWN 가격동향'!$K$8:$AHC$8='동향 그래프 ~시세반영 '!$A8)*('DOWN 가격동향'!$DD$9:$AHC$9='동향 그래프 ~시세반영 '!BZ$3),0))</f>
        <v>72.3</v>
      </c>
      <c r="CA8" s="238">
        <f t="array" ref="CA8">INDEX('DOWN 가격동향'!$DD$10:$AHC$10,MATCH(1,('DOWN 가격동향'!$K$8:$AHC$8='동향 그래프 ~시세반영 '!$A8)*('DOWN 가격동향'!$DD$9:$AHC$9='동향 그래프 ~시세반영 '!CA$3),0))</f>
        <v>72.3</v>
      </c>
      <c r="CB8" s="238">
        <f t="array" ref="CB8">INDEX('DOWN 가격동향'!$DD$10:$AHC$10,MATCH(1,('DOWN 가격동향'!$K$8:$AHC$8='동향 그래프 ~시세반영 '!$A8)*('DOWN 가격동향'!$DD$9:$AHC$9='동향 그래프 ~시세반영 '!CB$3),0))</f>
        <v>87.3</v>
      </c>
      <c r="CC8" s="238">
        <f t="array" ref="CC8">INDEX('DOWN 가격동향'!$DD$10:$AHC$10,MATCH(1,('DOWN 가격동향'!$K$8:$AHC$8='동향 그래프 ~시세반영 '!$A8)*('DOWN 가격동향'!$DD$9:$AHC$9='동향 그래프 ~시세반영 '!CC$3),0))</f>
        <v>92.3</v>
      </c>
      <c r="CD8" s="238">
        <f t="array" ref="CD8">INDEX('DOWN 가격동향'!$DD$10:$AHC$10,MATCH(1,('DOWN 가격동향'!$K$8:$AHC$8='동향 그래프 ~시세반영 '!$A8)*('DOWN 가격동향'!$DD$9:$AHC$9='동향 그래프 ~시세반영 '!CD$3),0))</f>
        <v>92.3</v>
      </c>
      <c r="CE8" s="238">
        <f t="array" ref="CE8">INDEX('DOWN 가격동향'!$DD$10:$AHC$10,MATCH(1,('DOWN 가격동향'!$K$8:$AHC$8='동향 그래프 ~시세반영 '!$A8)*('DOWN 가격동향'!$DD$9:$AHC$9='동향 그래프 ~시세반영 '!CE$3),0))</f>
        <v>91.8</v>
      </c>
      <c r="CF8" s="238">
        <f t="array" ref="CF8">INDEX('DOWN 가격동향'!$DD$10:$AHC$10,MATCH(1,('DOWN 가격동향'!$K$8:$AHC$8='동향 그래프 ~시세반영 '!$A8)*('DOWN 가격동향'!$DD$9:$AHC$9='동향 그래프 ~시세반영 '!CF$3),0))</f>
        <v>91.8</v>
      </c>
      <c r="CG8" s="238">
        <f t="array" ref="CG8">INDEX('DOWN 가격동향'!$DD$10:$AHC$10,MATCH(1,('DOWN 가격동향'!$K$8:$AHC$8='동향 그래프 ~시세반영 '!$A8)*('DOWN 가격동향'!$DD$9:$AHC$9='동향 그래프 ~시세반영 '!CG$3),0))</f>
        <v>91.8</v>
      </c>
      <c r="CH8" s="238">
        <f t="array" ref="CH8">INDEX('DOWN 가격동향'!$DD$10:$AHC$10,MATCH(1,('DOWN 가격동향'!$K$8:$AHC$8='동향 그래프 ~시세반영 '!$A8)*('DOWN 가격동향'!$DD$9:$AHC$9='동향 그래프 ~시세반영 '!CH$3),0))</f>
        <v>91.8</v>
      </c>
      <c r="CI8" s="238">
        <f t="array" ref="CI8">INDEX('DOWN 가격동향'!$DD$10:$AHC$10,MATCH(1,('DOWN 가격동향'!$K$8:$AHC$8='동향 그래프 ~시세반영 '!$A8)*('DOWN 가격동향'!$DD$9:$AHC$9='동향 그래프 ~시세반영 '!CI$3),0))</f>
        <v>91.8</v>
      </c>
      <c r="CJ8" s="238">
        <f t="array" ref="CJ8">INDEX('DOWN 가격동향'!$DD$10:$AHC$10,MATCH(1,('DOWN 가격동향'!$K$8:$AHC$8='동향 그래프 ~시세반영 '!$A8)*('DOWN 가격동향'!$DD$9:$AHC$9='동향 그래프 ~시세반영 '!CJ$3),0))</f>
        <v>91.8</v>
      </c>
      <c r="CK8" s="238">
        <f t="array" ref="CK8">INDEX('DOWN 가격동향'!$DD$10:$AHC$10,MATCH(1,('DOWN 가격동향'!$K$8:$AHC$8='동향 그래프 ~시세반영 '!$A8)*('DOWN 가격동향'!$DD$9:$AHC$9='동향 그래프 ~시세반영 '!CK$3),0))</f>
        <v>91.8</v>
      </c>
      <c r="CL8" s="238">
        <f t="array" ref="CL8">INDEX('DOWN 가격동향'!$DD$10:$AHC$10,MATCH(1,('DOWN 가격동향'!$K$8:$AHC$8='동향 그래프 ~시세반영 '!$A8)*('DOWN 가격동향'!$DD$9:$AHC$9='동향 그래프 ~시세반영 '!CL$3),0))</f>
        <v>99</v>
      </c>
      <c r="CM8" s="238">
        <f t="array" ref="CM8">INDEX('DOWN 가격동향'!$DD$10:$AHC$10,MATCH(1,('DOWN 가격동향'!$K$8:$AHC$8='동향 그래프 ~시세반영 '!$A8)*('DOWN 가격동향'!$DD$9:$AHC$9='동향 그래프 ~시세반영 '!CM$3),0))</f>
        <v>99.5</v>
      </c>
      <c r="CN8" s="238">
        <f t="array" ref="CN8">INDEX('DOWN 가격동향'!$DD$10:$AHC$10,MATCH(1,('DOWN 가격동향'!$K$8:$AHC$8='동향 그래프 ~시세반영 '!$A8)*('DOWN 가격동향'!$DD$9:$AHC$9='동향 그래프 ~시세반영 '!CN$3),0))</f>
        <v>99.5</v>
      </c>
      <c r="CO8" s="238">
        <f t="array" ref="CO8">INDEX('DOWN 가격동향'!$DD$10:$AHC$10,MATCH(1,('DOWN 가격동향'!$K$8:$AHC$8='동향 그래프 ~시세반영 '!$A8)*('DOWN 가격동향'!$DD$9:$AHC$9='동향 그래프 ~시세반영 '!CO$3),0))</f>
        <v>99.5</v>
      </c>
      <c r="CP8" s="238">
        <f t="array" ref="CP8">INDEX('DOWN 가격동향'!$DD$10:$AHC$10,MATCH(1,('DOWN 가격동향'!$K$8:$AHC$8='동향 그래프 ~시세반영 '!$A8)*('DOWN 가격동향'!$DD$9:$AHC$9='동향 그래프 ~시세반영 '!CP$3),0))</f>
        <v>105</v>
      </c>
      <c r="CQ8" s="238">
        <f t="array" ref="CQ8">INDEX('DOWN 가격동향'!$DD$10:$AHC$10,MATCH(1,('DOWN 가격동향'!$K$8:$AHC$8='동향 그래프 ~시세반영 '!$A8)*('DOWN 가격동향'!$DD$9:$AHC$9='동향 그래프 ~시세반영 '!CQ$3),0))</f>
        <v>108</v>
      </c>
      <c r="CR8" s="238">
        <f t="array" ref="CR8">INDEX('DOWN 가격동향'!$DD$10:$AHC$10,MATCH(1,('DOWN 가격동향'!$K$8:$AHC$8='동향 그래프 ~시세반영 '!$A8)*('DOWN 가격동향'!$DD$9:$AHC$9='동향 그래프 ~시세반영 '!CR$3),0))</f>
        <v>105</v>
      </c>
      <c r="CS8" s="238">
        <f t="array" ref="CS8">INDEX('DOWN 가격동향'!$DD$10:$AHC$10,MATCH(1,('DOWN 가격동향'!$K$8:$AHC$8='동향 그래프 ~시세반영 '!$A8)*('DOWN 가격동향'!$DD$9:$AHC$9='동향 그래프 ~시세반영 '!CS$3),0))</f>
        <v>103</v>
      </c>
      <c r="CT8" s="238">
        <f t="array" ref="CT8">INDEX('DOWN 가격동향'!$DD$10:$AHC$10,MATCH(1,('DOWN 가격동향'!$K$8:$AHC$8='동향 그래프 ~시세반영 '!$A8)*('DOWN 가격동향'!$DD$9:$AHC$9='동향 그래프 ~시세반영 '!CT$3),0))</f>
        <v>103.5</v>
      </c>
      <c r="CU8" s="238">
        <f t="array" ref="CU8">INDEX('DOWN 가격동향'!$DD$10:$BBC$10,MATCH(1,('DOWN 가격동향'!$K$8:$BBC$8='동향 그래프 ~시세반영 '!A8)*('DOWN 가격동향'!$DD$9:$BBC$9='동향 그래프 ~시세반영 '!CU$3),0))</f>
        <v>111</v>
      </c>
    </row>
    <row r="9" spans="1:103" ht="29.25" customHeight="1" x14ac:dyDescent="0.3">
      <c r="A9" s="248" t="s">
        <v>210</v>
      </c>
      <c r="B9" s="249">
        <v>67.3</v>
      </c>
      <c r="C9" s="249">
        <v>67.8</v>
      </c>
      <c r="D9" s="249">
        <v>67.8</v>
      </c>
      <c r="E9" s="249">
        <v>68.3</v>
      </c>
      <c r="F9" s="249">
        <v>69.3</v>
      </c>
      <c r="G9" s="249">
        <v>69.3</v>
      </c>
      <c r="H9" s="249">
        <v>70</v>
      </c>
      <c r="I9" s="249">
        <v>70</v>
      </c>
      <c r="J9" s="249">
        <v>68</v>
      </c>
      <c r="K9" s="249">
        <v>68</v>
      </c>
      <c r="L9" s="249">
        <v>68</v>
      </c>
      <c r="M9" s="249">
        <v>70.3</v>
      </c>
      <c r="N9" s="249">
        <v>71</v>
      </c>
      <c r="O9" s="249">
        <v>72</v>
      </c>
      <c r="P9" s="249">
        <v>72</v>
      </c>
      <c r="Q9" s="249">
        <v>65.3</v>
      </c>
      <c r="R9" s="249">
        <v>66.3</v>
      </c>
      <c r="S9" s="249">
        <v>68.3</v>
      </c>
      <c r="T9" s="249">
        <v>71.3</v>
      </c>
      <c r="U9" s="249">
        <v>71.3</v>
      </c>
      <c r="V9" s="249">
        <v>74</v>
      </c>
      <c r="W9" s="249">
        <v>74</v>
      </c>
      <c r="X9" s="249">
        <v>76</v>
      </c>
      <c r="Y9" s="249">
        <v>76</v>
      </c>
      <c r="Z9" s="249">
        <v>76</v>
      </c>
      <c r="AA9" s="249">
        <v>76</v>
      </c>
      <c r="AB9" s="249">
        <v>76</v>
      </c>
      <c r="AC9" s="249">
        <v>76.3</v>
      </c>
      <c r="AD9" s="249">
        <v>76.3</v>
      </c>
      <c r="AE9" s="249">
        <v>76.3</v>
      </c>
      <c r="AF9" s="249">
        <v>76.3</v>
      </c>
      <c r="AG9" s="249">
        <v>76.3</v>
      </c>
      <c r="AH9" s="249">
        <v>76.3</v>
      </c>
      <c r="AI9" s="249">
        <v>72.3</v>
      </c>
      <c r="AJ9" s="249">
        <v>74.3</v>
      </c>
      <c r="AK9" s="249">
        <v>82.3</v>
      </c>
      <c r="AL9" s="249">
        <v>87.3</v>
      </c>
      <c r="AM9" s="249">
        <v>89.3</v>
      </c>
      <c r="AN9" s="249">
        <v>110.3</v>
      </c>
      <c r="AO9" s="249">
        <v>120.3</v>
      </c>
      <c r="AP9" s="249">
        <v>120.3</v>
      </c>
      <c r="AQ9" s="249">
        <v>120.3</v>
      </c>
      <c r="AR9" s="249">
        <v>120.3</v>
      </c>
      <c r="AS9" s="249">
        <v>120.3</v>
      </c>
      <c r="AT9" s="249">
        <v>120.3</v>
      </c>
      <c r="AU9" s="249">
        <v>120.3</v>
      </c>
      <c r="AV9" s="249">
        <v>132</v>
      </c>
      <c r="AW9" s="249">
        <v>134</v>
      </c>
      <c r="AX9" s="249">
        <v>134</v>
      </c>
      <c r="AY9" s="249">
        <v>134</v>
      </c>
      <c r="AZ9" s="249">
        <v>122</v>
      </c>
      <c r="BA9" s="249">
        <v>119</v>
      </c>
      <c r="BB9" s="249">
        <v>125</v>
      </c>
      <c r="BC9" s="249">
        <v>125</v>
      </c>
      <c r="BD9" s="249">
        <v>118</v>
      </c>
      <c r="BE9" s="249">
        <v>113</v>
      </c>
      <c r="BF9" s="249">
        <v>107</v>
      </c>
      <c r="BG9" s="249">
        <v>98.3</v>
      </c>
      <c r="BH9" s="249">
        <v>84.3</v>
      </c>
      <c r="BI9" s="249">
        <v>85.3</v>
      </c>
      <c r="BJ9" s="249">
        <v>85.3</v>
      </c>
      <c r="BK9" s="249">
        <v>85.3</v>
      </c>
      <c r="BL9" s="249">
        <v>84.3</v>
      </c>
      <c r="BM9" s="249">
        <v>84.3</v>
      </c>
      <c r="BN9" s="249">
        <v>81.3</v>
      </c>
      <c r="BO9" s="249">
        <v>81.3</v>
      </c>
      <c r="BP9" s="249">
        <v>81.3</v>
      </c>
      <c r="BQ9" s="249">
        <v>82.3</v>
      </c>
      <c r="BR9" s="249">
        <f t="array" ref="BR9">INDEX('DOWN 가격동향'!$DD$10:$AHC$10,MATCH(1,('DOWN 가격동향'!$K$8:$AHC$8='동향 그래프 ~시세반영 '!$A9)*('DOWN 가격동향'!$DD$9:$AHC$9='동향 그래프 ~시세반영 '!BR$3),0))</f>
        <v>82.3</v>
      </c>
      <c r="BS9" s="249">
        <f t="array" ref="BS9">INDEX('DOWN 가격동향'!$DD$10:$AHC$10,MATCH(1,('DOWN 가격동향'!$K$8:$AHC$8='동향 그래프 ~시세반영 '!$A9)*('DOWN 가격동향'!$DD$9:$AHC$9='동향 그래프 ~시세반영 '!BS$3),0))</f>
        <v>89.3</v>
      </c>
      <c r="BT9" s="249">
        <f t="array" ref="BT9">INDEX('DOWN 가격동향'!$DD$10:$AHC$10,MATCH(1,('DOWN 가격동향'!$K$8:$AHC$8='동향 그래프 ~시세반영 '!$A9)*('DOWN 가격동향'!$DD$9:$AHC$9='동향 그래프 ~시세반영 '!BT$3),0))</f>
        <v>89.3</v>
      </c>
      <c r="BU9" s="249">
        <f t="array" ref="BU9">INDEX('DOWN 가격동향'!$DD$10:$AHC$10,MATCH(1,('DOWN 가격동향'!$K$8:$AHC$8='동향 그래프 ~시세반영 '!$A9)*('DOWN 가격동향'!$DD$9:$AHC$9='동향 그래프 ~시세반영 '!BU$3),0))</f>
        <v>88.3</v>
      </c>
      <c r="BV9" s="249">
        <f t="array" ref="BV9">INDEX('DOWN 가격동향'!$DD$10:$AHC$10,MATCH(1,('DOWN 가격동향'!$K$8:$AHC$8='동향 그래프 ~시세반영 '!$A9)*('DOWN 가격동향'!$DD$9:$AHC$9='동향 그래프 ~시세반영 '!BV$3),0))</f>
        <v>88.3</v>
      </c>
      <c r="BW9" s="249">
        <f t="array" ref="BW9">INDEX('DOWN 가격동향'!$DD$10:$AHC$10,MATCH(1,('DOWN 가격동향'!$K$8:$AHC$8='동향 그래프 ~시세반영 '!$A9)*('DOWN 가격동향'!$DD$9:$AHC$9='동향 그래프 ~시세반영 '!BW$3),0))</f>
        <v>88.3</v>
      </c>
      <c r="BX9" s="249">
        <f t="array" ref="BX9">INDEX('DOWN 가격동향'!$DD$10:$AHC$10,MATCH(1,('DOWN 가격동향'!$K$8:$AHC$8='동향 그래프 ~시세반영 '!$A9)*('DOWN 가격동향'!$DD$9:$AHC$9='동향 그래프 ~시세반영 '!BX$3),0))</f>
        <v>89.3</v>
      </c>
      <c r="BY9" s="249">
        <f t="array" ref="BY9">INDEX('DOWN 가격동향'!$DD$10:$AHC$10,MATCH(1,('DOWN 가격동향'!$K$8:$AHC$8='동향 그래프 ~시세반영 '!$A9)*('DOWN 가격동향'!$DD$9:$AHC$9='동향 그래프 ~시세반영 '!BY$3),0))</f>
        <v>89.3</v>
      </c>
      <c r="BZ9" s="249">
        <v>88.3</v>
      </c>
      <c r="CA9" s="249">
        <v>88.3</v>
      </c>
      <c r="CB9" s="249">
        <v>88.3</v>
      </c>
      <c r="CC9" s="249">
        <v>88.3</v>
      </c>
      <c r="CD9" s="249">
        <v>92.3</v>
      </c>
      <c r="CE9" s="249">
        <v>92.3</v>
      </c>
      <c r="CF9" s="249">
        <v>88.3</v>
      </c>
      <c r="CG9" s="249">
        <v>84.3</v>
      </c>
      <c r="CH9" s="249">
        <v>84.3</v>
      </c>
      <c r="CI9" s="249">
        <v>83</v>
      </c>
      <c r="CJ9" s="249">
        <v>83</v>
      </c>
      <c r="CK9" s="249">
        <v>85</v>
      </c>
      <c r="CL9" s="249">
        <v>92</v>
      </c>
      <c r="CM9" s="249">
        <v>95</v>
      </c>
      <c r="CN9" s="249">
        <v>95</v>
      </c>
      <c r="CO9" s="249">
        <v>95</v>
      </c>
      <c r="CP9" s="249">
        <v>95</v>
      </c>
      <c r="CQ9" s="249">
        <v>96</v>
      </c>
      <c r="CR9" s="249">
        <v>96</v>
      </c>
      <c r="CS9" s="249">
        <v>101</v>
      </c>
      <c r="CT9" s="249">
        <v>105</v>
      </c>
      <c r="CU9" s="249">
        <f t="array" ref="CU9">INDEX('DOWN 가격동향'!10:10,MATCH(1,('DOWN 가격동향'!8:8='동향 그래프 ~시세반영 '!A9)*('DOWN 가격동향'!9:9='동향 그래프 ~시세반영 '!$CU3),0))</f>
        <v>105</v>
      </c>
    </row>
    <row r="10" spans="1:103" ht="29.25" customHeight="1" x14ac:dyDescent="0.3">
      <c r="A10" s="552" t="s">
        <v>208</v>
      </c>
      <c r="B10" s="553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553"/>
      <c r="N10" s="553"/>
      <c r="O10" s="553"/>
      <c r="P10" s="553"/>
      <c r="Q10" s="553"/>
      <c r="R10" s="553"/>
      <c r="S10" s="553"/>
      <c r="T10" s="553"/>
      <c r="U10" s="553"/>
      <c r="V10" s="553"/>
      <c r="W10" s="553"/>
      <c r="X10" s="553"/>
      <c r="Y10" s="553"/>
      <c r="Z10" s="553"/>
      <c r="AA10" s="553"/>
      <c r="AB10" s="553"/>
      <c r="AC10" s="553"/>
      <c r="AD10" s="553"/>
      <c r="AE10" s="553"/>
      <c r="AF10" s="553"/>
      <c r="AG10" s="553"/>
      <c r="AH10" s="553"/>
      <c r="AI10" s="553"/>
      <c r="AJ10" s="553"/>
      <c r="AK10" s="553"/>
      <c r="AL10" s="553"/>
      <c r="AM10" s="553"/>
      <c r="AN10" s="553"/>
      <c r="AO10" s="553"/>
      <c r="AP10" s="553"/>
      <c r="AQ10" s="553"/>
      <c r="AR10" s="553"/>
      <c r="AS10" s="553"/>
      <c r="AT10" s="553"/>
      <c r="AU10" s="553"/>
      <c r="AV10" s="553"/>
      <c r="AW10" s="553"/>
      <c r="AX10" s="553"/>
      <c r="AY10" s="553"/>
      <c r="AZ10" s="553"/>
      <c r="BA10" s="553"/>
      <c r="BB10" s="553"/>
      <c r="BC10" s="553"/>
      <c r="BD10" s="553"/>
      <c r="BE10" s="553"/>
      <c r="BF10" s="553"/>
      <c r="BG10" s="553"/>
      <c r="BH10" s="553"/>
      <c r="BI10" s="553"/>
      <c r="BJ10" s="553"/>
      <c r="BK10" s="553"/>
      <c r="BL10" s="553"/>
      <c r="BM10" s="553"/>
      <c r="BN10" s="553"/>
      <c r="BO10" s="553"/>
      <c r="BP10" s="553"/>
      <c r="BQ10" s="553"/>
      <c r="BR10" s="553"/>
      <c r="BS10" s="553"/>
      <c r="BT10" s="553"/>
      <c r="BU10" s="553"/>
      <c r="BV10" s="553"/>
      <c r="BW10" s="238">
        <f t="array" ref="BW10">INDEX('DOWN 가격동향'!$DD$10:$AHC$10,MATCH(1,('DOWN 가격동향'!$DD$8:$AHC$8='동향 그래프 ~시세반영 '!$A10)*('DOWN 가격동향'!$DD$9:$AHC$9='동향 그래프 ~시세반영 '!BW$3),0))</f>
        <v>80</v>
      </c>
      <c r="BX10" s="238">
        <f t="array" ref="BX10">INDEX('DOWN 가격동향'!$DD$10:$AHC$10,MATCH(1,('DOWN 가격동향'!$DD$8:$AHC$8='동향 그래프 ~시세반영 '!$A10)*('DOWN 가격동향'!$DD$9:$AHC$9='동향 그래프 ~시세반영 '!BX$3),0))</f>
        <v>80</v>
      </c>
      <c r="BY10" s="553">
        <v>81.5</v>
      </c>
      <c r="BZ10" s="553">
        <f t="array" ref="BZ10">INDEX('DOWN 가격동향'!$DD$10:$AHC$10,MATCH(1,('DOWN 가격동향'!$K$8:$AHC$8='동향 그래프 ~시세반영 '!$A9)*('DOWN 가격동향'!$DD$9:$AHC$9='동향 그래프 ~시세반영 '!BZ$3),0))</f>
        <v>81.5</v>
      </c>
      <c r="CA10" s="553">
        <f t="array" ref="CA10">INDEX('DOWN 가격동향'!$DD$10:$AHC$10,MATCH(1,('DOWN 가격동향'!$K$8:$AHC$8='동향 그래프 ~시세반영 '!$A9)*('DOWN 가격동향'!$DD$9:$AHC$9='동향 그래프 ~시세반영 '!CA$3),0))</f>
        <v>81</v>
      </c>
      <c r="CB10" s="553">
        <f t="array" ref="CB10">INDEX('DOWN 가격동향'!$DD$10:$AHC$10,MATCH(1,('DOWN 가격동향'!$K$8:$AHC$8='동향 그래프 ~시세반영 '!$A9)*('DOWN 가격동향'!$DD$9:$AHC$9='동향 그래프 ~시세반영 '!CB$3),0))</f>
        <v>83.5</v>
      </c>
      <c r="CC10" s="553">
        <f t="array" ref="CC10">INDEX('DOWN 가격동향'!$DD$10:$AHC$10,MATCH(1,('DOWN 가격동향'!$K$8:$AHC$8='동향 그래프 ~시세반영 '!$A9)*('DOWN 가격동향'!$DD$9:$AHC$9='동향 그래프 ~시세반영 '!CC$3),0))</f>
        <v>92</v>
      </c>
      <c r="CD10" s="553">
        <f t="array" ref="CD10">INDEX('DOWN 가격동향'!$DD$10:$AHC$10,MATCH(1,('DOWN 가격동향'!$K$8:$AHC$8='동향 그래프 ~시세반영 '!$A9)*('DOWN 가격동향'!$DD$9:$AHC$9='동향 그래프 ~시세반영 '!CD$3),0))</f>
        <v>89</v>
      </c>
      <c r="CE10" s="553">
        <f t="array" ref="CE10">INDEX('DOWN 가격동향'!$DD$10:$AHC$10,MATCH(1,('DOWN 가격동향'!$K$8:$AHC$8='동향 그래프 ~시세반영 '!$A9)*('DOWN 가격동향'!$DD$9:$AHC$9='동향 그래프 ~시세반영 '!CE$3),0))</f>
        <v>90</v>
      </c>
      <c r="CF10" s="553">
        <f t="array" ref="CF10">INDEX('DOWN 가격동향'!$DD$10:$AHC$10,MATCH(1,('DOWN 가격동향'!$K$8:$AHC$8='동향 그래프 ~시세반영 '!$A9)*('DOWN 가격동향'!$DD$9:$AHC$9='동향 그래프 ~시세반영 '!CF$3),0))</f>
        <v>88</v>
      </c>
      <c r="CG10" s="553">
        <f t="array" ref="CG10">INDEX('DOWN 가격동향'!$DD$10:$AHC$10,MATCH(1,('DOWN 가격동향'!$K$8:$AHC$8='동향 그래프 ~시세반영 '!$A9)*('DOWN 가격동향'!$DD$9:$AHC$9='동향 그래프 ~시세반영 '!CG$3),0))</f>
        <v>77</v>
      </c>
      <c r="CH10" s="553">
        <f t="array" ref="CH10">INDEX('DOWN 가격동향'!$DD$10:$AHC$10,MATCH(1,('DOWN 가격동향'!$K$8:$AHC$8='동향 그래프 ~시세반영 '!$A9)*('DOWN 가격동향'!$DD$9:$AHC$9='동향 그래프 ~시세반영 '!CH$3),0))</f>
        <v>77</v>
      </c>
      <c r="CI10" s="553">
        <f t="array" ref="CI10">INDEX('DOWN 가격동향'!$DD$10:$AHC$10,MATCH(1,('DOWN 가격동향'!$K$8:$AHC$8='동향 그래프 ~시세반영 '!$A9)*('DOWN 가격동향'!$DD$9:$AHC$9='동향 그래프 ~시세반영 '!CI$3),0))</f>
        <v>77</v>
      </c>
      <c r="CJ10" s="553">
        <f t="array" ref="CJ10">INDEX('DOWN 가격동향'!$DD$10:$AHC$10,MATCH(1,('DOWN 가격동향'!$K$8:$AHC$8='동향 그래프 ~시세반영 '!$A9)*('DOWN 가격동향'!$DD$9:$AHC$9='동향 그래프 ~시세반영 '!CJ$3),0))</f>
        <v>78.5</v>
      </c>
      <c r="CK10" s="553">
        <f t="array" ref="CK10">INDEX('DOWN 가격동향'!$DD$10:$AHC$10,MATCH(1,('DOWN 가격동향'!$K$8:$AHC$8='동향 그래프 ~시세반영 '!$A9)*('DOWN 가격동향'!$DD$9:$AHC$9='동향 그래프 ~시세반영 '!CK$3),0))</f>
        <v>84</v>
      </c>
      <c r="CL10" s="553">
        <f t="array" ref="CL10">INDEX('DOWN 가격동향'!$DD$10:$AHC$10,MATCH(1,('DOWN 가격동향'!$K$8:$AHC$8='동향 그래프 ~시세반영 '!$A9)*('DOWN 가격동향'!$DD$9:$AHC$9='동향 그래프 ~시세반영 '!CL$3),0))</f>
        <v>82</v>
      </c>
      <c r="CM10" s="553">
        <f t="array" ref="CM10">INDEX('DOWN 가격동향'!$DD$10:$AHC$10,MATCH(1,('DOWN 가격동향'!$K$8:$AHC$8='동향 그래프 ~시세반영 '!$A9)*('DOWN 가격동향'!$DD$9:$AHC$9='동향 그래프 ~시세반영 '!CM$3),0))</f>
        <v>80</v>
      </c>
      <c r="CN10" s="553">
        <f t="array" ref="CN10">INDEX('DOWN 가격동향'!$DD$10:$AHC$10,MATCH(1,('DOWN 가격동향'!$K$8:$AHC$8='동향 그래프 ~시세반영 '!$A9)*('DOWN 가격동향'!$DD$9:$AHC$9='동향 그래프 ~시세반영 '!CN$3),0))</f>
        <v>84.5</v>
      </c>
      <c r="CO10" s="553">
        <f t="array" ref="CO10">INDEX('DOWN 가격동향'!$DD$10:$AHC$10,MATCH(1,('DOWN 가격동향'!$K$8:$AHC$8='동향 그래프 ~시세반영 '!$A9)*('DOWN 가격동향'!$DD$9:$AHC$9='동향 그래프 ~시세반영 '!CO$3),0))</f>
        <v>88</v>
      </c>
      <c r="CP10" s="553">
        <f t="array" ref="CP10">INDEX('DOWN 가격동향'!$DD$10:$AHC$10,MATCH(1,('DOWN 가격동향'!$K$8:$AHC$8='동향 그래프 ~시세반영 '!$A9)*('DOWN 가격동향'!$DD$9:$AHC$9='동향 그래프 ~시세반영 '!CP$3),0))</f>
        <v>91</v>
      </c>
      <c r="CQ10" s="553">
        <f t="array" ref="CQ10">INDEX('DOWN 가격동향'!$DD$10:$AHC$10,MATCH(1,('DOWN 가격동향'!$K$8:$AHC$8='동향 그래프 ~시세반영 '!$A9)*('DOWN 가격동향'!$DD$9:$AHC$9='동향 그래프 ~시세반영 '!CQ$3),0))</f>
        <v>94</v>
      </c>
      <c r="CR10" s="553">
        <f t="array" ref="CR10">INDEX('DOWN 가격동향'!$DD$10:$AHC$10,MATCH(1,('DOWN 가격동향'!$K$8:$AHC$8='동향 그래프 ~시세반영 '!$A9)*('DOWN 가격동향'!$DD$9:$AHC$9='동향 그래프 ~시세반영 '!CR$3),0))</f>
        <v>92</v>
      </c>
      <c r="CS10" s="553">
        <f t="array" ref="CS10">INDEX('DOWN 가격동향'!$DD$10:$AHC$10,MATCH(1,('DOWN 가격동향'!$K$8:$AHC$8='동향 그래프 ~시세반영 '!$A9)*('DOWN 가격동향'!$DD$9:$AHC$9='동향 그래프 ~시세반영 '!CS$3),0))</f>
        <v>91.5</v>
      </c>
      <c r="CT10" s="553">
        <f t="array" ref="CT10">INDEX('DOWN 가격동향'!$DD$10:$AHC$10,MATCH(1,('DOWN 가격동향'!$K$8:$AHC$8='동향 그래프 ~시세반영 '!$A9)*('DOWN 가격동향'!$DD$9:$AHC$9='동향 그래프 ~시세반영 '!CT$3),0))</f>
        <v>91.5</v>
      </c>
      <c r="CU10" s="553">
        <f t="array" ref="CU10">INDEX('DOWN 가격동향'!10:10,MATCH(1,('DOWN 가격동향'!8:8='동향 그래프 ~시세반영 '!A10)*('DOWN 가격동향'!9:9='동향 그래프 ~시세반영 '!$CU3),0))</f>
        <v>95</v>
      </c>
    </row>
    <row r="11" spans="1:103" ht="29.25" customHeight="1" x14ac:dyDescent="0.3">
      <c r="A11" s="248" t="s">
        <v>211</v>
      </c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49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>
        <v>92.3</v>
      </c>
      <c r="CG11" s="249">
        <v>92.3</v>
      </c>
      <c r="CH11" s="249">
        <v>85</v>
      </c>
      <c r="CI11" s="249">
        <v>87</v>
      </c>
      <c r="CJ11" s="249">
        <v>84.5</v>
      </c>
      <c r="CK11" s="249">
        <v>84.5</v>
      </c>
      <c r="CL11" s="249">
        <v>89</v>
      </c>
      <c r="CM11" s="249">
        <v>94.2</v>
      </c>
      <c r="CN11" s="249">
        <v>107</v>
      </c>
      <c r="CO11" s="249">
        <v>108.6</v>
      </c>
      <c r="CP11" s="249">
        <v>111.5</v>
      </c>
      <c r="CQ11" s="249">
        <v>108</v>
      </c>
      <c r="CR11" s="249">
        <v>106</v>
      </c>
      <c r="CS11" s="249">
        <v>101.5</v>
      </c>
      <c r="CT11" s="249">
        <v>101.5</v>
      </c>
      <c r="CU11" s="249">
        <f t="array" ref="CU11">INDEX('DOWN 가격동향'!10:10,MATCH(1,('DOWN 가격동향'!8:8='동향 그래프 ~시세반영 '!A11)*('DOWN 가격동향'!9:9='동향 그래프 ~시세반영 '!$CU3),0))</f>
        <v>105.5</v>
      </c>
    </row>
    <row r="12" spans="1:103" ht="29.25" customHeight="1" x14ac:dyDescent="0.3">
      <c r="A12" s="552" t="s">
        <v>218</v>
      </c>
      <c r="B12" s="553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553"/>
      <c r="N12" s="553"/>
      <c r="O12" s="553"/>
      <c r="P12" s="553"/>
      <c r="Q12" s="553"/>
      <c r="R12" s="553"/>
      <c r="S12" s="553"/>
      <c r="T12" s="553"/>
      <c r="U12" s="553"/>
      <c r="V12" s="553"/>
      <c r="W12" s="553"/>
      <c r="X12" s="553"/>
      <c r="Y12" s="553"/>
      <c r="Z12" s="553"/>
      <c r="AA12" s="553"/>
      <c r="AB12" s="553"/>
      <c r="AC12" s="553"/>
      <c r="AD12" s="553"/>
      <c r="AE12" s="553"/>
      <c r="AF12" s="553"/>
      <c r="AG12" s="553"/>
      <c r="AH12" s="553"/>
      <c r="AI12" s="553"/>
      <c r="AJ12" s="553"/>
      <c r="AK12" s="553"/>
      <c r="AL12" s="553"/>
      <c r="AM12" s="553"/>
      <c r="AN12" s="553"/>
      <c r="AO12" s="553"/>
      <c r="AP12" s="553"/>
      <c r="AQ12" s="553"/>
      <c r="AR12" s="553"/>
      <c r="AS12" s="553"/>
      <c r="AT12" s="553"/>
      <c r="AU12" s="553"/>
      <c r="AV12" s="553"/>
      <c r="AW12" s="553"/>
      <c r="AX12" s="553"/>
      <c r="AY12" s="553"/>
      <c r="AZ12" s="553"/>
      <c r="BA12" s="553"/>
      <c r="BB12" s="553"/>
      <c r="BC12" s="553"/>
      <c r="BD12" s="553"/>
      <c r="BE12" s="553"/>
      <c r="BF12" s="553"/>
      <c r="BG12" s="553"/>
      <c r="BH12" s="553"/>
      <c r="BI12" s="553"/>
      <c r="BJ12" s="553"/>
      <c r="BK12" s="553"/>
      <c r="BL12" s="553"/>
      <c r="BM12" s="553"/>
      <c r="BN12" s="553"/>
      <c r="BO12" s="553"/>
      <c r="BP12" s="553"/>
      <c r="BQ12" s="553"/>
      <c r="BR12" s="553"/>
      <c r="BS12" s="553"/>
      <c r="BT12" s="553"/>
      <c r="BU12" s="553"/>
      <c r="BV12" s="553"/>
      <c r="BW12" s="553"/>
      <c r="BX12" s="553"/>
      <c r="BY12" s="553"/>
      <c r="BZ12" s="553"/>
      <c r="CA12" s="553"/>
      <c r="CB12" s="553"/>
      <c r="CC12" s="553"/>
      <c r="CD12" s="553"/>
      <c r="CE12" s="553"/>
      <c r="CF12" s="553"/>
      <c r="CG12" s="553"/>
      <c r="CH12" s="553"/>
      <c r="CI12" s="553"/>
      <c r="CJ12" s="553"/>
      <c r="CK12" s="553"/>
      <c r="CL12" s="553"/>
      <c r="CM12" s="553"/>
      <c r="CN12" s="553"/>
      <c r="CO12" s="553"/>
      <c r="CP12" s="553"/>
      <c r="CQ12" s="553"/>
      <c r="CR12" s="553"/>
      <c r="CS12" s="553"/>
      <c r="CT12" s="553"/>
      <c r="CU12" s="553">
        <f t="array" ref="CU12">INDEX('DOWN 가격동향'!10:10,MATCH(1,('DOWN 가격동향'!8:8='동향 그래프 ~시세반영 '!A12)*('DOWN 가격동향'!9:9='동향 그래프 ~시세반영 '!$CU3),0))</f>
        <v>91.4</v>
      </c>
      <c r="CX12" s="393" t="s">
        <v>213</v>
      </c>
      <c r="CY12" s="393" t="s">
        <v>214</v>
      </c>
    </row>
    <row r="13" spans="1:103" ht="29.25" customHeight="1" x14ac:dyDescent="0.3">
      <c r="A13" s="242" t="s">
        <v>84</v>
      </c>
      <c r="B13" s="243">
        <f t="shared" ref="B13:AG13" si="0">AVERAGE(B4:B9)</f>
        <v>68.816666666666677</v>
      </c>
      <c r="C13" s="243">
        <f t="shared" si="0"/>
        <v>69.8</v>
      </c>
      <c r="D13" s="243">
        <f t="shared" si="0"/>
        <v>70.38333333333334</v>
      </c>
      <c r="E13" s="243">
        <f t="shared" si="0"/>
        <v>72.066666666666677</v>
      </c>
      <c r="F13" s="243">
        <f t="shared" si="0"/>
        <v>72.566666666666677</v>
      </c>
      <c r="G13" s="243">
        <f t="shared" si="0"/>
        <v>72.06</v>
      </c>
      <c r="H13" s="243">
        <f t="shared" si="0"/>
        <v>73.191666666666663</v>
      </c>
      <c r="I13" s="243">
        <f t="shared" si="0"/>
        <v>72.941666666666663</v>
      </c>
      <c r="J13" s="243">
        <f t="shared" si="0"/>
        <v>72.024999999999991</v>
      </c>
      <c r="K13" s="243">
        <f t="shared" si="0"/>
        <v>71.108333333333334</v>
      </c>
      <c r="L13" s="243">
        <f t="shared" si="0"/>
        <v>70.01166666666667</v>
      </c>
      <c r="M13" s="243">
        <f t="shared" si="0"/>
        <v>69.978333333333339</v>
      </c>
      <c r="N13" s="243">
        <f t="shared" si="0"/>
        <v>70.103333333333339</v>
      </c>
      <c r="O13" s="243">
        <f t="shared" si="0"/>
        <v>70.27</v>
      </c>
      <c r="P13" s="243">
        <f t="shared" si="0"/>
        <v>71.27</v>
      </c>
      <c r="Q13" s="243">
        <f t="shared" si="0"/>
        <v>70.88333333333334</v>
      </c>
      <c r="R13" s="243">
        <f t="shared" si="0"/>
        <v>74.8</v>
      </c>
      <c r="S13" s="243">
        <f t="shared" si="0"/>
        <v>75.55</v>
      </c>
      <c r="T13" s="243">
        <f t="shared" si="0"/>
        <v>76.116666666666674</v>
      </c>
      <c r="U13" s="243">
        <f t="shared" si="0"/>
        <v>75.866666666666674</v>
      </c>
      <c r="V13" s="243">
        <f t="shared" si="0"/>
        <v>77.400000000000006</v>
      </c>
      <c r="W13" s="243">
        <f t="shared" si="0"/>
        <v>77.316666666666677</v>
      </c>
      <c r="X13" s="243">
        <f t="shared" si="0"/>
        <v>77.400000000000006</v>
      </c>
      <c r="Y13" s="243">
        <f t="shared" si="0"/>
        <v>75.483333333333334</v>
      </c>
      <c r="Z13" s="243">
        <f t="shared" si="0"/>
        <v>77.2</v>
      </c>
      <c r="AA13" s="243">
        <f t="shared" si="0"/>
        <v>77.183333333333337</v>
      </c>
      <c r="AB13" s="243">
        <f t="shared" si="0"/>
        <v>77.216666666666683</v>
      </c>
      <c r="AC13" s="243">
        <f t="shared" si="0"/>
        <v>77.63333333333334</v>
      </c>
      <c r="AD13" s="243">
        <f t="shared" si="0"/>
        <v>77.8</v>
      </c>
      <c r="AE13" s="243">
        <f t="shared" si="0"/>
        <v>77.38333333333334</v>
      </c>
      <c r="AF13" s="243">
        <f t="shared" si="0"/>
        <v>78.61666666666666</v>
      </c>
      <c r="AG13" s="243">
        <f t="shared" si="0"/>
        <v>75.816666666666663</v>
      </c>
      <c r="AH13" s="243">
        <f t="shared" ref="AH13:BQ13" si="1">AVERAGE(AH4:AH9)</f>
        <v>76.033333333333331</v>
      </c>
      <c r="AI13" s="243">
        <f t="shared" si="1"/>
        <v>77.38333333333334</v>
      </c>
      <c r="AJ13" s="243">
        <f t="shared" si="1"/>
        <v>82.966666666666669</v>
      </c>
      <c r="AK13" s="243">
        <f t="shared" si="1"/>
        <v>84.05</v>
      </c>
      <c r="AL13" s="243">
        <f t="shared" si="1"/>
        <v>85.95</v>
      </c>
      <c r="AM13" s="243">
        <f t="shared" si="1"/>
        <v>91.883333333333326</v>
      </c>
      <c r="AN13" s="243">
        <f t="shared" si="1"/>
        <v>100.31666666666666</v>
      </c>
      <c r="AO13" s="243">
        <f t="shared" si="1"/>
        <v>105.06666666666666</v>
      </c>
      <c r="AP13" s="243">
        <f t="shared" si="1"/>
        <v>107.39999999999999</v>
      </c>
      <c r="AQ13" s="243">
        <f t="shared" si="1"/>
        <v>108.48333333333333</v>
      </c>
      <c r="AR13" s="243">
        <f t="shared" si="1"/>
        <v>109.96666666666665</v>
      </c>
      <c r="AS13" s="243">
        <f t="shared" si="1"/>
        <v>109.96666666666665</v>
      </c>
      <c r="AT13" s="243">
        <f t="shared" si="1"/>
        <v>110.5</v>
      </c>
      <c r="AU13" s="243">
        <f t="shared" si="1"/>
        <v>114.83333333333333</v>
      </c>
      <c r="AV13" s="243">
        <f t="shared" si="1"/>
        <v>125.18333333333334</v>
      </c>
      <c r="AW13" s="243">
        <f t="shared" si="1"/>
        <v>126.85000000000001</v>
      </c>
      <c r="AX13" s="243">
        <f t="shared" si="1"/>
        <v>131.18333333333334</v>
      </c>
      <c r="AY13" s="243">
        <f t="shared" si="1"/>
        <v>131.18333333333334</v>
      </c>
      <c r="AZ13" s="243">
        <f t="shared" si="1"/>
        <v>126.81666666666666</v>
      </c>
      <c r="BA13" s="243">
        <f t="shared" si="1"/>
        <v>125.14999999999999</v>
      </c>
      <c r="BB13" s="243">
        <f t="shared" si="1"/>
        <v>126.01666666666667</v>
      </c>
      <c r="BC13" s="243">
        <f t="shared" si="1"/>
        <v>123.35000000000001</v>
      </c>
      <c r="BD13" s="243">
        <f t="shared" si="1"/>
        <v>117.39999999999999</v>
      </c>
      <c r="BE13" s="243">
        <f t="shared" si="1"/>
        <v>115.83333333333333</v>
      </c>
      <c r="BF13" s="243">
        <f t="shared" si="1"/>
        <v>108.44999999999999</v>
      </c>
      <c r="BG13" s="243">
        <f t="shared" si="1"/>
        <v>101.63333333333333</v>
      </c>
      <c r="BH13" s="243">
        <f t="shared" si="1"/>
        <v>93.783333333333317</v>
      </c>
      <c r="BI13" s="243">
        <f t="shared" si="1"/>
        <v>95.199999999999989</v>
      </c>
      <c r="BJ13" s="243">
        <f t="shared" si="1"/>
        <v>93.733333333333334</v>
      </c>
      <c r="BK13" s="243">
        <f t="shared" si="1"/>
        <v>91.716666666666683</v>
      </c>
      <c r="BL13" s="243">
        <f t="shared" si="1"/>
        <v>88.416666666666671</v>
      </c>
      <c r="BM13" s="243">
        <f t="shared" si="1"/>
        <v>88.5</v>
      </c>
      <c r="BN13" s="243">
        <f t="shared" si="1"/>
        <v>85.416666666666671</v>
      </c>
      <c r="BO13" s="243">
        <f t="shared" si="1"/>
        <v>84.516666666666666</v>
      </c>
      <c r="BP13" s="243">
        <f t="shared" si="1"/>
        <v>84.183333333333337</v>
      </c>
      <c r="BQ13" s="243">
        <f t="shared" si="1"/>
        <v>83.066666666666677</v>
      </c>
      <c r="BR13" s="243">
        <f>AVERAGEIF(BR4:BR9,"&gt;0")</f>
        <v>85.833333333333329</v>
      </c>
      <c r="BS13" s="243">
        <f>AVERAGEIF(BS4:BS9,"&gt;0")</f>
        <v>87.333333333333329</v>
      </c>
      <c r="BT13" s="243">
        <f>AVERAGEIF(BT4:BT9,"&gt;0")</f>
        <v>86.766666666666666</v>
      </c>
      <c r="BU13" s="243">
        <f>AVERAGEIF(BU4:BU9,"&gt;0")</f>
        <v>85.13333333333334</v>
      </c>
      <c r="BV13" s="243">
        <f>AVERAGEIF(BV4:BV9,"&gt;0")</f>
        <v>82.45</v>
      </c>
      <c r="BW13" s="243">
        <f t="shared" ref="BW13:CD13" si="2">AVERAGEIF(BW4:BW10,"&gt;0")</f>
        <v>82.100000000000009</v>
      </c>
      <c r="BX13" s="243">
        <f t="shared" si="2"/>
        <v>83.600000000000009</v>
      </c>
      <c r="BY13" s="243">
        <f t="shared" si="2"/>
        <v>85.01428571428572</v>
      </c>
      <c r="BZ13" s="243">
        <f t="shared" si="2"/>
        <v>82.728571428571428</v>
      </c>
      <c r="CA13" s="243">
        <f t="shared" si="2"/>
        <v>82.8</v>
      </c>
      <c r="CB13" s="243">
        <f t="shared" si="2"/>
        <v>85.54285714285713</v>
      </c>
      <c r="CC13" s="243">
        <f t="shared" si="2"/>
        <v>88.685714285714297</v>
      </c>
      <c r="CD13" s="243">
        <f t="shared" si="2"/>
        <v>89.45714285714287</v>
      </c>
      <c r="CE13" s="243">
        <f t="shared" ref="CE13:CK13" si="3">AVERAGEIF(CE4:CE11,"&gt;0")</f>
        <v>89.471428571428575</v>
      </c>
      <c r="CF13" s="243">
        <f t="shared" si="3"/>
        <v>87.484999999999999</v>
      </c>
      <c r="CG13" s="243">
        <f t="shared" si="3"/>
        <v>84.86</v>
      </c>
      <c r="CH13" s="243">
        <f t="shared" si="3"/>
        <v>84.046250000000001</v>
      </c>
      <c r="CI13" s="243">
        <f t="shared" si="3"/>
        <v>85.342500000000001</v>
      </c>
      <c r="CJ13" s="243">
        <f t="shared" si="3"/>
        <v>85.63</v>
      </c>
      <c r="CK13" s="243">
        <f t="shared" si="3"/>
        <v>86.942499999999995</v>
      </c>
      <c r="CL13" s="243">
        <f t="shared" ref="CL13:CM13" si="4">AVERAGEIF(CL4:CL11,"&gt;0")</f>
        <v>92.982500000000002</v>
      </c>
      <c r="CM13" s="243">
        <f t="shared" si="4"/>
        <v>94.836250000000007</v>
      </c>
      <c r="CN13" s="243">
        <f t="shared" ref="CN13:CO13" si="5">AVERAGEIF(CN4:CN11,"&gt;0")</f>
        <v>96.474999999999994</v>
      </c>
      <c r="CO13" s="243">
        <f t="shared" si="5"/>
        <v>96.887500000000003</v>
      </c>
      <c r="CP13" s="243">
        <f t="shared" ref="CP13:CQ13" si="6">AVERAGEIF(CP4:CP11,"&gt;0")</f>
        <v>100.0625</v>
      </c>
      <c r="CQ13" s="243">
        <f t="shared" si="6"/>
        <v>103.27500000000001</v>
      </c>
      <c r="CR13" s="243">
        <f t="shared" ref="CR13:CS13" si="7">AVERAGEIF(CR4:CR11,"&gt;0")</f>
        <v>103.65714285714286</v>
      </c>
      <c r="CS13" s="243">
        <f t="shared" si="7"/>
        <v>101.12857142857142</v>
      </c>
      <c r="CT13" s="243">
        <f t="shared" ref="CT13" si="8">AVERAGEIF(CT4:CT11,"&gt;0")</f>
        <v>102.04285714285713</v>
      </c>
      <c r="CU13" s="243">
        <f>AVERAGEIF(CU4:CU12,"&gt;0")</f>
        <v>102.8875</v>
      </c>
      <c r="CX13" s="558">
        <v>75.5</v>
      </c>
      <c r="CY13" s="677">
        <f>(CU13-CX13)/CX13</f>
        <v>0.36274834437086095</v>
      </c>
    </row>
    <row r="31" spans="1:99" x14ac:dyDescent="0.3">
      <c r="A31" s="123"/>
      <c r="B31" s="123"/>
      <c r="C31" s="123" t="s">
        <v>157</v>
      </c>
      <c r="D31" s="123"/>
      <c r="E31" s="123"/>
      <c r="F31" s="123"/>
      <c r="G31" s="123"/>
      <c r="H31" s="123"/>
      <c r="I31" s="123"/>
      <c r="J31" s="123"/>
      <c r="K31" s="123"/>
      <c r="L31" s="123" t="s">
        <v>158</v>
      </c>
      <c r="M31" s="123"/>
      <c r="N31" s="123"/>
      <c r="O31" s="123"/>
      <c r="P31" s="123"/>
      <c r="Q31" s="123"/>
      <c r="R31" s="123"/>
      <c r="S31" s="123"/>
      <c r="T31" s="123"/>
      <c r="U31" s="123"/>
      <c r="V31" s="123"/>
    </row>
    <row r="32" spans="1:99" ht="17.25" thickBot="1" x14ac:dyDescent="0.35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375"/>
      <c r="AK32" s="375"/>
      <c r="AL32" s="375"/>
      <c r="AM32" s="375"/>
      <c r="AN32" s="375"/>
      <c r="AO32" s="375"/>
      <c r="AP32" s="375"/>
      <c r="AQ32" s="375"/>
      <c r="AR32" s="375"/>
      <c r="AS32" s="375"/>
      <c r="AT32" s="375"/>
      <c r="AU32" s="375"/>
      <c r="AV32" s="375"/>
      <c r="AW32" s="375"/>
      <c r="AX32" s="375"/>
      <c r="AY32" s="375"/>
      <c r="AZ32" s="375"/>
      <c r="BA32" s="375"/>
      <c r="BB32" s="375"/>
      <c r="BC32" s="375"/>
      <c r="BD32" s="375"/>
      <c r="BE32" s="375"/>
      <c r="BF32" s="375"/>
      <c r="BG32" s="375"/>
      <c r="BH32" s="375"/>
      <c r="BI32" s="375"/>
      <c r="BJ32" s="375"/>
      <c r="BK32" s="375"/>
      <c r="BL32" s="375"/>
      <c r="BM32" s="375"/>
      <c r="BN32" s="375"/>
      <c r="BO32" s="375"/>
      <c r="BP32" s="375"/>
      <c r="BQ32" s="375"/>
      <c r="BR32" s="375"/>
      <c r="BS32" s="375"/>
      <c r="BT32" s="375"/>
      <c r="BU32" s="375"/>
      <c r="BV32" s="375"/>
      <c r="BW32" s="375"/>
      <c r="BX32" s="375"/>
      <c r="BY32" s="375"/>
      <c r="BZ32" s="375"/>
      <c r="CA32" s="375"/>
      <c r="CB32" s="375"/>
      <c r="CC32" s="375"/>
      <c r="CD32" s="375"/>
      <c r="CE32" s="375"/>
      <c r="CF32" s="375"/>
      <c r="CG32" s="375"/>
      <c r="CH32" s="375"/>
      <c r="CI32" s="375"/>
      <c r="CJ32" s="375"/>
      <c r="CK32" s="375"/>
      <c r="CL32" s="375"/>
      <c r="CM32" s="375"/>
      <c r="CN32" s="375"/>
      <c r="CO32" s="375"/>
      <c r="CP32" s="375"/>
      <c r="CQ32" s="375"/>
      <c r="CR32" s="375"/>
      <c r="CS32" s="375"/>
      <c r="CT32" s="375"/>
      <c r="CU32" s="375"/>
    </row>
    <row r="33" spans="1:103" ht="17.25" thickTop="1" x14ac:dyDescent="0.3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</row>
    <row r="34" spans="1:103" x14ac:dyDescent="0.3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Y34">
        <v>38.200000000000003</v>
      </c>
      <c r="Z34">
        <v>56.7</v>
      </c>
      <c r="AA34">
        <f>(Y34-Z34)/Y34</f>
        <v>-0.48429319371727747</v>
      </c>
      <c r="AB34">
        <v>37.9</v>
      </c>
      <c r="AC34">
        <v>56.5</v>
      </c>
      <c r="AD34" s="454">
        <f>(AB34-AC34)/AB34</f>
        <v>-0.49076517150395782</v>
      </c>
      <c r="CV34" s="556"/>
      <c r="CW34" s="556"/>
    </row>
    <row r="35" spans="1:103" x14ac:dyDescent="0.3">
      <c r="O35" t="s">
        <v>151</v>
      </c>
      <c r="AL35" t="s">
        <v>185</v>
      </c>
      <c r="CF35" t="s">
        <v>215</v>
      </c>
      <c r="CG35" s="195">
        <f>AVERAGE(CF45:CG45)</f>
        <v>52.31</v>
      </c>
    </row>
    <row r="36" spans="1:103" ht="20.100000000000001" customHeight="1" x14ac:dyDescent="0.3">
      <c r="A36" s="244" t="s">
        <v>91</v>
      </c>
      <c r="B36" s="246">
        <v>44747</v>
      </c>
      <c r="C36" s="246">
        <v>44761</v>
      </c>
      <c r="D36" s="246">
        <v>44783</v>
      </c>
      <c r="E36" s="246">
        <v>44797</v>
      </c>
      <c r="F36" s="246">
        <v>44811</v>
      </c>
      <c r="G36" s="246">
        <f t="shared" ref="G36:AL36" si="9">G3</f>
        <v>45191</v>
      </c>
      <c r="H36" s="246">
        <f t="shared" si="9"/>
        <v>45204</v>
      </c>
      <c r="I36" s="246">
        <f t="shared" si="9"/>
        <v>45221</v>
      </c>
      <c r="J36" s="246">
        <f t="shared" si="9"/>
        <v>45232</v>
      </c>
      <c r="K36" s="246">
        <f t="shared" si="9"/>
        <v>45246</v>
      </c>
      <c r="L36" s="246">
        <f t="shared" si="9"/>
        <v>45260</v>
      </c>
      <c r="M36" s="246">
        <f t="shared" si="9"/>
        <v>45273</v>
      </c>
      <c r="N36" s="246">
        <f t="shared" si="9"/>
        <v>45287</v>
      </c>
      <c r="O36" s="245">
        <f t="shared" si="9"/>
        <v>44944</v>
      </c>
      <c r="P36" s="246">
        <f t="shared" si="9"/>
        <v>44957</v>
      </c>
      <c r="Q36" s="246">
        <f t="shared" si="9"/>
        <v>44966</v>
      </c>
      <c r="R36" s="246">
        <f t="shared" si="9"/>
        <v>44980</v>
      </c>
      <c r="S36" s="246">
        <f t="shared" si="9"/>
        <v>44994</v>
      </c>
      <c r="T36" s="246">
        <f t="shared" si="9"/>
        <v>45015</v>
      </c>
      <c r="U36" s="246">
        <f t="shared" si="9"/>
        <v>45033</v>
      </c>
      <c r="V36" s="246">
        <f t="shared" si="9"/>
        <v>45050</v>
      </c>
      <c r="W36" s="246">
        <f t="shared" si="9"/>
        <v>45064</v>
      </c>
      <c r="X36" s="246">
        <f t="shared" si="9"/>
        <v>45078</v>
      </c>
      <c r="Y36" s="246">
        <f t="shared" si="9"/>
        <v>45092</v>
      </c>
      <c r="Z36" s="246">
        <f t="shared" si="9"/>
        <v>45106</v>
      </c>
      <c r="AA36" s="246">
        <f t="shared" si="9"/>
        <v>45120</v>
      </c>
      <c r="AB36" s="246">
        <f t="shared" si="9"/>
        <v>45134</v>
      </c>
      <c r="AC36" s="246">
        <f t="shared" si="9"/>
        <v>45155</v>
      </c>
      <c r="AD36" s="246">
        <f t="shared" si="9"/>
        <v>45169</v>
      </c>
      <c r="AE36" s="246">
        <f t="shared" si="9"/>
        <v>45183</v>
      </c>
      <c r="AF36" s="246">
        <f t="shared" si="9"/>
        <v>45203</v>
      </c>
      <c r="AG36" s="246">
        <f t="shared" si="9"/>
        <v>45225</v>
      </c>
      <c r="AH36" s="246">
        <f t="shared" si="9"/>
        <v>45239</v>
      </c>
      <c r="AI36" s="246">
        <f t="shared" si="9"/>
        <v>45257</v>
      </c>
      <c r="AJ36" s="246">
        <f t="shared" si="9"/>
        <v>45640</v>
      </c>
      <c r="AK36" s="246">
        <f t="shared" si="9"/>
        <v>45654</v>
      </c>
      <c r="AL36" s="246">
        <f t="shared" si="9"/>
        <v>45301</v>
      </c>
      <c r="AM36" s="246">
        <f t="shared" ref="AM36:BG36" si="10">AM3</f>
        <v>45316</v>
      </c>
      <c r="AN36" s="246">
        <f t="shared" si="10"/>
        <v>45329</v>
      </c>
      <c r="AO36" s="246">
        <f t="shared" si="10"/>
        <v>45343</v>
      </c>
      <c r="AP36" s="246">
        <f t="shared" si="10"/>
        <v>45357</v>
      </c>
      <c r="AQ36" s="246">
        <f t="shared" si="10"/>
        <v>45369</v>
      </c>
      <c r="AR36" s="246">
        <f t="shared" si="10"/>
        <v>45385</v>
      </c>
      <c r="AS36" s="246">
        <f t="shared" si="10"/>
        <v>45399</v>
      </c>
      <c r="AT36" s="246">
        <f t="shared" si="10"/>
        <v>45421</v>
      </c>
      <c r="AU36" s="246">
        <f t="shared" si="10"/>
        <v>45434</v>
      </c>
      <c r="AV36" s="246">
        <f t="shared" si="10"/>
        <v>45448</v>
      </c>
      <c r="AW36" s="246">
        <f t="shared" si="10"/>
        <v>45462</v>
      </c>
      <c r="AX36" s="246">
        <f t="shared" si="10"/>
        <v>45476</v>
      </c>
      <c r="AY36" s="246">
        <f t="shared" si="10"/>
        <v>45498</v>
      </c>
      <c r="AZ36" s="246">
        <f t="shared" si="10"/>
        <v>45511</v>
      </c>
      <c r="BA36" s="246">
        <f t="shared" si="10"/>
        <v>45526</v>
      </c>
      <c r="BB36" s="246">
        <f t="shared" si="10"/>
        <v>45541</v>
      </c>
      <c r="BC36" s="246">
        <f t="shared" si="10"/>
        <v>45562</v>
      </c>
      <c r="BD36" s="246">
        <f t="shared" si="10"/>
        <v>45580</v>
      </c>
      <c r="BE36" s="246">
        <f t="shared" si="10"/>
        <v>45593</v>
      </c>
      <c r="BF36" s="246">
        <f t="shared" si="10"/>
        <v>45611</v>
      </c>
      <c r="BG36" s="246">
        <f t="shared" si="10"/>
        <v>45623</v>
      </c>
      <c r="BH36" s="246">
        <v>45639</v>
      </c>
      <c r="BI36" s="246">
        <v>45653</v>
      </c>
      <c r="BJ36" s="246">
        <v>45666</v>
      </c>
      <c r="BK36" s="246">
        <v>45701</v>
      </c>
      <c r="BL36" s="246">
        <v>45716</v>
      </c>
      <c r="BM36" s="246">
        <v>45729</v>
      </c>
      <c r="BN36" s="246">
        <v>45757</v>
      </c>
      <c r="BO36" s="246">
        <v>45764</v>
      </c>
      <c r="BP36" s="246">
        <v>45778</v>
      </c>
      <c r="BQ36" s="246">
        <v>45793</v>
      </c>
      <c r="BR36" s="246">
        <v>45806</v>
      </c>
      <c r="BS36" s="246">
        <v>45820</v>
      </c>
      <c r="BT36" s="246">
        <v>45833</v>
      </c>
      <c r="BU36" s="246">
        <v>45848</v>
      </c>
      <c r="BV36" s="246">
        <v>45862</v>
      </c>
      <c r="BW36" s="246">
        <v>45876</v>
      </c>
      <c r="BX36" s="246">
        <v>45890</v>
      </c>
      <c r="BY36" s="246">
        <v>45904</v>
      </c>
      <c r="BZ36" s="246">
        <v>45917</v>
      </c>
      <c r="CA36" s="246">
        <v>45932</v>
      </c>
      <c r="CB36" s="246">
        <v>45946</v>
      </c>
      <c r="CC36" s="246">
        <v>45959</v>
      </c>
      <c r="CD36" s="246">
        <v>45975</v>
      </c>
      <c r="CE36" s="246">
        <v>45988</v>
      </c>
      <c r="CF36" s="246">
        <v>46002</v>
      </c>
      <c r="CG36" s="246">
        <v>46020</v>
      </c>
      <c r="CH36" s="246">
        <v>46031</v>
      </c>
      <c r="CI36" s="246">
        <v>46051</v>
      </c>
      <c r="CJ36" s="246">
        <v>46057</v>
      </c>
      <c r="CK36" s="246">
        <v>46073</v>
      </c>
      <c r="CL36" s="246">
        <v>46093</v>
      </c>
      <c r="CM36" s="246">
        <v>46114</v>
      </c>
      <c r="CN36" s="246">
        <v>46132</v>
      </c>
      <c r="CO36" s="246">
        <v>46142</v>
      </c>
      <c r="CP36" s="246">
        <v>46163</v>
      </c>
      <c r="CQ36" s="246">
        <v>46192</v>
      </c>
      <c r="CR36" s="246">
        <f>CR3</f>
        <v>46212</v>
      </c>
      <c r="CS36" s="246">
        <f>CS3</f>
        <v>46233</v>
      </c>
      <c r="CT36" s="246">
        <f>CT3</f>
        <v>46247</v>
      </c>
      <c r="CU36" s="246">
        <f>CU3</f>
        <v>46269</v>
      </c>
    </row>
    <row r="37" spans="1:103" ht="24.75" customHeight="1" x14ac:dyDescent="0.3">
      <c r="A37" s="239" t="s">
        <v>5</v>
      </c>
      <c r="B37" s="238">
        <v>39</v>
      </c>
      <c r="C37" s="238">
        <v>38.5</v>
      </c>
      <c r="D37" s="238">
        <v>41.5</v>
      </c>
      <c r="E37" s="238">
        <v>41.5</v>
      </c>
      <c r="F37" s="238">
        <v>41.5</v>
      </c>
      <c r="G37" s="238">
        <v>41.5</v>
      </c>
      <c r="H37" s="238">
        <v>39</v>
      </c>
      <c r="I37" s="238">
        <v>38.5</v>
      </c>
      <c r="J37" s="238">
        <v>37.5</v>
      </c>
      <c r="K37" s="238">
        <v>36.9</v>
      </c>
      <c r="L37" s="238">
        <v>35.5</v>
      </c>
      <c r="M37" s="238">
        <v>35.5</v>
      </c>
      <c r="N37" s="238">
        <v>35.5</v>
      </c>
      <c r="O37" s="238">
        <v>35.5</v>
      </c>
      <c r="P37" s="238">
        <v>35.5</v>
      </c>
      <c r="Q37" s="238">
        <v>35.5</v>
      </c>
      <c r="R37" s="238">
        <v>36.5</v>
      </c>
      <c r="S37" s="238">
        <v>38.5</v>
      </c>
      <c r="T37" s="238">
        <v>37.5</v>
      </c>
      <c r="U37" s="238">
        <v>35.5</v>
      </c>
      <c r="V37" s="238">
        <v>35</v>
      </c>
      <c r="W37" s="238">
        <v>34.5</v>
      </c>
      <c r="X37" s="238">
        <v>34.5</v>
      </c>
      <c r="Y37" s="238">
        <v>34</v>
      </c>
      <c r="Z37" s="238">
        <v>34.5</v>
      </c>
      <c r="AA37" s="238">
        <v>34.5</v>
      </c>
      <c r="AB37" s="238">
        <v>34.5</v>
      </c>
      <c r="AC37" s="238">
        <v>34</v>
      </c>
      <c r="AD37" s="238">
        <v>34</v>
      </c>
      <c r="AE37" s="238">
        <v>34</v>
      </c>
      <c r="AF37" s="238">
        <v>34</v>
      </c>
      <c r="AG37" s="238">
        <v>34.5</v>
      </c>
      <c r="AH37" s="238">
        <v>34.5</v>
      </c>
      <c r="AI37" s="238">
        <v>36</v>
      </c>
      <c r="AJ37" s="238">
        <v>38</v>
      </c>
      <c r="AK37" s="238">
        <v>38</v>
      </c>
      <c r="AL37" s="238">
        <v>36</v>
      </c>
      <c r="AM37" s="238">
        <v>37</v>
      </c>
      <c r="AN37" s="238">
        <v>38</v>
      </c>
      <c r="AO37" s="238">
        <v>40</v>
      </c>
      <c r="AP37" s="238">
        <v>45</v>
      </c>
      <c r="AQ37" s="238">
        <v>46</v>
      </c>
      <c r="AR37" s="238">
        <v>42</v>
      </c>
      <c r="AS37" s="238">
        <v>42</v>
      </c>
      <c r="AT37" s="238">
        <v>42</v>
      </c>
      <c r="AU37" s="238">
        <v>45</v>
      </c>
      <c r="AV37" s="238">
        <v>48</v>
      </c>
      <c r="AW37" s="238">
        <v>50</v>
      </c>
      <c r="AX37" s="238">
        <v>50</v>
      </c>
      <c r="AY37" s="238">
        <v>50</v>
      </c>
      <c r="AZ37" s="238">
        <v>50</v>
      </c>
      <c r="BA37" s="238">
        <v>50</v>
      </c>
      <c r="BB37" s="238">
        <v>50</v>
      </c>
      <c r="BC37" s="238">
        <v>53</v>
      </c>
      <c r="BD37" s="238">
        <v>55</v>
      </c>
      <c r="BE37" s="238">
        <v>54</v>
      </c>
      <c r="BF37" s="238">
        <v>52</v>
      </c>
      <c r="BG37" s="238">
        <v>49</v>
      </c>
      <c r="BH37" s="238">
        <v>45</v>
      </c>
      <c r="BI37" s="238">
        <v>47</v>
      </c>
      <c r="BJ37" s="238">
        <v>45</v>
      </c>
      <c r="BK37" s="238">
        <v>45</v>
      </c>
      <c r="BL37" s="238">
        <v>44</v>
      </c>
      <c r="BM37" s="238">
        <v>43</v>
      </c>
      <c r="BN37" s="238">
        <v>42</v>
      </c>
      <c r="BO37" s="238">
        <v>42</v>
      </c>
      <c r="BP37" s="238">
        <v>42</v>
      </c>
      <c r="BQ37" s="238">
        <v>41</v>
      </c>
      <c r="BR37" s="238">
        <f t="array" ref="BR37">INDEX('DOWN 가격동향'!$DD$11:$AHC$11,MATCH(1,('DOWN 가격동향'!$K$8:$AHC$8='동향 그래프 ~시세반영 '!$A37)*('DOWN 가격동향'!$DD$9:$AHC$9='동향 그래프 ~시세반영 '!BR$3),0))</f>
        <v>41</v>
      </c>
      <c r="BS37" s="238">
        <f t="array" ref="BS37">INDEX('DOWN 가격동향'!$DD$11:$AHC$11,MATCH(1,('DOWN 가격동향'!$K$8:$AHC$8='동향 그래프 ~시세반영 '!$A37)*('DOWN 가격동향'!$DD$9:$AHC$9='동향 그래프 ~시세반영 '!BS$3),0))</f>
        <v>42</v>
      </c>
      <c r="BT37" s="238">
        <f t="array" ref="BT37">INDEX('DOWN 가격동향'!$DD$11:$AHC$11,MATCH(1,('DOWN 가격동향'!$K$8:$AHC$8='동향 그래프 ~시세반영 '!$A37)*('DOWN 가격동향'!$DD$9:$AHC$9='동향 그래프 ~시세반영 '!BT$3),0))</f>
        <v>44</v>
      </c>
      <c r="BU37" s="238">
        <f t="array" ref="BU37">INDEX('DOWN 가격동향'!$DD$11:$AHC$11,MATCH(1,('DOWN 가격동향'!$K$8:$AHC$8='동향 그래프 ~시세반영 '!$A37)*('DOWN 가격동향'!$DD$9:$AHC$9='동향 그래프 ~시세반영 '!BU$3),0))</f>
        <v>41</v>
      </c>
      <c r="BV37" s="238">
        <f t="array" ref="BV37">INDEX('DOWN 가격동향'!$DD$11:$AHC$11,MATCH(1,('DOWN 가격동향'!$K$8:$AHC$8='동향 그래프 ~시세반영 '!$A37)*('DOWN 가격동향'!$DD$9:$AHC$9='동향 그래프 ~시세반영 '!BV$3),0))</f>
        <v>45</v>
      </c>
      <c r="BW37" s="238">
        <f t="array" ref="BW37">INDEX('DOWN 가격동향'!$DD$11:$AHC$11,MATCH(1,('DOWN 가격동향'!$K$8:$AHC$8='동향 그래프 ~시세반영 '!$A37)*('DOWN 가격동향'!$DD$9:$AHC$9='동향 그래프 ~시세반영 '!BW$3),0))</f>
        <v>46</v>
      </c>
      <c r="BX37" s="238">
        <f t="array" ref="BX37">INDEX('DOWN 가격동향'!$DD$11:$AHC$11,MATCH(1,('DOWN 가격동향'!$K$8:$AHC$8='동향 그래프 ~시세반영 '!$A37)*('DOWN 가격동향'!$DD$9:$AHC$9='동향 그래프 ~시세반영 '!BX$3),0))</f>
        <v>47</v>
      </c>
      <c r="BY37" s="238">
        <f t="array" ref="BY37">INDEX('DOWN 가격동향'!$DD$11:$AHC$11,MATCH(1,('DOWN 가격동향'!$K$8:$AHC$8='동향 그래프 ~시세반영 '!$A37)*('DOWN 가격동향'!$DD$9:$AHC$9='동향 그래프 ~시세반영 '!BY$3),0))</f>
        <v>47</v>
      </c>
      <c r="BZ37" s="238">
        <f t="array" ref="BZ37">INDEX('DOWN 가격동향'!$DD$11:$AHC$11,MATCH(1,('DOWN 가격동향'!$K$8:$AHC$8='동향 그래프 ~시세반영 '!$A37)*('DOWN 가격동향'!$DD$9:$AHC$9='동향 그래프 ~시세반영 '!BZ$3),0))</f>
        <v>47</v>
      </c>
      <c r="CA37" s="238">
        <f t="array" ref="CA37">INDEX('DOWN 가격동향'!$DD$11:$AHC$11,MATCH(1,('DOWN 가격동향'!$K$8:$AHC$8='동향 그래프 ~시세반영 '!$A37)*('DOWN 가격동향'!$DD$9:$AHC$9='동향 그래프 ~시세반영 '!CA$3),0))</f>
        <v>48</v>
      </c>
      <c r="CB37" s="238">
        <f t="array" ref="CB37">INDEX('DOWN 가격동향'!$DD$11:$AHC$11,MATCH(1,('DOWN 가격동향'!$K$8:$AHC$8='동향 그래프 ~시세반영 '!$A37)*('DOWN 가격동향'!$DD$9:$AHC$9='동향 그래프 ~시세반영 '!CB$3),0))</f>
        <v>49</v>
      </c>
      <c r="CC37" s="238">
        <f t="array" ref="CC37">INDEX('DOWN 가격동향'!$DD$11:$AHC$11,MATCH(1,('DOWN 가격동향'!$K$8:$AHC$8='동향 그래프 ~시세반영 '!$A37)*('DOWN 가격동향'!$DD$9:$AHC$9='동향 그래프 ~시세반영 '!CC$3),0))</f>
        <v>51</v>
      </c>
      <c r="CD37" s="238">
        <f t="array" ref="CD37">INDEX('DOWN 가격동향'!$DD$11:$AHC$11,MATCH(1,('DOWN 가격동향'!$K$8:$AHC$8='동향 그래프 ~시세반영 '!$A37)*('DOWN 가격동향'!$DD$9:$AHC$9='동향 그래프 ~시세반영 '!CD$3),0))</f>
        <v>53</v>
      </c>
      <c r="CE37" s="238">
        <f t="array" ref="CE37">INDEX('DOWN 가격동향'!$DD$11:$AHC$11,MATCH(1,('DOWN 가격동향'!$K$8:$AHC$8='동향 그래프 ~시세반영 '!$A37)*('DOWN 가격동향'!$DD$9:$AHC$9='동향 그래프 ~시세반영 '!CE$3),0))</f>
        <v>53</v>
      </c>
      <c r="CF37" s="238">
        <f t="array" ref="CF37">INDEX('DOWN 가격동향'!$DD$11:$AHC$11,MATCH(1,('DOWN 가격동향'!$K$8:$AHC$8='동향 그래프 ~시세반영 '!$A37)*('DOWN 가격동향'!$DD$9:$AHC$9='동향 그래프 ~시세반영 '!CF$3),0))</f>
        <v>51</v>
      </c>
      <c r="CG37" s="238">
        <f t="array" ref="CG37">INDEX('DOWN 가격동향'!$DD$11:$AHC$11,MATCH(1,('DOWN 가격동향'!$K$8:$AHC$8='동향 그래프 ~시세반영 '!$A37)*('DOWN 가격동향'!$DD$9:$AHC$9='동향 그래프 ~시세반영 '!CG$3),0))</f>
        <v>51</v>
      </c>
      <c r="CH37" s="238">
        <f t="array" ref="CH37">INDEX('DOWN 가격동향'!$DD$11:$AHC$11,MATCH(1,('DOWN 가격동향'!$K$8:$AHC$8='동향 그래프 ~시세반영 '!$A37)*('DOWN 가격동향'!$DD$9:$AHC$9='동향 그래프 ~시세반영 '!CH$3),0))</f>
        <v>50</v>
      </c>
      <c r="CI37" s="238">
        <f t="array" ref="CI37">INDEX('DOWN 가격동향'!$DD$11:$AHC$11,MATCH(1,('DOWN 가격동향'!$K$8:$AHC$8='동향 그래프 ~시세반영 '!$A37)*('DOWN 가격동향'!$DD$9:$AHC$9='동향 그래프 ~시세반영 '!CI$3),0))</f>
        <v>50</v>
      </c>
      <c r="CJ37" s="238">
        <f t="array" ref="CJ37">INDEX('DOWN 가격동향'!$DD$11:$AHC$11,MATCH(1,('DOWN 가격동향'!$K$8:$AHC$8='동향 그래프 ~시세반영 '!$A37)*('DOWN 가격동향'!$DD$9:$AHC$9='동향 그래프 ~시세반영 '!CJ$3),0))</f>
        <v>50</v>
      </c>
      <c r="CK37" s="238">
        <f t="array" ref="CK37">INDEX('DOWN 가격동향'!$DD$11:$AHC$11,MATCH(1,('DOWN 가격동향'!$K$8:$AHC$8='동향 그래프 ~시세반영 '!$A37)*('DOWN 가격동향'!$DD$9:$AHC$9='동향 그래프 ~시세반영 '!CK$3),0))</f>
        <v>52</v>
      </c>
      <c r="CL37" s="238">
        <f t="array" ref="CL37">INDEX('DOWN 가격동향'!$DD$11:$AHC$11,MATCH(1,('DOWN 가격동향'!$K$8:$AHC$8='동향 그래프 ~시세반영 '!$A37)*('DOWN 가격동향'!$DD$9:$AHC$9='동향 그래프 ~시세반영 '!CL$3),0))</f>
        <v>60</v>
      </c>
      <c r="CM37" s="238">
        <f t="array" ref="CM37">INDEX('DOWN 가격동향'!$DD$11:$AHC$11,MATCH(1,('DOWN 가격동향'!$K$8:$AHC$8='동향 그래프 ~시세반영 '!$A37)*('DOWN 가격동향'!$DD$9:$AHC$9='동향 그래프 ~시세반영 '!CM$3),0))</f>
        <v>60</v>
      </c>
      <c r="CN37" s="238">
        <f t="array" ref="CN37">INDEX('DOWN 가격동향'!$DD$11:$AHC$11,MATCH(1,('DOWN 가격동향'!$K$8:$AHC$8='동향 그래프 ~시세반영 '!$A37)*('DOWN 가격동향'!$DD$9:$AHC$9='동향 그래프 ~시세반영 '!CN$3),0))</f>
        <v>62</v>
      </c>
      <c r="CO37" s="238">
        <f t="array" ref="CO37">INDEX('DOWN 가격동향'!$DD$11:$AHC$11,MATCH(1,('DOWN 가격동향'!$K$8:$AHC$8='동향 그래프 ~시세반영 '!$A37)*('DOWN 가격동향'!$DD$9:$AHC$9='동향 그래프 ~시세반영 '!CO$3),0))</f>
        <v>62</v>
      </c>
      <c r="CP37" s="238">
        <f t="array" ref="CP37">INDEX('DOWN 가격동향'!$DD$11:$AHC$11,MATCH(1,('DOWN 가격동향'!$K$8:$AHC$8='동향 그래프 ~시세반영 '!$A37)*('DOWN 가격동향'!$DD$9:$AHC$9='동향 그래프 ~시세반영 '!CP$3),0))</f>
        <v>62</v>
      </c>
      <c r="CQ37" s="238">
        <f t="array" ref="CQ37">INDEX('DOWN 가격동향'!$DD$11:$AHC$11,MATCH(1,('DOWN 가격동향'!$K$8:$AHC$8='동향 그래프 ~시세반영 '!$A37)*('DOWN 가격동향'!$DD$9:$AHC$9='동향 그래프 ~시세반영 '!CQ$3),0))</f>
        <v>62</v>
      </c>
      <c r="CR37" s="238">
        <f t="array" ref="CR37">INDEX('DOWN 가격동향'!$DD$11:$AHC$11,MATCH(1,('DOWN 가격동향'!$K$8:$AHC$8='동향 그래프 ~시세반영 '!$A37)*('DOWN 가격동향'!$DD$9:$AHC$9='동향 그래프 ~시세반영 '!CR$3),0))</f>
        <v>62</v>
      </c>
      <c r="CS37" s="238">
        <f t="array" ref="CS37">INDEX('DOWN 가격동향'!$DD$11:$AHC$11,MATCH(1,('DOWN 가격동향'!$K$8:$AHC$8='동향 그래프 ~시세반영 '!$A37)*('DOWN 가격동향'!$DD$9:$AHC$9='동향 그래프 ~시세반영 '!CS$3),0))</f>
        <v>60</v>
      </c>
      <c r="CT37" s="238">
        <f t="array" ref="CT37">INDEX('DOWN 가격동향'!$DD$11:$AHC$11,MATCH(1,('DOWN 가격동향'!$K$8:$AHC$8='동향 그래프 ~시세반영 '!$A37)*('DOWN 가격동향'!$DD$9:$AHC$9='동향 그래프 ~시세반영 '!CT$3),0))</f>
        <v>60</v>
      </c>
      <c r="CU37" s="238">
        <f t="array" ref="CU37">INDEX('DOWN 가격동향'!$DD$11:$AHC$11,MATCH(1,('DOWN 가격동향'!$K$8:$AHC$8='동향 그래프 ~시세반영 '!$A37)*('DOWN 가격동향'!$DD$9:$AHC$9='동향 그래프 ~시세반영 '!CU$3),0))</f>
        <v>60</v>
      </c>
    </row>
    <row r="38" spans="1:103" ht="24.75" customHeight="1" x14ac:dyDescent="0.3">
      <c r="A38" s="250" t="s">
        <v>9</v>
      </c>
      <c r="B38" s="251">
        <v>44.5</v>
      </c>
      <c r="C38" s="251">
        <v>46</v>
      </c>
      <c r="D38" s="251">
        <v>48</v>
      </c>
      <c r="E38" s="251">
        <v>50</v>
      </c>
      <c r="F38" s="251">
        <v>50</v>
      </c>
      <c r="G38" s="251">
        <v>43.5</v>
      </c>
      <c r="H38" s="251">
        <v>38.5</v>
      </c>
      <c r="I38" s="251">
        <v>36.700000000000003</v>
      </c>
      <c r="J38" s="251">
        <v>34.799999999999997</v>
      </c>
      <c r="K38" s="251">
        <v>34.6</v>
      </c>
      <c r="L38" s="251">
        <v>34.6</v>
      </c>
      <c r="M38" s="251">
        <v>35.799999999999997</v>
      </c>
      <c r="N38" s="251">
        <v>35.799999999999997</v>
      </c>
      <c r="O38" s="251">
        <v>38</v>
      </c>
      <c r="P38" s="251">
        <v>38</v>
      </c>
      <c r="Q38" s="251">
        <v>40</v>
      </c>
      <c r="R38" s="251">
        <v>49</v>
      </c>
      <c r="S38" s="251">
        <v>51</v>
      </c>
      <c r="T38" s="251">
        <v>50</v>
      </c>
      <c r="U38" s="251">
        <v>48</v>
      </c>
      <c r="V38" s="251">
        <v>50</v>
      </c>
      <c r="W38" s="251">
        <v>50</v>
      </c>
      <c r="X38" s="251">
        <v>49.5</v>
      </c>
      <c r="Y38" s="251">
        <v>44.5</v>
      </c>
      <c r="Z38" s="251">
        <v>44.5</v>
      </c>
      <c r="AA38" s="251">
        <v>44.1</v>
      </c>
      <c r="AB38" s="251">
        <v>44.1</v>
      </c>
      <c r="AC38" s="251">
        <v>43.7</v>
      </c>
      <c r="AD38" s="251">
        <v>44</v>
      </c>
      <c r="AE38" s="251">
        <v>44</v>
      </c>
      <c r="AF38" s="251">
        <v>44</v>
      </c>
      <c r="AG38" s="251">
        <v>44</v>
      </c>
      <c r="AH38" s="251">
        <v>43.5</v>
      </c>
      <c r="AI38" s="251">
        <v>38</v>
      </c>
      <c r="AJ38" s="251">
        <v>42</v>
      </c>
      <c r="AK38" s="251">
        <v>42</v>
      </c>
      <c r="AL38" s="251">
        <v>42</v>
      </c>
      <c r="AM38" s="251">
        <v>41</v>
      </c>
      <c r="AN38" s="251">
        <v>49</v>
      </c>
      <c r="AO38" s="251">
        <v>53</v>
      </c>
      <c r="AP38" s="251">
        <v>54.5</v>
      </c>
      <c r="AQ38" s="251">
        <v>54</v>
      </c>
      <c r="AR38" s="251">
        <v>53</v>
      </c>
      <c r="AS38" s="251">
        <v>53.5</v>
      </c>
      <c r="AT38" s="251">
        <v>49.5</v>
      </c>
      <c r="AU38" s="251">
        <v>49.5</v>
      </c>
      <c r="AV38" s="251">
        <v>58</v>
      </c>
      <c r="AW38" s="251">
        <v>59</v>
      </c>
      <c r="AX38" s="251">
        <v>58</v>
      </c>
      <c r="AY38" s="251">
        <v>59</v>
      </c>
      <c r="AZ38" s="251">
        <v>56</v>
      </c>
      <c r="BA38" s="251">
        <v>55</v>
      </c>
      <c r="BB38" s="251">
        <v>55.5</v>
      </c>
      <c r="BC38" s="251">
        <v>58</v>
      </c>
      <c r="BD38" s="251">
        <v>58</v>
      </c>
      <c r="BE38" s="251">
        <v>58</v>
      </c>
      <c r="BF38" s="251">
        <v>55</v>
      </c>
      <c r="BG38" s="251">
        <v>48</v>
      </c>
      <c r="BH38" s="251">
        <v>49</v>
      </c>
      <c r="BI38" s="251">
        <v>51</v>
      </c>
      <c r="BJ38" s="251">
        <v>51</v>
      </c>
      <c r="BK38" s="251">
        <v>50</v>
      </c>
      <c r="BL38" s="251">
        <v>48</v>
      </c>
      <c r="BM38" s="251">
        <v>48</v>
      </c>
      <c r="BN38" s="251">
        <v>47</v>
      </c>
      <c r="BO38" s="251">
        <v>47</v>
      </c>
      <c r="BP38" s="251">
        <v>47</v>
      </c>
      <c r="BQ38" s="251">
        <v>45.8</v>
      </c>
      <c r="BR38" s="251">
        <f t="array" ref="BR38">INDEX('DOWN 가격동향'!$DD$11:$AHC$11,MATCH(1,('DOWN 가격동향'!$K$8:$AHC$8='동향 그래프 ~시세반영 '!$A38)*('DOWN 가격동향'!$DD$9:$AHC$9='동향 그래프 ~시세반영 '!BR$3),0))</f>
        <v>44.5</v>
      </c>
      <c r="BS38" s="251">
        <f t="array" ref="BS38">INDEX('DOWN 가격동향'!$DD$11:$AHC$11,MATCH(1,('DOWN 가격동향'!$K$8:$AHC$8='동향 그래프 ~시세반영 '!$A38)*('DOWN 가격동향'!$DD$9:$AHC$9='동향 그래프 ~시세반영 '!BS$3),0))</f>
        <v>46.5</v>
      </c>
      <c r="BT38" s="251">
        <f t="array" ref="BT38">INDEX('DOWN 가격동향'!$DD$11:$AHC$11,MATCH(1,('DOWN 가격동향'!$K$8:$AHC$8='동향 그래프 ~시세반영 '!$A38)*('DOWN 가격동향'!$DD$9:$AHC$9='동향 그래프 ~시세반영 '!BT$3),0))</f>
        <v>50.5</v>
      </c>
      <c r="BU38" s="251">
        <f t="array" ref="BU38">INDEX('DOWN 가격동향'!$DD$11:$AHC$11,MATCH(1,('DOWN 가격동향'!$K$8:$AHC$8='동향 그래프 ~시세반영 '!$A38)*('DOWN 가격동향'!$DD$9:$AHC$9='동향 그래프 ~시세반영 '!BU$3),0))</f>
        <v>48.5</v>
      </c>
      <c r="BV38" s="251">
        <f t="array" ref="BV38">INDEX('DOWN 가격동향'!$DD$11:$AHC$11,MATCH(1,('DOWN 가격동향'!$K$8:$AHC$8='동향 그래프 ~시세반영 '!$A38)*('DOWN 가격동향'!$DD$9:$AHC$9='동향 그래프 ~시세반영 '!BV$3),0))</f>
        <v>45.5</v>
      </c>
      <c r="BW38" s="251">
        <f t="array" ref="BW38">INDEX('DOWN 가격동향'!$DD$11:$AHC$11,MATCH(1,('DOWN 가격동향'!$K$8:$AHC$8='동향 그래프 ~시세반영 '!$A38)*('DOWN 가격동향'!$DD$9:$AHC$9='동향 그래프 ~시세반영 '!BW$3),0))</f>
        <v>45.5</v>
      </c>
      <c r="BX38" s="251">
        <f t="array" ref="BX38">INDEX('DOWN 가격동향'!$DD$11:$AHC$11,MATCH(1,('DOWN 가격동향'!$K$8:$AHC$8='동향 그래프 ~시세반영 '!$A38)*('DOWN 가격동향'!$DD$9:$AHC$9='동향 그래프 ~시세반영 '!BX$3),0))</f>
        <v>47</v>
      </c>
      <c r="BY38" s="251">
        <f t="array" ref="BY38">INDEX('DOWN 가격동향'!$DD$11:$AHC$11,MATCH(1,('DOWN 가격동향'!$K$8:$AHC$8='동향 그래프 ~시세반영 '!$A38)*('DOWN 가격동향'!$DD$9:$AHC$9='동향 그래프 ~시세반영 '!BY$3),0))</f>
        <v>48</v>
      </c>
      <c r="BZ38" s="251">
        <f t="array" ref="BZ38">INDEX('DOWN 가격동향'!$DD$11:$AHC$11,MATCH(1,('DOWN 가격동향'!$K$8:$AHC$8='동향 그래프 ~시세반영 '!$A38)*('DOWN 가격동향'!$DD$9:$AHC$9='동향 그래프 ~시세반영 '!BZ$3),0))</f>
        <v>47</v>
      </c>
      <c r="CA38" s="251">
        <f t="array" ref="CA38">INDEX('DOWN 가격동향'!$DD$11:$AHC$11,MATCH(1,('DOWN 가격동향'!$K$8:$AHC$8='동향 그래프 ~시세반영 '!$A38)*('DOWN 가격동향'!$DD$9:$AHC$9='동향 그래프 ~시세반영 '!CA$3),0))</f>
        <v>47</v>
      </c>
      <c r="CB38" s="251">
        <f t="array" ref="CB38">INDEX('DOWN 가격동향'!$DD$11:$AHC$11,MATCH(1,('DOWN 가격동향'!$K$8:$AHC$8='동향 그래프 ~시세반영 '!$A38)*('DOWN 가격동향'!$DD$9:$AHC$9='동향 그래프 ~시세반영 '!CB$3),0))</f>
        <v>51</v>
      </c>
      <c r="CC38" s="251">
        <f t="array" ref="CC38">INDEX('DOWN 가격동향'!$DD$11:$AHC$11,MATCH(1,('DOWN 가격동향'!$K$8:$AHC$8='동향 그래프 ~시세반영 '!$A38)*('DOWN 가격동향'!$DD$9:$AHC$9='동향 그래프 ~시세반영 '!CC$3),0))</f>
        <v>58</v>
      </c>
      <c r="CD38" s="251">
        <f t="array" ref="CD38">INDEX('DOWN 가격동향'!$DD$11:$AHC$11,MATCH(1,('DOWN 가격동향'!$K$8:$AHC$8='동향 그래프 ~시세반영 '!$A38)*('DOWN 가격동향'!$DD$9:$AHC$9='동향 그래프 ~시세반영 '!CD$3),0))</f>
        <v>58</v>
      </c>
      <c r="CE38" s="251">
        <f t="array" ref="CE38">INDEX('DOWN 가격동향'!$DD$11:$AHC$11,MATCH(1,('DOWN 가격동향'!$K$8:$AHC$8='동향 그래프 ~시세반영 '!$A38)*('DOWN 가격동향'!$DD$9:$AHC$9='동향 그래프 ~시세반영 '!CE$3),0))</f>
        <v>58</v>
      </c>
      <c r="CF38" s="251">
        <f t="array" ref="CF38">INDEX('DOWN 가격동향'!$DD$11:$AHC$11,MATCH(1,('DOWN 가격동향'!$K$8:$AHC$8='동향 그래프 ~시세반영 '!$A38)*('DOWN 가격동향'!$DD$9:$AHC$9='동향 그래프 ~시세반영 '!CF$3),0))</f>
        <v>57</v>
      </c>
      <c r="CG38" s="251">
        <f t="array" ref="CG38">INDEX('DOWN 가격동향'!$DD$11:$AHC$11,MATCH(1,('DOWN 가격동향'!$K$8:$AHC$8='동향 그래프 ~시세반영 '!$A38)*('DOWN 가격동향'!$DD$9:$AHC$9='동향 그래프 ~시세반영 '!CG$3),0))</f>
        <v>57</v>
      </c>
      <c r="CH38" s="251">
        <f t="array" ref="CH38">INDEX('DOWN 가격동향'!$DD$11:$AHC$11,MATCH(1,('DOWN 가격동향'!$K$8:$AHC$8='동향 그래프 ~시세반영 '!$A38)*('DOWN 가격동향'!$DD$9:$AHC$9='동향 그래프 ~시세반영 '!CH$3),0))</f>
        <v>57</v>
      </c>
      <c r="CI38" s="251">
        <f t="array" ref="CI38">INDEX('DOWN 가격동향'!$DD$11:$AHC$11,MATCH(1,('DOWN 가격동향'!$K$8:$AHC$8='동향 그래프 ~시세반영 '!$A38)*('DOWN 가격동향'!$DD$9:$AHC$9='동향 그래프 ~시세반영 '!CI$3),0))</f>
        <v>57.5</v>
      </c>
      <c r="CJ38" s="251">
        <f t="array" ref="CJ38">INDEX('DOWN 가격동향'!$DD$11:$AHC$11,MATCH(1,('DOWN 가격동향'!$K$8:$AHC$8='동향 그래프 ~시세반영 '!$A38)*('DOWN 가격동향'!$DD$9:$AHC$9='동향 그래프 ~시세반영 '!CJ$3),0))</f>
        <v>59</v>
      </c>
      <c r="CK38" s="251">
        <f t="array" ref="CK38">INDEX('DOWN 가격동향'!$DD$11:$AHC$11,MATCH(1,('DOWN 가격동향'!$K$8:$AHC$8='동향 그래프 ~시세반영 '!$A38)*('DOWN 가격동향'!$DD$9:$AHC$9='동향 그래프 ~시세반영 '!CK$3),0))</f>
        <v>59</v>
      </c>
      <c r="CL38" s="251">
        <f t="array" ref="CL38">INDEX('DOWN 가격동향'!$DD$11:$AHC$11,MATCH(1,('DOWN 가격동향'!$K$8:$AHC$8='동향 그래프 ~시세반영 '!$A38)*('DOWN 가격동향'!$DD$9:$AHC$9='동향 그래프 ~시세반영 '!CL$3),0))</f>
        <v>63.5</v>
      </c>
      <c r="CM38" s="251">
        <f t="array" ref="CM38">INDEX('DOWN 가격동향'!$DD$11:$AHC$11,MATCH(1,('DOWN 가격동향'!$K$8:$AHC$8='동향 그래프 ~시세반영 '!$A38)*('DOWN 가격동향'!$DD$9:$AHC$9='동향 그래프 ~시세반영 '!CM$3),0))</f>
        <v>63.5</v>
      </c>
      <c r="CN38" s="251">
        <f t="array" ref="CN38">INDEX('DOWN 가격동향'!$DD$11:$AHC$11,MATCH(1,('DOWN 가격동향'!$K$8:$AHC$8='동향 그래프 ~시세반영 '!$A38)*('DOWN 가격동향'!$DD$9:$AHC$9='동향 그래프 ~시세반영 '!CN$3),0))</f>
        <v>64</v>
      </c>
      <c r="CO38" s="251">
        <f t="array" ref="CO38">INDEX('DOWN 가격동향'!$DD$11:$AHC$11,MATCH(1,('DOWN 가격동향'!$K$8:$AHC$8='동향 그래프 ~시세반영 '!$A38)*('DOWN 가격동향'!$DD$9:$AHC$9='동향 그래프 ~시세반영 '!CO$3),0))</f>
        <v>64</v>
      </c>
      <c r="CP38" s="251">
        <f t="array" ref="CP38">INDEX('DOWN 가격동향'!$DD$11:$AHC$11,MATCH(1,('DOWN 가격동향'!$K$8:$AHC$8='동향 그래프 ~시세반영 '!$A38)*('DOWN 가격동향'!$DD$9:$AHC$9='동향 그래프 ~시세반영 '!CP$3),0))</f>
        <v>66</v>
      </c>
      <c r="CQ38" s="251">
        <f t="array" ref="CQ38">INDEX('DOWN 가격동향'!$DD$11:$AHC$11,MATCH(1,('DOWN 가격동향'!$K$8:$AHC$8='동향 그래프 ~시세반영 '!$A38)*('DOWN 가격동향'!$DD$9:$AHC$9='동향 그래프 ~시세반영 '!CQ$3),0))</f>
        <v>66</v>
      </c>
      <c r="CR38" s="251">
        <f t="array" ref="CR38">INDEX('DOWN 가격동향'!$DD$11:$AHC$11,MATCH(1,('DOWN 가격동향'!$K$8:$AHC$8='동향 그래프 ~시세반영 '!$A38)*('DOWN 가격동향'!$DD$9:$AHC$9='동향 그래프 ~시세반영 '!CR$3),0))</f>
        <v>66</v>
      </c>
      <c r="CS38" s="251">
        <f t="array" ref="CS38">INDEX('DOWN 가격동향'!$DD$11:$AHC$11,MATCH(1,('DOWN 가격동향'!$K$8:$AHC$8='동향 그래프 ~시세반영 '!$A38)*('DOWN 가격동향'!$DD$9:$AHC$9='동향 그래프 ~시세반영 '!CS$3),0))</f>
        <v>63</v>
      </c>
      <c r="CT38" s="251">
        <f t="array" ref="CT38">INDEX('DOWN 가격동향'!$DD$11:$AHC$11,MATCH(1,('DOWN 가격동향'!$K$8:$AHC$8='동향 그래프 ~시세반영 '!$A38)*('DOWN 가격동향'!$DD$9:$AHC$9='동향 그래프 ~시세반영 '!CT$3),0))</f>
        <v>60</v>
      </c>
      <c r="CU38" s="251">
        <f t="array" ref="CU38">INDEX('DOWN 가격동향'!$DD$11:$AHC$11,MATCH(1,('DOWN 가격동향'!$K$8:$AHC$8='동향 그래프 ~시세반영 '!$A38)*('DOWN 가격동향'!$DD$9:$AHC$9='동향 그래프 ~시세반영 '!CU$3),0))</f>
        <v>64.5</v>
      </c>
    </row>
    <row r="39" spans="1:103" ht="24.75" customHeight="1" x14ac:dyDescent="0.3">
      <c r="A39" s="239" t="s">
        <v>7</v>
      </c>
      <c r="B39" s="238">
        <v>39.299999999999997</v>
      </c>
      <c r="C39" s="238">
        <v>39.299999999999997</v>
      </c>
      <c r="D39" s="238">
        <v>39.299999999999997</v>
      </c>
      <c r="E39" s="238">
        <v>39.299999999999997</v>
      </c>
      <c r="F39" s="238">
        <v>39.299999999999997</v>
      </c>
      <c r="G39" s="238">
        <v>41.3</v>
      </c>
      <c r="H39" s="238">
        <v>39.299999999999997</v>
      </c>
      <c r="I39" s="238">
        <v>38.799999999999997</v>
      </c>
      <c r="J39" s="238">
        <v>34.299999999999997</v>
      </c>
      <c r="K39" s="238">
        <v>34.299999999999997</v>
      </c>
      <c r="L39" s="238">
        <v>34.299999999999997</v>
      </c>
      <c r="M39" s="238">
        <v>33.299999999999997</v>
      </c>
      <c r="N39" s="238">
        <v>33.299999999999997</v>
      </c>
      <c r="O39" s="238">
        <v>33.299999999999997</v>
      </c>
      <c r="P39" s="238">
        <v>33.299999999999997</v>
      </c>
      <c r="Q39" s="238">
        <v>40.299999999999997</v>
      </c>
      <c r="R39" s="238">
        <v>40.299999999999997</v>
      </c>
      <c r="S39" s="238">
        <v>37.299999999999997</v>
      </c>
      <c r="T39" s="238">
        <v>39.299999999999997</v>
      </c>
      <c r="U39" s="238">
        <v>39.299999999999997</v>
      </c>
      <c r="V39" s="238">
        <v>39.299999999999997</v>
      </c>
      <c r="W39" s="238">
        <v>39.299999999999997</v>
      </c>
      <c r="X39" s="238">
        <v>39.299999999999997</v>
      </c>
      <c r="Y39" s="238">
        <v>39.299999999999997</v>
      </c>
      <c r="Z39" s="238">
        <v>39.5</v>
      </c>
      <c r="AA39" s="238">
        <v>39.5</v>
      </c>
      <c r="AB39" s="238">
        <v>39.5</v>
      </c>
      <c r="AC39" s="238">
        <v>37.299999999999997</v>
      </c>
      <c r="AD39" s="238">
        <v>37.299999999999997</v>
      </c>
      <c r="AE39" s="238">
        <v>37.299999999999997</v>
      </c>
      <c r="AF39" s="238">
        <v>36</v>
      </c>
      <c r="AG39" s="238">
        <v>35</v>
      </c>
      <c r="AH39" s="238">
        <v>35</v>
      </c>
      <c r="AI39" s="238">
        <v>36</v>
      </c>
      <c r="AJ39" s="238">
        <v>38</v>
      </c>
      <c r="AK39" s="238">
        <v>38</v>
      </c>
      <c r="AL39" s="238">
        <v>37</v>
      </c>
      <c r="AM39" s="238">
        <v>45</v>
      </c>
      <c r="AN39" s="238">
        <v>48</v>
      </c>
      <c r="AO39" s="238">
        <v>48</v>
      </c>
      <c r="AP39" s="238">
        <v>49</v>
      </c>
      <c r="AQ39" s="238">
        <v>50</v>
      </c>
      <c r="AR39" s="238">
        <v>48</v>
      </c>
      <c r="AS39" s="238">
        <v>48</v>
      </c>
      <c r="AT39" s="238">
        <v>48</v>
      </c>
      <c r="AU39" s="238">
        <v>49</v>
      </c>
      <c r="AV39" s="238">
        <v>55</v>
      </c>
      <c r="AW39" s="238">
        <v>55</v>
      </c>
      <c r="AX39" s="238">
        <v>58</v>
      </c>
      <c r="AY39" s="238">
        <v>56</v>
      </c>
      <c r="AZ39" s="238">
        <v>53</v>
      </c>
      <c r="BA39" s="238">
        <v>51</v>
      </c>
      <c r="BB39" s="238">
        <v>51</v>
      </c>
      <c r="BC39" s="238">
        <v>53</v>
      </c>
      <c r="BD39" s="238">
        <v>52</v>
      </c>
      <c r="BE39" s="238">
        <v>52</v>
      </c>
      <c r="BF39" s="238">
        <v>51</v>
      </c>
      <c r="BG39" s="238">
        <v>48</v>
      </c>
      <c r="BH39" s="238">
        <v>43.3</v>
      </c>
      <c r="BI39" s="238">
        <v>45.3</v>
      </c>
      <c r="BJ39" s="238">
        <v>44.3</v>
      </c>
      <c r="BK39" s="238">
        <v>44.3</v>
      </c>
      <c r="BL39" s="238">
        <v>44.3</v>
      </c>
      <c r="BM39" s="238">
        <v>44.3</v>
      </c>
      <c r="BN39" s="238">
        <v>43</v>
      </c>
      <c r="BO39" s="238">
        <v>40.299999999999997</v>
      </c>
      <c r="BP39" s="238">
        <v>41.3</v>
      </c>
      <c r="BQ39" s="238">
        <v>42.3</v>
      </c>
      <c r="BR39" s="238">
        <f t="array" ref="BR39">INDEX('DOWN 가격동향'!$DD$11:$AHC$11,MATCH(1,('DOWN 가격동향'!$K$8:$AHC$8='동향 그래프 ~시세반영 '!$A39)*('DOWN 가격동향'!$DD$9:$AHC$9='동향 그래프 ~시세반영 '!BR$3),0))</f>
        <v>45.1</v>
      </c>
      <c r="BS39" s="238">
        <f t="array" ref="BS39">INDEX('DOWN 가격동향'!$DD$11:$AHC$11,MATCH(1,('DOWN 가격동향'!$K$8:$AHC$8='동향 그래프 ~시세반영 '!$A39)*('DOWN 가격동향'!$DD$9:$AHC$9='동향 그래프 ~시세반영 '!BS$3),0))</f>
        <v>48.3</v>
      </c>
      <c r="BT39" s="238">
        <f t="array" ref="BT39">INDEX('DOWN 가격동향'!$DD$11:$AHC$11,MATCH(1,('DOWN 가격동향'!$K$8:$AHC$8='동향 그래프 ~시세반영 '!$A39)*('DOWN 가격동향'!$DD$9:$AHC$9='동향 그래프 ~시세반영 '!BT$3),0))</f>
        <v>48.3</v>
      </c>
      <c r="BU39" s="238">
        <f t="array" ref="BU39">INDEX('DOWN 가격동향'!$DD$11:$AHC$11,MATCH(1,('DOWN 가격동향'!$K$8:$AHC$8='동향 그래프 ~시세반영 '!$A39)*('DOWN 가격동향'!$DD$9:$AHC$9='동향 그래프 ~시세반영 '!BU$3),0))</f>
        <v>43.3</v>
      </c>
      <c r="BV39" s="238">
        <f t="array" ref="BV39">INDEX('DOWN 가격동향'!$DD$11:$AHC$11,MATCH(1,('DOWN 가격동향'!$K$8:$AHC$8='동향 그래프 ~시세반영 '!$A39)*('DOWN 가격동향'!$DD$9:$AHC$9='동향 그래프 ~시세반영 '!BV$3),0))</f>
        <v>44.3</v>
      </c>
      <c r="BW39" s="238">
        <f t="array" ref="BW39">INDEX('DOWN 가격동향'!$DD$11:$AHC$11,MATCH(1,('DOWN 가격동향'!$K$8:$AHC$8='동향 그래프 ~시세반영 '!$A39)*('DOWN 가격동향'!$DD$9:$AHC$9='동향 그래프 ~시세반영 '!BW$3),0))</f>
        <v>44.3</v>
      </c>
      <c r="BX39" s="238">
        <f t="array" ref="BX39">INDEX('DOWN 가격동향'!$DD$11:$AHC$11,MATCH(1,('DOWN 가격동향'!$K$8:$AHC$8='동향 그래프 ~시세반영 '!$A39)*('DOWN 가격동향'!$DD$9:$AHC$9='동향 그래프 ~시세반영 '!BX$3),0))</f>
        <v>44.3</v>
      </c>
      <c r="BY39" s="238">
        <f t="array" ref="BY39">INDEX('DOWN 가격동향'!$DD$11:$AHC$11,MATCH(1,('DOWN 가격동향'!$K$8:$AHC$8='동향 그래프 ~시세반영 '!$A39)*('DOWN 가격동향'!$DD$9:$AHC$9='동향 그래프 ~시세반영 '!BY$3),0))</f>
        <v>44.3</v>
      </c>
      <c r="BZ39" s="238">
        <f t="array" ref="BZ39">INDEX('DOWN 가격동향'!$DD$11:$AHC$11,MATCH(1,('DOWN 가격동향'!$K$8:$AHC$8='동향 그래프 ~시세반영 '!$A39)*('DOWN 가격동향'!$DD$9:$AHC$9='동향 그래프 ~시세반영 '!BZ$3),0))</f>
        <v>45.3</v>
      </c>
      <c r="CA39" s="238">
        <f t="array" ref="CA39">INDEX('DOWN 가격동향'!$DD$11:$AHC$11,MATCH(1,('DOWN 가격동향'!$K$8:$AHC$8='동향 그래프 ~시세반영 '!$A39)*('DOWN 가격동향'!$DD$9:$AHC$9='동향 그래프 ~시세반영 '!CA$3),0))</f>
        <v>45.3</v>
      </c>
      <c r="CB39" s="238">
        <f t="array" ref="CB39">INDEX('DOWN 가격동향'!$DD$11:$AHC$11,MATCH(1,('DOWN 가격동향'!$K$8:$AHC$8='동향 그래프 ~시세반영 '!$A39)*('DOWN 가격동향'!$DD$9:$AHC$9='동향 그래프 ~시세반영 '!CB$3),0))</f>
        <v>45.3</v>
      </c>
      <c r="CC39" s="238">
        <f t="array" ref="CC39">INDEX('DOWN 가격동향'!$DD$11:$AHC$11,MATCH(1,('DOWN 가격동향'!$K$8:$AHC$8='동향 그래프 ~시세반영 '!$A39)*('DOWN 가격동향'!$DD$9:$AHC$9='동향 그래프 ~시세반영 '!CC$3),0))</f>
        <v>48.3</v>
      </c>
      <c r="CD39" s="238">
        <f t="array" ref="CD39">INDEX('DOWN 가격동향'!$DD$11:$AHC$11,MATCH(1,('DOWN 가격동향'!$K$8:$AHC$8='동향 그래프 ~시세반영 '!$A39)*('DOWN 가격동향'!$DD$9:$AHC$9='동향 그래프 ~시세반영 '!CD$3),0))</f>
        <v>54.3</v>
      </c>
      <c r="CE39" s="238">
        <f t="array" ref="CE39">INDEX('DOWN 가격동향'!$DD$11:$AHC$11,MATCH(1,('DOWN 가격동향'!$K$8:$AHC$8='동향 그래프 ~시세반영 '!$A39)*('DOWN 가격동향'!$DD$9:$AHC$9='동향 그래프 ~시세반영 '!CE$3),0))</f>
        <v>52.3</v>
      </c>
      <c r="CF39" s="238">
        <f t="array" ref="CF39">INDEX('DOWN 가격동향'!$DD$11:$AHC$11,MATCH(1,('DOWN 가격동향'!$K$8:$AHC$8='동향 그래프 ~시세반영 '!$A39)*('DOWN 가격동향'!$DD$9:$AHC$9='동향 그래프 ~시세반영 '!CF$3),0))</f>
        <v>51.3</v>
      </c>
      <c r="CG39" s="238">
        <f t="array" ref="CG39">INDEX('DOWN 가격동향'!$DD$11:$AHC$11,MATCH(1,('DOWN 가격동향'!$K$8:$AHC$8='동향 그래프 ~시세반영 '!$A39)*('DOWN 가격동향'!$DD$9:$AHC$9='동향 그래프 ~시세반영 '!CG$3),0))</f>
        <v>48.3</v>
      </c>
      <c r="CH39" s="238">
        <f t="array" ref="CH39">INDEX('DOWN 가격동향'!$DD$11:$AHC$11,MATCH(1,('DOWN 가격동향'!$K$8:$AHC$8='동향 그래프 ~시세반영 '!$A39)*('DOWN 가격동향'!$DD$9:$AHC$9='동향 그래프 ~시세반영 '!CH$3),0))</f>
        <v>47</v>
      </c>
      <c r="CI39" s="238">
        <f t="array" ref="CI39">INDEX('DOWN 가격동향'!$DD$11:$AHC$11,MATCH(1,('DOWN 가격동향'!$K$8:$AHC$8='동향 그래프 ~시세반영 '!$A39)*('DOWN 가격동향'!$DD$9:$AHC$9='동향 그래프 ~시세반영 '!CI$3),0))</f>
        <v>48.6</v>
      </c>
      <c r="CJ39" s="238">
        <f t="array" ref="CJ39">INDEX('DOWN 가격동향'!$DD$11:$AHC$11,MATCH(1,('DOWN 가격동향'!$K$8:$AHC$8='동향 그래프 ~시세반영 '!$A39)*('DOWN 가격동향'!$DD$9:$AHC$9='동향 그래프 ~시세반영 '!CJ$3),0))</f>
        <v>48.9</v>
      </c>
      <c r="CK39" s="238">
        <f t="array" ref="CK39">INDEX('DOWN 가격동향'!$DD$11:$AHC$11,MATCH(1,('DOWN 가격동향'!$K$8:$AHC$8='동향 그래프 ~시세반영 '!$A39)*('DOWN 가격동향'!$DD$9:$AHC$9='동향 그래프 ~시세반영 '!CK$3),0))</f>
        <v>49.8</v>
      </c>
      <c r="CL39" s="238">
        <f t="array" ref="CL39">INDEX('DOWN 가격동향'!$DD$11:$AHC$11,MATCH(1,('DOWN 가격동향'!$K$8:$AHC$8='동향 그래프 ~시세반영 '!$A39)*('DOWN 가격동향'!$DD$9:$AHC$9='동향 그래프 ~시세반영 '!CL$3),0))</f>
        <v>54</v>
      </c>
      <c r="CM39" s="238">
        <f t="array" ref="CM39">INDEX('DOWN 가격동향'!$DD$11:$AHC$11,MATCH(1,('DOWN 가격동향'!$K$8:$AHC$8='동향 그래프 ~시세반영 '!$A39)*('DOWN 가격동향'!$DD$9:$AHC$9='동향 그래프 ~시세반영 '!CM$3),0))</f>
        <v>55</v>
      </c>
      <c r="CN39" s="238">
        <f t="array" ref="CN39">INDEX('DOWN 가격동향'!$DD$11:$AHC$11,MATCH(1,('DOWN 가격동향'!$K$8:$AHC$8='동향 그래프 ~시세반영 '!$A39)*('DOWN 가격동향'!$DD$9:$AHC$9='동향 그래프 ~시세반영 '!CN$3),0))</f>
        <v>56</v>
      </c>
      <c r="CO39" s="238">
        <f t="array" ref="CO39">INDEX('DOWN 가격동향'!$DD$11:$AHC$11,MATCH(1,('DOWN 가격동향'!$K$8:$AHC$8='동향 그래프 ~시세반영 '!$A39)*('DOWN 가격동향'!$DD$9:$AHC$9='동향 그래프 ~시세반영 '!CO$3),0))</f>
        <v>58</v>
      </c>
      <c r="CP39" s="238">
        <f t="array" ref="CP39">INDEX('DOWN 가격동향'!$DD$11:$AHC$11,MATCH(1,('DOWN 가격동향'!$K$8:$AHC$8='동향 그래프 ~시세반영 '!$A39)*('DOWN 가격동향'!$DD$9:$AHC$9='동향 그래프 ~시세반영 '!CP$3),0))</f>
        <v>58</v>
      </c>
      <c r="CQ39" s="238">
        <f t="array" ref="CQ39">INDEX('DOWN 가격동향'!$DD$11:$AHC$11,MATCH(1,('DOWN 가격동향'!$K$8:$AHC$8='동향 그래프 ~시세반영 '!$A39)*('DOWN 가격동향'!$DD$9:$AHC$9='동향 그래프 ~시세반영 '!CQ$3),0))</f>
        <v>58</v>
      </c>
      <c r="CR39" s="238">
        <f t="array" ref="CR39">INDEX('DOWN 가격동향'!$DD$11:$AHC$11,MATCH(1,('DOWN 가격동향'!$K$8:$AHC$8='동향 그래프 ~시세반영 '!$A39)*('DOWN 가격동향'!$DD$9:$AHC$9='동향 그래프 ~시세반영 '!CR$3),0))</f>
        <v>0</v>
      </c>
      <c r="CS39" s="238">
        <f t="array" ref="CS39">INDEX('DOWN 가격동향'!$DD$11:$AHC$11,MATCH(1,('DOWN 가격동향'!$K$8:$AHC$8='동향 그래프 ~시세반영 '!$A39)*('DOWN 가격동향'!$DD$9:$AHC$9='동향 그래프 ~시세반영 '!CS$3),0))</f>
        <v>0</v>
      </c>
      <c r="CT39" s="238">
        <f t="array" ref="CT39">INDEX('DOWN 가격동향'!$DD$11:$AHC$11,MATCH(1,('DOWN 가격동향'!$K$8:$AHC$8='동향 그래프 ~시세반영 '!$A39)*('DOWN 가격동향'!$DD$9:$AHC$9='동향 그래프 ~시세반영 '!CT$3),0))</f>
        <v>0</v>
      </c>
      <c r="CU39" s="238">
        <f t="array" ref="CU39">INDEX('DOWN 가격동향'!$DD$11:$AHC$11,MATCH(1,('DOWN 가격동향'!$K$8:$AHC$8='동향 그래프 ~시세반영 '!$A39)*('DOWN 가격동향'!$DD$9:$AHC$9='동향 그래프 ~시세반영 '!CU$3),0))</f>
        <v>0</v>
      </c>
    </row>
    <row r="40" spans="1:103" ht="24.75" customHeight="1" x14ac:dyDescent="0.3">
      <c r="A40" s="250" t="s">
        <v>200</v>
      </c>
      <c r="B40" s="251">
        <v>38.6</v>
      </c>
      <c r="C40" s="251">
        <v>37.700000000000003</v>
      </c>
      <c r="D40" s="251">
        <v>40.299999999999997</v>
      </c>
      <c r="E40" s="251">
        <v>40.299999999999997</v>
      </c>
      <c r="F40" s="251">
        <v>39.299999999999997</v>
      </c>
      <c r="G40" s="251">
        <v>39.340000000000003</v>
      </c>
      <c r="H40" s="251">
        <v>37.9</v>
      </c>
      <c r="I40" s="251">
        <v>36.14</v>
      </c>
      <c r="J40" s="251">
        <v>33.9</v>
      </c>
      <c r="K40" s="251">
        <v>34.14</v>
      </c>
      <c r="L40" s="251">
        <v>33.9</v>
      </c>
      <c r="M40" s="251">
        <v>32.22</v>
      </c>
      <c r="N40" s="251">
        <v>36.54</v>
      </c>
      <c r="O40" s="251">
        <v>36.54</v>
      </c>
      <c r="P40" s="251">
        <v>36.54</v>
      </c>
      <c r="Q40" s="251">
        <v>41.5</v>
      </c>
      <c r="R40" s="251">
        <v>40.200000000000003</v>
      </c>
      <c r="S40" s="251">
        <v>40.200000000000003</v>
      </c>
      <c r="T40" s="251">
        <v>39.6</v>
      </c>
      <c r="U40" s="251">
        <v>38.799999999999997</v>
      </c>
      <c r="V40" s="251">
        <v>38.799999999999997</v>
      </c>
      <c r="W40" s="251">
        <v>38.5</v>
      </c>
      <c r="X40" s="251">
        <v>38</v>
      </c>
      <c r="Y40" s="251">
        <v>37</v>
      </c>
      <c r="Z40" s="251">
        <v>37</v>
      </c>
      <c r="AA40" s="251">
        <v>36.9</v>
      </c>
      <c r="AB40" s="251">
        <v>36.9</v>
      </c>
      <c r="AC40" s="251">
        <v>37</v>
      </c>
      <c r="AD40" s="251">
        <v>37</v>
      </c>
      <c r="AE40" s="251">
        <v>37</v>
      </c>
      <c r="AF40" s="251">
        <v>36.299999999999997</v>
      </c>
      <c r="AG40" s="251">
        <v>36.299999999999997</v>
      </c>
      <c r="AH40" s="251">
        <v>36.299999999999997</v>
      </c>
      <c r="AI40" s="251">
        <v>40.6</v>
      </c>
      <c r="AJ40" s="251">
        <v>42.4</v>
      </c>
      <c r="AK40" s="251">
        <v>42.4</v>
      </c>
      <c r="AL40" s="251">
        <v>43.7</v>
      </c>
      <c r="AM40" s="251">
        <v>45.6</v>
      </c>
      <c r="AN40" s="251">
        <v>45.6</v>
      </c>
      <c r="AO40" s="251">
        <v>48.9</v>
      </c>
      <c r="AP40" s="251">
        <v>48.9</v>
      </c>
      <c r="AQ40" s="251">
        <v>50.1</v>
      </c>
      <c r="AR40" s="251">
        <v>51</v>
      </c>
      <c r="AS40" s="251">
        <v>51</v>
      </c>
      <c r="AT40" s="251">
        <v>51.8</v>
      </c>
      <c r="AU40" s="251">
        <v>51.8</v>
      </c>
      <c r="AV40" s="251">
        <v>59.1</v>
      </c>
      <c r="AW40" s="251">
        <v>59.1</v>
      </c>
      <c r="AX40" s="251">
        <v>59.1</v>
      </c>
      <c r="AY40" s="251">
        <v>59.1</v>
      </c>
      <c r="AZ40" s="251">
        <v>59.1</v>
      </c>
      <c r="BA40" s="251">
        <v>55.1</v>
      </c>
      <c r="BB40" s="251">
        <v>55.1</v>
      </c>
      <c r="BC40" s="251">
        <v>57.8</v>
      </c>
      <c r="BD40" s="251">
        <v>57.8</v>
      </c>
      <c r="BE40" s="251">
        <v>57.7</v>
      </c>
      <c r="BF40" s="251">
        <v>49.3</v>
      </c>
      <c r="BG40" s="251">
        <v>49.4</v>
      </c>
      <c r="BH40" s="251">
        <v>41.3</v>
      </c>
      <c r="BI40" s="251">
        <v>41.3</v>
      </c>
      <c r="BJ40" s="251">
        <v>41.3</v>
      </c>
      <c r="BK40" s="251">
        <v>41.3</v>
      </c>
      <c r="BL40" s="251">
        <v>41.3</v>
      </c>
      <c r="BM40" s="251">
        <v>41.3</v>
      </c>
      <c r="BN40" s="251">
        <v>40.799999999999997</v>
      </c>
      <c r="BO40" s="251">
        <v>40.799999999999997</v>
      </c>
      <c r="BP40" s="251">
        <v>40.799999999999997</v>
      </c>
      <c r="BQ40" s="251">
        <v>40.799999999999997</v>
      </c>
      <c r="BR40" s="251">
        <f t="array" ref="BR40">INDEX('DOWN 가격동향'!$DD$11:$AHC$11,MATCH(1,('DOWN 가격동향'!$K$8:$AHC$8='동향 그래프 ~시세반영 '!$A40)*('DOWN 가격동향'!$DD$9:$AHC$9='동향 그래프 ~시세반영 '!BR$3),0))</f>
        <v>46.4</v>
      </c>
      <c r="BS40" s="251">
        <f t="array" ref="BS40">INDEX('DOWN 가격동향'!$DD$11:$AHC$11,MATCH(1,('DOWN 가격동향'!$K$8:$AHC$8='동향 그래프 ~시세반영 '!$A40)*('DOWN 가격동향'!$DD$9:$AHC$9='동향 그래프 ~시세반영 '!BS$3),0))</f>
        <v>46.4</v>
      </c>
      <c r="BT40" s="251">
        <f t="array" ref="BT40">INDEX('DOWN 가격동향'!$DD$11:$AHC$11,MATCH(1,('DOWN 가격동향'!$K$8:$AHC$8='동향 그래프 ~시세반영 '!$A40)*('DOWN 가격동향'!$DD$9:$AHC$9='동향 그래프 ~시세반영 '!BT$3),0))</f>
        <v>46.4</v>
      </c>
      <c r="BU40" s="251">
        <f t="array" ref="BU40">INDEX('DOWN 가격동향'!$DD$11:$AHC$11,MATCH(1,('DOWN 가격동향'!$K$8:$AHC$8='동향 그래프 ~시세반영 '!$A40)*('DOWN 가격동향'!$DD$9:$AHC$9='동향 그래프 ~시세반영 '!BU$3),0))</f>
        <v>41.3</v>
      </c>
      <c r="BV40" s="251">
        <f t="array" ref="BV40">INDEX('DOWN 가격동향'!$DD$11:$AHC$11,MATCH(1,('DOWN 가격동향'!$K$8:$AHC$8='동향 그래프 ~시세반영 '!$A40)*('DOWN 가격동향'!$DD$9:$AHC$9='동향 그래프 ~시세반영 '!BV$3),0))</f>
        <v>44.8</v>
      </c>
      <c r="BW40" s="251">
        <f t="array" ref="BW40">INDEX('DOWN 가격동향'!$DD$11:$AHC$11,MATCH(1,('DOWN 가격동향'!$K$8:$AHC$8='동향 그래프 ~시세반영 '!$A40)*('DOWN 가격동향'!$DD$9:$AHC$9='동향 그래프 ~시세반영 '!BW$3),0))</f>
        <v>44.8</v>
      </c>
      <c r="BX40" s="251">
        <f t="array" ref="BX40">INDEX('DOWN 가격동향'!$DD$11:$AHC$11,MATCH(1,('DOWN 가격동향'!$K$8:$AHC$8='동향 그래프 ~시세반영 '!$A40)*('DOWN 가격동향'!$DD$9:$AHC$9='동향 그래프 ~시세반영 '!BX$3),0))</f>
        <v>46.4</v>
      </c>
      <c r="BY40" s="251">
        <f t="array" ref="BY40">INDEX('DOWN 가격동향'!$DD$11:$AHC$11,MATCH(1,('DOWN 가격동향'!$K$8:$AHC$8='동향 그래프 ~시세반영 '!$A40)*('DOWN 가격동향'!$DD$9:$AHC$9='동향 그래프 ~시세반영 '!BY$3),0))</f>
        <v>49.6</v>
      </c>
      <c r="BZ40" s="251">
        <f t="array" ref="BZ40">INDEX('DOWN 가격동향'!$DD$11:$AHC$11,MATCH(1,('DOWN 가격동향'!$K$8:$AHC$8='동향 그래프 ~시세반영 '!$A40)*('DOWN 가격동향'!$DD$9:$AHC$9='동향 그래프 ~시세반영 '!BZ$3),0))</f>
        <v>49.6</v>
      </c>
      <c r="CA40" s="251">
        <f t="array" ref="CA40">INDEX('DOWN 가격동향'!$DD$11:$AHC$11,MATCH(1,('DOWN 가격동향'!$K$8:$AHC$8='동향 그래프 ~시세반영 '!$A40)*('DOWN 가격동향'!$DD$9:$AHC$9='동향 그래프 ~시세반영 '!CA$3),0))</f>
        <v>48</v>
      </c>
      <c r="CB40" s="251">
        <f t="array" ref="CB40">INDEX('DOWN 가격동향'!$DD$11:$AHC$11,MATCH(1,('DOWN 가격동향'!$K$8:$AHC$8='동향 그래프 ~시세반영 '!$A40)*('DOWN 가격동향'!$DD$9:$AHC$9='동향 그래프 ~시세반영 '!CB$3),0))</f>
        <v>52.7</v>
      </c>
      <c r="CC40" s="251">
        <f t="array" ref="CC40">INDEX('DOWN 가격동향'!$DD$11:$AHC$11,MATCH(1,('DOWN 가격동향'!$K$8:$AHC$8='동향 그래프 ~시세반영 '!$A40)*('DOWN 가격동향'!$DD$9:$AHC$9='동향 그래프 ~시세반영 '!CC$3),0))</f>
        <v>57.5</v>
      </c>
      <c r="CD40" s="251">
        <f t="array" ref="CD40">INDEX('DOWN 가격동향'!$DD$11:$AHC$11,MATCH(1,('DOWN 가격동향'!$K$8:$AHC$8='동향 그래프 ~시세반영 '!$A40)*('DOWN 가격동향'!$DD$9:$AHC$9='동향 그래프 ~시세반영 '!CD$3),0))</f>
        <v>52.2</v>
      </c>
      <c r="CE40" s="251">
        <f t="array" ref="CE40">INDEX('DOWN 가격동향'!$DD$11:$AHC$11,MATCH(1,('DOWN 가격동향'!$K$8:$AHC$8='동향 그래프 ~시세반영 '!$A40)*('DOWN 가격동향'!$DD$9:$AHC$9='동향 그래프 ~시세반영 '!CE$3),0))</f>
        <v>57.5</v>
      </c>
      <c r="CF40" s="251">
        <f t="array" ref="CF40">INDEX('DOWN 가격동향'!$DD$11:$AHC$11,MATCH(1,('DOWN 가격동향'!$K$8:$AHC$8='동향 그래프 ~시세반영 '!$A40)*('DOWN 가격동향'!$DD$9:$AHC$9='동향 그래프 ~시세반영 '!CF$3),0))</f>
        <v>51.27</v>
      </c>
      <c r="CG40" s="251">
        <f t="array" ref="CG40">INDEX('DOWN 가격동향'!$DD$11:$AHC$11,MATCH(1,('DOWN 가격동향'!$K$8:$AHC$8='동향 그래프 ~시세반영 '!$A40)*('DOWN 가격동향'!$DD$9:$AHC$9='동향 그래프 ~시세반영 '!CG$3),0))</f>
        <v>51.27</v>
      </c>
      <c r="CH40" s="251">
        <f t="array" ref="CH40">INDEX('DOWN 가격동향'!$DD$11:$AHC$11,MATCH(1,('DOWN 가격동향'!$K$8:$AHC$8='동향 그래프 ~시세반영 '!$A40)*('DOWN 가격동향'!$DD$9:$AHC$9='동향 그래프 ~시세반영 '!CH$3),0))</f>
        <v>51</v>
      </c>
      <c r="CI40" s="251">
        <f t="array" ref="CI40">INDEX('DOWN 가격동향'!$DD$11:$AHC$11,MATCH(1,('DOWN 가격동향'!$K$8:$AHC$8='동향 그래프 ~시세반영 '!$A40)*('DOWN 가격동향'!$DD$9:$AHC$9='동향 그래프 ~시세반영 '!CI$3),0))</f>
        <v>59.84</v>
      </c>
      <c r="CJ40" s="251">
        <f t="array" ref="CJ40">INDEX('DOWN 가격동향'!$DD$11:$AHC$11,MATCH(1,('DOWN 가격동향'!$K$8:$AHC$8='동향 그래프 ~시세반영 '!$A40)*('DOWN 가격동향'!$DD$9:$AHC$9='동향 그래프 ~시세반영 '!CJ$3),0))</f>
        <v>59.84</v>
      </c>
      <c r="CK40" s="251">
        <f t="array" ref="CK40">INDEX('DOWN 가격동향'!$DD$11:$AHC$11,MATCH(1,('DOWN 가격동향'!$K$8:$AHC$8='동향 그래프 ~시세반영 '!$A40)*('DOWN 가격동향'!$DD$9:$AHC$9='동향 그래프 ~시세반영 '!CK$3),0))</f>
        <v>59.84</v>
      </c>
      <c r="CL40" s="251">
        <f t="array" ref="CL40">INDEX('DOWN 가격동향'!$DD$11:$AHC$11,MATCH(1,('DOWN 가격동향'!$K$8:$AHC$8='동향 그래프 ~시세반영 '!$A40)*('DOWN 가격동향'!$DD$9:$AHC$9='동향 그래프 ~시세반영 '!CL$3),0))</f>
        <v>61.82</v>
      </c>
      <c r="CM40" s="251">
        <f t="array" ref="CM40">INDEX('DOWN 가격동향'!$DD$11:$AHC$11,MATCH(1,('DOWN 가격동향'!$K$8:$AHC$8='동향 그래프 ~시세반영 '!$A40)*('DOWN 가격동향'!$DD$9:$AHC$9='동향 그래프 ~시세반영 '!CM$3),0))</f>
        <v>59.69</v>
      </c>
      <c r="CN40" s="251">
        <f t="array" ref="CN40">INDEX('DOWN 가격동향'!$DD$11:$AHC$11,MATCH(1,('DOWN 가격동향'!$K$8:$AHC$8='동향 그래프 ~시세반영 '!$A40)*('DOWN 가격동향'!$DD$9:$AHC$9='동향 그래프 ~시세반영 '!CN$3),0))</f>
        <v>60.5</v>
      </c>
      <c r="CO40" s="251">
        <f t="array" ref="CO40">INDEX('DOWN 가격동향'!$DD$11:$AHC$11,MATCH(1,('DOWN 가격동향'!$K$8:$AHC$8='동향 그래프 ~시세반영 '!$A40)*('DOWN 가격동향'!$DD$9:$AHC$9='동향 그래프 ~시세반영 '!CO$3),0))</f>
        <v>61.3</v>
      </c>
      <c r="CP40" s="251">
        <f t="array" ref="CP40">INDEX('DOWN 가격동향'!$DD$11:$AHC$11,MATCH(1,('DOWN 가격동향'!$K$8:$AHC$8='동향 그래프 ~시세반영 '!$A40)*('DOWN 가격동향'!$DD$9:$AHC$9='동향 그래프 ~시세반영 '!CP$3),0))</f>
        <v>61.5</v>
      </c>
      <c r="CQ40" s="251">
        <f t="array" ref="CQ40">INDEX('DOWN 가격동향'!$DD$11:$AHC$11,MATCH(1,('DOWN 가격동향'!$K$8:$AHC$8='동향 그래프 ~시세반영 '!$A40)*('DOWN 가격동향'!$DD$9:$AHC$9='동향 그래프 ~시세반영 '!CQ$3),0))</f>
        <v>61.3</v>
      </c>
      <c r="CR40" s="251">
        <f t="array" ref="CR40">INDEX('DOWN 가격동향'!$DD$11:$AHC$11,MATCH(1,('DOWN 가격동향'!$K$8:$AHC$8='동향 그래프 ~시세반영 '!$A40)*('DOWN 가격동향'!$DD$9:$AHC$9='동향 그래프 ~시세반영 '!CR$3),0))</f>
        <v>62.6</v>
      </c>
      <c r="CS40" s="251">
        <f t="array" ref="CS40">INDEX('DOWN 가격동향'!$DD$11:$AHC$11,MATCH(1,('DOWN 가격동향'!$K$8:$AHC$8='동향 그래프 ~시세반영 '!$A40)*('DOWN 가격동향'!$DD$9:$AHC$9='동향 그래프 ~시세반영 '!CS$3),0))</f>
        <v>59.8</v>
      </c>
      <c r="CT40" s="251">
        <f t="array" ref="CT40">INDEX('DOWN 가격동향'!$DD$11:$AHC$11,MATCH(1,('DOWN 가격동향'!$K$8:$AHC$8='동향 그래프 ~시세반영 '!$A40)*('DOWN 가격동향'!$DD$9:$AHC$9='동향 그래프 ~시세반영 '!CT$3),0))</f>
        <v>60.6</v>
      </c>
      <c r="CU40" s="251">
        <f t="array" ref="CU40">INDEX('DOWN 가격동향'!$DD$11:$AHC$11,MATCH(1,('DOWN 가격동향'!$K$8:$AHC$8='동향 그래프 ~시세반영 '!$A40)*('DOWN 가격동향'!$DD$9:$AHC$9='동향 그래프 ~시세반영 '!CU$3),0))</f>
        <v>61.4</v>
      </c>
    </row>
    <row r="41" spans="1:103" ht="24.75" customHeight="1" x14ac:dyDescent="0.3">
      <c r="A41" s="239" t="s">
        <v>207</v>
      </c>
      <c r="B41" s="238">
        <v>41.1</v>
      </c>
      <c r="C41" s="238">
        <v>41.1</v>
      </c>
      <c r="D41" s="238">
        <v>40.6</v>
      </c>
      <c r="E41" s="238">
        <v>41.6</v>
      </c>
      <c r="F41" s="238">
        <v>41.6</v>
      </c>
      <c r="G41" s="238">
        <v>41.6</v>
      </c>
      <c r="H41" s="238">
        <v>39</v>
      </c>
      <c r="I41" s="238">
        <v>39</v>
      </c>
      <c r="J41" s="238">
        <v>38.299999999999997</v>
      </c>
      <c r="K41" s="238">
        <v>35.299999999999997</v>
      </c>
      <c r="L41" s="238">
        <v>35.299999999999997</v>
      </c>
      <c r="M41" s="238">
        <v>35.299999999999997</v>
      </c>
      <c r="N41" s="238">
        <v>35.299999999999997</v>
      </c>
      <c r="O41" s="238">
        <v>34.299999999999997</v>
      </c>
      <c r="P41" s="238">
        <v>34.299999999999997</v>
      </c>
      <c r="Q41" s="238">
        <v>34.299999999999997</v>
      </c>
      <c r="R41" s="238">
        <v>35.299999999999997</v>
      </c>
      <c r="S41" s="238">
        <v>39.299999999999997</v>
      </c>
      <c r="T41" s="238">
        <v>35.299999999999997</v>
      </c>
      <c r="U41" s="238">
        <v>35.299999999999997</v>
      </c>
      <c r="V41" s="238">
        <v>35.299999999999997</v>
      </c>
      <c r="W41" s="238">
        <v>35.299999999999997</v>
      </c>
      <c r="X41" s="238">
        <v>35.299999999999997</v>
      </c>
      <c r="Y41" s="238">
        <v>36.299999999999997</v>
      </c>
      <c r="Z41" s="238">
        <v>37</v>
      </c>
      <c r="AA41" s="238">
        <v>37</v>
      </c>
      <c r="AB41" s="238">
        <v>37</v>
      </c>
      <c r="AC41" s="238">
        <v>36.299999999999997</v>
      </c>
      <c r="AD41" s="238">
        <v>36.299999999999997</v>
      </c>
      <c r="AE41" s="238">
        <v>36.299999999999997</v>
      </c>
      <c r="AF41" s="238">
        <v>36.299999999999997</v>
      </c>
      <c r="AG41" s="238">
        <v>36.299999999999997</v>
      </c>
      <c r="AH41" s="238">
        <v>36.299999999999997</v>
      </c>
      <c r="AI41" s="238">
        <v>36.299999999999997</v>
      </c>
      <c r="AJ41" s="238">
        <v>37.299999999999997</v>
      </c>
      <c r="AK41" s="238">
        <v>37.299999999999997</v>
      </c>
      <c r="AL41" s="238">
        <v>38.299999999999997</v>
      </c>
      <c r="AM41" s="238">
        <v>42</v>
      </c>
      <c r="AN41" s="238">
        <v>44</v>
      </c>
      <c r="AO41" s="238">
        <v>44</v>
      </c>
      <c r="AP41" s="238">
        <v>44</v>
      </c>
      <c r="AQ41" s="238">
        <v>44</v>
      </c>
      <c r="AR41" s="238">
        <v>45</v>
      </c>
      <c r="AS41" s="238">
        <v>45</v>
      </c>
      <c r="AT41" s="238">
        <v>45</v>
      </c>
      <c r="AU41" s="238">
        <v>49</v>
      </c>
      <c r="AV41" s="238">
        <v>53</v>
      </c>
      <c r="AW41" s="238">
        <v>53</v>
      </c>
      <c r="AX41" s="238">
        <v>56</v>
      </c>
      <c r="AY41" s="238">
        <v>56</v>
      </c>
      <c r="AZ41" s="238">
        <v>60</v>
      </c>
      <c r="BA41" s="238">
        <v>60</v>
      </c>
      <c r="BB41" s="238">
        <v>60</v>
      </c>
      <c r="BC41" s="238">
        <v>60</v>
      </c>
      <c r="BD41" s="238">
        <v>55</v>
      </c>
      <c r="BE41" s="238">
        <v>52.3</v>
      </c>
      <c r="BF41" s="238">
        <v>51.3</v>
      </c>
      <c r="BG41" s="238">
        <v>46.5</v>
      </c>
      <c r="BH41" s="238">
        <v>46</v>
      </c>
      <c r="BI41" s="238">
        <v>46</v>
      </c>
      <c r="BJ41" s="238">
        <v>46</v>
      </c>
      <c r="BK41" s="238">
        <v>46.3</v>
      </c>
      <c r="BL41" s="238">
        <v>46.3</v>
      </c>
      <c r="BM41" s="238">
        <v>45.8</v>
      </c>
      <c r="BN41" s="238">
        <v>43.3</v>
      </c>
      <c r="BO41" s="238">
        <v>44.3</v>
      </c>
      <c r="BP41" s="238">
        <v>44.8</v>
      </c>
      <c r="BQ41" s="238">
        <v>44.8</v>
      </c>
      <c r="BR41" s="238">
        <f t="array" ref="BR41">INDEX('DOWN 가격동향'!$DD$11:$AHC$11,MATCH(1,('DOWN 가격동향'!$K$8:$AHC$8='동향 그래프 ~시세반영 '!$A41)*('DOWN 가격동향'!$DD$9:$AHC$9='동향 그래프 ~시세반영 '!BR$3),0))</f>
        <v>52.3</v>
      </c>
      <c r="BS41" s="238">
        <f t="array" ref="BS41">INDEX('DOWN 가격동향'!$DD$11:$AHC$11,MATCH(1,('DOWN 가격동향'!$K$8:$AHC$8='동향 그래프 ~시세반영 '!$A41)*('DOWN 가격동향'!$DD$9:$AHC$9='동향 그래프 ~시세반영 '!BS$3),0))</f>
        <v>52.3</v>
      </c>
      <c r="BT41" s="238">
        <f t="array" ref="BT41">INDEX('DOWN 가격동향'!$DD$11:$AHC$11,MATCH(1,('DOWN 가격동향'!$K$8:$AHC$8='동향 그래프 ~시세반영 '!$A41)*('DOWN 가격동향'!$DD$9:$AHC$9='동향 그래프 ~시세반영 '!BT$3),0))</f>
        <v>49.8</v>
      </c>
      <c r="BU41" s="238">
        <f t="array" ref="BU41">INDEX('DOWN 가격동향'!$DD$11:$AHC$11,MATCH(1,('DOWN 가격동향'!$K$8:$AHC$8='동향 그래프 ~시세반영 '!$A41)*('DOWN 가격동향'!$DD$9:$AHC$9='동향 그래프 ~시세반영 '!BU$3),0))</f>
        <v>49.8</v>
      </c>
      <c r="BV41" s="238">
        <f t="array" ref="BV41">INDEX('DOWN 가격동향'!$DD$11:$AHC$11,MATCH(1,('DOWN 가격동향'!$K$8:$AHC$8='동향 그래프 ~시세반영 '!$A41)*('DOWN 가격동향'!$DD$9:$AHC$9='동향 그래프 ~시세반영 '!BV$3),0))</f>
        <v>48.3</v>
      </c>
      <c r="BW41" s="238">
        <f t="array" ref="BW41">INDEX('DOWN 가격동향'!$DD$11:$AHC$11,MATCH(1,('DOWN 가격동향'!$K$8:$AHC$8='동향 그래프 ~시세반영 '!$A41)*('DOWN 가격동향'!$DD$9:$AHC$9='동향 그래프 ~시세반영 '!BW$3),0))</f>
        <v>48.3</v>
      </c>
      <c r="BX41" s="238">
        <f t="array" ref="BX41">INDEX('DOWN 가격동향'!$DD$11:$AHC$11,MATCH(1,('DOWN 가격동향'!$K$8:$AHC$8='동향 그래프 ~시세반영 '!$A41)*('DOWN 가격동향'!$DD$9:$AHC$9='동향 그래프 ~시세반영 '!BX$3),0))</f>
        <v>52.3</v>
      </c>
      <c r="BY41" s="238">
        <f t="array" ref="BY41">INDEX('DOWN 가격동향'!$DD$11:$AHC$11,MATCH(1,('DOWN 가격동향'!$K$8:$AHC$8='동향 그래프 ~시세반영 '!$A41)*('DOWN 가격동향'!$DD$9:$AHC$9='동향 그래프 ~시세반영 '!BY$3),0))</f>
        <v>52.3</v>
      </c>
      <c r="BZ41" s="238">
        <f t="array" ref="BZ41">INDEX('DOWN 가격동향'!$DD$11:$AHC$11,MATCH(1,('DOWN 가격동향'!$K$8:$AHC$8='동향 그래프 ~시세반영 '!$A41)*('DOWN 가격동향'!$DD$9:$AHC$9='동향 그래프 ~시세반영 '!BZ$3),0))</f>
        <v>45.3</v>
      </c>
      <c r="CA41" s="238">
        <f t="array" ref="CA41">INDEX('DOWN 가격동향'!$DD$11:$AHC$11,MATCH(1,('DOWN 가격동향'!$K$8:$AHC$8='동향 그래프 ~시세반영 '!$A41)*('DOWN 가격동향'!$DD$9:$AHC$9='동향 그래프 ~시세반영 '!CA$3),0))</f>
        <v>45.3</v>
      </c>
      <c r="CB41" s="238">
        <f t="array" ref="CB41">INDEX('DOWN 가격동향'!$DD$11:$AHC$11,MATCH(1,('DOWN 가격동향'!$K$8:$AHC$8='동향 그래프 ~시세반영 '!$A41)*('DOWN 가격동향'!$DD$9:$AHC$9='동향 그래프 ~시세반영 '!CB$3),0))</f>
        <v>53.3</v>
      </c>
      <c r="CC41" s="238">
        <f t="array" ref="CC41">INDEX('DOWN 가격동향'!$DD$11:$AHC$11,MATCH(1,('DOWN 가격동향'!$K$8:$AHC$8='동향 그래프 ~시세반영 '!$A41)*('DOWN 가격동향'!$DD$9:$AHC$9='동향 그래프 ~시세반영 '!CC$3),0))</f>
        <v>60.3</v>
      </c>
      <c r="CD41" s="238">
        <f t="array" ref="CD41">INDEX('DOWN 가격동향'!$DD$11:$AHC$11,MATCH(1,('DOWN 가격동향'!$K$8:$AHC$8='동향 그래프 ~시세반영 '!$A41)*('DOWN 가격동향'!$DD$9:$AHC$9='동향 그래프 ~시세반영 '!CD$3),0))</f>
        <v>60.3</v>
      </c>
      <c r="CE41" s="238">
        <f t="array" ref="CE41">INDEX('DOWN 가격동향'!$DD$11:$AHC$11,MATCH(1,('DOWN 가격동향'!$K$8:$AHC$8='동향 그래프 ~시세반영 '!$A41)*('DOWN 가격동향'!$DD$9:$AHC$9='동향 그래프 ~시세반영 '!CE$3),0))</f>
        <v>53.3</v>
      </c>
      <c r="CF41" s="238">
        <f t="array" ref="CF41">INDEX('DOWN 가격동향'!$DD$11:$AHC$11,MATCH(1,('DOWN 가격동향'!$K$8:$AHC$8='동향 그래프 ~시세반영 '!$A41)*('DOWN 가격동향'!$DD$9:$AHC$9='동향 그래프 ~시세반영 '!CF$3),0))</f>
        <v>50.3</v>
      </c>
      <c r="CG41" s="238">
        <f t="array" ref="CG41">INDEX('DOWN 가격동향'!$DD$11:$AHC$11,MATCH(1,('DOWN 가격동향'!$K$8:$AHC$8='동향 그래프 ~시세반영 '!$A41)*('DOWN 가격동향'!$DD$9:$AHC$9='동향 그래프 ~시세반영 '!CG$3),0))</f>
        <v>50.3</v>
      </c>
      <c r="CH41" s="238">
        <f t="array" ref="CH41">INDEX('DOWN 가격동향'!$DD$11:$AHC$11,MATCH(1,('DOWN 가격동향'!$K$8:$AHC$8='동향 그래프 ~시세반영 '!$A41)*('DOWN 가격동향'!$DD$9:$AHC$9='동향 그래프 ~시세반영 '!CH$3),0))</f>
        <v>50.3</v>
      </c>
      <c r="CI41" s="238">
        <f t="array" ref="CI41">INDEX('DOWN 가격동향'!$DD$11:$AHC$11,MATCH(1,('DOWN 가격동향'!$K$8:$AHC$8='동향 그래프 ~시세반영 '!$A41)*('DOWN 가격동향'!$DD$9:$AHC$9='동향 그래프 ~시세반영 '!CI$3),0))</f>
        <v>54.3</v>
      </c>
      <c r="CJ41" s="238">
        <f t="array" ref="CJ41">INDEX('DOWN 가격동향'!$DD$11:$AHC$11,MATCH(1,('DOWN 가격동향'!$K$8:$AHC$8='동향 그래프 ~시세반영 '!$A41)*('DOWN 가격동향'!$DD$9:$AHC$9='동향 그래프 ~시세반영 '!CJ$3),0))</f>
        <v>54.3</v>
      </c>
      <c r="CK41" s="238">
        <f t="array" ref="CK41">INDEX('DOWN 가격동향'!$DD$11:$AHC$11,MATCH(1,('DOWN 가격동향'!$K$8:$AHC$8='동향 그래프 ~시세반영 '!$A41)*('DOWN 가격동향'!$DD$9:$AHC$9='동향 그래프 ~시세반영 '!CK$3),0))</f>
        <v>54.3</v>
      </c>
      <c r="CL41" s="238">
        <f t="array" ref="CL41">INDEX('DOWN 가격동향'!$DD$11:$AHC$11,MATCH(1,('DOWN 가격동향'!$K$8:$AHC$8='동향 그래프 ~시세반영 '!$A41)*('DOWN 가격동향'!$DD$9:$AHC$9='동향 그래프 ~시세반영 '!CL$3),0))</f>
        <v>60</v>
      </c>
      <c r="CM41" s="238">
        <f t="array" ref="CM41">INDEX('DOWN 가격동향'!$DD$11:$AHC$11,MATCH(1,('DOWN 가격동향'!$K$8:$AHC$8='동향 그래프 ~시세반영 '!$A41)*('DOWN 가격동향'!$DD$9:$AHC$9='동향 그래프 ~시세반영 '!CM$3),0))</f>
        <v>60</v>
      </c>
      <c r="CN41" s="238">
        <f t="array" ref="CN41">INDEX('DOWN 가격동향'!$DD$11:$AHC$11,MATCH(1,('DOWN 가격동향'!$K$8:$AHC$8='동향 그래프 ~시세반영 '!$A41)*('DOWN 가격동향'!$DD$9:$AHC$9='동향 그래프 ~시세반영 '!CN$3),0))</f>
        <v>60</v>
      </c>
      <c r="CO41" s="238">
        <f t="array" ref="CO41">INDEX('DOWN 가격동향'!$DD$11:$AHC$11,MATCH(1,('DOWN 가격동향'!$K$8:$AHC$8='동향 그래프 ~시세반영 '!$A41)*('DOWN 가격동향'!$DD$9:$AHC$9='동향 그래프 ~시세반영 '!CO$3),0))</f>
        <v>60</v>
      </c>
      <c r="CP41" s="238">
        <f t="array" ref="CP41">INDEX('DOWN 가격동향'!$DD$11:$AHC$11,MATCH(1,('DOWN 가격동향'!$K$8:$AHC$8='동향 그래프 ~시세반영 '!$A41)*('DOWN 가격동향'!$DD$9:$AHC$9='동향 그래프 ~시세반영 '!CP$3),0))</f>
        <v>59.5</v>
      </c>
      <c r="CQ41" s="238">
        <f t="array" ref="CQ41">INDEX('DOWN 가격동향'!$DD$11:$AHC$11,MATCH(1,('DOWN 가격동향'!$K$8:$AHC$8='동향 그래프 ~시세반영 '!$A41)*('DOWN 가격동향'!$DD$9:$AHC$9='동향 그래프 ~시세반영 '!CQ$3),0))</f>
        <v>62</v>
      </c>
      <c r="CR41" s="238">
        <f t="array" ref="CR41">INDEX('DOWN 가격동향'!$DD$11:$AHC$11,MATCH(1,('DOWN 가격동향'!$K$8:$AHC$8='동향 그래프 ~시세반영 '!$A41)*('DOWN 가격동향'!$DD$9:$AHC$9='동향 그래프 ~시세반영 '!CR$3),0))</f>
        <v>61</v>
      </c>
      <c r="CS41" s="238">
        <f t="array" ref="CS41">INDEX('DOWN 가격동향'!$DD$11:$AHC$11,MATCH(1,('DOWN 가격동향'!$K$8:$AHC$8='동향 그래프 ~시세반영 '!$A41)*('DOWN 가격동향'!$DD$9:$AHC$9='동향 그래프 ~시세반영 '!CS$3),0))</f>
        <v>56</v>
      </c>
      <c r="CT41" s="238">
        <f t="array" ref="CT41">INDEX('DOWN 가격동향'!$DD$11:$AHC$11,MATCH(1,('DOWN 가격동향'!$K$8:$AHC$8='동향 그래프 ~시세반영 '!$A41)*('DOWN 가격동향'!$DD$9:$AHC$9='동향 그래프 ~시세반영 '!CT$3),0))</f>
        <v>60.5</v>
      </c>
      <c r="CU41" s="238">
        <f t="array" ref="CU41">INDEX('DOWN 가격동향'!$DD$11:$AHC$11,MATCH(1,('DOWN 가격동향'!$K$8:$AHC$8='동향 그래프 ~시세반영 '!$A41)*('DOWN 가격동향'!$DD$9:$AHC$9='동향 그래프 ~시세반영 '!CU$3),0))</f>
        <v>58.5</v>
      </c>
    </row>
    <row r="42" spans="1:103" ht="24.75" customHeight="1" x14ac:dyDescent="0.3">
      <c r="A42" s="250" t="s">
        <v>36</v>
      </c>
      <c r="B42" s="251">
        <v>41.3</v>
      </c>
      <c r="C42" s="251">
        <v>41.3</v>
      </c>
      <c r="D42" s="251">
        <v>41.3</v>
      </c>
      <c r="E42" s="251">
        <v>41.3</v>
      </c>
      <c r="F42" s="251">
        <v>41.3</v>
      </c>
      <c r="G42" s="251">
        <v>40.299999999999997</v>
      </c>
      <c r="H42" s="251">
        <v>40</v>
      </c>
      <c r="I42" s="251">
        <v>38.299999999999997</v>
      </c>
      <c r="J42" s="251">
        <v>36.799999999999997</v>
      </c>
      <c r="K42" s="251">
        <v>35.299999999999997</v>
      </c>
      <c r="L42" s="251">
        <v>34.299999999999997</v>
      </c>
      <c r="M42" s="251">
        <v>33</v>
      </c>
      <c r="N42" s="251">
        <v>35.299999999999997</v>
      </c>
      <c r="O42" s="251">
        <v>35.299999999999997</v>
      </c>
      <c r="P42" s="251">
        <v>33.299999999999997</v>
      </c>
      <c r="Q42" s="251">
        <v>34.299999999999997</v>
      </c>
      <c r="R42" s="251">
        <v>36.299999999999997</v>
      </c>
      <c r="S42" s="251">
        <v>38.299999999999997</v>
      </c>
      <c r="T42" s="251">
        <v>38.299999999999997</v>
      </c>
      <c r="U42" s="251">
        <v>38.299999999999997</v>
      </c>
      <c r="V42" s="251">
        <v>38</v>
      </c>
      <c r="W42" s="251">
        <v>38.299999999999997</v>
      </c>
      <c r="X42" s="251">
        <v>38.299999999999997</v>
      </c>
      <c r="Y42" s="251">
        <v>38.299999999999997</v>
      </c>
      <c r="Z42" s="251">
        <v>36.299999999999997</v>
      </c>
      <c r="AA42" s="251">
        <v>35.299999999999997</v>
      </c>
      <c r="AB42" s="251">
        <v>35.299999999999997</v>
      </c>
      <c r="AC42" s="251">
        <v>35.299999999999997</v>
      </c>
      <c r="AD42" s="251">
        <v>35.299999999999997</v>
      </c>
      <c r="AE42" s="251">
        <v>36.299999999999997</v>
      </c>
      <c r="AF42" s="251">
        <v>36.299999999999997</v>
      </c>
      <c r="AG42" s="251">
        <v>36.299999999999997</v>
      </c>
      <c r="AH42" s="251">
        <v>36.299999999999997</v>
      </c>
      <c r="AI42" s="251">
        <v>35.299999999999997</v>
      </c>
      <c r="AJ42" s="251">
        <v>36.299999999999997</v>
      </c>
      <c r="AK42" s="251">
        <v>39.299999999999997</v>
      </c>
      <c r="AL42" s="251">
        <v>42.3</v>
      </c>
      <c r="AM42" s="251">
        <v>42.3</v>
      </c>
      <c r="AN42" s="251">
        <v>51.3</v>
      </c>
      <c r="AO42" s="251">
        <v>53.3</v>
      </c>
      <c r="AP42" s="251">
        <v>53.3</v>
      </c>
      <c r="AQ42" s="251">
        <v>51.3</v>
      </c>
      <c r="AR42" s="251">
        <v>51.3</v>
      </c>
      <c r="AS42" s="251">
        <v>51.3</v>
      </c>
      <c r="AT42" s="251">
        <v>44</v>
      </c>
      <c r="AU42" s="251">
        <v>44</v>
      </c>
      <c r="AV42" s="251">
        <v>55</v>
      </c>
      <c r="AW42" s="251">
        <v>58</v>
      </c>
      <c r="AX42" s="251">
        <v>58</v>
      </c>
      <c r="AY42" s="251">
        <v>59</v>
      </c>
      <c r="AZ42" s="251">
        <v>54</v>
      </c>
      <c r="BA42" s="251">
        <v>53</v>
      </c>
      <c r="BB42" s="251">
        <v>55</v>
      </c>
      <c r="BC42" s="251">
        <v>55</v>
      </c>
      <c r="BD42" s="251">
        <v>53</v>
      </c>
      <c r="BE42" s="251">
        <v>53</v>
      </c>
      <c r="BF42" s="251">
        <v>50</v>
      </c>
      <c r="BG42" s="251">
        <v>48.3</v>
      </c>
      <c r="BH42" s="251">
        <v>43.3</v>
      </c>
      <c r="BI42" s="251">
        <v>44</v>
      </c>
      <c r="BJ42" s="251">
        <v>44</v>
      </c>
      <c r="BK42" s="251">
        <v>43.8</v>
      </c>
      <c r="BL42" s="251">
        <v>43.8</v>
      </c>
      <c r="BM42" s="251">
        <v>43.8</v>
      </c>
      <c r="BN42" s="251">
        <v>42.3</v>
      </c>
      <c r="BO42" s="251">
        <v>42.3</v>
      </c>
      <c r="BP42" s="251">
        <v>42.3</v>
      </c>
      <c r="BQ42" s="251">
        <v>43.3</v>
      </c>
      <c r="BR42" s="251">
        <f t="array" ref="BR42">INDEX('DOWN 가격동향'!$DD$11:$AHC$11,MATCH(1,('DOWN 가격동향'!$K$8:$AHC$8='동향 그래프 ~시세반영 '!$A42)*('DOWN 가격동향'!$DD$9:$AHC$9='동향 그래프 ~시세반영 '!BR$3),0))</f>
        <v>43.3</v>
      </c>
      <c r="BS42" s="251">
        <f t="array" ref="BS42">INDEX('DOWN 가격동향'!$DD$11:$AHC$11,MATCH(1,('DOWN 가격동향'!$K$8:$AHC$8='동향 그래프 ~시세반영 '!$A42)*('DOWN 가격동향'!$DD$9:$AHC$9='동향 그래프 ~시세반영 '!BS$3),0))</f>
        <v>43.5</v>
      </c>
      <c r="BT42" s="251">
        <f t="array" ref="BT42">INDEX('DOWN 가격동향'!$DD$11:$AHC$11,MATCH(1,('DOWN 가격동향'!$K$8:$AHC$8='동향 그래프 ~시세반영 '!$A42)*('DOWN 가격동향'!$DD$9:$AHC$9='동향 그래프 ~시세반영 '!BT$3),0))</f>
        <v>43.8</v>
      </c>
      <c r="BU42" s="251">
        <f t="array" ref="BU42">INDEX('DOWN 가격동향'!$DD$11:$AHC$11,MATCH(1,('DOWN 가격동향'!$K$8:$AHC$8='동향 그래프 ~시세반영 '!$A42)*('DOWN 가격동향'!$DD$9:$AHC$9='동향 그래프 ~시세반영 '!BU$3),0))</f>
        <v>42.8</v>
      </c>
      <c r="BV42" s="251">
        <f t="array" ref="BV42">INDEX('DOWN 가격동향'!$DD$11:$AHC$11,MATCH(1,('DOWN 가격동향'!$K$8:$AHC$8='동향 그래프 ~시세반영 '!$A42)*('DOWN 가격동향'!$DD$9:$AHC$9='동향 그래프 ~시세반영 '!BV$3),0))</f>
        <v>43.3</v>
      </c>
      <c r="BW42" s="251">
        <f t="array" ref="BW42">INDEX('DOWN 가격동향'!$DD$11:$AHC$11,MATCH(1,('DOWN 가격동향'!$K$8:$AHC$8='동향 그래프 ~시세반영 '!$A42)*('DOWN 가격동향'!$DD$9:$AHC$9='동향 그래프 ~시세반영 '!BW$3),0))</f>
        <v>44.3</v>
      </c>
      <c r="BX42" s="251">
        <f t="array" ref="BX42">INDEX('DOWN 가격동향'!$DD$11:$AHC$11,MATCH(1,('DOWN 가격동향'!$K$8:$AHC$8='동향 그래프 ~시세반영 '!$A42)*('DOWN 가격동향'!$DD$9:$AHC$9='동향 그래프 ~시세반영 '!BX$3),0))</f>
        <v>47.8</v>
      </c>
      <c r="BY42" s="251">
        <f t="array" ref="BY42">INDEX('DOWN 가격동향'!$DD$11:$AHC$11,MATCH(1,('DOWN 가격동향'!$K$8:$AHC$8='동향 그래프 ~시세반영 '!$A42)*('DOWN 가격동향'!$DD$9:$AHC$9='동향 그래프 ~시세반영 '!BY$3),0))</f>
        <v>47.8</v>
      </c>
      <c r="BZ42" s="251">
        <v>48.3</v>
      </c>
      <c r="CA42" s="251">
        <v>49.8</v>
      </c>
      <c r="CB42" s="251">
        <v>50.1</v>
      </c>
      <c r="CC42" s="251">
        <v>50.1</v>
      </c>
      <c r="CD42" s="251">
        <v>55</v>
      </c>
      <c r="CE42" s="251">
        <v>55</v>
      </c>
      <c r="CF42" s="251">
        <v>49.3</v>
      </c>
      <c r="CG42" s="251">
        <v>49.3</v>
      </c>
      <c r="CH42" s="251">
        <v>49.3</v>
      </c>
      <c r="CI42" s="251">
        <v>47</v>
      </c>
      <c r="CJ42" s="251">
        <v>47</v>
      </c>
      <c r="CK42" s="251">
        <v>50</v>
      </c>
      <c r="CL42" s="251">
        <v>55</v>
      </c>
      <c r="CM42" s="251">
        <v>55</v>
      </c>
      <c r="CN42" s="251">
        <v>59</v>
      </c>
      <c r="CO42" s="251">
        <v>59</v>
      </c>
      <c r="CP42" s="251">
        <v>59</v>
      </c>
      <c r="CQ42" s="251">
        <v>57</v>
      </c>
      <c r="CR42" s="251">
        <v>57</v>
      </c>
      <c r="CS42" s="251">
        <v>57</v>
      </c>
      <c r="CT42" s="251">
        <v>55</v>
      </c>
      <c r="CU42" s="251">
        <f t="array" ref="CU42">INDEX('DOWN 가격동향'!11:11,MATCH(1,('DOWN 가격동향'!8:8='동향 그래프 ~시세반영 '!A42)*('DOWN 가격동향'!9:9='동향 그래프 ~시세반영 '!$CU36),0))</f>
        <v>55</v>
      </c>
    </row>
    <row r="43" spans="1:103" s="557" customFormat="1" ht="24.75" customHeight="1" x14ac:dyDescent="0.3">
      <c r="A43" s="552" t="s">
        <v>211</v>
      </c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53"/>
      <c r="P43" s="553"/>
      <c r="Q43" s="553"/>
      <c r="R43" s="553"/>
      <c r="S43" s="553"/>
      <c r="T43" s="553"/>
      <c r="U43" s="553"/>
      <c r="V43" s="553"/>
      <c r="W43" s="553"/>
      <c r="X43" s="553"/>
      <c r="Y43" s="553"/>
      <c r="Z43" s="553"/>
      <c r="AA43" s="553"/>
      <c r="AB43" s="553"/>
      <c r="AC43" s="553"/>
      <c r="AD43" s="553"/>
      <c r="AE43" s="553"/>
      <c r="AF43" s="553"/>
      <c r="AG43" s="553"/>
      <c r="AH43" s="553"/>
      <c r="AI43" s="553"/>
      <c r="AJ43" s="553"/>
      <c r="AK43" s="553"/>
      <c r="AL43" s="553"/>
      <c r="AM43" s="553"/>
      <c r="AN43" s="553"/>
      <c r="AO43" s="553"/>
      <c r="AP43" s="553"/>
      <c r="AQ43" s="553"/>
      <c r="AR43" s="553"/>
      <c r="AS43" s="553"/>
      <c r="AT43" s="553"/>
      <c r="AU43" s="553"/>
      <c r="AV43" s="553"/>
      <c r="AW43" s="553"/>
      <c r="AX43" s="553"/>
      <c r="AY43" s="553"/>
      <c r="AZ43" s="553"/>
      <c r="BA43" s="553"/>
      <c r="BB43" s="553"/>
      <c r="BC43" s="553"/>
      <c r="BD43" s="553"/>
      <c r="BE43" s="553"/>
      <c r="BF43" s="553"/>
      <c r="BG43" s="553"/>
      <c r="BH43" s="553"/>
      <c r="BI43" s="553"/>
      <c r="BJ43" s="553"/>
      <c r="BK43" s="553"/>
      <c r="BL43" s="553"/>
      <c r="BM43" s="553"/>
      <c r="BN43" s="553"/>
      <c r="BO43" s="553"/>
      <c r="BP43" s="553"/>
      <c r="BQ43" s="553"/>
      <c r="BR43" s="553"/>
      <c r="BS43" s="553"/>
      <c r="BT43" s="553"/>
      <c r="BU43" s="553"/>
      <c r="BV43" s="553"/>
      <c r="BW43" s="553"/>
      <c r="BX43" s="553"/>
      <c r="BY43" s="553"/>
      <c r="BZ43" s="553"/>
      <c r="CA43" s="553"/>
      <c r="CB43" s="553"/>
      <c r="CC43" s="553"/>
      <c r="CD43" s="553"/>
      <c r="CE43" s="553"/>
      <c r="CF43" s="553">
        <v>57.5</v>
      </c>
      <c r="CG43" s="553">
        <v>57.5</v>
      </c>
      <c r="CH43" s="553">
        <v>53.5</v>
      </c>
      <c r="CI43" s="553">
        <v>56</v>
      </c>
      <c r="CJ43" s="553">
        <v>54.3</v>
      </c>
      <c r="CK43" s="553">
        <v>54.3</v>
      </c>
      <c r="CL43" s="553">
        <v>61</v>
      </c>
      <c r="CM43" s="553">
        <v>63.5</v>
      </c>
      <c r="CN43" s="553">
        <v>66.5</v>
      </c>
      <c r="CO43" s="553">
        <v>68.599999999999994</v>
      </c>
      <c r="CP43" s="553">
        <v>65</v>
      </c>
      <c r="CQ43" s="553">
        <v>63.5</v>
      </c>
      <c r="CR43" s="553">
        <v>64.5</v>
      </c>
      <c r="CS43" s="553">
        <v>62</v>
      </c>
      <c r="CT43" s="553">
        <v>62</v>
      </c>
      <c r="CU43" s="553">
        <f t="array" ref="CU43">INDEX('DOWN 가격동향'!11:11,MATCH(1,('DOWN 가격동향'!8:8='동향 그래프 ~시세반영 '!A43)*('DOWN 가격동향'!9:9='동향 그래프 ~시세반영 '!$CU36),0))</f>
        <v>62</v>
      </c>
      <c r="CX43"/>
      <c r="CY43"/>
    </row>
    <row r="44" spans="1:103" s="557" customFormat="1" ht="24.75" customHeight="1" x14ac:dyDescent="0.3">
      <c r="A44" s="250" t="s">
        <v>216</v>
      </c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251"/>
      <c r="BC44" s="251"/>
      <c r="BD44" s="251"/>
      <c r="BE44" s="251"/>
      <c r="BF44" s="251"/>
      <c r="BG44" s="251"/>
      <c r="BH44" s="251"/>
      <c r="BI44" s="251"/>
      <c r="BJ44" s="251"/>
      <c r="BK44" s="251"/>
      <c r="BL44" s="251"/>
      <c r="BM44" s="251"/>
      <c r="BN44" s="251"/>
      <c r="BO44" s="251"/>
      <c r="BP44" s="251"/>
      <c r="BQ44" s="251"/>
      <c r="BR44" s="251"/>
      <c r="BS44" s="251"/>
      <c r="BT44" s="251"/>
      <c r="BU44" s="251"/>
      <c r="BV44" s="251"/>
      <c r="BW44" s="251"/>
      <c r="BX44" s="251"/>
      <c r="BY44" s="251"/>
      <c r="BZ44" s="251"/>
      <c r="CA44" s="251"/>
      <c r="CB44" s="251"/>
      <c r="CC44" s="251"/>
      <c r="CD44" s="251"/>
      <c r="CE44" s="251"/>
      <c r="CF44" s="251"/>
      <c r="CG44" s="251"/>
      <c r="CH44" s="251"/>
      <c r="CI44" s="251"/>
      <c r="CJ44" s="251"/>
      <c r="CK44" s="251"/>
      <c r="CL44" s="251"/>
      <c r="CM44" s="251"/>
      <c r="CN44" s="251"/>
      <c r="CO44" s="251"/>
      <c r="CP44" s="251"/>
      <c r="CQ44" s="251"/>
      <c r="CR44" s="251"/>
      <c r="CS44" s="251"/>
      <c r="CT44" s="251"/>
      <c r="CU44" s="251">
        <f t="array" ref="CU44">INDEX('DOWN 가격동향'!11:11,MATCH(1,('DOWN 가격동향'!8:8='동향 그래프 ~시세반영 '!A44)*('DOWN 가격동향'!9:9='동향 그래프 ~시세반영 '!$CU36),0))</f>
        <v>51.1</v>
      </c>
      <c r="CX44"/>
      <c r="CY44"/>
    </row>
    <row r="45" spans="1:103" ht="24.75" customHeight="1" x14ac:dyDescent="0.3">
      <c r="A45" s="240" t="s">
        <v>92</v>
      </c>
      <c r="B45" s="241">
        <f t="shared" ref="B45:AF45" si="11">AVERAGE(B37:B42)</f>
        <v>40.633333333333333</v>
      </c>
      <c r="C45" s="241">
        <f t="shared" si="11"/>
        <v>40.65</v>
      </c>
      <c r="D45" s="241">
        <f t="shared" si="11"/>
        <v>41.833333333333336</v>
      </c>
      <c r="E45" s="241">
        <f t="shared" si="11"/>
        <v>42.333333333333336</v>
      </c>
      <c r="F45" s="241">
        <f t="shared" si="11"/>
        <v>42.166666666666664</v>
      </c>
      <c r="G45" s="241">
        <f t="shared" si="11"/>
        <v>41.256666666666661</v>
      </c>
      <c r="H45" s="241">
        <f t="shared" si="11"/>
        <v>38.949999999999996</v>
      </c>
      <c r="I45" s="241">
        <f t="shared" si="11"/>
        <v>37.906666666666666</v>
      </c>
      <c r="J45" s="241">
        <f t="shared" si="11"/>
        <v>35.933333333333337</v>
      </c>
      <c r="K45" s="241">
        <f t="shared" si="11"/>
        <v>35.090000000000003</v>
      </c>
      <c r="L45" s="241">
        <f t="shared" si="11"/>
        <v>34.65</v>
      </c>
      <c r="M45" s="241">
        <f t="shared" si="11"/>
        <v>34.186666666666667</v>
      </c>
      <c r="N45" s="241">
        <f t="shared" si="11"/>
        <v>35.29</v>
      </c>
      <c r="O45" s="241">
        <f t="shared" si="11"/>
        <v>35.49</v>
      </c>
      <c r="P45" s="241">
        <f t="shared" si="11"/>
        <v>35.156666666666666</v>
      </c>
      <c r="Q45" s="241">
        <f t="shared" si="11"/>
        <v>37.650000000000006</v>
      </c>
      <c r="R45" s="241">
        <f t="shared" si="11"/>
        <v>39.6</v>
      </c>
      <c r="S45" s="241">
        <f t="shared" si="11"/>
        <v>40.766666666666673</v>
      </c>
      <c r="T45" s="241">
        <f t="shared" si="11"/>
        <v>40</v>
      </c>
      <c r="U45" s="241">
        <f t="shared" si="11"/>
        <v>39.199999999999996</v>
      </c>
      <c r="V45" s="241">
        <f t="shared" si="11"/>
        <v>39.4</v>
      </c>
      <c r="W45" s="241">
        <f t="shared" si="11"/>
        <v>39.31666666666667</v>
      </c>
      <c r="X45" s="241">
        <f t="shared" si="11"/>
        <v>39.150000000000006</v>
      </c>
      <c r="Y45" s="241">
        <f t="shared" si="11"/>
        <v>38.233333333333341</v>
      </c>
      <c r="Z45" s="241">
        <f t="shared" si="11"/>
        <v>38.133333333333333</v>
      </c>
      <c r="AA45" s="241">
        <f t="shared" si="11"/>
        <v>37.883333333333333</v>
      </c>
      <c r="AB45" s="241">
        <f t="shared" si="11"/>
        <v>37.883333333333333</v>
      </c>
      <c r="AC45" s="241">
        <f t="shared" si="11"/>
        <v>37.266666666666673</v>
      </c>
      <c r="AD45" s="241">
        <f t="shared" si="11"/>
        <v>37.31666666666667</v>
      </c>
      <c r="AE45" s="241">
        <f t="shared" si="11"/>
        <v>37.483333333333341</v>
      </c>
      <c r="AF45" s="241">
        <f t="shared" si="11"/>
        <v>37.150000000000006</v>
      </c>
      <c r="AG45" s="241">
        <f t="shared" ref="AG45:AI45" si="12">AVERAGE(AG37:AG42)</f>
        <v>37.06666666666667</v>
      </c>
      <c r="AH45" s="241">
        <f t="shared" si="12"/>
        <v>36.983333333333341</v>
      </c>
      <c r="AI45" s="241">
        <f t="shared" si="12"/>
        <v>37.033333333333331</v>
      </c>
      <c r="AJ45" s="241">
        <f t="shared" ref="AJ45:AK45" si="13">AVERAGE(AJ37:AJ42)</f>
        <v>39</v>
      </c>
      <c r="AK45" s="241">
        <f t="shared" si="13"/>
        <v>39.5</v>
      </c>
      <c r="AL45" s="241">
        <f t="shared" ref="AL45:AM45" si="14">AVERAGE(AL37:AL42)</f>
        <v>39.883333333333333</v>
      </c>
      <c r="AM45" s="241">
        <f t="shared" si="14"/>
        <v>42.15</v>
      </c>
      <c r="AN45" s="241">
        <f t="shared" ref="AN45:AO45" si="15">AVERAGE(AN37:AN42)</f>
        <v>45.983333333333327</v>
      </c>
      <c r="AO45" s="241">
        <f t="shared" si="15"/>
        <v>47.866666666666667</v>
      </c>
      <c r="AP45" s="241">
        <f t="shared" ref="AP45:AQ45" si="16">AVERAGE(AP37:AP42)</f>
        <v>49.116666666666667</v>
      </c>
      <c r="AQ45" s="241">
        <f t="shared" si="16"/>
        <v>49.233333333333327</v>
      </c>
      <c r="AR45" s="241">
        <f t="shared" ref="AR45:AS45" si="17">AVERAGE(AR37:AR42)</f>
        <v>48.383333333333333</v>
      </c>
      <c r="AS45" s="241">
        <f t="shared" si="17"/>
        <v>48.466666666666669</v>
      </c>
      <c r="AT45" s="241">
        <f t="shared" ref="AT45:AU45" si="18">AVERAGE(AT37:AT42)</f>
        <v>46.716666666666669</v>
      </c>
      <c r="AU45" s="241">
        <f t="shared" si="18"/>
        <v>48.050000000000004</v>
      </c>
      <c r="AV45" s="241">
        <f t="shared" ref="AV45:AW45" si="19">AVERAGE(AV37:AV42)</f>
        <v>54.683333333333337</v>
      </c>
      <c r="AW45" s="241">
        <f t="shared" si="19"/>
        <v>55.683333333333337</v>
      </c>
      <c r="AX45" s="241">
        <f t="shared" ref="AX45:AY45" si="20">AVERAGE(AX37:AX42)</f>
        <v>56.516666666666673</v>
      </c>
      <c r="AY45" s="241">
        <f t="shared" si="20"/>
        <v>56.516666666666673</v>
      </c>
      <c r="AZ45" s="241">
        <f t="shared" ref="AZ45:BA45" si="21">AVERAGE(AZ37:AZ42)</f>
        <v>55.35</v>
      </c>
      <c r="BA45" s="241">
        <f t="shared" si="21"/>
        <v>54.016666666666673</v>
      </c>
      <c r="BB45" s="241">
        <f t="shared" ref="BB45:BC45" si="22">AVERAGE(BB37:BB42)</f>
        <v>54.433333333333337</v>
      </c>
      <c r="BC45" s="241">
        <f t="shared" si="22"/>
        <v>56.133333333333333</v>
      </c>
      <c r="BD45" s="241">
        <f t="shared" ref="BD45:BE45" si="23">AVERAGE(BD37:BD42)</f>
        <v>55.133333333333333</v>
      </c>
      <c r="BE45" s="241">
        <f t="shared" si="23"/>
        <v>54.5</v>
      </c>
      <c r="BF45" s="241">
        <f t="shared" ref="BF45:BG45" si="24">AVERAGE(BF37:BF42)</f>
        <v>51.433333333333337</v>
      </c>
      <c r="BG45" s="241">
        <f t="shared" si="24"/>
        <v>48.199999999999996</v>
      </c>
      <c r="BH45" s="241">
        <f t="shared" ref="BH45:BJ45" si="25">AVERAGE(BH37:BH42)</f>
        <v>44.650000000000006</v>
      </c>
      <c r="BI45" s="241">
        <f t="shared" si="25"/>
        <v>45.766666666666673</v>
      </c>
      <c r="BJ45" s="241">
        <f t="shared" si="25"/>
        <v>45.266666666666673</v>
      </c>
      <c r="BK45" s="241">
        <f t="shared" ref="BK45:BM45" si="26">AVERAGE(BK37:BK42)</f>
        <v>45.116666666666674</v>
      </c>
      <c r="BL45" s="241">
        <f t="shared" si="26"/>
        <v>44.616666666666674</v>
      </c>
      <c r="BM45" s="241">
        <f t="shared" si="26"/>
        <v>44.366666666666674</v>
      </c>
      <c r="BN45" s="241">
        <f t="shared" ref="BN45:BQ45" si="27">AVERAGE(BN37:BN42)</f>
        <v>43.06666666666667</v>
      </c>
      <c r="BO45" s="241">
        <f t="shared" si="27"/>
        <v>42.783333333333339</v>
      </c>
      <c r="BP45" s="241">
        <f t="shared" si="27"/>
        <v>43.033333333333339</v>
      </c>
      <c r="BQ45" s="241">
        <f t="shared" si="27"/>
        <v>43</v>
      </c>
      <c r="BR45" s="241">
        <f t="shared" ref="BR45:BW45" si="28">AVERAGEIF(BR37:BR42,"&gt;0")</f>
        <v>45.433333333333337</v>
      </c>
      <c r="BS45" s="241">
        <f t="shared" si="28"/>
        <v>46.5</v>
      </c>
      <c r="BT45" s="241">
        <f t="shared" si="28"/>
        <v>47.133333333333333</v>
      </c>
      <c r="BU45" s="241">
        <f t="shared" si="28"/>
        <v>44.45000000000001</v>
      </c>
      <c r="BV45" s="241">
        <f t="shared" si="28"/>
        <v>45.20000000000001</v>
      </c>
      <c r="BW45" s="241">
        <f t="shared" si="28"/>
        <v>45.533333333333339</v>
      </c>
      <c r="BX45" s="241">
        <f t="shared" ref="BX45:BY45" si="29">AVERAGEIF(BX37:BX42,"&gt;0")</f>
        <v>47.466666666666669</v>
      </c>
      <c r="BY45" s="241">
        <f t="shared" si="29"/>
        <v>48.166666666666664</v>
      </c>
      <c r="BZ45" s="241">
        <f t="shared" ref="BZ45:CD45" si="30">AVERAGEIF(BZ37:BZ42,"&gt;0")</f>
        <v>47.083333333333336</v>
      </c>
      <c r="CA45" s="241">
        <f t="shared" si="30"/>
        <v>47.233333333333341</v>
      </c>
      <c r="CB45" s="241">
        <f t="shared" si="30"/>
        <v>50.233333333333341</v>
      </c>
      <c r="CC45" s="241">
        <f t="shared" si="30"/>
        <v>54.20000000000001</v>
      </c>
      <c r="CD45" s="241">
        <f t="shared" si="30"/>
        <v>55.466666666666669</v>
      </c>
      <c r="CE45" s="241">
        <f t="shared" ref="CE45:CK45" si="31">AVERAGEIF(CE37:CE43,"&gt;0")</f>
        <v>54.85</v>
      </c>
      <c r="CF45" s="241">
        <f t="shared" si="31"/>
        <v>52.524285714285718</v>
      </c>
      <c r="CG45" s="241">
        <f t="shared" si="31"/>
        <v>52.095714285714287</v>
      </c>
      <c r="CH45" s="241">
        <f t="shared" si="31"/>
        <v>51.157142857142858</v>
      </c>
      <c r="CI45" s="241">
        <f t="shared" si="31"/>
        <v>53.32</v>
      </c>
      <c r="CJ45" s="241">
        <f t="shared" si="31"/>
        <v>53.33428571428572</v>
      </c>
      <c r="CK45" s="241">
        <f t="shared" si="31"/>
        <v>54.177142857142861</v>
      </c>
      <c r="CL45" s="241">
        <f t="shared" ref="CL45:CM45" si="32">AVERAGEIF(CL37:CL43,"&gt;0")</f>
        <v>59.331428571428567</v>
      </c>
      <c r="CM45" s="241">
        <f t="shared" si="32"/>
        <v>59.527142857142856</v>
      </c>
      <c r="CN45" s="241">
        <f t="shared" ref="CN45:CO45" si="33">AVERAGEIF(CN37:CN43,"&gt;0")</f>
        <v>61.142857142857146</v>
      </c>
      <c r="CO45" s="241">
        <f t="shared" si="33"/>
        <v>61.842857142857142</v>
      </c>
      <c r="CP45" s="241">
        <f t="shared" ref="CP45:CQ45" si="34">AVERAGEIF(CP37:CP43,"&gt;0")</f>
        <v>61.571428571428569</v>
      </c>
      <c r="CQ45" s="241">
        <f t="shared" si="34"/>
        <v>61.4</v>
      </c>
      <c r="CR45" s="241">
        <f t="shared" ref="CR45:CS45" si="35">AVERAGEIF(CR37:CR43,"&gt;0")</f>
        <v>62.183333333333337</v>
      </c>
      <c r="CS45" s="241">
        <f t="shared" si="35"/>
        <v>59.633333333333333</v>
      </c>
      <c r="CT45" s="241">
        <f t="shared" ref="CT45" si="36">AVERAGEIF(CT37:CT43,"&gt;0")</f>
        <v>59.683333333333337</v>
      </c>
      <c r="CU45" s="241">
        <f>AVERAGEIF(CU37:CU44,"&gt;0")</f>
        <v>58.928571428571431</v>
      </c>
      <c r="CX45" s="559" t="s">
        <v>213</v>
      </c>
      <c r="CY45" s="559" t="s">
        <v>214</v>
      </c>
    </row>
    <row r="46" spans="1:103" x14ac:dyDescent="0.3">
      <c r="CX46" s="233">
        <v>40</v>
      </c>
      <c r="CY46" s="677">
        <f>(CU45-CX46)/CX46</f>
        <v>0.47321428571428575</v>
      </c>
    </row>
    <row r="47" spans="1:103" x14ac:dyDescent="0.3">
      <c r="CY47" s="454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4" orientation="landscape" r:id="rId1"/>
  <headerFooter>
    <oddHeader xml:space="preserve">&amp;R2024-06-28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MO84"/>
  <sheetViews>
    <sheetView showGridLines="0" zoomScale="85" zoomScaleNormal="85" zoomScaleSheetLayoutView="90" workbookViewId="0">
      <pane xSplit="10" topLeftCell="EB1" activePane="topRight" state="frozen"/>
      <selection activeCell="C6" sqref="C6"/>
      <selection pane="topRight" activeCell="EP66" sqref="EP66"/>
    </sheetView>
  </sheetViews>
  <sheetFormatPr defaultRowHeight="16.5" x14ac:dyDescent="0.3"/>
  <cols>
    <col min="1" max="1" width="11.125" customWidth="1"/>
    <col min="2" max="2" width="30.5" customWidth="1"/>
    <col min="3" max="3" width="7.875" customWidth="1"/>
    <col min="4" max="4" width="7.5" customWidth="1"/>
    <col min="5" max="5" width="12.5" hidden="1" customWidth="1"/>
    <col min="6" max="7" width="8.75" hidden="1" customWidth="1"/>
    <col min="8" max="8" width="10.25" hidden="1" customWidth="1"/>
    <col min="9" max="9" width="8.625" hidden="1" customWidth="1"/>
    <col min="10" max="10" width="9.25" hidden="1" customWidth="1"/>
    <col min="11" max="18" width="7.625" hidden="1" customWidth="1"/>
    <col min="19" max="56" width="7.625" style="7" hidden="1" customWidth="1"/>
    <col min="57" max="57" width="8.5" style="7" hidden="1" customWidth="1"/>
    <col min="58" max="62" width="12.625" style="7" hidden="1" customWidth="1"/>
    <col min="63" max="80" width="8.625" style="7" hidden="1" customWidth="1"/>
    <col min="81" max="119" width="8.625" style="9" hidden="1" customWidth="1"/>
    <col min="120" max="146" width="8.625" style="9" customWidth="1"/>
    <col min="147" max="193" width="7.625" hidden="1" customWidth="1"/>
    <col min="194" max="198" width="12.625" hidden="1" customWidth="1"/>
    <col min="199" max="255" width="8.625" hidden="1" customWidth="1"/>
    <col min="256" max="282" width="8.625" customWidth="1"/>
    <col min="283" max="329" width="7.625" hidden="1" customWidth="1"/>
    <col min="330" max="334" width="12.625" hidden="1" customWidth="1"/>
    <col min="335" max="391" width="8.625" hidden="1" customWidth="1"/>
    <col min="392" max="418" width="8.625" customWidth="1"/>
    <col min="419" max="465" width="7.625" hidden="1" customWidth="1"/>
    <col min="466" max="470" width="12.625" hidden="1" customWidth="1"/>
    <col min="471" max="527" width="8.625" hidden="1" customWidth="1"/>
    <col min="528" max="554" width="8.625" customWidth="1"/>
    <col min="555" max="569" width="7.625" hidden="1" customWidth="1"/>
    <col min="570" max="571" width="12.625" hidden="1" customWidth="1"/>
    <col min="572" max="579" width="10.25" hidden="1" customWidth="1"/>
    <col min="580" max="583" width="7.625" hidden="1" customWidth="1"/>
    <col min="584" max="588" width="12.625" hidden="1" customWidth="1"/>
    <col min="589" max="593" width="8.625" hidden="1" customWidth="1"/>
    <col min="594" max="595" width="10.125" hidden="1" customWidth="1"/>
    <col min="596" max="596" width="8.75" hidden="1" customWidth="1"/>
    <col min="597" max="640" width="7.625" hidden="1" customWidth="1"/>
    <col min="641" max="645" width="12.625" hidden="1" customWidth="1"/>
    <col min="646" max="702" width="8.625" hidden="1" customWidth="1"/>
    <col min="703" max="729" width="8.625" customWidth="1"/>
    <col min="730" max="773" width="7.625" hidden="1" customWidth="1"/>
    <col min="774" max="778" width="12.625" hidden="1" customWidth="1"/>
    <col min="779" max="823" width="8.625" hidden="1" customWidth="1"/>
    <col min="824" max="848" width="8.625" customWidth="1"/>
    <col min="849" max="860" width="8.625" hidden="1" customWidth="1"/>
    <col min="861" max="887" width="8.625" customWidth="1"/>
    <col min="888" max="889" width="7.625" hidden="1" customWidth="1"/>
    <col min="890" max="914" width="9" hidden="1" customWidth="1"/>
    <col min="915" max="932" width="7.75" hidden="1" customWidth="1"/>
    <col min="933" max="937" width="12.625" hidden="1" customWidth="1"/>
    <col min="938" max="955" width="8.625" hidden="1" customWidth="1"/>
    <col min="956" max="956" width="7.75" hidden="1" customWidth="1"/>
    <col min="957" max="961" width="12.625" hidden="1" customWidth="1"/>
    <col min="962" max="970" width="8.625" hidden="1" customWidth="1"/>
    <col min="971" max="971" width="9.25" hidden="1" customWidth="1"/>
    <col min="972" max="977" width="9" hidden="1" customWidth="1"/>
    <col min="978" max="985" width="9.5" style="195" hidden="1" customWidth="1"/>
    <col min="986" max="987" width="10.5" style="195" hidden="1" customWidth="1"/>
    <col min="988" max="989" width="9.5" style="195" hidden="1" customWidth="1"/>
    <col min="990" max="991" width="9" style="195" hidden="1" customWidth="1"/>
    <col min="992" max="996" width="9" hidden="1" customWidth="1"/>
    <col min="997" max="997" width="37.375" hidden="1" customWidth="1"/>
    <col min="998" max="999" width="9" hidden="1" customWidth="1"/>
    <col min="1000" max="1000" width="13" hidden="1" customWidth="1"/>
    <col min="1001" max="1006" width="10.125" hidden="1" customWidth="1"/>
    <col min="1007" max="1008" width="9" hidden="1" customWidth="1"/>
    <col min="1009" max="1027" width="8.625" customWidth="1"/>
    <col min="1028" max="1028" width="3.875" customWidth="1"/>
  </cols>
  <sheetData>
    <row r="1" spans="1:1029" ht="17.25" thickBot="1" x14ac:dyDescent="0.35"/>
    <row r="2" spans="1:1029" x14ac:dyDescent="0.3">
      <c r="ALH2" s="651" t="s">
        <v>159</v>
      </c>
      <c r="ALI2" s="653" t="s">
        <v>160</v>
      </c>
      <c r="ALJ2" s="655" t="s">
        <v>161</v>
      </c>
      <c r="ALK2" s="638" t="s">
        <v>46</v>
      </c>
      <c r="ALL2" s="412" t="s">
        <v>166</v>
      </c>
      <c r="ALM2" s="395" t="s">
        <v>162</v>
      </c>
      <c r="ALN2" s="395" t="s">
        <v>10</v>
      </c>
      <c r="ALO2" s="395" t="s">
        <v>163</v>
      </c>
      <c r="ALP2" s="395" t="s">
        <v>6</v>
      </c>
      <c r="ALQ2" s="395" t="s">
        <v>164</v>
      </c>
      <c r="ALR2" s="413" t="s">
        <v>165</v>
      </c>
      <c r="ALS2" s="396" t="s">
        <v>168</v>
      </c>
    </row>
    <row r="3" spans="1:1029" ht="17.25" thickBot="1" x14ac:dyDescent="0.35">
      <c r="ALH3" s="652"/>
      <c r="ALI3" s="654"/>
      <c r="ALJ3" s="656"/>
      <c r="ALK3" s="639"/>
      <c r="ALL3" s="414" t="s">
        <v>167</v>
      </c>
      <c r="ALM3" s="415">
        <v>45203</v>
      </c>
      <c r="ALN3" s="415">
        <v>45203</v>
      </c>
      <c r="ALO3" s="415">
        <v>45203</v>
      </c>
      <c r="ALP3" s="415">
        <v>45203</v>
      </c>
      <c r="ALQ3" s="415">
        <v>45203</v>
      </c>
      <c r="ALR3" s="416">
        <v>45203</v>
      </c>
      <c r="ALS3" s="397"/>
    </row>
    <row r="4" spans="1:1029" x14ac:dyDescent="0.3">
      <c r="ALH4" s="398" t="s">
        <v>11</v>
      </c>
      <c r="ALI4" s="104" t="s">
        <v>172</v>
      </c>
      <c r="ALJ4" s="103" t="s">
        <v>2</v>
      </c>
      <c r="ALK4" s="399">
        <v>650</v>
      </c>
      <c r="ALL4" s="400" t="s">
        <v>171</v>
      </c>
      <c r="ALM4" s="401">
        <v>70.5</v>
      </c>
      <c r="ALN4" s="401">
        <v>74</v>
      </c>
      <c r="ALO4" s="401">
        <v>70.5</v>
      </c>
      <c r="ALP4" s="401">
        <v>76.3</v>
      </c>
      <c r="ALQ4" s="401">
        <v>76.3</v>
      </c>
      <c r="ALR4" s="402">
        <v>67</v>
      </c>
      <c r="ALS4" s="403">
        <f>AVERAGE(ALM4:ALR4)</f>
        <v>72.433333333333337</v>
      </c>
    </row>
    <row r="5" spans="1:1029" ht="17.25" thickBot="1" x14ac:dyDescent="0.35">
      <c r="ALH5" s="404" t="s">
        <v>11</v>
      </c>
      <c r="ALI5" s="405" t="s">
        <v>169</v>
      </c>
      <c r="ALJ5" s="110" t="s">
        <v>2</v>
      </c>
      <c r="ALK5" s="406">
        <v>600</v>
      </c>
      <c r="ALL5" s="407" t="s">
        <v>171</v>
      </c>
      <c r="ALM5" s="408">
        <v>32.9</v>
      </c>
      <c r="ALN5" s="409">
        <v>33.5</v>
      </c>
      <c r="ALO5" s="409">
        <v>34</v>
      </c>
      <c r="ALP5" s="409">
        <v>35.200000000000003</v>
      </c>
      <c r="ALQ5" s="409">
        <v>33.799999999999997</v>
      </c>
      <c r="ALR5" s="410">
        <v>33.5</v>
      </c>
      <c r="ALS5" s="411">
        <f>AVERAGE(ALM5:ALR5)</f>
        <v>33.81666666666667</v>
      </c>
    </row>
    <row r="6" spans="1:1029" ht="33.75" customHeight="1" thickBot="1" x14ac:dyDescent="0.35">
      <c r="A6" s="1" t="s">
        <v>37</v>
      </c>
      <c r="D6" s="394"/>
      <c r="E6" s="1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58" t="s">
        <v>63</v>
      </c>
      <c r="AL6" s="158" t="s">
        <v>63</v>
      </c>
      <c r="AM6" s="158" t="s">
        <v>63</v>
      </c>
      <c r="AN6" s="158" t="s">
        <v>63</v>
      </c>
      <c r="AO6" s="158" t="s">
        <v>63</v>
      </c>
      <c r="AP6" s="158" t="s">
        <v>63</v>
      </c>
      <c r="AQ6" s="158" t="s">
        <v>63</v>
      </c>
      <c r="AR6" s="158" t="s">
        <v>63</v>
      </c>
      <c r="AS6" s="158" t="s">
        <v>63</v>
      </c>
      <c r="AT6" s="158" t="s">
        <v>63</v>
      </c>
      <c r="AU6" s="158" t="s">
        <v>63</v>
      </c>
      <c r="AV6" s="158" t="s">
        <v>63</v>
      </c>
      <c r="AW6" s="158" t="s">
        <v>63</v>
      </c>
      <c r="AX6" s="158" t="s">
        <v>63</v>
      </c>
      <c r="AY6" s="158" t="s">
        <v>63</v>
      </c>
      <c r="AZ6" s="158" t="s">
        <v>63</v>
      </c>
      <c r="BA6" s="158" t="s">
        <v>63</v>
      </c>
      <c r="BB6" s="158" t="s">
        <v>63</v>
      </c>
      <c r="BC6" s="158" t="s">
        <v>63</v>
      </c>
      <c r="BD6" s="158" t="s">
        <v>63</v>
      </c>
      <c r="BE6" s="158" t="s">
        <v>63</v>
      </c>
      <c r="BF6" s="158" t="s">
        <v>63</v>
      </c>
      <c r="BG6" s="158" t="s">
        <v>63</v>
      </c>
      <c r="BH6" s="158" t="s">
        <v>63</v>
      </c>
      <c r="BI6" s="158" t="s">
        <v>63</v>
      </c>
      <c r="BJ6" s="158" t="s">
        <v>63</v>
      </c>
      <c r="BK6" s="158" t="s">
        <v>63</v>
      </c>
      <c r="BL6" s="158" t="s">
        <v>63</v>
      </c>
      <c r="BM6" s="158" t="s">
        <v>63</v>
      </c>
      <c r="BN6" s="158" t="s">
        <v>63</v>
      </c>
      <c r="BO6" s="158" t="s">
        <v>63</v>
      </c>
      <c r="BP6" s="158" t="s">
        <v>63</v>
      </c>
      <c r="BQ6" s="158" t="s">
        <v>63</v>
      </c>
      <c r="BR6" s="158" t="s">
        <v>63</v>
      </c>
      <c r="BS6" s="158" t="s">
        <v>63</v>
      </c>
      <c r="BT6" s="158" t="s">
        <v>63</v>
      </c>
      <c r="BU6" s="158" t="s">
        <v>63</v>
      </c>
      <c r="BV6" s="158" t="s">
        <v>63</v>
      </c>
      <c r="BW6" s="158" t="s">
        <v>63</v>
      </c>
      <c r="BX6" s="158" t="s">
        <v>63</v>
      </c>
      <c r="BY6" s="158" t="s">
        <v>63</v>
      </c>
      <c r="BZ6" s="158" t="s">
        <v>63</v>
      </c>
      <c r="CA6" s="158" t="s">
        <v>63</v>
      </c>
      <c r="CB6" s="158"/>
      <c r="CC6" s="158"/>
      <c r="CD6" s="158"/>
      <c r="CE6" s="158"/>
      <c r="CF6" s="158"/>
      <c r="CG6" s="158"/>
      <c r="CH6" s="158"/>
      <c r="CI6" s="158"/>
      <c r="CJ6" s="158"/>
      <c r="CK6" s="158"/>
      <c r="CL6" s="158"/>
      <c r="CM6" s="158"/>
      <c r="CN6" s="158"/>
      <c r="CO6" s="158"/>
      <c r="CP6" s="158"/>
      <c r="CQ6" s="158"/>
      <c r="CR6" s="158"/>
      <c r="CS6" s="158"/>
      <c r="CT6" s="158"/>
      <c r="CU6" s="158"/>
      <c r="CV6" s="158"/>
      <c r="CW6" s="158"/>
      <c r="CX6" s="158"/>
      <c r="CY6" s="158"/>
      <c r="CZ6" s="158"/>
      <c r="DA6" s="158"/>
      <c r="DB6" s="158"/>
      <c r="DC6" s="158"/>
      <c r="DD6" s="158"/>
      <c r="DE6" s="158"/>
      <c r="DF6" s="158"/>
      <c r="DG6" s="158"/>
      <c r="DH6" s="158"/>
      <c r="DI6" s="158"/>
      <c r="DJ6" s="158"/>
      <c r="DK6" s="158"/>
      <c r="DL6" s="158"/>
      <c r="DM6" s="158"/>
      <c r="DN6" s="158"/>
      <c r="DO6" s="158"/>
      <c r="DP6" s="158"/>
      <c r="DQ6" s="158"/>
      <c r="DR6" s="158"/>
      <c r="DS6" s="158"/>
      <c r="DT6" s="158"/>
      <c r="DU6" s="158"/>
      <c r="DV6" s="158"/>
      <c r="DW6" s="158"/>
      <c r="DX6" s="158"/>
      <c r="DY6" s="158"/>
      <c r="DZ6" s="158"/>
      <c r="EA6" s="158"/>
      <c r="EB6" s="158"/>
      <c r="EC6" s="158"/>
      <c r="ED6" s="158"/>
      <c r="EE6" s="158"/>
      <c r="EF6" s="158"/>
      <c r="EG6" s="158"/>
      <c r="EH6" s="158"/>
      <c r="EI6" s="158"/>
      <c r="EJ6" s="158"/>
      <c r="EK6" s="158"/>
      <c r="EL6" s="158"/>
      <c r="EM6" s="158"/>
      <c r="EN6" s="158"/>
      <c r="EO6" s="158"/>
      <c r="EP6" s="158"/>
      <c r="FQ6" s="158"/>
      <c r="FR6" s="158"/>
      <c r="FS6" s="158"/>
      <c r="FT6" s="158"/>
      <c r="FU6" s="158"/>
      <c r="FV6" s="158"/>
      <c r="FW6" s="158"/>
      <c r="FX6" s="158"/>
      <c r="FY6" s="158"/>
      <c r="FZ6" s="158"/>
      <c r="GA6" s="158"/>
      <c r="GB6" s="158"/>
      <c r="GC6" s="158"/>
      <c r="GD6" s="158"/>
      <c r="GE6" s="158"/>
      <c r="GF6" s="158"/>
      <c r="GG6" s="158"/>
      <c r="GH6" s="158"/>
      <c r="GI6" s="158"/>
      <c r="GJ6" s="158"/>
      <c r="GK6" s="158"/>
      <c r="GL6" s="158"/>
      <c r="GM6" s="158"/>
      <c r="GN6" s="158"/>
      <c r="GO6" s="158"/>
      <c r="GP6" s="158"/>
      <c r="GQ6" s="158"/>
      <c r="GR6" s="158"/>
      <c r="GS6" s="158"/>
      <c r="GT6" s="158"/>
      <c r="GU6" s="158"/>
      <c r="GV6" s="158"/>
      <c r="GW6" s="158"/>
      <c r="GX6" s="158"/>
      <c r="GY6" s="158"/>
      <c r="GZ6" s="158"/>
      <c r="HA6" s="158"/>
      <c r="HB6" s="158"/>
      <c r="HC6" s="158"/>
      <c r="HD6" s="158"/>
      <c r="HE6" s="158"/>
      <c r="HF6" s="158"/>
      <c r="HG6" s="158"/>
      <c r="HH6" s="158"/>
      <c r="HI6" s="158"/>
      <c r="HJ6" s="158"/>
      <c r="HK6" s="158"/>
      <c r="HL6" s="158"/>
      <c r="HM6" s="158"/>
      <c r="HN6" s="158"/>
      <c r="HO6" s="158"/>
      <c r="HP6" s="158"/>
      <c r="HQ6" s="158"/>
      <c r="HR6" s="158"/>
      <c r="HS6" s="158"/>
      <c r="HT6" s="158"/>
      <c r="HU6" s="158"/>
      <c r="HV6" s="158"/>
      <c r="HW6" s="158"/>
      <c r="HX6" s="158"/>
      <c r="HY6" s="158"/>
      <c r="HZ6" s="158"/>
      <c r="IA6" s="158"/>
      <c r="IB6" s="158"/>
      <c r="IC6" s="158"/>
      <c r="ID6" s="158"/>
      <c r="IE6" s="158"/>
      <c r="IF6" s="158"/>
      <c r="IG6" s="158"/>
      <c r="IH6" s="158"/>
      <c r="II6" s="158"/>
      <c r="IJ6" s="158"/>
      <c r="IK6" s="158"/>
      <c r="IL6" s="158"/>
      <c r="IM6" s="158"/>
      <c r="IN6" s="158"/>
      <c r="IO6" s="158"/>
      <c r="IP6" s="158"/>
      <c r="IQ6" s="158"/>
      <c r="IR6" s="158"/>
      <c r="IS6" s="158"/>
      <c r="IT6" s="158"/>
      <c r="IU6" s="158"/>
      <c r="IV6" s="158"/>
      <c r="IW6" s="158"/>
      <c r="IX6" s="158"/>
      <c r="IY6" s="158"/>
      <c r="IZ6" s="158"/>
      <c r="JA6" s="158"/>
      <c r="JB6" s="158"/>
      <c r="JC6" s="158"/>
      <c r="JD6" s="158"/>
      <c r="JE6" s="158"/>
      <c r="JF6" s="158"/>
      <c r="JG6" s="158"/>
      <c r="JH6" s="158"/>
      <c r="JI6" s="158"/>
      <c r="JJ6" s="158"/>
      <c r="JK6" s="158"/>
      <c r="JL6" s="158"/>
      <c r="JM6" s="158"/>
      <c r="JN6" s="158"/>
      <c r="JO6" s="158"/>
      <c r="JP6" s="158"/>
      <c r="JQ6" s="158"/>
      <c r="JR6" s="158"/>
      <c r="JS6" s="158"/>
      <c r="JT6" s="158"/>
      <c r="JU6" s="158"/>
      <c r="JV6" s="158"/>
      <c r="KW6" s="158"/>
      <c r="KX6" s="158"/>
      <c r="KY6" s="158"/>
      <c r="KZ6" s="158"/>
      <c r="LA6" s="158"/>
      <c r="LB6" s="158"/>
      <c r="LC6" s="158"/>
      <c r="LD6" s="158"/>
      <c r="LE6" s="158"/>
      <c r="LF6" s="158"/>
      <c r="LG6" s="158"/>
      <c r="LH6" s="158"/>
      <c r="LI6" s="158"/>
      <c r="LJ6" s="158"/>
      <c r="LK6" s="158"/>
      <c r="LL6" s="158"/>
      <c r="LM6" s="158"/>
      <c r="LN6" s="158"/>
      <c r="LO6" s="158"/>
      <c r="LP6" s="158"/>
      <c r="LQ6" s="158"/>
      <c r="LR6" s="158"/>
      <c r="LS6" s="158"/>
      <c r="LT6" s="158"/>
      <c r="LU6" s="158"/>
      <c r="LV6" s="158"/>
      <c r="LW6" s="158"/>
      <c r="LX6" s="158"/>
      <c r="LY6" s="158"/>
      <c r="LZ6" s="158"/>
      <c r="MA6" s="158"/>
      <c r="MB6" s="158"/>
      <c r="MC6" s="158"/>
      <c r="MD6" s="158"/>
      <c r="ME6" s="158"/>
      <c r="MF6" s="158"/>
      <c r="MG6" s="158"/>
      <c r="MH6" s="158"/>
      <c r="MI6" s="158"/>
      <c r="MJ6" s="158"/>
      <c r="MK6" s="158"/>
      <c r="ML6" s="158"/>
      <c r="MM6" s="158"/>
      <c r="MN6" s="158"/>
      <c r="MO6" s="158"/>
      <c r="MP6" s="158"/>
      <c r="MQ6" s="158"/>
      <c r="MR6" s="158"/>
      <c r="MS6" s="158"/>
      <c r="MT6" s="158"/>
      <c r="MU6" s="158"/>
      <c r="MV6" s="158"/>
      <c r="MW6" s="158"/>
      <c r="MX6" s="158"/>
      <c r="MY6" s="158"/>
      <c r="MZ6" s="158"/>
      <c r="NA6" s="158"/>
      <c r="NB6" s="158"/>
      <c r="NC6" s="158"/>
      <c r="ND6" s="158"/>
      <c r="NE6" s="158"/>
      <c r="NF6" s="158"/>
      <c r="NG6" s="158"/>
      <c r="NH6" s="158"/>
      <c r="NI6" s="158" t="s">
        <v>192</v>
      </c>
      <c r="NJ6" s="158" t="s">
        <v>192</v>
      </c>
      <c r="NK6" s="158" t="s">
        <v>192</v>
      </c>
      <c r="NL6" s="158"/>
      <c r="NM6" s="158"/>
      <c r="NN6" s="158"/>
      <c r="NO6" s="158"/>
      <c r="NP6" s="158"/>
      <c r="NQ6" s="158"/>
      <c r="NR6" s="158"/>
      <c r="NS6" s="158"/>
      <c r="NT6" s="158"/>
      <c r="NU6" s="158"/>
      <c r="NV6" s="158"/>
      <c r="NW6" s="158"/>
      <c r="NX6" s="158"/>
      <c r="NY6" s="158"/>
      <c r="NZ6" s="158"/>
      <c r="OA6" s="158"/>
      <c r="OB6" s="158"/>
      <c r="OC6" s="158"/>
      <c r="OD6" s="158"/>
      <c r="OE6" s="158"/>
      <c r="OF6" s="158"/>
      <c r="OG6" s="158"/>
      <c r="OH6" s="158"/>
      <c r="OI6" s="158"/>
      <c r="OJ6" s="158"/>
      <c r="OK6" s="158"/>
      <c r="OL6" s="158"/>
      <c r="OM6" s="158"/>
      <c r="ON6" s="158"/>
      <c r="OO6" s="158"/>
      <c r="OP6" s="158"/>
      <c r="OQ6" s="158"/>
      <c r="OR6" s="158"/>
      <c r="OS6" s="158"/>
      <c r="OT6" s="158"/>
      <c r="OU6" s="158"/>
      <c r="OV6" s="158"/>
      <c r="OW6" s="158"/>
      <c r="OX6" s="158"/>
      <c r="OY6" s="158"/>
      <c r="OZ6" s="158"/>
      <c r="PA6" s="158"/>
      <c r="PB6" s="158"/>
      <c r="QC6" s="158"/>
      <c r="QD6" s="158"/>
      <c r="QE6" s="158"/>
      <c r="QF6" s="158"/>
      <c r="QG6" s="158"/>
      <c r="QH6" s="158"/>
      <c r="QI6" s="158"/>
      <c r="QJ6" s="158"/>
      <c r="QK6" s="158"/>
      <c r="QL6" s="158"/>
      <c r="QM6" s="158"/>
      <c r="QN6" s="158"/>
      <c r="QO6" s="158"/>
      <c r="QP6" s="158"/>
      <c r="QQ6" s="158"/>
      <c r="QR6" s="158"/>
      <c r="QS6" s="158"/>
      <c r="QT6" s="158"/>
      <c r="QU6" s="158"/>
      <c r="QV6" s="158"/>
      <c r="QW6" s="158"/>
      <c r="QX6" s="158"/>
      <c r="QY6" s="158"/>
      <c r="QZ6" s="158"/>
      <c r="RA6" s="158"/>
      <c r="RB6" s="158"/>
      <c r="RC6" s="158"/>
      <c r="RD6" s="158"/>
      <c r="RE6" s="158"/>
      <c r="RF6" s="158"/>
      <c r="RG6" s="158"/>
      <c r="RH6" s="158"/>
      <c r="RI6" s="158"/>
      <c r="RJ6" s="158"/>
      <c r="RK6" s="158"/>
      <c r="RL6" s="158"/>
      <c r="RM6" s="158"/>
      <c r="RN6" s="158"/>
      <c r="RO6" s="158"/>
      <c r="RP6" s="158"/>
      <c r="RQ6" s="158"/>
      <c r="RR6" s="158"/>
      <c r="RS6" s="158"/>
      <c r="RT6" s="158"/>
      <c r="RU6" s="158"/>
      <c r="RV6" s="158"/>
      <c r="RW6" s="158"/>
      <c r="RX6" s="158"/>
      <c r="RY6" s="158"/>
      <c r="RZ6" s="158"/>
      <c r="SA6" s="158"/>
      <c r="SB6" s="158"/>
      <c r="SC6" s="158"/>
      <c r="SD6" s="158"/>
      <c r="SE6" s="158"/>
      <c r="SF6" s="158"/>
      <c r="SG6" s="158"/>
      <c r="SH6" s="158"/>
      <c r="SI6" s="158"/>
      <c r="SJ6" s="158"/>
      <c r="SK6" s="158"/>
      <c r="SL6" s="158"/>
      <c r="SM6" s="158"/>
      <c r="SN6" s="158"/>
      <c r="SO6" s="158"/>
      <c r="SP6" s="158"/>
      <c r="SQ6" s="158"/>
      <c r="SR6" s="158"/>
      <c r="SS6" s="158"/>
      <c r="ST6" s="158"/>
      <c r="SU6" s="158"/>
      <c r="SV6" s="158"/>
      <c r="SW6" s="158"/>
      <c r="SX6" s="158"/>
      <c r="SY6" s="158"/>
      <c r="SZ6" s="158"/>
      <c r="TA6" s="158"/>
      <c r="TB6" s="158"/>
      <c r="TC6" s="158"/>
      <c r="TD6" s="158"/>
      <c r="TE6" s="158"/>
      <c r="TF6" s="158"/>
      <c r="TG6" s="158"/>
      <c r="TH6" s="158"/>
      <c r="TI6" s="158"/>
      <c r="TJ6" s="158"/>
      <c r="TK6" s="158"/>
      <c r="TL6" s="158"/>
      <c r="TM6" s="158"/>
      <c r="TN6" s="158"/>
      <c r="TO6" s="158"/>
      <c r="TP6" s="158"/>
      <c r="TQ6" s="158"/>
      <c r="TR6" s="158"/>
      <c r="TS6" s="158"/>
      <c r="TT6" s="158"/>
      <c r="TU6" s="158"/>
      <c r="TV6" s="158"/>
      <c r="TW6" s="158"/>
      <c r="TX6" s="158"/>
      <c r="TY6" s="158"/>
      <c r="TZ6" s="158"/>
      <c r="UA6" s="158"/>
      <c r="UB6" s="158"/>
      <c r="UC6" s="158"/>
      <c r="UD6" s="158"/>
      <c r="UE6" s="158"/>
      <c r="UF6" s="158"/>
      <c r="UG6" s="158"/>
      <c r="UH6" s="158"/>
      <c r="WV6" s="158"/>
      <c r="WW6" s="158"/>
      <c r="WX6" s="158"/>
      <c r="WY6" s="158"/>
      <c r="WZ6" s="158"/>
      <c r="XA6" s="158"/>
      <c r="XB6" s="158"/>
      <c r="XC6" s="158"/>
      <c r="XD6" s="158"/>
      <c r="XE6" s="158"/>
      <c r="XF6" s="158"/>
      <c r="XG6" s="158"/>
      <c r="XH6" s="158"/>
      <c r="XI6" s="158"/>
      <c r="XJ6" s="158"/>
      <c r="XK6" s="158"/>
      <c r="XL6" s="158"/>
      <c r="XM6" s="158"/>
      <c r="XN6" s="158"/>
      <c r="XO6" s="158"/>
      <c r="XP6" s="158"/>
      <c r="XQ6" s="158"/>
      <c r="XR6" s="158"/>
      <c r="XS6" s="158"/>
      <c r="XT6" s="158"/>
      <c r="XU6" s="158"/>
      <c r="XV6" s="158"/>
      <c r="XW6" s="158"/>
      <c r="XX6" s="158"/>
      <c r="XY6" s="158"/>
      <c r="XZ6" s="158"/>
      <c r="YA6" s="158"/>
      <c r="YB6" s="158"/>
      <c r="YC6" s="158"/>
      <c r="YD6" s="158"/>
      <c r="YE6" s="158"/>
      <c r="YF6" s="158"/>
      <c r="YG6" s="158"/>
      <c r="YH6" s="158"/>
      <c r="YI6" s="158"/>
      <c r="YJ6" s="158"/>
      <c r="YK6" s="158"/>
      <c r="YL6" s="158"/>
      <c r="YM6" s="158"/>
      <c r="YN6" s="158"/>
      <c r="YO6" s="158"/>
      <c r="YP6" s="158"/>
      <c r="YQ6" s="158"/>
      <c r="YR6" s="158"/>
      <c r="YS6" s="158"/>
      <c r="YT6" s="158"/>
      <c r="YU6" s="158"/>
      <c r="YV6" s="158"/>
      <c r="YW6" s="158"/>
      <c r="YX6" s="158"/>
      <c r="YY6" s="158"/>
      <c r="YZ6" s="158"/>
      <c r="ZA6" s="158"/>
      <c r="ZB6" s="158"/>
      <c r="ZC6" s="158"/>
      <c r="ZD6" s="158"/>
      <c r="ZE6" s="158"/>
      <c r="ZF6" s="158"/>
      <c r="ZG6" s="158"/>
      <c r="ZH6" s="158" t="s">
        <v>192</v>
      </c>
      <c r="ZI6" s="158" t="s">
        <v>192</v>
      </c>
      <c r="ZJ6" s="158" t="s">
        <v>192</v>
      </c>
      <c r="ZK6" s="158"/>
      <c r="ZL6" s="158"/>
      <c r="ZM6" s="158"/>
      <c r="ZN6" s="158"/>
      <c r="ZO6" s="158"/>
      <c r="ZP6" s="158"/>
      <c r="ZQ6" s="158"/>
      <c r="ZR6" s="158"/>
      <c r="ZS6" s="158"/>
      <c r="ZT6" s="158"/>
      <c r="ZU6" s="158"/>
      <c r="ZV6" s="158"/>
      <c r="ZW6" s="158"/>
      <c r="ZX6" s="158"/>
      <c r="ZY6" s="158"/>
      <c r="ZZ6" s="158"/>
      <c r="AAA6" s="158"/>
      <c r="AAB6" s="158"/>
      <c r="AAC6" s="158"/>
      <c r="AAD6" s="158"/>
      <c r="AAE6" s="158"/>
      <c r="AAF6" s="158"/>
      <c r="AAG6" s="158"/>
      <c r="AAH6" s="158"/>
      <c r="AAI6" s="158"/>
      <c r="AAJ6" s="158"/>
      <c r="AAK6" s="158"/>
      <c r="AAL6" s="158"/>
      <c r="AAM6" s="158"/>
      <c r="AAN6" s="158"/>
      <c r="AAO6" s="158"/>
      <c r="AAP6" s="158"/>
      <c r="AAQ6" s="158"/>
      <c r="AAR6" s="158"/>
      <c r="AAS6" s="158"/>
      <c r="AAT6" s="158"/>
      <c r="AAU6" s="158"/>
      <c r="AAV6" s="158"/>
      <c r="AAW6" s="158"/>
      <c r="AAX6" s="158"/>
      <c r="AAY6" s="158"/>
      <c r="AAZ6" s="158"/>
      <c r="ABA6" s="158"/>
      <c r="ABY6" s="158"/>
      <c r="ABZ6" s="158"/>
      <c r="ACA6" s="158"/>
      <c r="ACB6" s="158"/>
      <c r="ACC6" s="158"/>
      <c r="ACD6" s="158"/>
      <c r="ACE6" s="158"/>
      <c r="ACF6" s="158"/>
      <c r="ACG6" s="158"/>
      <c r="ACH6" s="158"/>
      <c r="ACI6" s="158"/>
      <c r="ACJ6" s="158"/>
      <c r="ACK6" s="158"/>
      <c r="ACL6" s="158"/>
      <c r="ACM6" s="158"/>
      <c r="ACN6" s="158"/>
      <c r="ACO6" s="158"/>
      <c r="ACP6" s="158"/>
      <c r="ACQ6" s="158"/>
      <c r="ACR6" s="158"/>
      <c r="ACS6" s="158"/>
      <c r="ACT6" s="158"/>
      <c r="ACU6" s="158"/>
      <c r="ACV6" s="158"/>
      <c r="ACW6" s="158"/>
      <c r="ACX6" s="158"/>
      <c r="ACY6" s="158"/>
      <c r="ACZ6" s="158"/>
      <c r="ADA6" s="158"/>
      <c r="ADB6" s="158"/>
      <c r="ADC6" s="158"/>
      <c r="ADD6" s="158"/>
      <c r="ADE6" s="158"/>
      <c r="ADF6" s="158"/>
      <c r="ADG6" s="158"/>
      <c r="ADH6" s="158"/>
      <c r="ADI6" s="158"/>
      <c r="ADJ6" s="158"/>
      <c r="ADK6" s="158"/>
      <c r="ADL6" s="158"/>
      <c r="ADM6" s="158"/>
      <c r="ADN6" s="158"/>
      <c r="ADO6" s="158"/>
      <c r="ADP6" s="158"/>
      <c r="ADQ6" s="158"/>
      <c r="ADR6" s="158"/>
      <c r="ADS6" s="158"/>
      <c r="ADT6" s="158"/>
      <c r="ADU6" s="158"/>
      <c r="ADV6" s="158"/>
      <c r="ADW6" s="158"/>
      <c r="ADX6" s="158"/>
      <c r="ADY6" s="158"/>
      <c r="ADZ6" s="158"/>
      <c r="AEA6" s="158"/>
      <c r="AEB6" s="158"/>
      <c r="AEC6" s="158"/>
      <c r="AED6" s="158"/>
      <c r="AEE6" s="158"/>
      <c r="AEF6" s="158"/>
      <c r="AEG6" s="158"/>
      <c r="AEH6" s="158"/>
      <c r="AEI6" s="158"/>
      <c r="AEJ6" s="158"/>
      <c r="AEK6" s="158"/>
      <c r="AEL6" s="158"/>
      <c r="AEM6" s="158"/>
      <c r="AEN6" s="158"/>
      <c r="AEO6" s="158"/>
      <c r="AEP6" s="158"/>
      <c r="AEQ6" s="158"/>
      <c r="AER6" s="158"/>
      <c r="AES6" s="158"/>
      <c r="AET6" s="158"/>
      <c r="AEU6" s="158"/>
      <c r="AEV6" s="158"/>
      <c r="AEW6" s="158"/>
      <c r="AEX6" s="158"/>
      <c r="AEY6" s="158"/>
      <c r="AEZ6" s="158"/>
      <c r="AFA6" s="158"/>
      <c r="AFB6" s="158"/>
      <c r="AFC6" s="158"/>
      <c r="AFD6" s="158"/>
      <c r="AFE6" s="158"/>
      <c r="AFF6" s="158"/>
      <c r="AFG6" s="158"/>
      <c r="AFH6" s="158"/>
      <c r="AFI6" s="158"/>
      <c r="AFJ6" s="158"/>
      <c r="AFK6" s="158"/>
      <c r="AFL6" s="158"/>
      <c r="AFM6" s="158"/>
      <c r="AFN6" s="158"/>
      <c r="AFO6" s="158"/>
      <c r="AFP6" s="158"/>
      <c r="AFQ6" s="158"/>
      <c r="AFR6" s="158"/>
      <c r="AFS6" s="158"/>
      <c r="AFT6" s="158"/>
      <c r="AFU6" s="158"/>
      <c r="AFV6" s="158"/>
      <c r="AFW6" s="158"/>
      <c r="AFX6" s="158"/>
      <c r="AFY6" s="158"/>
      <c r="AFZ6" s="158"/>
      <c r="AGA6" s="158"/>
      <c r="AGB6" s="158"/>
      <c r="AGC6" s="158"/>
      <c r="AGD6" s="158"/>
      <c r="AGE6" s="158"/>
      <c r="AGF6" s="158"/>
      <c r="AGG6" s="158"/>
      <c r="AGH6" s="158"/>
      <c r="AGI6" s="158"/>
      <c r="AGJ6" s="158"/>
      <c r="AGK6" s="158"/>
      <c r="AGL6" s="158"/>
      <c r="AGM6" s="158"/>
      <c r="AGN6" s="158"/>
      <c r="AGO6" s="158"/>
      <c r="AGP6" s="158"/>
      <c r="AGQ6" s="158"/>
      <c r="AGR6" s="158"/>
      <c r="AGS6" s="158"/>
      <c r="AGT6" s="158"/>
      <c r="AGU6" s="158"/>
      <c r="AGV6" s="158"/>
      <c r="AGW6" s="158"/>
      <c r="AGX6" s="158"/>
      <c r="AGY6" s="158"/>
      <c r="AGZ6" s="158"/>
      <c r="AHA6" s="158"/>
      <c r="AHB6" s="158"/>
      <c r="AHC6" s="158"/>
      <c r="AIC6" s="158" t="s">
        <v>63</v>
      </c>
      <c r="AID6" s="158" t="s">
        <v>63</v>
      </c>
      <c r="AIE6" s="158" t="s">
        <v>63</v>
      </c>
      <c r="AIF6" s="158" t="s">
        <v>63</v>
      </c>
      <c r="AIG6" s="158" t="s">
        <v>63</v>
      </c>
      <c r="AIH6" s="158" t="s">
        <v>63</v>
      </c>
      <c r="AII6" s="158" t="s">
        <v>63</v>
      </c>
      <c r="AIJ6" s="158" t="s">
        <v>63</v>
      </c>
      <c r="AIK6" s="158" t="s">
        <v>63</v>
      </c>
      <c r="AIL6" s="158" t="s">
        <v>63</v>
      </c>
      <c r="AIM6" s="158" t="s">
        <v>63</v>
      </c>
      <c r="AIN6" s="158" t="s">
        <v>63</v>
      </c>
      <c r="AIO6" s="158" t="s">
        <v>63</v>
      </c>
      <c r="AIP6" s="158" t="s">
        <v>63</v>
      </c>
      <c r="AIQ6" s="158" t="s">
        <v>63</v>
      </c>
      <c r="AIR6" s="158" t="s">
        <v>63</v>
      </c>
      <c r="AIS6" s="158" t="s">
        <v>63</v>
      </c>
      <c r="AIT6" s="158" t="s">
        <v>63</v>
      </c>
      <c r="AIU6" s="158" t="s">
        <v>63</v>
      </c>
      <c r="AIV6" s="158" t="s">
        <v>63</v>
      </c>
      <c r="AIW6" s="158" t="s">
        <v>63</v>
      </c>
      <c r="AIX6" s="158" t="s">
        <v>63</v>
      </c>
      <c r="AIY6" s="158" t="s">
        <v>63</v>
      </c>
      <c r="AIZ6" s="158" t="s">
        <v>63</v>
      </c>
      <c r="AJA6" s="158" t="s">
        <v>63</v>
      </c>
      <c r="AJB6" s="158" t="s">
        <v>63</v>
      </c>
      <c r="AJC6" s="158" t="s">
        <v>63</v>
      </c>
      <c r="AJD6" s="158" t="s">
        <v>63</v>
      </c>
      <c r="AJE6" s="158" t="s">
        <v>63</v>
      </c>
      <c r="AJF6" s="158" t="s">
        <v>63</v>
      </c>
      <c r="AJG6" s="158" t="s">
        <v>63</v>
      </c>
      <c r="AJH6" s="158" t="s">
        <v>63</v>
      </c>
      <c r="AJI6" s="158" t="s">
        <v>63</v>
      </c>
      <c r="AJJ6" s="158" t="s">
        <v>63</v>
      </c>
      <c r="AJK6" s="158" t="s">
        <v>63</v>
      </c>
      <c r="AJL6" s="158"/>
      <c r="AJM6" s="158"/>
      <c r="AJN6" s="158"/>
      <c r="AJO6" s="158"/>
      <c r="AJP6" s="158"/>
      <c r="AJQ6" s="158"/>
      <c r="AJR6" s="158"/>
      <c r="AJS6" s="158"/>
      <c r="AJT6" s="158" t="s">
        <v>138</v>
      </c>
      <c r="AJU6" s="158" t="s">
        <v>138</v>
      </c>
      <c r="AJV6" s="158" t="s">
        <v>138</v>
      </c>
      <c r="AJW6" s="158" t="s">
        <v>138</v>
      </c>
      <c r="AJX6" s="158" t="s">
        <v>138</v>
      </c>
      <c r="AJY6" s="158" t="s">
        <v>138</v>
      </c>
      <c r="AJZ6" s="158" t="s">
        <v>138</v>
      </c>
      <c r="AKA6" s="158" t="s">
        <v>138</v>
      </c>
      <c r="AKB6" s="158" t="s">
        <v>138</v>
      </c>
      <c r="AKC6" s="158" t="s">
        <v>138</v>
      </c>
      <c r="AKD6" s="158" t="s">
        <v>138</v>
      </c>
      <c r="AKE6" s="158" t="s">
        <v>138</v>
      </c>
      <c r="AKF6" s="158" t="s">
        <v>138</v>
      </c>
      <c r="AKG6" s="158"/>
      <c r="AKH6" s="158"/>
      <c r="AKP6" s="199"/>
      <c r="AKQ6" s="199"/>
      <c r="AKR6" s="199"/>
      <c r="AKS6" s="199"/>
      <c r="AKT6" s="199"/>
      <c r="AKU6" s="199"/>
      <c r="AKV6" s="199"/>
      <c r="AKW6" s="199"/>
      <c r="AKX6" s="199"/>
      <c r="AKY6" s="199"/>
      <c r="AKZ6" s="199"/>
      <c r="ALA6" s="199"/>
      <c r="ALB6" s="199"/>
      <c r="ALC6" s="199"/>
      <c r="ALU6" s="158"/>
      <c r="ALV6" s="158"/>
      <c r="ALW6" s="158"/>
      <c r="ALX6" s="158"/>
      <c r="ALY6" s="158"/>
      <c r="ALZ6" s="158"/>
      <c r="AMA6" s="158"/>
      <c r="AMB6" s="158"/>
      <c r="AMC6" s="158"/>
      <c r="AMD6" s="158"/>
      <c r="AME6" s="158"/>
      <c r="AMF6" s="158"/>
      <c r="AMG6" s="158"/>
      <c r="AMH6" s="158"/>
      <c r="AMI6" s="158"/>
      <c r="AMJ6" s="158"/>
      <c r="AMK6" s="158"/>
      <c r="AML6" s="158"/>
      <c r="AMM6" s="158"/>
    </row>
    <row r="7" spans="1:1029" ht="22.5" customHeight="1" thickTop="1" thickBot="1" x14ac:dyDescent="0.35">
      <c r="A7" s="675" t="s">
        <v>188</v>
      </c>
      <c r="B7" s="635" t="s">
        <v>43</v>
      </c>
      <c r="C7" s="634" t="s">
        <v>0</v>
      </c>
      <c r="D7" s="666" t="s">
        <v>1</v>
      </c>
      <c r="E7" s="633" t="s">
        <v>15</v>
      </c>
      <c r="F7" s="634"/>
      <c r="G7" s="634"/>
      <c r="H7" s="426" t="s">
        <v>54</v>
      </c>
      <c r="I7" s="626" t="s">
        <v>74</v>
      </c>
      <c r="J7" s="629" t="s">
        <v>80</v>
      </c>
      <c r="K7" s="643"/>
      <c r="L7" s="644"/>
      <c r="M7" s="644"/>
      <c r="N7" s="644"/>
      <c r="O7" s="644"/>
      <c r="P7" s="644"/>
      <c r="Q7" s="644"/>
      <c r="R7" s="644"/>
      <c r="S7" s="644"/>
      <c r="T7" s="644"/>
      <c r="U7" s="644"/>
      <c r="V7" s="644"/>
      <c r="W7" s="644"/>
      <c r="X7" s="644"/>
      <c r="Y7" s="644"/>
      <c r="Z7" s="644"/>
      <c r="AA7" s="644"/>
      <c r="AB7" s="644"/>
      <c r="AC7" s="644"/>
      <c r="AD7" s="644"/>
      <c r="AE7" s="644"/>
      <c r="AF7" s="644"/>
      <c r="AG7" s="644"/>
      <c r="AH7" s="644"/>
      <c r="AI7" s="644"/>
      <c r="AJ7" s="644"/>
      <c r="AK7" s="644"/>
      <c r="AL7" s="644"/>
      <c r="AM7" s="644"/>
      <c r="AN7" s="644"/>
      <c r="AO7" s="644"/>
      <c r="AP7" s="644"/>
      <c r="AQ7" s="644"/>
      <c r="AR7" s="644"/>
      <c r="AS7" s="644"/>
      <c r="AT7" s="644"/>
      <c r="AU7" s="644"/>
      <c r="AV7" s="644"/>
      <c r="AW7" s="644"/>
      <c r="AX7" s="644"/>
      <c r="AY7" s="644"/>
      <c r="AZ7" s="644"/>
      <c r="BA7" s="644"/>
      <c r="BB7" s="644"/>
      <c r="BC7" s="644"/>
      <c r="BD7" s="644"/>
      <c r="BE7" s="644"/>
      <c r="BF7" s="644"/>
      <c r="BG7" s="644"/>
      <c r="BH7" s="644"/>
      <c r="BI7" s="644"/>
      <c r="BJ7" s="644"/>
      <c r="BK7" s="644"/>
      <c r="BL7" s="644"/>
      <c r="BM7" s="644"/>
      <c r="BN7" s="644"/>
      <c r="BO7" s="644"/>
      <c r="BP7" s="644"/>
      <c r="BQ7" s="644"/>
      <c r="BR7" s="644"/>
      <c r="BS7" s="644"/>
      <c r="BT7" s="644"/>
      <c r="BU7" s="644"/>
      <c r="BV7" s="644"/>
      <c r="BW7" s="644"/>
      <c r="BX7" s="644"/>
      <c r="BY7" s="644"/>
      <c r="BZ7" s="644"/>
      <c r="CA7" s="644"/>
      <c r="CB7" s="644"/>
      <c r="CC7" s="644"/>
      <c r="CD7" s="644"/>
      <c r="CE7" s="644"/>
      <c r="CF7" s="644"/>
      <c r="CG7" s="644"/>
      <c r="CH7" s="644"/>
      <c r="CI7" s="644"/>
      <c r="CJ7" s="644"/>
      <c r="CK7" s="644"/>
      <c r="CL7" s="644"/>
      <c r="CM7" s="644"/>
      <c r="CN7" s="644"/>
      <c r="CO7" s="644"/>
      <c r="CP7" s="644"/>
      <c r="CQ7" s="644"/>
      <c r="CR7" s="644"/>
      <c r="CS7" s="644"/>
      <c r="CT7" s="644"/>
      <c r="CU7" s="644"/>
      <c r="CV7" s="644"/>
      <c r="CW7" s="644"/>
      <c r="CX7" s="644"/>
      <c r="CY7" s="644"/>
      <c r="CZ7" s="644"/>
      <c r="DA7" s="644"/>
      <c r="DB7" s="644"/>
      <c r="DC7" s="644"/>
      <c r="DD7" s="644"/>
      <c r="DE7" s="644"/>
      <c r="DF7" s="644"/>
      <c r="DG7" s="644"/>
      <c r="DH7" s="644"/>
      <c r="DI7" s="644"/>
      <c r="DJ7" s="644"/>
      <c r="DK7" s="644"/>
      <c r="DL7" s="644"/>
      <c r="DM7" s="644"/>
      <c r="DN7" s="644"/>
      <c r="DO7" s="644"/>
      <c r="DP7" s="644"/>
      <c r="DQ7" s="644"/>
      <c r="DR7" s="644"/>
      <c r="DS7" s="644"/>
      <c r="DT7" s="644"/>
      <c r="DU7" s="644"/>
      <c r="DV7" s="644"/>
      <c r="DW7" s="644"/>
      <c r="DX7" s="644"/>
      <c r="DY7" s="644"/>
      <c r="DZ7" s="644"/>
      <c r="EA7" s="644"/>
      <c r="EB7" s="644"/>
      <c r="EC7" s="644"/>
      <c r="ED7" s="644"/>
      <c r="EE7" s="644"/>
      <c r="EF7" s="644"/>
      <c r="EG7" s="644"/>
      <c r="EH7" s="644"/>
      <c r="EI7" s="644"/>
      <c r="EJ7" s="644"/>
      <c r="EK7" s="644"/>
      <c r="EL7" s="644"/>
      <c r="EM7" s="644"/>
      <c r="EN7" s="644"/>
      <c r="EO7" s="644"/>
      <c r="EP7" s="644"/>
      <c r="EQ7" s="644"/>
      <c r="ER7" s="644"/>
      <c r="ES7" s="644"/>
      <c r="ET7" s="644"/>
      <c r="EU7" s="644"/>
      <c r="EV7" s="644"/>
      <c r="EW7" s="644"/>
      <c r="EX7" s="644"/>
      <c r="EY7" s="644"/>
      <c r="EZ7" s="644"/>
      <c r="FA7" s="644"/>
      <c r="FB7" s="644"/>
      <c r="FC7" s="644"/>
      <c r="FD7" s="644"/>
      <c r="FE7" s="644"/>
      <c r="FF7" s="644"/>
      <c r="FG7" s="644"/>
      <c r="FH7" s="644"/>
      <c r="FI7" s="644"/>
      <c r="FJ7" s="644"/>
      <c r="FK7" s="644"/>
      <c r="FL7" s="644"/>
      <c r="FM7" s="644"/>
      <c r="FN7" s="644"/>
      <c r="FO7" s="644"/>
      <c r="FP7" s="644"/>
      <c r="FQ7" s="644"/>
      <c r="FR7" s="644"/>
      <c r="FS7" s="644"/>
      <c r="FT7" s="644"/>
      <c r="FU7" s="644"/>
      <c r="FV7" s="644"/>
      <c r="FW7" s="644"/>
      <c r="FX7" s="644"/>
      <c r="FY7" s="644"/>
      <c r="FZ7" s="644"/>
      <c r="GA7" s="644"/>
      <c r="GB7" s="644"/>
      <c r="GC7" s="644"/>
      <c r="GD7" s="644"/>
      <c r="GE7" s="644"/>
      <c r="GF7" s="644"/>
      <c r="GG7" s="644"/>
      <c r="GH7" s="644"/>
      <c r="GI7" s="644"/>
      <c r="GJ7" s="644"/>
      <c r="GK7" s="644"/>
      <c r="GL7" s="644"/>
      <c r="GM7" s="644"/>
      <c r="GN7" s="644"/>
      <c r="GO7" s="644"/>
      <c r="GP7" s="644"/>
      <c r="GQ7" s="644"/>
      <c r="GR7" s="644"/>
      <c r="GS7" s="644"/>
      <c r="GT7" s="644"/>
      <c r="GU7" s="644"/>
      <c r="GV7" s="644"/>
      <c r="GW7" s="644"/>
      <c r="GX7" s="644"/>
      <c r="GY7" s="644"/>
      <c r="GZ7" s="644"/>
      <c r="HA7" s="644"/>
      <c r="HB7" s="644"/>
      <c r="HC7" s="644"/>
      <c r="HD7" s="644"/>
      <c r="HE7" s="644"/>
      <c r="HF7" s="644"/>
      <c r="HG7" s="644"/>
      <c r="HH7" s="644"/>
      <c r="HI7" s="644"/>
      <c r="HJ7" s="644"/>
      <c r="HK7" s="644"/>
      <c r="HL7" s="644"/>
      <c r="HM7" s="644"/>
      <c r="HN7" s="644"/>
      <c r="HO7" s="644"/>
      <c r="HP7" s="644"/>
      <c r="HQ7" s="644"/>
      <c r="HR7" s="644"/>
      <c r="HS7" s="644"/>
      <c r="HT7" s="644"/>
      <c r="HU7" s="644"/>
      <c r="HV7" s="644"/>
      <c r="HW7" s="644"/>
      <c r="HX7" s="644"/>
      <c r="HY7" s="644"/>
      <c r="HZ7" s="644"/>
      <c r="IA7" s="644"/>
      <c r="IB7" s="644"/>
      <c r="IC7" s="644"/>
      <c r="ID7" s="644"/>
      <c r="IE7" s="644"/>
      <c r="IF7" s="644"/>
      <c r="IG7" s="644"/>
      <c r="IH7" s="644"/>
      <c r="II7" s="644"/>
      <c r="IJ7" s="644"/>
      <c r="IK7" s="644"/>
      <c r="IL7" s="644"/>
      <c r="IM7" s="644"/>
      <c r="IN7" s="644"/>
      <c r="IO7" s="644"/>
      <c r="IP7" s="644"/>
      <c r="IQ7" s="644"/>
      <c r="IR7" s="644"/>
      <c r="IS7" s="644"/>
      <c r="IT7" s="644"/>
      <c r="IU7" s="644"/>
      <c r="IV7" s="644"/>
      <c r="IW7" s="644"/>
      <c r="IX7" s="644"/>
      <c r="IY7" s="644"/>
      <c r="IZ7" s="644"/>
      <c r="JA7" s="644"/>
      <c r="JB7" s="644"/>
      <c r="JC7" s="644"/>
      <c r="JD7" s="644"/>
      <c r="JE7" s="644"/>
      <c r="JF7" s="644"/>
      <c r="JG7" s="644"/>
      <c r="JH7" s="644"/>
      <c r="JI7" s="644"/>
      <c r="JJ7" s="644"/>
      <c r="JK7" s="644"/>
      <c r="JL7" s="644"/>
      <c r="JM7" s="644"/>
      <c r="JN7" s="644"/>
      <c r="JO7" s="644"/>
      <c r="JP7" s="644"/>
      <c r="JQ7" s="644"/>
      <c r="JR7" s="644"/>
      <c r="JS7" s="644"/>
      <c r="JT7" s="644"/>
      <c r="JU7" s="644"/>
      <c r="JV7" s="644"/>
      <c r="JW7" s="644"/>
      <c r="JX7" s="644"/>
      <c r="JY7" s="644"/>
      <c r="JZ7" s="644"/>
      <c r="KA7" s="644"/>
      <c r="KB7" s="644"/>
      <c r="KC7" s="644"/>
      <c r="KD7" s="644"/>
      <c r="KE7" s="644"/>
      <c r="KF7" s="644"/>
      <c r="KG7" s="644"/>
      <c r="KH7" s="644"/>
      <c r="KI7" s="644"/>
      <c r="KJ7" s="644"/>
      <c r="KK7" s="644"/>
      <c r="KL7" s="644"/>
      <c r="KM7" s="644"/>
      <c r="KN7" s="644"/>
      <c r="KO7" s="644"/>
      <c r="KP7" s="644"/>
      <c r="KQ7" s="644"/>
      <c r="KR7" s="644"/>
      <c r="KS7" s="644"/>
      <c r="KT7" s="644"/>
      <c r="KU7" s="644"/>
      <c r="KV7" s="644"/>
      <c r="KW7" s="644"/>
      <c r="KX7" s="644"/>
      <c r="KY7" s="644"/>
      <c r="KZ7" s="644"/>
      <c r="LA7" s="644"/>
      <c r="LB7" s="644"/>
      <c r="LC7" s="644"/>
      <c r="LD7" s="644"/>
      <c r="LE7" s="644"/>
      <c r="LF7" s="644"/>
      <c r="LG7" s="644"/>
      <c r="LH7" s="644"/>
      <c r="LI7" s="644"/>
      <c r="LJ7" s="644"/>
      <c r="LK7" s="644"/>
      <c r="LL7" s="644"/>
      <c r="LM7" s="644"/>
      <c r="LN7" s="644"/>
      <c r="LO7" s="644"/>
      <c r="LP7" s="644"/>
      <c r="LQ7" s="644"/>
      <c r="LR7" s="644"/>
      <c r="LS7" s="644"/>
      <c r="LT7" s="644"/>
      <c r="LU7" s="644"/>
      <c r="LV7" s="644"/>
      <c r="LW7" s="644"/>
      <c r="LX7" s="644"/>
      <c r="LY7" s="644"/>
      <c r="LZ7" s="644"/>
      <c r="MA7" s="644"/>
      <c r="MB7" s="644"/>
      <c r="MC7" s="644"/>
      <c r="MD7" s="644"/>
      <c r="ME7" s="644"/>
      <c r="MF7" s="644"/>
      <c r="MG7" s="644"/>
      <c r="MH7" s="644"/>
      <c r="MI7" s="644"/>
      <c r="MJ7" s="644"/>
      <c r="MK7" s="644"/>
      <c r="ML7" s="644"/>
      <c r="MM7" s="644"/>
      <c r="MN7" s="644"/>
      <c r="MO7" s="644"/>
      <c r="MP7" s="644"/>
      <c r="MQ7" s="644"/>
      <c r="MR7" s="644"/>
      <c r="MS7" s="644"/>
      <c r="MT7" s="644"/>
      <c r="MU7" s="644"/>
      <c r="MV7" s="644"/>
      <c r="MW7" s="644"/>
      <c r="MX7" s="644"/>
      <c r="MY7" s="644"/>
      <c r="MZ7" s="644"/>
      <c r="NA7" s="644"/>
      <c r="NB7" s="644"/>
      <c r="NC7" s="644"/>
      <c r="ND7" s="644"/>
      <c r="NE7" s="644"/>
      <c r="NF7" s="644"/>
      <c r="NG7" s="644"/>
      <c r="NH7" s="644"/>
      <c r="NI7" s="644"/>
      <c r="NJ7" s="644"/>
      <c r="NK7" s="644"/>
      <c r="NL7" s="644"/>
      <c r="NM7" s="644"/>
      <c r="NN7" s="644"/>
      <c r="NO7" s="644"/>
      <c r="NP7" s="644"/>
      <c r="NQ7" s="644"/>
      <c r="NR7" s="644"/>
      <c r="NS7" s="644"/>
      <c r="NT7" s="644"/>
      <c r="NU7" s="644"/>
      <c r="NV7" s="644"/>
      <c r="NW7" s="644"/>
      <c r="NX7" s="644"/>
      <c r="NY7" s="644"/>
      <c r="NZ7" s="644"/>
      <c r="OA7" s="644"/>
      <c r="OB7" s="644"/>
      <c r="OC7" s="644"/>
      <c r="OD7" s="644"/>
      <c r="OE7" s="644"/>
      <c r="OF7" s="644"/>
      <c r="OG7" s="644"/>
      <c r="OH7" s="644"/>
      <c r="OI7" s="644"/>
      <c r="OJ7" s="644"/>
      <c r="OK7" s="644"/>
      <c r="OL7" s="644"/>
      <c r="OM7" s="644"/>
      <c r="ON7" s="644"/>
      <c r="OO7" s="644"/>
      <c r="OP7" s="644"/>
      <c r="OQ7" s="644"/>
      <c r="OR7" s="644"/>
      <c r="OS7" s="644"/>
      <c r="OT7" s="644"/>
      <c r="OU7" s="644"/>
      <c r="OV7" s="644"/>
      <c r="OW7" s="644"/>
      <c r="OX7" s="644"/>
      <c r="OY7" s="644"/>
      <c r="OZ7" s="644"/>
      <c r="PA7" s="644"/>
      <c r="PB7" s="644"/>
      <c r="PC7" s="644"/>
      <c r="PD7" s="644"/>
      <c r="PE7" s="644"/>
      <c r="PF7" s="644"/>
      <c r="PG7" s="644"/>
      <c r="PH7" s="644"/>
      <c r="PI7" s="644"/>
      <c r="PJ7" s="644"/>
      <c r="PK7" s="644"/>
      <c r="PL7" s="644"/>
      <c r="PM7" s="644"/>
      <c r="PN7" s="644"/>
      <c r="PO7" s="644"/>
      <c r="PP7" s="644"/>
      <c r="PQ7" s="644"/>
      <c r="PR7" s="644"/>
      <c r="PS7" s="644"/>
      <c r="PT7" s="644"/>
      <c r="PU7" s="644"/>
      <c r="PV7" s="644"/>
      <c r="PW7" s="644"/>
      <c r="PX7" s="644"/>
      <c r="PY7" s="644"/>
      <c r="PZ7" s="644"/>
      <c r="QA7" s="644"/>
      <c r="QB7" s="644"/>
      <c r="QC7" s="644"/>
      <c r="QD7" s="644"/>
      <c r="QE7" s="644"/>
      <c r="QF7" s="644"/>
      <c r="QG7" s="644"/>
      <c r="QH7" s="644"/>
      <c r="QI7" s="644"/>
      <c r="QJ7" s="644"/>
      <c r="QK7" s="644"/>
      <c r="QL7" s="644"/>
      <c r="QM7" s="644"/>
      <c r="QN7" s="644"/>
      <c r="QO7" s="644"/>
      <c r="QP7" s="644"/>
      <c r="QQ7" s="644"/>
      <c r="QR7" s="644"/>
      <c r="QS7" s="644"/>
      <c r="QT7" s="644"/>
      <c r="QU7" s="644"/>
      <c r="QV7" s="644"/>
      <c r="QW7" s="644"/>
      <c r="QX7" s="644"/>
      <c r="QY7" s="644"/>
      <c r="QZ7" s="644"/>
      <c r="RA7" s="644"/>
      <c r="RB7" s="644"/>
      <c r="RC7" s="644"/>
      <c r="RD7" s="644"/>
      <c r="RE7" s="644"/>
      <c r="RF7" s="644"/>
      <c r="RG7" s="644"/>
      <c r="RH7" s="644"/>
      <c r="RI7" s="644"/>
      <c r="RJ7" s="644"/>
      <c r="RK7" s="644"/>
      <c r="RL7" s="644"/>
      <c r="RM7" s="644"/>
      <c r="RN7" s="644"/>
      <c r="RO7" s="644"/>
      <c r="RP7" s="644"/>
      <c r="RQ7" s="644"/>
      <c r="RR7" s="644"/>
      <c r="RS7" s="644"/>
      <c r="RT7" s="644"/>
      <c r="RU7" s="644"/>
      <c r="RV7" s="644"/>
      <c r="RW7" s="644"/>
      <c r="RX7" s="644"/>
      <c r="RY7" s="644"/>
      <c r="RZ7" s="644"/>
      <c r="SA7" s="644"/>
      <c r="SB7" s="644"/>
      <c r="SC7" s="644"/>
      <c r="SD7" s="644"/>
      <c r="SE7" s="644"/>
      <c r="SF7" s="644"/>
      <c r="SG7" s="644"/>
      <c r="SH7" s="644"/>
      <c r="SI7" s="644"/>
      <c r="SJ7" s="644"/>
      <c r="SK7" s="644"/>
      <c r="SL7" s="644"/>
      <c r="SM7" s="644"/>
      <c r="SN7" s="644"/>
      <c r="SO7" s="644"/>
      <c r="SP7" s="644"/>
      <c r="SQ7" s="644"/>
      <c r="SR7" s="644"/>
      <c r="SS7" s="644"/>
      <c r="ST7" s="644"/>
      <c r="SU7" s="644"/>
      <c r="SV7" s="644"/>
      <c r="SW7" s="644"/>
      <c r="SX7" s="644"/>
      <c r="SY7" s="644"/>
      <c r="SZ7" s="644"/>
      <c r="TA7" s="644"/>
      <c r="TB7" s="644"/>
      <c r="TC7" s="644"/>
      <c r="TD7" s="644"/>
      <c r="TE7" s="644"/>
      <c r="TF7" s="644"/>
      <c r="TG7" s="644"/>
      <c r="TH7" s="644"/>
      <c r="TI7" s="644"/>
      <c r="TJ7" s="644"/>
      <c r="TK7" s="644"/>
      <c r="TL7" s="644"/>
      <c r="TM7" s="644"/>
      <c r="TN7" s="644"/>
      <c r="TO7" s="644"/>
      <c r="TP7" s="644"/>
      <c r="TQ7" s="644"/>
      <c r="TR7" s="644"/>
      <c r="TS7" s="644"/>
      <c r="TT7" s="644"/>
      <c r="TU7" s="644"/>
      <c r="TV7" s="644"/>
      <c r="TW7" s="644"/>
      <c r="TX7" s="644"/>
      <c r="TY7" s="644"/>
      <c r="TZ7" s="644"/>
      <c r="UA7" s="644"/>
      <c r="UB7" s="644"/>
      <c r="UC7" s="644"/>
      <c r="UD7" s="644"/>
      <c r="UE7" s="644"/>
      <c r="UF7" s="644"/>
      <c r="UG7" s="644"/>
      <c r="UH7" s="644"/>
      <c r="UI7" s="644"/>
      <c r="UJ7" s="644"/>
      <c r="UK7" s="644"/>
      <c r="UL7" s="644"/>
      <c r="UM7" s="644"/>
      <c r="UN7" s="644"/>
      <c r="UO7" s="644"/>
      <c r="UP7" s="644"/>
      <c r="UQ7" s="644"/>
      <c r="UR7" s="644"/>
      <c r="US7" s="644"/>
      <c r="UT7" s="644"/>
      <c r="UU7" s="644"/>
      <c r="UV7" s="644"/>
      <c r="UW7" s="644"/>
      <c r="UX7" s="644"/>
      <c r="UY7" s="644"/>
      <c r="UZ7" s="644"/>
      <c r="VA7" s="644"/>
      <c r="VB7" s="644"/>
      <c r="VC7" s="644"/>
      <c r="VD7" s="644"/>
      <c r="VE7" s="644"/>
      <c r="VF7" s="644"/>
      <c r="VG7" s="644"/>
      <c r="VH7" s="644"/>
      <c r="VI7" s="644"/>
      <c r="VJ7" s="644"/>
      <c r="VK7" s="644"/>
      <c r="VL7" s="644"/>
      <c r="VM7" s="644"/>
      <c r="VN7" s="644"/>
      <c r="VO7" s="644"/>
      <c r="VP7" s="644"/>
      <c r="VQ7" s="644"/>
      <c r="VR7" s="644"/>
      <c r="VS7" s="644"/>
      <c r="VT7" s="644"/>
      <c r="VU7" s="644"/>
      <c r="VV7" s="644"/>
      <c r="VW7" s="644"/>
      <c r="VX7" s="644"/>
      <c r="VY7" s="644"/>
      <c r="VZ7" s="644"/>
      <c r="WA7" s="644"/>
      <c r="WB7" s="644"/>
      <c r="WC7" s="644"/>
      <c r="WD7" s="644"/>
      <c r="WE7" s="644"/>
      <c r="WF7" s="644"/>
      <c r="WG7" s="644"/>
      <c r="WH7" s="644"/>
      <c r="WI7" s="644"/>
      <c r="WJ7" s="644"/>
      <c r="WK7" s="644"/>
      <c r="WL7" s="644"/>
      <c r="WM7" s="644"/>
      <c r="WN7" s="644"/>
      <c r="WO7" s="644"/>
      <c r="WP7" s="644"/>
      <c r="WQ7" s="644"/>
      <c r="WR7" s="644"/>
      <c r="WS7" s="644"/>
      <c r="WT7" s="644"/>
      <c r="WU7" s="644"/>
      <c r="WV7" s="644"/>
      <c r="WW7" s="644"/>
      <c r="WX7" s="644"/>
      <c r="WY7" s="644"/>
      <c r="WZ7" s="644"/>
      <c r="XA7" s="644"/>
      <c r="XB7" s="644"/>
      <c r="XC7" s="644"/>
      <c r="XD7" s="644"/>
      <c r="XE7" s="644"/>
      <c r="XF7" s="644"/>
      <c r="XG7" s="644"/>
      <c r="XH7" s="644"/>
      <c r="XI7" s="644"/>
      <c r="XJ7" s="644"/>
      <c r="XK7" s="644"/>
      <c r="XL7" s="644"/>
      <c r="XM7" s="644"/>
      <c r="XN7" s="644"/>
      <c r="XO7" s="644"/>
      <c r="XP7" s="644"/>
      <c r="XQ7" s="644"/>
      <c r="XR7" s="644"/>
      <c r="XS7" s="644"/>
      <c r="XT7" s="644"/>
      <c r="XU7" s="644"/>
      <c r="XV7" s="644"/>
      <c r="XW7" s="644"/>
      <c r="XX7" s="644"/>
      <c r="XY7" s="644"/>
      <c r="XZ7" s="644"/>
      <c r="YA7" s="644"/>
      <c r="YB7" s="644"/>
      <c r="YC7" s="644"/>
      <c r="YD7" s="644"/>
      <c r="YE7" s="644"/>
      <c r="YF7" s="644"/>
      <c r="YG7" s="644"/>
      <c r="YH7" s="644"/>
      <c r="YI7" s="644"/>
      <c r="YJ7" s="644"/>
      <c r="YK7" s="644"/>
      <c r="YL7" s="644"/>
      <c r="YM7" s="644"/>
      <c r="YN7" s="644"/>
      <c r="YO7" s="644"/>
      <c r="YP7" s="644"/>
      <c r="YQ7" s="644"/>
      <c r="YR7" s="644"/>
      <c r="YS7" s="644"/>
      <c r="YT7" s="644"/>
      <c r="YU7" s="644"/>
      <c r="YV7" s="644"/>
      <c r="YW7" s="644"/>
      <c r="YX7" s="644"/>
      <c r="YY7" s="644"/>
      <c r="YZ7" s="644"/>
      <c r="ZA7" s="644"/>
      <c r="ZB7" s="644"/>
      <c r="ZC7" s="644"/>
      <c r="ZD7" s="644"/>
      <c r="ZE7" s="644"/>
      <c r="ZF7" s="644"/>
      <c r="ZG7" s="644"/>
      <c r="ZH7" s="644"/>
      <c r="ZI7" s="644"/>
      <c r="ZJ7" s="644"/>
      <c r="ZK7" s="644"/>
      <c r="ZL7" s="644"/>
      <c r="ZM7" s="644"/>
      <c r="ZN7" s="644"/>
      <c r="ZO7" s="644"/>
      <c r="ZP7" s="644"/>
      <c r="ZQ7" s="644"/>
      <c r="ZR7" s="644"/>
      <c r="ZS7" s="644"/>
      <c r="ZT7" s="644"/>
      <c r="ZU7" s="644"/>
      <c r="ZV7" s="644"/>
      <c r="ZW7" s="644"/>
      <c r="ZX7" s="644"/>
      <c r="ZY7" s="644"/>
      <c r="ZZ7" s="644"/>
      <c r="AAA7" s="644"/>
      <c r="AAB7" s="644"/>
      <c r="AAC7" s="644"/>
      <c r="AAD7" s="644"/>
      <c r="AAE7" s="644"/>
      <c r="AAF7" s="644"/>
      <c r="AAG7" s="644"/>
      <c r="AAH7" s="644"/>
      <c r="AAI7" s="644"/>
      <c r="AAJ7" s="644"/>
      <c r="AAK7" s="644"/>
      <c r="AAL7" s="644"/>
      <c r="AAM7" s="644"/>
      <c r="AAN7" s="644"/>
      <c r="AAO7" s="644"/>
      <c r="AAP7" s="644"/>
      <c r="AAQ7" s="644"/>
      <c r="AAR7" s="644"/>
      <c r="AAS7" s="644"/>
      <c r="AAT7" s="644"/>
      <c r="AAU7" s="644"/>
      <c r="AAV7" s="644"/>
      <c r="AAW7" s="644"/>
      <c r="AAX7" s="644"/>
      <c r="AAY7" s="644"/>
      <c r="AAZ7" s="644"/>
      <c r="ABA7" s="644"/>
      <c r="ABB7" s="644"/>
      <c r="ABC7" s="644"/>
      <c r="ABD7" s="644"/>
      <c r="ABE7" s="644"/>
      <c r="ABF7" s="644"/>
      <c r="ABG7" s="644"/>
      <c r="ABH7" s="644"/>
      <c r="ABI7" s="644"/>
      <c r="ABJ7" s="644"/>
      <c r="ABK7" s="644"/>
      <c r="ABL7" s="644"/>
      <c r="ABM7" s="644"/>
      <c r="ABN7" s="644"/>
      <c r="ABO7" s="644"/>
      <c r="ABP7" s="644"/>
      <c r="ABQ7" s="644"/>
      <c r="ABR7" s="644"/>
      <c r="ABS7" s="644"/>
      <c r="ABT7" s="644"/>
      <c r="ABU7" s="644"/>
      <c r="ABV7" s="644"/>
      <c r="ABW7" s="644"/>
      <c r="ABX7" s="644"/>
      <c r="ABY7" s="644"/>
      <c r="ABZ7" s="644"/>
      <c r="ACA7" s="644"/>
      <c r="ACB7" s="644"/>
      <c r="ACC7" s="644"/>
      <c r="ACD7" s="644"/>
      <c r="ACE7" s="644"/>
      <c r="ACF7" s="644"/>
      <c r="ACG7" s="644"/>
      <c r="ACH7" s="644"/>
      <c r="ACI7" s="644"/>
      <c r="ACJ7" s="644"/>
      <c r="ACK7" s="644"/>
      <c r="ACL7" s="644"/>
      <c r="ACM7" s="644"/>
      <c r="ACN7" s="644"/>
      <c r="ACO7" s="644"/>
      <c r="ACP7" s="644"/>
      <c r="ACQ7" s="644"/>
      <c r="ACR7" s="644"/>
      <c r="ACS7" s="644"/>
      <c r="ACT7" s="644"/>
      <c r="ACU7" s="644"/>
      <c r="ACV7" s="644"/>
      <c r="ACW7" s="644"/>
      <c r="ACX7" s="644"/>
      <c r="ACY7" s="644"/>
      <c r="ACZ7" s="644"/>
      <c r="ADA7" s="644"/>
      <c r="ADB7" s="644"/>
      <c r="ADC7" s="644"/>
      <c r="ADD7" s="644"/>
      <c r="ADE7" s="644"/>
      <c r="ADF7" s="644"/>
      <c r="ADG7" s="644"/>
      <c r="ADH7" s="644"/>
      <c r="ADI7" s="644"/>
      <c r="ADJ7" s="644"/>
      <c r="ADK7" s="644"/>
      <c r="ADL7" s="644"/>
      <c r="ADM7" s="644"/>
      <c r="ADN7" s="644"/>
      <c r="ADO7" s="644"/>
      <c r="ADP7" s="644"/>
      <c r="ADQ7" s="644"/>
      <c r="ADR7" s="644"/>
      <c r="ADS7" s="644"/>
      <c r="ADT7" s="644"/>
      <c r="ADU7" s="644"/>
      <c r="ADV7" s="644"/>
      <c r="ADW7" s="644"/>
      <c r="ADX7" s="644"/>
      <c r="ADY7" s="644"/>
      <c r="ADZ7" s="644"/>
      <c r="AEA7" s="644"/>
      <c r="AEB7" s="644"/>
      <c r="AEC7" s="644"/>
      <c r="AED7" s="644"/>
      <c r="AEE7" s="644"/>
      <c r="AEF7" s="644"/>
      <c r="AEG7" s="644"/>
      <c r="AEH7" s="644"/>
      <c r="AEI7" s="644"/>
      <c r="AEJ7" s="644"/>
      <c r="AEK7" s="644"/>
      <c r="AEL7" s="644"/>
      <c r="AEM7" s="644"/>
      <c r="AEN7" s="644"/>
      <c r="AEO7" s="644"/>
      <c r="AEP7" s="644"/>
      <c r="AEQ7" s="644"/>
      <c r="AER7" s="644"/>
      <c r="AES7" s="644"/>
      <c r="AET7" s="644"/>
      <c r="AEU7" s="644"/>
      <c r="AEV7" s="644"/>
      <c r="AEW7" s="644"/>
      <c r="AEX7" s="644"/>
      <c r="AEY7" s="644"/>
      <c r="AEZ7" s="644"/>
      <c r="AFA7" s="644"/>
      <c r="AFB7" s="644"/>
      <c r="AFC7" s="644"/>
      <c r="AFD7" s="644"/>
      <c r="AFE7" s="644"/>
      <c r="AFF7" s="644"/>
      <c r="AFG7" s="644"/>
      <c r="AFH7" s="644"/>
      <c r="AFI7" s="644"/>
      <c r="AFJ7" s="644"/>
      <c r="AFK7" s="644"/>
      <c r="AFL7" s="644"/>
      <c r="AFM7" s="644"/>
      <c r="AFN7" s="644"/>
      <c r="AFO7" s="644"/>
      <c r="AFP7" s="644"/>
      <c r="AFQ7" s="644"/>
      <c r="AFR7" s="644"/>
      <c r="AFS7" s="644"/>
      <c r="AFT7" s="644"/>
      <c r="AFU7" s="644"/>
      <c r="AFV7" s="644"/>
      <c r="AFW7" s="644"/>
      <c r="AFX7" s="644"/>
      <c r="AFY7" s="644"/>
      <c r="AFZ7" s="644"/>
      <c r="AGA7" s="644"/>
      <c r="AGB7" s="644"/>
      <c r="AGC7" s="644"/>
      <c r="AGD7" s="644"/>
      <c r="AGE7" s="644"/>
      <c r="AGF7" s="644"/>
      <c r="AGG7" s="644"/>
      <c r="AGH7" s="644"/>
      <c r="AGI7" s="644"/>
      <c r="AGJ7" s="644"/>
      <c r="AGK7" s="644"/>
      <c r="AGL7" s="644"/>
      <c r="AGM7" s="644"/>
      <c r="AGN7" s="644"/>
      <c r="AGO7" s="644"/>
      <c r="AGP7" s="644"/>
      <c r="AGQ7" s="644"/>
      <c r="AGR7" s="644"/>
      <c r="AGS7" s="644"/>
      <c r="AGT7" s="644"/>
      <c r="AGU7" s="644"/>
      <c r="AGV7" s="644"/>
      <c r="AGW7" s="644"/>
      <c r="AGX7" s="644"/>
      <c r="AGY7" s="644"/>
      <c r="AGZ7" s="644"/>
      <c r="AHA7" s="644"/>
      <c r="AHB7" s="644"/>
      <c r="AHC7" s="644"/>
      <c r="AHD7" s="644"/>
      <c r="AHE7" s="644"/>
      <c r="AHF7" s="644"/>
      <c r="AHG7" s="644"/>
      <c r="AHH7" s="644"/>
      <c r="AHI7" s="644"/>
      <c r="AHJ7" s="644"/>
      <c r="AHK7" s="644"/>
      <c r="AHL7" s="644"/>
      <c r="AHM7" s="644"/>
      <c r="AHN7" s="644"/>
      <c r="AHO7" s="644"/>
      <c r="AHP7" s="644"/>
      <c r="AHQ7" s="644"/>
      <c r="AHR7" s="644"/>
      <c r="AHS7" s="644"/>
      <c r="AHT7" s="644"/>
      <c r="AHU7" s="644"/>
      <c r="AHV7" s="644"/>
      <c r="AHW7" s="644"/>
      <c r="AHX7" s="644"/>
      <c r="AHY7" s="644"/>
      <c r="AHZ7" s="644"/>
      <c r="AIA7" s="644"/>
      <c r="AIB7" s="644"/>
      <c r="AIC7" s="644"/>
      <c r="AID7" s="644"/>
      <c r="AIE7" s="644"/>
      <c r="AIF7" s="644"/>
      <c r="AIG7" s="644"/>
      <c r="AIH7" s="644"/>
      <c r="AII7" s="644"/>
      <c r="AIJ7" s="644"/>
      <c r="AIK7" s="644"/>
      <c r="AIL7" s="644"/>
      <c r="AIM7" s="644"/>
      <c r="AIN7" s="644"/>
      <c r="AIO7" s="644"/>
      <c r="AIP7" s="644"/>
      <c r="AIQ7" s="644"/>
      <c r="AIR7" s="644"/>
      <c r="AIS7" s="644"/>
      <c r="AIT7" s="644"/>
      <c r="AIU7" s="644"/>
      <c r="AIV7" s="644"/>
      <c r="AIW7" s="644"/>
      <c r="AIX7" s="644"/>
      <c r="AIY7" s="644"/>
      <c r="AIZ7" s="644"/>
      <c r="AJA7" s="644"/>
      <c r="AJB7" s="644"/>
      <c r="AJC7" s="644"/>
      <c r="AJD7" s="644"/>
      <c r="AJE7" s="644"/>
      <c r="AJF7" s="644"/>
      <c r="AJG7" s="644"/>
      <c r="AJH7" s="644"/>
      <c r="AJI7" s="644"/>
      <c r="AJJ7" s="644"/>
      <c r="AJK7" s="644"/>
      <c r="AJL7" s="644"/>
      <c r="AJM7" s="644"/>
      <c r="AJN7" s="644"/>
      <c r="AJO7" s="644"/>
      <c r="AJP7" s="644"/>
      <c r="AJQ7" s="644"/>
      <c r="AJR7" s="644"/>
      <c r="AJS7" s="644"/>
      <c r="AJT7" s="644"/>
      <c r="AJU7" s="644"/>
      <c r="AJV7" s="644"/>
      <c r="AJW7" s="644"/>
      <c r="AJX7" s="644"/>
      <c r="AJY7" s="644"/>
      <c r="AJZ7" s="644"/>
      <c r="AKA7" s="644"/>
      <c r="AKB7" s="644"/>
      <c r="AKC7" s="644"/>
      <c r="AKD7" s="644"/>
      <c r="AKE7" s="645"/>
      <c r="AKF7" s="122"/>
      <c r="AKG7" s="122"/>
      <c r="AKH7" s="122"/>
      <c r="AKP7" s="233" t="s">
        <v>67</v>
      </c>
      <c r="AKQ7" s="233" t="s">
        <v>67</v>
      </c>
      <c r="AKR7" s="233" t="s">
        <v>67</v>
      </c>
      <c r="AKS7" s="233" t="s">
        <v>67</v>
      </c>
      <c r="AKT7" s="233" t="s">
        <v>70</v>
      </c>
      <c r="AKU7" s="233" t="s">
        <v>70</v>
      </c>
      <c r="AKV7" s="233" t="s">
        <v>104</v>
      </c>
      <c r="AKW7" s="233" t="s">
        <v>76</v>
      </c>
      <c r="AKX7" s="233" t="s">
        <v>70</v>
      </c>
      <c r="AKY7" s="233" t="s">
        <v>108</v>
      </c>
      <c r="AKZ7" s="233" t="s">
        <v>70</v>
      </c>
      <c r="ALA7" s="233" t="s">
        <v>70</v>
      </c>
      <c r="ALB7" s="233" t="s">
        <v>76</v>
      </c>
      <c r="ALC7" s="233" t="s">
        <v>76</v>
      </c>
      <c r="ALD7" s="233" t="s">
        <v>76</v>
      </c>
      <c r="ALF7" s="421"/>
      <c r="ALT7" s="422"/>
      <c r="ALU7" s="123"/>
      <c r="ALV7" s="123"/>
      <c r="ALW7" s="123"/>
      <c r="ALX7" s="123"/>
      <c r="ALY7" s="123"/>
      <c r="ALZ7" s="123"/>
      <c r="AMA7" s="123"/>
      <c r="AMB7" s="123"/>
      <c r="AMC7" s="123"/>
      <c r="AMD7" s="123"/>
      <c r="AME7" s="123"/>
      <c r="AMF7" s="123"/>
      <c r="AMG7" s="123"/>
      <c r="AMH7" s="123"/>
      <c r="AMI7" s="123"/>
      <c r="AMJ7" s="123"/>
      <c r="AMK7" s="123"/>
      <c r="AML7" s="123"/>
      <c r="AMM7" s="123"/>
    </row>
    <row r="8" spans="1:1029" ht="26.25" customHeight="1" thickTop="1" x14ac:dyDescent="0.3">
      <c r="A8" s="676"/>
      <c r="B8" s="636"/>
      <c r="C8" s="665"/>
      <c r="D8" s="667"/>
      <c r="E8" s="658"/>
      <c r="F8" s="632"/>
      <c r="G8" s="632"/>
      <c r="H8" s="632"/>
      <c r="I8" s="627"/>
      <c r="J8" s="630"/>
      <c r="K8" s="650" t="s">
        <v>85</v>
      </c>
      <c r="L8" s="637" t="s">
        <v>202</v>
      </c>
      <c r="M8" s="637" t="s">
        <v>202</v>
      </c>
      <c r="N8" s="637" t="s">
        <v>202</v>
      </c>
      <c r="O8" s="637" t="s">
        <v>202</v>
      </c>
      <c r="P8" s="637" t="s">
        <v>202</v>
      </c>
      <c r="Q8" s="637" t="s">
        <v>202</v>
      </c>
      <c r="R8" s="637" t="s">
        <v>202</v>
      </c>
      <c r="S8" s="637" t="s">
        <v>202</v>
      </c>
      <c r="T8" s="637" t="s">
        <v>202</v>
      </c>
      <c r="U8" s="637" t="s">
        <v>202</v>
      </c>
      <c r="V8" s="637" t="s">
        <v>202</v>
      </c>
      <c r="W8" s="637" t="s">
        <v>202</v>
      </c>
      <c r="X8" s="637" t="s">
        <v>202</v>
      </c>
      <c r="Y8" s="637" t="s">
        <v>202</v>
      </c>
      <c r="Z8" s="637" t="s">
        <v>202</v>
      </c>
      <c r="AA8" s="637" t="s">
        <v>202</v>
      </c>
      <c r="AB8" s="637" t="s">
        <v>202</v>
      </c>
      <c r="AC8" s="637" t="s">
        <v>202</v>
      </c>
      <c r="AD8" s="637" t="s">
        <v>202</v>
      </c>
      <c r="AE8" s="637" t="s">
        <v>202</v>
      </c>
      <c r="AF8" s="637" t="s">
        <v>202</v>
      </c>
      <c r="AG8" s="637" t="s">
        <v>202</v>
      </c>
      <c r="AH8" s="637" t="s">
        <v>202</v>
      </c>
      <c r="AI8" s="637" t="s">
        <v>202</v>
      </c>
      <c r="AJ8" s="637" t="s">
        <v>202</v>
      </c>
      <c r="AK8" s="637" t="s">
        <v>202</v>
      </c>
      <c r="AL8" s="637" t="s">
        <v>202</v>
      </c>
      <c r="AM8" s="637" t="s">
        <v>202</v>
      </c>
      <c r="AN8" s="637" t="s">
        <v>202</v>
      </c>
      <c r="AO8" s="637" t="s">
        <v>202</v>
      </c>
      <c r="AP8" s="637" t="s">
        <v>202</v>
      </c>
      <c r="AQ8" s="637" t="s">
        <v>202</v>
      </c>
      <c r="AR8" s="637" t="s">
        <v>202</v>
      </c>
      <c r="AS8" s="637" t="s">
        <v>202</v>
      </c>
      <c r="AT8" s="637" t="s">
        <v>202</v>
      </c>
      <c r="AU8" s="637" t="s">
        <v>202</v>
      </c>
      <c r="AV8" s="637" t="s">
        <v>202</v>
      </c>
      <c r="AW8" s="637" t="s">
        <v>202</v>
      </c>
      <c r="AX8" s="637" t="s">
        <v>202</v>
      </c>
      <c r="AY8" s="637" t="s">
        <v>202</v>
      </c>
      <c r="AZ8" s="637" t="s">
        <v>202</v>
      </c>
      <c r="BA8" s="637" t="s">
        <v>202</v>
      </c>
      <c r="BB8" s="637" t="s">
        <v>202</v>
      </c>
      <c r="BC8" s="637" t="s">
        <v>202</v>
      </c>
      <c r="BD8" s="637" t="s">
        <v>202</v>
      </c>
      <c r="BE8" s="637" t="s">
        <v>202</v>
      </c>
      <c r="BF8" s="637" t="s">
        <v>202</v>
      </c>
      <c r="BG8" s="637" t="s">
        <v>202</v>
      </c>
      <c r="BH8" s="637" t="s">
        <v>202</v>
      </c>
      <c r="BI8" s="637" t="s">
        <v>202</v>
      </c>
      <c r="BJ8" s="637" t="s">
        <v>202</v>
      </c>
      <c r="BK8" s="637" t="s">
        <v>202</v>
      </c>
      <c r="BL8" s="637" t="s">
        <v>202</v>
      </c>
      <c r="BM8" s="637" t="s">
        <v>202</v>
      </c>
      <c r="BN8" s="637" t="s">
        <v>202</v>
      </c>
      <c r="BO8" s="637" t="s">
        <v>202</v>
      </c>
      <c r="BP8" s="637" t="s">
        <v>202</v>
      </c>
      <c r="BQ8" s="637" t="s">
        <v>202</v>
      </c>
      <c r="BR8" s="637" t="s">
        <v>202</v>
      </c>
      <c r="BS8" s="637" t="s">
        <v>202</v>
      </c>
      <c r="BT8" s="637" t="s">
        <v>202</v>
      </c>
      <c r="BU8" s="637" t="s">
        <v>202</v>
      </c>
      <c r="BV8" s="637" t="s">
        <v>202</v>
      </c>
      <c r="BW8" s="637" t="s">
        <v>202</v>
      </c>
      <c r="BX8" s="637" t="s">
        <v>202</v>
      </c>
      <c r="BY8" s="637" t="s">
        <v>202</v>
      </c>
      <c r="BZ8" s="637" t="s">
        <v>202</v>
      </c>
      <c r="CA8" s="637" t="s">
        <v>202</v>
      </c>
      <c r="CB8" s="637" t="s">
        <v>202</v>
      </c>
      <c r="CC8" s="637" t="s">
        <v>202</v>
      </c>
      <c r="CD8" s="637" t="s">
        <v>202</v>
      </c>
      <c r="CE8" s="637" t="s">
        <v>202</v>
      </c>
      <c r="CF8" s="637" t="s">
        <v>202</v>
      </c>
      <c r="CG8" s="637" t="s">
        <v>202</v>
      </c>
      <c r="CH8" s="637" t="s">
        <v>202</v>
      </c>
      <c r="CI8" s="637" t="s">
        <v>202</v>
      </c>
      <c r="CJ8" s="637" t="s">
        <v>202</v>
      </c>
      <c r="CK8" s="637" t="s">
        <v>202</v>
      </c>
      <c r="CL8" s="637" t="s">
        <v>202</v>
      </c>
      <c r="CM8" s="637" t="s">
        <v>202</v>
      </c>
      <c r="CN8" s="637" t="s">
        <v>202</v>
      </c>
      <c r="CO8" s="637" t="s">
        <v>202</v>
      </c>
      <c r="CP8" s="637" t="s">
        <v>202</v>
      </c>
      <c r="CQ8" s="637" t="s">
        <v>202</v>
      </c>
      <c r="CR8" s="637" t="s">
        <v>202</v>
      </c>
      <c r="CS8" s="637" t="s">
        <v>202</v>
      </c>
      <c r="CT8" s="637" t="s">
        <v>202</v>
      </c>
      <c r="CU8" s="637" t="s">
        <v>202</v>
      </c>
      <c r="CV8" s="637" t="s">
        <v>202</v>
      </c>
      <c r="CW8" s="637" t="s">
        <v>202</v>
      </c>
      <c r="CX8" s="637" t="s">
        <v>202</v>
      </c>
      <c r="CY8" s="637" t="s">
        <v>202</v>
      </c>
      <c r="CZ8" s="637" t="s">
        <v>202</v>
      </c>
      <c r="DA8" s="637" t="s">
        <v>202</v>
      </c>
      <c r="DB8" s="637" t="s">
        <v>202</v>
      </c>
      <c r="DC8" s="637" t="s">
        <v>202</v>
      </c>
      <c r="DD8" s="637" t="s">
        <v>202</v>
      </c>
      <c r="DE8" s="637" t="s">
        <v>202</v>
      </c>
      <c r="DF8" s="637" t="s">
        <v>202</v>
      </c>
      <c r="DG8" s="637" t="s">
        <v>202</v>
      </c>
      <c r="DH8" s="637" t="s">
        <v>202</v>
      </c>
      <c r="DI8" s="637" t="s">
        <v>202</v>
      </c>
      <c r="DJ8" s="637" t="s">
        <v>202</v>
      </c>
      <c r="DK8" s="637" t="s">
        <v>202</v>
      </c>
      <c r="DL8" s="637" t="s">
        <v>202</v>
      </c>
      <c r="DM8" s="637"/>
      <c r="DN8" s="637"/>
      <c r="DO8" s="637"/>
      <c r="DP8" s="637"/>
      <c r="DQ8" s="637"/>
      <c r="DR8" s="637"/>
      <c r="DS8" s="637"/>
      <c r="DT8" s="637"/>
      <c r="DU8" s="637"/>
      <c r="DV8" s="637"/>
      <c r="DW8" s="637"/>
      <c r="DX8" s="637"/>
      <c r="DY8" s="637"/>
      <c r="DZ8" s="637"/>
      <c r="EA8" s="637"/>
      <c r="EB8" s="637"/>
      <c r="EC8" s="637"/>
      <c r="ED8" s="637"/>
      <c r="EE8" s="637"/>
      <c r="EF8" s="637"/>
      <c r="EG8" s="637"/>
      <c r="EH8" s="637"/>
      <c r="EI8" s="637"/>
      <c r="EJ8" s="637"/>
      <c r="EK8" s="637"/>
      <c r="EL8" s="637"/>
      <c r="EM8" s="637"/>
      <c r="EN8" s="637"/>
      <c r="EO8" s="637"/>
      <c r="EP8" s="648" t="s">
        <v>202</v>
      </c>
      <c r="EQ8" s="647" t="s">
        <v>32</v>
      </c>
      <c r="ER8" s="637" t="s">
        <v>203</v>
      </c>
      <c r="ES8" s="637" t="s">
        <v>203</v>
      </c>
      <c r="ET8" s="637" t="s">
        <v>203</v>
      </c>
      <c r="EU8" s="637" t="s">
        <v>203</v>
      </c>
      <c r="EV8" s="637" t="s">
        <v>203</v>
      </c>
      <c r="EW8" s="637" t="s">
        <v>203</v>
      </c>
      <c r="EX8" s="637" t="s">
        <v>203</v>
      </c>
      <c r="EY8" s="637" t="s">
        <v>203</v>
      </c>
      <c r="EZ8" s="637" t="s">
        <v>203</v>
      </c>
      <c r="FA8" s="637" t="s">
        <v>203</v>
      </c>
      <c r="FB8" s="637" t="s">
        <v>203</v>
      </c>
      <c r="FC8" s="637" t="s">
        <v>203</v>
      </c>
      <c r="FD8" s="637" t="s">
        <v>203</v>
      </c>
      <c r="FE8" s="637" t="s">
        <v>203</v>
      </c>
      <c r="FF8" s="637" t="s">
        <v>203</v>
      </c>
      <c r="FG8" s="637" t="s">
        <v>203</v>
      </c>
      <c r="FH8" s="637" t="s">
        <v>203</v>
      </c>
      <c r="FI8" s="637" t="s">
        <v>203</v>
      </c>
      <c r="FJ8" s="637" t="s">
        <v>203</v>
      </c>
      <c r="FK8" s="637" t="s">
        <v>203</v>
      </c>
      <c r="FL8" s="637" t="s">
        <v>203</v>
      </c>
      <c r="FM8" s="637" t="s">
        <v>203</v>
      </c>
      <c r="FN8" s="637" t="s">
        <v>203</v>
      </c>
      <c r="FO8" s="637" t="s">
        <v>203</v>
      </c>
      <c r="FP8" s="637" t="s">
        <v>203</v>
      </c>
      <c r="FQ8" s="637" t="s">
        <v>203</v>
      </c>
      <c r="FR8" s="637" t="s">
        <v>203</v>
      </c>
      <c r="FS8" s="637" t="s">
        <v>203</v>
      </c>
      <c r="FT8" s="637" t="s">
        <v>203</v>
      </c>
      <c r="FU8" s="637" t="s">
        <v>203</v>
      </c>
      <c r="FV8" s="637" t="s">
        <v>203</v>
      </c>
      <c r="FW8" s="637" t="s">
        <v>203</v>
      </c>
      <c r="FX8" s="637" t="s">
        <v>203</v>
      </c>
      <c r="FY8" s="637" t="s">
        <v>203</v>
      </c>
      <c r="FZ8" s="637" t="s">
        <v>203</v>
      </c>
      <c r="GA8" s="637" t="s">
        <v>203</v>
      </c>
      <c r="GB8" s="637" t="s">
        <v>203</v>
      </c>
      <c r="GC8" s="637" t="s">
        <v>203</v>
      </c>
      <c r="GD8" s="637" t="s">
        <v>203</v>
      </c>
      <c r="GE8" s="637" t="s">
        <v>203</v>
      </c>
      <c r="GF8" s="637" t="s">
        <v>203</v>
      </c>
      <c r="GG8" s="637" t="s">
        <v>203</v>
      </c>
      <c r="GH8" s="637" t="s">
        <v>203</v>
      </c>
      <c r="GI8" s="637" t="s">
        <v>203</v>
      </c>
      <c r="GJ8" s="637" t="s">
        <v>203</v>
      </c>
      <c r="GK8" s="637" t="s">
        <v>203</v>
      </c>
      <c r="GL8" s="637" t="s">
        <v>203</v>
      </c>
      <c r="GM8" s="637" t="s">
        <v>203</v>
      </c>
      <c r="GN8" s="637" t="s">
        <v>203</v>
      </c>
      <c r="GO8" s="637" t="s">
        <v>203</v>
      </c>
      <c r="GP8" s="637" t="s">
        <v>203</v>
      </c>
      <c r="GQ8" s="637" t="s">
        <v>203</v>
      </c>
      <c r="GR8" s="637" t="s">
        <v>203</v>
      </c>
      <c r="GS8" s="637" t="s">
        <v>203</v>
      </c>
      <c r="GT8" s="637" t="s">
        <v>203</v>
      </c>
      <c r="GU8" s="637" t="s">
        <v>203</v>
      </c>
      <c r="GV8" s="637" t="s">
        <v>203</v>
      </c>
      <c r="GW8" s="637" t="s">
        <v>203</v>
      </c>
      <c r="GX8" s="637" t="s">
        <v>203</v>
      </c>
      <c r="GY8" s="637" t="s">
        <v>203</v>
      </c>
      <c r="GZ8" s="637" t="s">
        <v>203</v>
      </c>
      <c r="HA8" s="637" t="s">
        <v>203</v>
      </c>
      <c r="HB8" s="637" t="s">
        <v>203</v>
      </c>
      <c r="HC8" s="637" t="s">
        <v>203</v>
      </c>
      <c r="HD8" s="637" t="s">
        <v>203</v>
      </c>
      <c r="HE8" s="637" t="s">
        <v>203</v>
      </c>
      <c r="HF8" s="637" t="s">
        <v>203</v>
      </c>
      <c r="HG8" s="637" t="s">
        <v>203</v>
      </c>
      <c r="HH8" s="637" t="s">
        <v>203</v>
      </c>
      <c r="HI8" s="637" t="s">
        <v>203</v>
      </c>
      <c r="HJ8" s="637" t="s">
        <v>203</v>
      </c>
      <c r="HK8" s="637" t="s">
        <v>203</v>
      </c>
      <c r="HL8" s="637" t="s">
        <v>203</v>
      </c>
      <c r="HM8" s="637" t="s">
        <v>203</v>
      </c>
      <c r="HN8" s="637" t="s">
        <v>203</v>
      </c>
      <c r="HO8" s="637" t="s">
        <v>203</v>
      </c>
      <c r="HP8" s="637" t="s">
        <v>203</v>
      </c>
      <c r="HQ8" s="637" t="s">
        <v>203</v>
      </c>
      <c r="HR8" s="637" t="s">
        <v>203</v>
      </c>
      <c r="HS8" s="637" t="s">
        <v>203</v>
      </c>
      <c r="HT8" s="637" t="s">
        <v>203</v>
      </c>
      <c r="HU8" s="637" t="s">
        <v>203</v>
      </c>
      <c r="HV8" s="637" t="s">
        <v>203</v>
      </c>
      <c r="HW8" s="637" t="s">
        <v>203</v>
      </c>
      <c r="HX8" s="637" t="s">
        <v>203</v>
      </c>
      <c r="HY8" s="637" t="s">
        <v>203</v>
      </c>
      <c r="HZ8" s="637" t="s">
        <v>203</v>
      </c>
      <c r="IA8" s="637" t="s">
        <v>203</v>
      </c>
      <c r="IB8" s="637" t="s">
        <v>203</v>
      </c>
      <c r="IC8" s="637" t="s">
        <v>203</v>
      </c>
      <c r="ID8" s="637" t="s">
        <v>203</v>
      </c>
      <c r="IE8" s="637" t="s">
        <v>203</v>
      </c>
      <c r="IF8" s="637" t="s">
        <v>203</v>
      </c>
      <c r="IG8" s="637" t="s">
        <v>203</v>
      </c>
      <c r="IH8" s="637" t="s">
        <v>203</v>
      </c>
      <c r="II8" s="637" t="s">
        <v>203</v>
      </c>
      <c r="IJ8" s="637" t="s">
        <v>203</v>
      </c>
      <c r="IK8" s="637" t="s">
        <v>203</v>
      </c>
      <c r="IL8" s="637" t="s">
        <v>203</v>
      </c>
      <c r="IM8" s="637" t="s">
        <v>203</v>
      </c>
      <c r="IN8" s="637" t="s">
        <v>203</v>
      </c>
      <c r="IO8" s="637" t="s">
        <v>203</v>
      </c>
      <c r="IP8" s="637" t="s">
        <v>203</v>
      </c>
      <c r="IQ8" s="637" t="s">
        <v>203</v>
      </c>
      <c r="IR8" s="637" t="s">
        <v>203</v>
      </c>
      <c r="IS8" s="637"/>
      <c r="IT8" s="637"/>
      <c r="IU8" s="637"/>
      <c r="IV8" s="637"/>
      <c r="IW8" s="637"/>
      <c r="IX8" s="637"/>
      <c r="IY8" s="637"/>
      <c r="IZ8" s="637"/>
      <c r="JA8" s="637"/>
      <c r="JB8" s="637"/>
      <c r="JC8" s="637"/>
      <c r="JD8" s="637"/>
      <c r="JE8" s="637"/>
      <c r="JF8" s="637"/>
      <c r="JG8" s="637"/>
      <c r="JH8" s="637"/>
      <c r="JI8" s="637"/>
      <c r="JJ8" s="637"/>
      <c r="JK8" s="637"/>
      <c r="JL8" s="637"/>
      <c r="JM8" s="637"/>
      <c r="JN8" s="637"/>
      <c r="JO8" s="637"/>
      <c r="JP8" s="637"/>
      <c r="JQ8" s="637"/>
      <c r="JR8" s="637"/>
      <c r="JS8" s="637"/>
      <c r="JT8" s="637"/>
      <c r="JU8" s="637"/>
      <c r="JV8" s="648" t="s">
        <v>203</v>
      </c>
      <c r="JW8" s="647" t="s">
        <v>51</v>
      </c>
      <c r="JX8" s="637" t="s">
        <v>204</v>
      </c>
      <c r="JY8" s="637" t="s">
        <v>204</v>
      </c>
      <c r="JZ8" s="637" t="s">
        <v>204</v>
      </c>
      <c r="KA8" s="637" t="s">
        <v>204</v>
      </c>
      <c r="KB8" s="637" t="s">
        <v>204</v>
      </c>
      <c r="KC8" s="637" t="s">
        <v>204</v>
      </c>
      <c r="KD8" s="637" t="s">
        <v>204</v>
      </c>
      <c r="KE8" s="637" t="s">
        <v>204</v>
      </c>
      <c r="KF8" s="637" t="s">
        <v>204</v>
      </c>
      <c r="KG8" s="637" t="s">
        <v>204</v>
      </c>
      <c r="KH8" s="637" t="s">
        <v>204</v>
      </c>
      <c r="KI8" s="637" t="s">
        <v>204</v>
      </c>
      <c r="KJ8" s="637" t="s">
        <v>204</v>
      </c>
      <c r="KK8" s="637" t="s">
        <v>204</v>
      </c>
      <c r="KL8" s="637" t="s">
        <v>204</v>
      </c>
      <c r="KM8" s="637" t="s">
        <v>204</v>
      </c>
      <c r="KN8" s="637" t="s">
        <v>204</v>
      </c>
      <c r="KO8" s="637" t="s">
        <v>204</v>
      </c>
      <c r="KP8" s="637" t="s">
        <v>204</v>
      </c>
      <c r="KQ8" s="637" t="s">
        <v>204</v>
      </c>
      <c r="KR8" s="637" t="s">
        <v>204</v>
      </c>
      <c r="KS8" s="637" t="s">
        <v>204</v>
      </c>
      <c r="KT8" s="637" t="s">
        <v>204</v>
      </c>
      <c r="KU8" s="637" t="s">
        <v>204</v>
      </c>
      <c r="KV8" s="637" t="s">
        <v>204</v>
      </c>
      <c r="KW8" s="637" t="s">
        <v>204</v>
      </c>
      <c r="KX8" s="637" t="s">
        <v>204</v>
      </c>
      <c r="KY8" s="637" t="s">
        <v>204</v>
      </c>
      <c r="KZ8" s="637" t="s">
        <v>204</v>
      </c>
      <c r="LA8" s="637" t="s">
        <v>204</v>
      </c>
      <c r="LB8" s="637" t="s">
        <v>204</v>
      </c>
      <c r="LC8" s="637" t="s">
        <v>204</v>
      </c>
      <c r="LD8" s="637" t="s">
        <v>204</v>
      </c>
      <c r="LE8" s="637" t="s">
        <v>204</v>
      </c>
      <c r="LF8" s="637" t="s">
        <v>204</v>
      </c>
      <c r="LG8" s="637" t="s">
        <v>204</v>
      </c>
      <c r="LH8" s="637" t="s">
        <v>204</v>
      </c>
      <c r="LI8" s="637" t="s">
        <v>204</v>
      </c>
      <c r="LJ8" s="637" t="s">
        <v>204</v>
      </c>
      <c r="LK8" s="637" t="s">
        <v>204</v>
      </c>
      <c r="LL8" s="637" t="s">
        <v>204</v>
      </c>
      <c r="LM8" s="637" t="s">
        <v>204</v>
      </c>
      <c r="LN8" s="637" t="s">
        <v>204</v>
      </c>
      <c r="LO8" s="637" t="s">
        <v>204</v>
      </c>
      <c r="LP8" s="637" t="s">
        <v>204</v>
      </c>
      <c r="LQ8" s="637" t="s">
        <v>204</v>
      </c>
      <c r="LR8" s="637" t="s">
        <v>204</v>
      </c>
      <c r="LS8" s="637" t="s">
        <v>204</v>
      </c>
      <c r="LT8" s="637" t="s">
        <v>204</v>
      </c>
      <c r="LU8" s="637" t="s">
        <v>204</v>
      </c>
      <c r="LV8" s="637" t="s">
        <v>204</v>
      </c>
      <c r="LW8" s="637" t="s">
        <v>204</v>
      </c>
      <c r="LX8" s="637" t="s">
        <v>204</v>
      </c>
      <c r="LY8" s="637" t="s">
        <v>204</v>
      </c>
      <c r="LZ8" s="637" t="s">
        <v>204</v>
      </c>
      <c r="MA8" s="637" t="s">
        <v>204</v>
      </c>
      <c r="MB8" s="637" t="s">
        <v>204</v>
      </c>
      <c r="MC8" s="637" t="s">
        <v>204</v>
      </c>
      <c r="MD8" s="637" t="s">
        <v>204</v>
      </c>
      <c r="ME8" s="637" t="s">
        <v>204</v>
      </c>
      <c r="MF8" s="637" t="s">
        <v>204</v>
      </c>
      <c r="MG8" s="637" t="s">
        <v>204</v>
      </c>
      <c r="MH8" s="637" t="s">
        <v>204</v>
      </c>
      <c r="MI8" s="637" t="s">
        <v>204</v>
      </c>
      <c r="MJ8" s="637" t="s">
        <v>204</v>
      </c>
      <c r="MK8" s="637" t="s">
        <v>204</v>
      </c>
      <c r="ML8" s="637" t="s">
        <v>204</v>
      </c>
      <c r="MM8" s="637" t="s">
        <v>204</v>
      </c>
      <c r="MN8" s="637" t="s">
        <v>204</v>
      </c>
      <c r="MO8" s="637" t="s">
        <v>204</v>
      </c>
      <c r="MP8" s="637" t="s">
        <v>204</v>
      </c>
      <c r="MQ8" s="637" t="s">
        <v>204</v>
      </c>
      <c r="MR8" s="637" t="s">
        <v>204</v>
      </c>
      <c r="MS8" s="637" t="s">
        <v>204</v>
      </c>
      <c r="MT8" s="637" t="s">
        <v>204</v>
      </c>
      <c r="MU8" s="637" t="s">
        <v>204</v>
      </c>
      <c r="MV8" s="637" t="s">
        <v>204</v>
      </c>
      <c r="MW8" s="637" t="s">
        <v>204</v>
      </c>
      <c r="MX8" s="637" t="s">
        <v>204</v>
      </c>
      <c r="MY8" s="637" t="s">
        <v>204</v>
      </c>
      <c r="MZ8" s="637" t="s">
        <v>204</v>
      </c>
      <c r="NA8" s="637" t="s">
        <v>204</v>
      </c>
      <c r="NB8" s="637" t="s">
        <v>204</v>
      </c>
      <c r="NC8" s="637" t="s">
        <v>204</v>
      </c>
      <c r="ND8" s="637" t="s">
        <v>204</v>
      </c>
      <c r="NE8" s="637" t="s">
        <v>204</v>
      </c>
      <c r="NF8" s="637" t="s">
        <v>204</v>
      </c>
      <c r="NG8" s="637" t="s">
        <v>204</v>
      </c>
      <c r="NH8" s="637" t="s">
        <v>204</v>
      </c>
      <c r="NI8" s="637" t="s">
        <v>204</v>
      </c>
      <c r="NJ8" s="637" t="s">
        <v>204</v>
      </c>
      <c r="NK8" s="637" t="s">
        <v>204</v>
      </c>
      <c r="NL8" s="637" t="s">
        <v>204</v>
      </c>
      <c r="NM8" s="637" t="s">
        <v>204</v>
      </c>
      <c r="NN8" s="637" t="s">
        <v>204</v>
      </c>
      <c r="NO8" s="637" t="s">
        <v>204</v>
      </c>
      <c r="NP8" s="637" t="s">
        <v>204</v>
      </c>
      <c r="NQ8" s="637" t="s">
        <v>204</v>
      </c>
      <c r="NR8" s="637" t="s">
        <v>204</v>
      </c>
      <c r="NS8" s="637" t="s">
        <v>204</v>
      </c>
      <c r="NT8" s="637" t="s">
        <v>204</v>
      </c>
      <c r="NU8" s="637" t="s">
        <v>204</v>
      </c>
      <c r="NV8" s="637" t="s">
        <v>204</v>
      </c>
      <c r="NW8" s="637" t="s">
        <v>204</v>
      </c>
      <c r="NX8" s="637" t="s">
        <v>204</v>
      </c>
      <c r="NY8" s="637"/>
      <c r="NZ8" s="637"/>
      <c r="OA8" s="637"/>
      <c r="OB8" s="637"/>
      <c r="OC8" s="637"/>
      <c r="OD8" s="637"/>
      <c r="OE8" s="637"/>
      <c r="OF8" s="637"/>
      <c r="OG8" s="637"/>
      <c r="OH8" s="637"/>
      <c r="OI8" s="637"/>
      <c r="OJ8" s="637"/>
      <c r="OK8" s="637"/>
      <c r="OL8" s="637"/>
      <c r="OM8" s="637"/>
      <c r="ON8" s="637"/>
      <c r="OO8" s="637"/>
      <c r="OP8" s="637"/>
      <c r="OQ8" s="637"/>
      <c r="OR8" s="637"/>
      <c r="OS8" s="637"/>
      <c r="OT8" s="637"/>
      <c r="OU8" s="637"/>
      <c r="OV8" s="637"/>
      <c r="OW8" s="637"/>
      <c r="OX8" s="637"/>
      <c r="OY8" s="637"/>
      <c r="OZ8" s="637"/>
      <c r="PA8" s="637"/>
      <c r="PB8" s="648" t="s">
        <v>204</v>
      </c>
      <c r="PC8" s="647" t="s">
        <v>186</v>
      </c>
      <c r="PD8" s="637" t="s">
        <v>200</v>
      </c>
      <c r="PE8" s="637" t="s">
        <v>200</v>
      </c>
      <c r="PF8" s="637" t="s">
        <v>200</v>
      </c>
      <c r="PG8" s="637" t="s">
        <v>200</v>
      </c>
      <c r="PH8" s="637" t="s">
        <v>200</v>
      </c>
      <c r="PI8" s="637" t="s">
        <v>200</v>
      </c>
      <c r="PJ8" s="637" t="s">
        <v>200</v>
      </c>
      <c r="PK8" s="637" t="s">
        <v>200</v>
      </c>
      <c r="PL8" s="637" t="s">
        <v>200</v>
      </c>
      <c r="PM8" s="637" t="s">
        <v>200</v>
      </c>
      <c r="PN8" s="637" t="s">
        <v>200</v>
      </c>
      <c r="PO8" s="637" t="s">
        <v>200</v>
      </c>
      <c r="PP8" s="637" t="s">
        <v>200</v>
      </c>
      <c r="PQ8" s="637" t="s">
        <v>200</v>
      </c>
      <c r="PR8" s="637" t="s">
        <v>200</v>
      </c>
      <c r="PS8" s="637" t="s">
        <v>200</v>
      </c>
      <c r="PT8" s="637" t="s">
        <v>200</v>
      </c>
      <c r="PU8" s="637" t="s">
        <v>200</v>
      </c>
      <c r="PV8" s="637" t="s">
        <v>200</v>
      </c>
      <c r="PW8" s="637" t="s">
        <v>200</v>
      </c>
      <c r="PX8" s="637" t="s">
        <v>200</v>
      </c>
      <c r="PY8" s="637" t="s">
        <v>200</v>
      </c>
      <c r="PZ8" s="637" t="s">
        <v>200</v>
      </c>
      <c r="QA8" s="637" t="s">
        <v>200</v>
      </c>
      <c r="QB8" s="637" t="s">
        <v>200</v>
      </c>
      <c r="QC8" s="637" t="s">
        <v>200</v>
      </c>
      <c r="QD8" s="637" t="s">
        <v>200</v>
      </c>
      <c r="QE8" s="637" t="s">
        <v>200</v>
      </c>
      <c r="QF8" s="637" t="s">
        <v>200</v>
      </c>
      <c r="QG8" s="637" t="s">
        <v>200</v>
      </c>
      <c r="QH8" s="637" t="s">
        <v>200</v>
      </c>
      <c r="QI8" s="637" t="s">
        <v>200</v>
      </c>
      <c r="QJ8" s="637" t="s">
        <v>200</v>
      </c>
      <c r="QK8" s="637" t="s">
        <v>200</v>
      </c>
      <c r="QL8" s="637" t="s">
        <v>200</v>
      </c>
      <c r="QM8" s="637" t="s">
        <v>200</v>
      </c>
      <c r="QN8" s="637" t="s">
        <v>200</v>
      </c>
      <c r="QO8" s="637" t="s">
        <v>200</v>
      </c>
      <c r="QP8" s="637" t="s">
        <v>200</v>
      </c>
      <c r="QQ8" s="637" t="s">
        <v>200</v>
      </c>
      <c r="QR8" s="637" t="s">
        <v>200</v>
      </c>
      <c r="QS8" s="637" t="s">
        <v>200</v>
      </c>
      <c r="QT8" s="637" t="s">
        <v>200</v>
      </c>
      <c r="QU8" s="637" t="s">
        <v>200</v>
      </c>
      <c r="QV8" s="637" t="s">
        <v>200</v>
      </c>
      <c r="QW8" s="637" t="s">
        <v>200</v>
      </c>
      <c r="QX8" s="637" t="s">
        <v>200</v>
      </c>
      <c r="QY8" s="637" t="s">
        <v>200</v>
      </c>
      <c r="QZ8" s="637" t="s">
        <v>200</v>
      </c>
      <c r="RA8" s="637" t="s">
        <v>200</v>
      </c>
      <c r="RB8" s="637" t="s">
        <v>200</v>
      </c>
      <c r="RC8" s="637" t="s">
        <v>200</v>
      </c>
      <c r="RD8" s="637" t="s">
        <v>200</v>
      </c>
      <c r="RE8" s="637" t="s">
        <v>200</v>
      </c>
      <c r="RF8" s="637" t="s">
        <v>200</v>
      </c>
      <c r="RG8" s="637" t="s">
        <v>200</v>
      </c>
      <c r="RH8" s="637" t="s">
        <v>200</v>
      </c>
      <c r="RI8" s="637" t="s">
        <v>200</v>
      </c>
      <c r="RJ8" s="637" t="s">
        <v>200</v>
      </c>
      <c r="RK8" s="637" t="s">
        <v>200</v>
      </c>
      <c r="RL8" s="637" t="s">
        <v>200</v>
      </c>
      <c r="RM8" s="637" t="s">
        <v>200</v>
      </c>
      <c r="RN8" s="637" t="s">
        <v>200</v>
      </c>
      <c r="RO8" s="637" t="s">
        <v>200</v>
      </c>
      <c r="RP8" s="637" t="s">
        <v>200</v>
      </c>
      <c r="RQ8" s="637" t="s">
        <v>200</v>
      </c>
      <c r="RR8" s="637" t="s">
        <v>200</v>
      </c>
      <c r="RS8" s="637" t="s">
        <v>200</v>
      </c>
      <c r="RT8" s="637" t="s">
        <v>200</v>
      </c>
      <c r="RU8" s="637" t="s">
        <v>200</v>
      </c>
      <c r="RV8" s="637" t="s">
        <v>200</v>
      </c>
      <c r="RW8" s="637" t="s">
        <v>200</v>
      </c>
      <c r="RX8" s="637" t="s">
        <v>200</v>
      </c>
      <c r="RY8" s="637" t="s">
        <v>200</v>
      </c>
      <c r="RZ8" s="637" t="s">
        <v>200</v>
      </c>
      <c r="SA8" s="637" t="s">
        <v>200</v>
      </c>
      <c r="SB8" s="637" t="s">
        <v>200</v>
      </c>
      <c r="SC8" s="637" t="s">
        <v>200</v>
      </c>
      <c r="SD8" s="637" t="s">
        <v>200</v>
      </c>
      <c r="SE8" s="637" t="s">
        <v>200</v>
      </c>
      <c r="SF8" s="637" t="s">
        <v>200</v>
      </c>
      <c r="SG8" s="637" t="s">
        <v>200</v>
      </c>
      <c r="SH8" s="637" t="s">
        <v>200</v>
      </c>
      <c r="SI8" s="637" t="s">
        <v>200</v>
      </c>
      <c r="SJ8" s="637" t="s">
        <v>200</v>
      </c>
      <c r="SK8" s="637" t="s">
        <v>200</v>
      </c>
      <c r="SL8" s="637" t="s">
        <v>200</v>
      </c>
      <c r="SM8" s="637" t="s">
        <v>200</v>
      </c>
      <c r="SN8" s="637" t="s">
        <v>200</v>
      </c>
      <c r="SO8" s="637" t="s">
        <v>200</v>
      </c>
      <c r="SP8" s="637" t="s">
        <v>200</v>
      </c>
      <c r="SQ8" s="637" t="s">
        <v>200</v>
      </c>
      <c r="SR8" s="637" t="s">
        <v>200</v>
      </c>
      <c r="SS8" s="637" t="s">
        <v>200</v>
      </c>
      <c r="ST8" s="637" t="s">
        <v>200</v>
      </c>
      <c r="SU8" s="637" t="s">
        <v>200</v>
      </c>
      <c r="SV8" s="637" t="s">
        <v>200</v>
      </c>
      <c r="SW8" s="637" t="s">
        <v>200</v>
      </c>
      <c r="SX8" s="637" t="s">
        <v>200</v>
      </c>
      <c r="SY8" s="637" t="s">
        <v>200</v>
      </c>
      <c r="SZ8" s="637" t="s">
        <v>200</v>
      </c>
      <c r="TA8" s="637" t="s">
        <v>200</v>
      </c>
      <c r="TB8" s="637" t="s">
        <v>200</v>
      </c>
      <c r="TC8" s="637" t="s">
        <v>200</v>
      </c>
      <c r="TD8" s="637" t="s">
        <v>200</v>
      </c>
      <c r="TE8" s="637"/>
      <c r="TF8" s="637"/>
      <c r="TG8" s="637"/>
      <c r="TH8" s="637"/>
      <c r="TI8" s="637"/>
      <c r="TJ8" s="637"/>
      <c r="TK8" s="637"/>
      <c r="TL8" s="637"/>
      <c r="TM8" s="637"/>
      <c r="TN8" s="637"/>
      <c r="TO8" s="637"/>
      <c r="TP8" s="637"/>
      <c r="TQ8" s="637"/>
      <c r="TR8" s="637"/>
      <c r="TS8" s="637"/>
      <c r="TT8" s="637"/>
      <c r="TU8" s="637"/>
      <c r="TV8" s="637"/>
      <c r="TW8" s="637"/>
      <c r="TX8" s="637"/>
      <c r="TY8" s="637"/>
      <c r="TZ8" s="637"/>
      <c r="UA8" s="637"/>
      <c r="UB8" s="637"/>
      <c r="UC8" s="637"/>
      <c r="UD8" s="637"/>
      <c r="UE8" s="637"/>
      <c r="UF8" s="637"/>
      <c r="UG8" s="637"/>
      <c r="UH8" s="648" t="s">
        <v>200</v>
      </c>
      <c r="UI8" s="646" t="s">
        <v>33</v>
      </c>
      <c r="UJ8" s="649"/>
      <c r="UK8" s="649"/>
      <c r="UL8" s="649"/>
      <c r="UM8" s="649"/>
      <c r="UN8" s="649"/>
      <c r="UO8" s="649"/>
      <c r="UP8" s="649"/>
      <c r="UQ8" s="649"/>
      <c r="UR8" s="649"/>
      <c r="US8" s="649"/>
      <c r="UT8" s="649"/>
      <c r="UU8" s="649"/>
      <c r="UV8" s="649"/>
      <c r="UW8" s="649"/>
      <c r="UX8" s="649"/>
      <c r="UY8" s="649"/>
      <c r="UZ8" s="649"/>
      <c r="VA8" s="649"/>
      <c r="VB8" s="646" t="s">
        <v>34</v>
      </c>
      <c r="VC8" s="646"/>
      <c r="VD8" s="646"/>
      <c r="VE8" s="646"/>
      <c r="VF8" s="646"/>
      <c r="VG8" s="646"/>
      <c r="VH8" s="646"/>
      <c r="VI8" s="646"/>
      <c r="VJ8" s="646"/>
      <c r="VK8" s="646"/>
      <c r="VL8" s="646"/>
      <c r="VM8" s="646"/>
      <c r="VN8" s="646"/>
      <c r="VO8" s="646"/>
      <c r="VP8" s="646"/>
      <c r="VQ8" s="646"/>
      <c r="VR8" s="646"/>
      <c r="VS8" s="646"/>
      <c r="VT8" s="646"/>
      <c r="VU8" s="646"/>
      <c r="VV8" s="646"/>
      <c r="VW8" s="646"/>
      <c r="VX8" s="646"/>
      <c r="VY8" s="647" t="s">
        <v>35</v>
      </c>
      <c r="VZ8" s="637" t="s">
        <v>205</v>
      </c>
      <c r="WA8" s="637" t="s">
        <v>205</v>
      </c>
      <c r="WB8" s="637" t="s">
        <v>205</v>
      </c>
      <c r="WC8" s="637" t="s">
        <v>205</v>
      </c>
      <c r="WD8" s="637" t="s">
        <v>205</v>
      </c>
      <c r="WE8" s="637" t="s">
        <v>205</v>
      </c>
      <c r="WF8" s="637" t="s">
        <v>205</v>
      </c>
      <c r="WG8" s="637" t="s">
        <v>205</v>
      </c>
      <c r="WH8" s="637" t="s">
        <v>205</v>
      </c>
      <c r="WI8" s="637" t="s">
        <v>205</v>
      </c>
      <c r="WJ8" s="637" t="s">
        <v>205</v>
      </c>
      <c r="WK8" s="637" t="s">
        <v>205</v>
      </c>
      <c r="WL8" s="637" t="s">
        <v>205</v>
      </c>
      <c r="WM8" s="637" t="s">
        <v>205</v>
      </c>
      <c r="WN8" s="637" t="s">
        <v>205</v>
      </c>
      <c r="WO8" s="637" t="s">
        <v>205</v>
      </c>
      <c r="WP8" s="637" t="s">
        <v>205</v>
      </c>
      <c r="WQ8" s="637" t="s">
        <v>205</v>
      </c>
      <c r="WR8" s="637" t="s">
        <v>205</v>
      </c>
      <c r="WS8" s="637" t="s">
        <v>205</v>
      </c>
      <c r="WT8" s="637" t="s">
        <v>205</v>
      </c>
      <c r="WU8" s="637" t="s">
        <v>205</v>
      </c>
      <c r="WV8" s="637" t="s">
        <v>205</v>
      </c>
      <c r="WW8" s="637" t="s">
        <v>205</v>
      </c>
      <c r="WX8" s="637" t="s">
        <v>205</v>
      </c>
      <c r="WY8" s="637" t="s">
        <v>205</v>
      </c>
      <c r="WZ8" s="637" t="s">
        <v>205</v>
      </c>
      <c r="XA8" s="637" t="s">
        <v>205</v>
      </c>
      <c r="XB8" s="637" t="s">
        <v>205</v>
      </c>
      <c r="XC8" s="637" t="s">
        <v>205</v>
      </c>
      <c r="XD8" s="637" t="s">
        <v>205</v>
      </c>
      <c r="XE8" s="637" t="s">
        <v>205</v>
      </c>
      <c r="XF8" s="637" t="s">
        <v>205</v>
      </c>
      <c r="XG8" s="637" t="s">
        <v>205</v>
      </c>
      <c r="XH8" s="637" t="s">
        <v>205</v>
      </c>
      <c r="XI8" s="637" t="s">
        <v>205</v>
      </c>
      <c r="XJ8" s="637" t="s">
        <v>205</v>
      </c>
      <c r="XK8" s="637" t="s">
        <v>205</v>
      </c>
      <c r="XL8" s="637" t="s">
        <v>205</v>
      </c>
      <c r="XM8" s="637" t="s">
        <v>205</v>
      </c>
      <c r="XN8" s="637" t="s">
        <v>205</v>
      </c>
      <c r="XO8" s="637" t="s">
        <v>205</v>
      </c>
      <c r="XP8" s="637" t="s">
        <v>205</v>
      </c>
      <c r="XQ8" s="637" t="s">
        <v>205</v>
      </c>
      <c r="XR8" s="637" t="s">
        <v>205</v>
      </c>
      <c r="XS8" s="637" t="s">
        <v>205</v>
      </c>
      <c r="XT8" s="637" t="s">
        <v>205</v>
      </c>
      <c r="XU8" s="637" t="s">
        <v>205</v>
      </c>
      <c r="XV8" s="637" t="s">
        <v>205</v>
      </c>
      <c r="XW8" s="637" t="s">
        <v>205</v>
      </c>
      <c r="XX8" s="637" t="s">
        <v>205</v>
      </c>
      <c r="XY8" s="637" t="s">
        <v>205</v>
      </c>
      <c r="XZ8" s="637" t="s">
        <v>205</v>
      </c>
      <c r="YA8" s="637" t="s">
        <v>205</v>
      </c>
      <c r="YB8" s="637" t="s">
        <v>205</v>
      </c>
      <c r="YC8" s="637" t="s">
        <v>205</v>
      </c>
      <c r="YD8" s="637" t="s">
        <v>205</v>
      </c>
      <c r="YE8" s="637" t="s">
        <v>205</v>
      </c>
      <c r="YF8" s="637" t="s">
        <v>205</v>
      </c>
      <c r="YG8" s="637" t="s">
        <v>205</v>
      </c>
      <c r="YH8" s="637" t="s">
        <v>205</v>
      </c>
      <c r="YI8" s="637" t="s">
        <v>205</v>
      </c>
      <c r="YJ8" s="637" t="s">
        <v>205</v>
      </c>
      <c r="YK8" s="637" t="s">
        <v>205</v>
      </c>
      <c r="YL8" s="637" t="s">
        <v>205</v>
      </c>
      <c r="YM8" s="637" t="s">
        <v>205</v>
      </c>
      <c r="YN8" s="637" t="s">
        <v>205</v>
      </c>
      <c r="YO8" s="637" t="s">
        <v>205</v>
      </c>
      <c r="YP8" s="637" t="s">
        <v>205</v>
      </c>
      <c r="YQ8" s="637" t="s">
        <v>205</v>
      </c>
      <c r="YR8" s="637" t="s">
        <v>205</v>
      </c>
      <c r="YS8" s="637" t="s">
        <v>205</v>
      </c>
      <c r="YT8" s="637" t="s">
        <v>205</v>
      </c>
      <c r="YU8" s="637" t="s">
        <v>205</v>
      </c>
      <c r="YV8" s="637" t="s">
        <v>205</v>
      </c>
      <c r="YW8" s="637" t="s">
        <v>205</v>
      </c>
      <c r="YX8" s="637" t="s">
        <v>205</v>
      </c>
      <c r="YY8" s="637" t="s">
        <v>205</v>
      </c>
      <c r="YZ8" s="637" t="s">
        <v>205</v>
      </c>
      <c r="ZA8" s="637" t="s">
        <v>205</v>
      </c>
      <c r="ZB8" s="637" t="s">
        <v>205</v>
      </c>
      <c r="ZC8" s="637" t="s">
        <v>205</v>
      </c>
      <c r="ZD8" s="637" t="s">
        <v>205</v>
      </c>
      <c r="ZE8" s="637" t="s">
        <v>205</v>
      </c>
      <c r="ZF8" s="637" t="s">
        <v>205</v>
      </c>
      <c r="ZG8" s="637" t="s">
        <v>205</v>
      </c>
      <c r="ZH8" s="637" t="s">
        <v>205</v>
      </c>
      <c r="ZI8" s="637" t="s">
        <v>205</v>
      </c>
      <c r="ZJ8" s="637" t="s">
        <v>205</v>
      </c>
      <c r="ZK8" s="637" t="s">
        <v>205</v>
      </c>
      <c r="ZL8" s="637" t="s">
        <v>205</v>
      </c>
      <c r="ZM8" s="637" t="s">
        <v>205</v>
      </c>
      <c r="ZN8" s="637" t="s">
        <v>205</v>
      </c>
      <c r="ZO8" s="637" t="s">
        <v>205</v>
      </c>
      <c r="ZP8" s="637" t="s">
        <v>205</v>
      </c>
      <c r="ZQ8" s="637" t="s">
        <v>205</v>
      </c>
      <c r="ZR8" s="637" t="s">
        <v>205</v>
      </c>
      <c r="ZS8" s="637" t="s">
        <v>205</v>
      </c>
      <c r="ZT8" s="637" t="s">
        <v>205</v>
      </c>
      <c r="ZU8" s="637" t="s">
        <v>205</v>
      </c>
      <c r="ZV8" s="637" t="s">
        <v>205</v>
      </c>
      <c r="ZW8" s="637" t="s">
        <v>205</v>
      </c>
      <c r="ZX8" s="637"/>
      <c r="ZY8" s="637"/>
      <c r="ZZ8" s="637"/>
      <c r="AAA8" s="637"/>
      <c r="AAB8" s="637"/>
      <c r="AAC8" s="637"/>
      <c r="AAD8" s="637"/>
      <c r="AAE8" s="637"/>
      <c r="AAF8" s="637"/>
      <c r="AAG8" s="637"/>
      <c r="AAH8" s="637"/>
      <c r="AAI8" s="637"/>
      <c r="AAJ8" s="637"/>
      <c r="AAK8" s="637"/>
      <c r="AAL8" s="637"/>
      <c r="AAM8" s="637"/>
      <c r="AAN8" s="637"/>
      <c r="AAO8" s="637"/>
      <c r="AAP8" s="637"/>
      <c r="AAQ8" s="637"/>
      <c r="AAR8" s="637"/>
      <c r="AAS8" s="637"/>
      <c r="AAT8" s="637"/>
      <c r="AAU8" s="637"/>
      <c r="AAV8" s="637"/>
      <c r="AAW8" s="637"/>
      <c r="AAX8" s="637"/>
      <c r="AAY8" s="637"/>
      <c r="AAZ8" s="637"/>
      <c r="ABA8" s="648" t="s">
        <v>205</v>
      </c>
      <c r="ABB8" s="554" t="s">
        <v>36</v>
      </c>
      <c r="ABC8" s="555" t="s">
        <v>206</v>
      </c>
      <c r="ABD8" s="555" t="s">
        <v>206</v>
      </c>
      <c r="ABE8" s="555" t="s">
        <v>206</v>
      </c>
      <c r="ABF8" s="555" t="s">
        <v>206</v>
      </c>
      <c r="ABG8" s="555" t="s">
        <v>206</v>
      </c>
      <c r="ABH8" s="555" t="s">
        <v>206</v>
      </c>
      <c r="ABI8" s="555" t="s">
        <v>206</v>
      </c>
      <c r="ABJ8" s="555" t="s">
        <v>206</v>
      </c>
      <c r="ABK8" s="555" t="s">
        <v>206</v>
      </c>
      <c r="ABL8" s="555" t="s">
        <v>206</v>
      </c>
      <c r="ABM8" s="555" t="s">
        <v>206</v>
      </c>
      <c r="ABN8" s="555" t="s">
        <v>206</v>
      </c>
      <c r="ABO8" s="555" t="s">
        <v>206</v>
      </c>
      <c r="ABP8" s="555" t="s">
        <v>206</v>
      </c>
      <c r="ABQ8" s="555" t="s">
        <v>206</v>
      </c>
      <c r="ABR8" s="555" t="s">
        <v>206</v>
      </c>
      <c r="ABS8" s="555" t="s">
        <v>206</v>
      </c>
      <c r="ABT8" s="555" t="s">
        <v>206</v>
      </c>
      <c r="ABU8" s="555" t="s">
        <v>206</v>
      </c>
      <c r="ABV8" s="555" t="s">
        <v>206</v>
      </c>
      <c r="ABW8" s="555" t="s">
        <v>206</v>
      </c>
      <c r="ABX8" s="555" t="s">
        <v>206</v>
      </c>
      <c r="ABY8" s="555" t="s">
        <v>206</v>
      </c>
      <c r="ABZ8" s="555" t="s">
        <v>206</v>
      </c>
      <c r="ACA8" s="555" t="s">
        <v>206</v>
      </c>
      <c r="ACB8" s="555" t="s">
        <v>206</v>
      </c>
      <c r="ACC8" s="555" t="s">
        <v>206</v>
      </c>
      <c r="ACD8" s="555" t="s">
        <v>206</v>
      </c>
      <c r="ACE8" s="555" t="s">
        <v>206</v>
      </c>
      <c r="ACF8" s="555" t="s">
        <v>206</v>
      </c>
      <c r="ACG8" s="555" t="s">
        <v>206</v>
      </c>
      <c r="ACH8" s="555" t="s">
        <v>206</v>
      </c>
      <c r="ACI8" s="555" t="s">
        <v>206</v>
      </c>
      <c r="ACJ8" s="555" t="s">
        <v>206</v>
      </c>
      <c r="ACK8" s="555" t="s">
        <v>206</v>
      </c>
      <c r="ACL8" s="555" t="s">
        <v>206</v>
      </c>
      <c r="ACM8" s="555" t="s">
        <v>206</v>
      </c>
      <c r="ACN8" s="555" t="s">
        <v>206</v>
      </c>
      <c r="ACO8" s="555" t="s">
        <v>206</v>
      </c>
      <c r="ACP8" s="555" t="s">
        <v>206</v>
      </c>
      <c r="ACQ8" s="555" t="s">
        <v>206</v>
      </c>
      <c r="ACR8" s="555" t="s">
        <v>206</v>
      </c>
      <c r="ACS8" s="555" t="s">
        <v>206</v>
      </c>
      <c r="ACT8" s="555" t="s">
        <v>206</v>
      </c>
      <c r="ACU8" s="555" t="s">
        <v>206</v>
      </c>
      <c r="ACV8" s="555" t="s">
        <v>206</v>
      </c>
      <c r="ACW8" s="555" t="s">
        <v>206</v>
      </c>
      <c r="ACX8" s="555" t="s">
        <v>206</v>
      </c>
      <c r="ACY8" s="555" t="s">
        <v>206</v>
      </c>
      <c r="ACZ8" s="555" t="s">
        <v>206</v>
      </c>
      <c r="ADA8" s="555" t="s">
        <v>206</v>
      </c>
      <c r="ADB8" s="555" t="s">
        <v>206</v>
      </c>
      <c r="ADC8" s="555" t="s">
        <v>206</v>
      </c>
      <c r="ADD8" s="555" t="s">
        <v>206</v>
      </c>
      <c r="ADE8" s="555" t="s">
        <v>206</v>
      </c>
      <c r="ADF8" s="555" t="s">
        <v>206</v>
      </c>
      <c r="ADG8" s="555" t="s">
        <v>206</v>
      </c>
      <c r="ADH8" s="555" t="s">
        <v>206</v>
      </c>
      <c r="ADI8" s="555" t="s">
        <v>206</v>
      </c>
      <c r="ADJ8" s="555" t="s">
        <v>206</v>
      </c>
      <c r="ADK8" s="555" t="s">
        <v>206</v>
      </c>
      <c r="ADL8" s="555" t="s">
        <v>206</v>
      </c>
      <c r="ADM8" s="555" t="s">
        <v>206</v>
      </c>
      <c r="ADN8" s="555" t="s">
        <v>206</v>
      </c>
      <c r="ADO8" s="555" t="s">
        <v>206</v>
      </c>
      <c r="ADP8" s="555" t="s">
        <v>206</v>
      </c>
      <c r="ADQ8" s="555" t="s">
        <v>206</v>
      </c>
      <c r="ADR8" s="555" t="s">
        <v>206</v>
      </c>
      <c r="ADS8" s="555" t="s">
        <v>206</v>
      </c>
      <c r="ADT8" s="555" t="s">
        <v>206</v>
      </c>
      <c r="ADU8" s="555" t="s">
        <v>206</v>
      </c>
      <c r="ADV8" s="555" t="s">
        <v>206</v>
      </c>
      <c r="ADW8" s="555" t="s">
        <v>206</v>
      </c>
      <c r="ADX8" s="555" t="s">
        <v>206</v>
      </c>
      <c r="ADY8" s="555" t="s">
        <v>206</v>
      </c>
      <c r="ADZ8" s="555" t="s">
        <v>206</v>
      </c>
      <c r="AEA8" s="555" t="s">
        <v>206</v>
      </c>
      <c r="AEB8" s="555" t="s">
        <v>206</v>
      </c>
      <c r="AEC8" s="555" t="s">
        <v>206</v>
      </c>
      <c r="AED8" s="555" t="s">
        <v>206</v>
      </c>
      <c r="AEE8" s="555" t="s">
        <v>206</v>
      </c>
      <c r="AEF8" s="555" t="s">
        <v>206</v>
      </c>
      <c r="AEG8" s="555" t="s">
        <v>206</v>
      </c>
      <c r="AEH8" s="555" t="s">
        <v>206</v>
      </c>
      <c r="AEI8" s="555" t="s">
        <v>206</v>
      </c>
      <c r="AEJ8" s="555" t="s">
        <v>206</v>
      </c>
      <c r="AEK8" s="555" t="s">
        <v>206</v>
      </c>
      <c r="AEL8" s="555" t="s">
        <v>206</v>
      </c>
      <c r="AEM8" s="555" t="s">
        <v>206</v>
      </c>
      <c r="AEN8" s="555" t="s">
        <v>206</v>
      </c>
      <c r="AEO8" s="555" t="s">
        <v>206</v>
      </c>
      <c r="AEP8" s="555" t="s">
        <v>206</v>
      </c>
      <c r="AEQ8" s="555" t="s">
        <v>206</v>
      </c>
      <c r="AER8" s="623" t="s">
        <v>20</v>
      </c>
      <c r="AES8" s="624" t="s">
        <v>209</v>
      </c>
      <c r="AET8" s="624" t="s">
        <v>209</v>
      </c>
      <c r="AEU8" s="624" t="s">
        <v>209</v>
      </c>
      <c r="AEV8" s="624" t="s">
        <v>209</v>
      </c>
      <c r="AEW8" s="624" t="s">
        <v>209</v>
      </c>
      <c r="AEX8" s="624" t="s">
        <v>209</v>
      </c>
      <c r="AEY8" s="624" t="s">
        <v>209</v>
      </c>
      <c r="AEZ8" s="624" t="s">
        <v>209</v>
      </c>
      <c r="AFA8" s="624" t="s">
        <v>209</v>
      </c>
      <c r="AFB8" s="624" t="s">
        <v>209</v>
      </c>
      <c r="AFC8" s="624" t="s">
        <v>209</v>
      </c>
      <c r="AFD8" s="624" t="s">
        <v>209</v>
      </c>
      <c r="AFE8" s="624" t="s">
        <v>209</v>
      </c>
      <c r="AFF8" s="624" t="s">
        <v>209</v>
      </c>
      <c r="AFG8" s="624" t="s">
        <v>209</v>
      </c>
      <c r="AFH8" s="624" t="s">
        <v>209</v>
      </c>
      <c r="AFI8" s="624" t="s">
        <v>209</v>
      </c>
      <c r="AFJ8" s="624" t="s">
        <v>209</v>
      </c>
      <c r="AFK8" s="624" t="s">
        <v>209</v>
      </c>
      <c r="AFL8" s="624" t="s">
        <v>209</v>
      </c>
      <c r="AFM8" s="624" t="s">
        <v>209</v>
      </c>
      <c r="AFN8" s="624" t="s">
        <v>209</v>
      </c>
      <c r="AFO8" s="624" t="s">
        <v>209</v>
      </c>
      <c r="AFP8" s="625" t="s">
        <v>209</v>
      </c>
      <c r="AFQ8" s="555" t="s">
        <v>206</v>
      </c>
      <c r="AFR8" s="555"/>
      <c r="AFS8" s="555"/>
      <c r="AFT8" s="555"/>
      <c r="AFU8" s="555"/>
      <c r="AFV8" s="555"/>
      <c r="AFW8" s="555"/>
      <c r="AFX8" s="555"/>
      <c r="AFY8" s="555"/>
      <c r="AFZ8" s="555"/>
      <c r="AGA8" s="555"/>
      <c r="AGB8" s="555"/>
      <c r="AGC8" s="555" t="s">
        <v>36</v>
      </c>
      <c r="AGD8" s="555" t="s">
        <v>217</v>
      </c>
      <c r="AGE8" s="555" t="s">
        <v>36</v>
      </c>
      <c r="AGF8" s="555" t="s">
        <v>36</v>
      </c>
      <c r="AGG8" s="555" t="s">
        <v>36</v>
      </c>
      <c r="AGH8" s="555" t="s">
        <v>36</v>
      </c>
      <c r="AGI8" s="555" t="s">
        <v>36</v>
      </c>
      <c r="AGJ8" s="555" t="s">
        <v>36</v>
      </c>
      <c r="AGK8" s="555" t="s">
        <v>36</v>
      </c>
      <c r="AGL8" s="555" t="s">
        <v>36</v>
      </c>
      <c r="AGM8" s="555" t="s">
        <v>36</v>
      </c>
      <c r="AGN8" s="555" t="s">
        <v>36</v>
      </c>
      <c r="AGO8" s="555" t="s">
        <v>36</v>
      </c>
      <c r="AGP8" s="555" t="s">
        <v>36</v>
      </c>
      <c r="AGQ8" s="555" t="s">
        <v>36</v>
      </c>
      <c r="AGR8" s="555" t="s">
        <v>36</v>
      </c>
      <c r="AGS8" s="555" t="s">
        <v>36</v>
      </c>
      <c r="AGT8" s="555" t="s">
        <v>36</v>
      </c>
      <c r="AGU8" s="555" t="s">
        <v>36</v>
      </c>
      <c r="AGV8" s="555" t="s">
        <v>36</v>
      </c>
      <c r="AGW8" s="555" t="s">
        <v>36</v>
      </c>
      <c r="AGX8" s="555" t="s">
        <v>36</v>
      </c>
      <c r="AGY8" s="555" t="s">
        <v>36</v>
      </c>
      <c r="AGZ8" s="555" t="s">
        <v>36</v>
      </c>
      <c r="AHA8" s="555" t="s">
        <v>36</v>
      </c>
      <c r="AHB8" s="555" t="s">
        <v>36</v>
      </c>
      <c r="AHC8" s="555" t="s">
        <v>36</v>
      </c>
      <c r="AHD8" s="648" t="s">
        <v>20</v>
      </c>
      <c r="AHE8" s="649"/>
      <c r="AHF8" s="649"/>
      <c r="AHG8" s="649"/>
      <c r="AHH8" s="649"/>
      <c r="AHI8" s="649"/>
      <c r="AHJ8" s="649"/>
      <c r="AHK8" s="649"/>
      <c r="AHL8" s="649"/>
      <c r="AHM8" s="649"/>
      <c r="AHN8" s="649"/>
      <c r="AHO8" s="649"/>
      <c r="AHP8" s="649"/>
      <c r="AHQ8" s="649"/>
      <c r="AHR8" s="649"/>
      <c r="AHS8" s="649"/>
      <c r="AHT8" s="649"/>
      <c r="AHU8" s="649"/>
      <c r="AHV8" s="649"/>
      <c r="AHW8" s="649"/>
      <c r="AHX8" s="649"/>
      <c r="AHY8" s="649"/>
      <c r="AHZ8" s="649"/>
      <c r="AIA8" s="649"/>
      <c r="AIB8" s="649"/>
      <c r="AIC8" s="649"/>
      <c r="AID8" s="649"/>
      <c r="AIE8" s="649"/>
      <c r="AIF8" s="649"/>
      <c r="AIG8" s="649"/>
      <c r="AIH8" s="649"/>
      <c r="AII8" s="649"/>
      <c r="AIJ8" s="649"/>
      <c r="AIK8" s="649"/>
      <c r="AIL8" s="649"/>
      <c r="AIM8" s="649"/>
      <c r="AIN8" s="649"/>
      <c r="AIO8" s="649"/>
      <c r="AIP8" s="649"/>
      <c r="AIQ8" s="649"/>
      <c r="AIR8" s="649"/>
      <c r="AIS8" s="649"/>
      <c r="AIT8" s="649"/>
      <c r="AIU8" s="649"/>
      <c r="AIV8" s="649"/>
      <c r="AIW8" s="649"/>
      <c r="AIX8" s="649"/>
      <c r="AIY8" s="649"/>
      <c r="AIZ8" s="649"/>
      <c r="AJA8" s="649"/>
      <c r="AJB8" s="649"/>
      <c r="AJC8" s="649"/>
      <c r="AJD8" s="649"/>
      <c r="AJE8" s="649"/>
      <c r="AJF8" s="649"/>
      <c r="AJG8" s="649"/>
      <c r="AJH8" s="649"/>
      <c r="AJI8" s="649"/>
      <c r="AJJ8" s="649"/>
      <c r="AJK8" s="649"/>
      <c r="AJL8" s="649"/>
      <c r="AJM8" s="649"/>
      <c r="AJN8" s="649"/>
      <c r="AJO8" s="649"/>
      <c r="AJP8" s="649"/>
      <c r="AJQ8" s="649"/>
      <c r="AJR8" s="649"/>
      <c r="AJS8" s="649"/>
      <c r="AJT8" s="640" t="s">
        <v>139</v>
      </c>
      <c r="AJU8" s="641"/>
      <c r="AJV8" s="641"/>
      <c r="AJW8" s="641"/>
      <c r="AJX8" s="641"/>
      <c r="AJY8" s="641"/>
      <c r="AJZ8" s="641"/>
      <c r="AKA8" s="641"/>
      <c r="AKB8" s="641"/>
      <c r="AKC8" s="641"/>
      <c r="AKD8" s="641"/>
      <c r="AKE8" s="642"/>
      <c r="AKF8" s="427" t="s">
        <v>156</v>
      </c>
      <c r="AKG8" s="347" t="s">
        <v>155</v>
      </c>
      <c r="AKH8" s="348"/>
      <c r="AKI8" s="283" t="s">
        <v>64</v>
      </c>
      <c r="AKJ8" s="185" t="s">
        <v>65</v>
      </c>
      <c r="AKK8" s="184" t="s">
        <v>75</v>
      </c>
      <c r="AKL8" s="236" t="s">
        <v>111</v>
      </c>
      <c r="AKM8" s="247" t="s">
        <v>112</v>
      </c>
      <c r="AKN8" s="247" t="s">
        <v>113</v>
      </c>
      <c r="AKO8" s="331" t="s">
        <v>147</v>
      </c>
      <c r="AKP8" s="233" t="s">
        <v>66</v>
      </c>
      <c r="AKQ8" s="233" t="s">
        <v>71</v>
      </c>
      <c r="AKR8" s="233" t="s">
        <v>78</v>
      </c>
      <c r="AKS8" s="233" t="s">
        <v>79</v>
      </c>
      <c r="AKT8" s="233" t="s">
        <v>69</v>
      </c>
      <c r="AKU8" s="234" t="s">
        <v>83</v>
      </c>
      <c r="AKV8" s="234" t="s">
        <v>105</v>
      </c>
      <c r="AKW8" s="234" t="s">
        <v>106</v>
      </c>
      <c r="AKX8" s="234" t="s">
        <v>81</v>
      </c>
      <c r="AKY8" s="234" t="s">
        <v>109</v>
      </c>
      <c r="AKZ8" s="233" t="s">
        <v>73</v>
      </c>
      <c r="ALA8" s="233" t="s">
        <v>72</v>
      </c>
      <c r="ALB8" s="233" t="s">
        <v>82</v>
      </c>
      <c r="ALC8" s="233" t="s">
        <v>77</v>
      </c>
      <c r="ALD8" s="235" t="s">
        <v>93</v>
      </c>
      <c r="ALE8" s="418" t="s">
        <v>170</v>
      </c>
      <c r="ALF8" s="420" t="s">
        <v>173</v>
      </c>
      <c r="ALU8" s="555" t="s">
        <v>212</v>
      </c>
      <c r="ALV8" s="555" t="s">
        <v>219</v>
      </c>
      <c r="ALW8" s="555" t="s">
        <v>219</v>
      </c>
      <c r="ALX8" s="555" t="s">
        <v>219</v>
      </c>
      <c r="ALY8" s="555" t="s">
        <v>219</v>
      </c>
      <c r="ALZ8" s="555" t="s">
        <v>219</v>
      </c>
      <c r="AMA8" s="555" t="s">
        <v>219</v>
      </c>
      <c r="AMB8" s="555" t="s">
        <v>219</v>
      </c>
      <c r="AMC8" s="555" t="s">
        <v>219</v>
      </c>
      <c r="AMD8" s="555" t="s">
        <v>219</v>
      </c>
      <c r="AME8" s="555" t="s">
        <v>219</v>
      </c>
      <c r="AMF8" s="555" t="s">
        <v>219</v>
      </c>
      <c r="AMG8" s="555" t="s">
        <v>219</v>
      </c>
      <c r="AMH8" s="555" t="s">
        <v>219</v>
      </c>
      <c r="AMI8" s="555" t="s">
        <v>219</v>
      </c>
      <c r="AMJ8" s="578" t="s">
        <v>219</v>
      </c>
      <c r="AMK8" s="555" t="s">
        <v>220</v>
      </c>
      <c r="AML8" s="555"/>
      <c r="AMM8" s="555"/>
    </row>
    <row r="9" spans="1:1029" ht="22.5" customHeight="1" thickBot="1" x14ac:dyDescent="0.35">
      <c r="A9" s="676"/>
      <c r="B9" s="636"/>
      <c r="C9" s="665"/>
      <c r="D9" s="667"/>
      <c r="E9" s="658"/>
      <c r="F9" s="632"/>
      <c r="G9" s="632"/>
      <c r="H9" s="632"/>
      <c r="I9" s="628"/>
      <c r="J9" s="631"/>
      <c r="K9" s="284">
        <v>44081</v>
      </c>
      <c r="L9" s="38">
        <v>44116</v>
      </c>
      <c r="M9" s="38">
        <v>44131</v>
      </c>
      <c r="N9" s="38">
        <v>44146</v>
      </c>
      <c r="O9" s="38">
        <v>44154</v>
      </c>
      <c r="P9" s="38">
        <v>44162</v>
      </c>
      <c r="Q9" s="38">
        <v>44169</v>
      </c>
      <c r="R9" s="18">
        <v>44537</v>
      </c>
      <c r="S9" s="18">
        <v>44553</v>
      </c>
      <c r="T9" s="18">
        <v>44211</v>
      </c>
      <c r="U9" s="18">
        <v>44229</v>
      </c>
      <c r="V9" s="18">
        <v>44250</v>
      </c>
      <c r="W9" s="18">
        <v>44273</v>
      </c>
      <c r="X9" s="38">
        <v>44300</v>
      </c>
      <c r="Y9" s="18">
        <v>44314</v>
      </c>
      <c r="Z9" s="18">
        <v>44356</v>
      </c>
      <c r="AA9" s="18">
        <v>44370</v>
      </c>
      <c r="AB9" s="18">
        <v>44389</v>
      </c>
      <c r="AC9" s="18">
        <v>44412</v>
      </c>
      <c r="AD9" s="38">
        <v>44426</v>
      </c>
      <c r="AE9" s="38">
        <v>44455</v>
      </c>
      <c r="AF9" s="38">
        <v>44468</v>
      </c>
      <c r="AG9" s="18">
        <v>44476</v>
      </c>
      <c r="AH9" s="18">
        <v>44491</v>
      </c>
      <c r="AI9" s="18">
        <v>44498</v>
      </c>
      <c r="AJ9" s="18">
        <v>44508</v>
      </c>
      <c r="AK9" s="18">
        <v>44518</v>
      </c>
      <c r="AL9" s="18">
        <v>44530</v>
      </c>
      <c r="AM9" s="164">
        <v>44539</v>
      </c>
      <c r="AN9" s="164">
        <v>44557</v>
      </c>
      <c r="AO9" s="164">
        <v>44574</v>
      </c>
      <c r="AP9" s="18">
        <v>44588</v>
      </c>
      <c r="AQ9" s="18">
        <v>44614</v>
      </c>
      <c r="AR9" s="18">
        <v>44624</v>
      </c>
      <c r="AS9" s="18">
        <v>44644</v>
      </c>
      <c r="AT9" s="18">
        <v>44664</v>
      </c>
      <c r="AU9" s="18">
        <v>44680</v>
      </c>
      <c r="AV9" s="18">
        <v>44694</v>
      </c>
      <c r="AW9" s="18">
        <v>44720</v>
      </c>
      <c r="AX9" s="18">
        <v>44733</v>
      </c>
      <c r="AY9" s="18">
        <v>44747</v>
      </c>
      <c r="AZ9" s="18">
        <v>44761</v>
      </c>
      <c r="BA9" s="18">
        <v>44783</v>
      </c>
      <c r="BB9" s="18">
        <v>44797</v>
      </c>
      <c r="BC9" s="18">
        <v>44811</v>
      </c>
      <c r="BD9" s="18">
        <v>44826</v>
      </c>
      <c r="BE9" s="38">
        <v>44839</v>
      </c>
      <c r="BF9" s="38">
        <v>44855</v>
      </c>
      <c r="BG9" s="38">
        <v>44867</v>
      </c>
      <c r="BH9" s="38">
        <v>44881</v>
      </c>
      <c r="BI9" s="38">
        <v>44895</v>
      </c>
      <c r="BJ9" s="18">
        <v>44908</v>
      </c>
      <c r="BK9" s="38">
        <v>44922</v>
      </c>
      <c r="BL9" s="38">
        <v>44944</v>
      </c>
      <c r="BM9" s="38">
        <v>44957</v>
      </c>
      <c r="BN9" s="164">
        <v>44966</v>
      </c>
      <c r="BO9" s="164">
        <v>44980</v>
      </c>
      <c r="BP9" s="164">
        <v>44994</v>
      </c>
      <c r="BQ9" s="18">
        <v>45015</v>
      </c>
      <c r="BR9" s="18">
        <v>45033</v>
      </c>
      <c r="BS9" s="18">
        <v>45050</v>
      </c>
      <c r="BT9" s="18">
        <v>45064</v>
      </c>
      <c r="BU9" s="18">
        <v>45078</v>
      </c>
      <c r="BV9" s="18">
        <v>45092</v>
      </c>
      <c r="BW9" s="18">
        <v>45106</v>
      </c>
      <c r="BX9" s="18">
        <v>45120</v>
      </c>
      <c r="BY9" s="18">
        <v>45134</v>
      </c>
      <c r="BZ9" s="18">
        <v>45155</v>
      </c>
      <c r="CA9" s="18">
        <v>45169</v>
      </c>
      <c r="CB9" s="18">
        <v>45183</v>
      </c>
      <c r="CC9" s="38">
        <v>45210</v>
      </c>
      <c r="CD9" s="38">
        <v>45225</v>
      </c>
      <c r="CE9" s="38">
        <v>45239</v>
      </c>
      <c r="CF9" s="38">
        <v>45257</v>
      </c>
      <c r="CG9" s="38">
        <v>45274</v>
      </c>
      <c r="CH9" s="18">
        <v>45288</v>
      </c>
      <c r="CI9" s="38">
        <v>45301</v>
      </c>
      <c r="CJ9" s="38">
        <v>45316</v>
      </c>
      <c r="CK9" s="18">
        <v>45329</v>
      </c>
      <c r="CL9" s="18">
        <v>45343</v>
      </c>
      <c r="CM9" s="18">
        <v>45357</v>
      </c>
      <c r="CN9" s="18">
        <v>45369</v>
      </c>
      <c r="CO9" s="18">
        <v>45385</v>
      </c>
      <c r="CP9" s="18">
        <v>45399</v>
      </c>
      <c r="CQ9" s="18">
        <v>45421</v>
      </c>
      <c r="CR9" s="18">
        <v>45434</v>
      </c>
      <c r="CS9" s="18">
        <v>45448</v>
      </c>
      <c r="CT9" s="18">
        <v>45462</v>
      </c>
      <c r="CU9" s="18">
        <v>45476</v>
      </c>
      <c r="CV9" s="18">
        <v>45489</v>
      </c>
      <c r="CW9" s="18">
        <v>45541</v>
      </c>
      <c r="CX9" s="18">
        <v>45562</v>
      </c>
      <c r="CY9" s="18">
        <v>45580</v>
      </c>
      <c r="CZ9" s="38">
        <v>45593</v>
      </c>
      <c r="DA9" s="18">
        <v>45611</v>
      </c>
      <c r="DB9" s="18">
        <v>45622</v>
      </c>
      <c r="DC9" s="18">
        <v>45639</v>
      </c>
      <c r="DD9" s="38">
        <v>45653</v>
      </c>
      <c r="DE9" s="18">
        <v>45666</v>
      </c>
      <c r="DF9" s="18">
        <v>45701</v>
      </c>
      <c r="DG9" s="18">
        <v>45716</v>
      </c>
      <c r="DH9" s="18">
        <v>45729</v>
      </c>
      <c r="DI9" s="18">
        <v>45757</v>
      </c>
      <c r="DJ9" s="18">
        <v>45764</v>
      </c>
      <c r="DK9" s="18">
        <v>45778</v>
      </c>
      <c r="DL9" s="18">
        <v>45793</v>
      </c>
      <c r="DM9" s="18">
        <v>45806</v>
      </c>
      <c r="DN9" s="18">
        <v>45820</v>
      </c>
      <c r="DO9" s="18">
        <v>45833</v>
      </c>
      <c r="DP9" s="18">
        <v>45848</v>
      </c>
      <c r="DQ9" s="18">
        <v>45862</v>
      </c>
      <c r="DR9" s="18">
        <v>45876</v>
      </c>
      <c r="DS9" s="18">
        <v>45890</v>
      </c>
      <c r="DT9" s="18">
        <v>45904</v>
      </c>
      <c r="DU9" s="18">
        <v>45917</v>
      </c>
      <c r="DV9" s="18">
        <v>45932</v>
      </c>
      <c r="DW9" s="18">
        <v>45946</v>
      </c>
      <c r="DX9" s="18">
        <v>45959</v>
      </c>
      <c r="DY9" s="18">
        <v>45975</v>
      </c>
      <c r="DZ9" s="18">
        <v>45988</v>
      </c>
      <c r="EA9" s="18">
        <v>46002</v>
      </c>
      <c r="EB9" s="18">
        <v>46020</v>
      </c>
      <c r="EC9" s="18">
        <v>46031</v>
      </c>
      <c r="ED9" s="18">
        <v>46051</v>
      </c>
      <c r="EE9" s="18">
        <v>46057</v>
      </c>
      <c r="EF9" s="18">
        <v>46073</v>
      </c>
      <c r="EG9" s="18">
        <v>46093</v>
      </c>
      <c r="EH9" s="18">
        <v>46114</v>
      </c>
      <c r="EI9" s="18">
        <v>46132</v>
      </c>
      <c r="EJ9" s="18">
        <v>46142</v>
      </c>
      <c r="EK9" s="18">
        <v>46163</v>
      </c>
      <c r="EL9" s="18">
        <v>46192</v>
      </c>
      <c r="EM9" s="18">
        <v>46212</v>
      </c>
      <c r="EN9" s="18">
        <v>46233</v>
      </c>
      <c r="EO9" s="18">
        <v>46247</v>
      </c>
      <c r="EP9" s="18">
        <v>46269</v>
      </c>
      <c r="EQ9" s="38">
        <v>44081</v>
      </c>
      <c r="ER9" s="38">
        <v>44116</v>
      </c>
      <c r="ES9" s="38">
        <v>44131</v>
      </c>
      <c r="ET9" s="38">
        <v>44146</v>
      </c>
      <c r="EU9" s="38">
        <v>44154</v>
      </c>
      <c r="EV9" s="38">
        <v>44162</v>
      </c>
      <c r="EW9" s="18">
        <v>44534</v>
      </c>
      <c r="EX9" s="18">
        <v>44537</v>
      </c>
      <c r="EY9" s="18">
        <v>44553</v>
      </c>
      <c r="EZ9" s="18">
        <v>44211</v>
      </c>
      <c r="FA9" s="18">
        <v>44229</v>
      </c>
      <c r="FB9" s="18">
        <v>44251</v>
      </c>
      <c r="FC9" s="18">
        <v>44273</v>
      </c>
      <c r="FD9" s="38">
        <v>44300</v>
      </c>
      <c r="FE9" s="18">
        <v>44314</v>
      </c>
      <c r="FF9" s="18">
        <v>44356</v>
      </c>
      <c r="FG9" s="18">
        <v>44370</v>
      </c>
      <c r="FH9" s="18">
        <v>44389</v>
      </c>
      <c r="FI9" s="18">
        <v>44412</v>
      </c>
      <c r="FJ9" s="38">
        <v>44426</v>
      </c>
      <c r="FK9" s="38">
        <v>44455</v>
      </c>
      <c r="FL9" s="38">
        <v>44468</v>
      </c>
      <c r="FM9" s="18">
        <v>44476</v>
      </c>
      <c r="FN9" s="18">
        <v>44491</v>
      </c>
      <c r="FO9" s="18">
        <v>44498</v>
      </c>
      <c r="FP9" s="18">
        <v>44508</v>
      </c>
      <c r="FQ9" s="18">
        <v>44518</v>
      </c>
      <c r="FR9" s="18">
        <v>44530</v>
      </c>
      <c r="FS9" s="164">
        <v>44539</v>
      </c>
      <c r="FT9" s="164">
        <v>44557</v>
      </c>
      <c r="FU9" s="164">
        <v>44574</v>
      </c>
      <c r="FV9" s="18">
        <v>44588</v>
      </c>
      <c r="FW9" s="18">
        <v>44614</v>
      </c>
      <c r="FX9" s="18">
        <v>44624</v>
      </c>
      <c r="FY9" s="18">
        <v>44644</v>
      </c>
      <c r="FZ9" s="18">
        <v>44664</v>
      </c>
      <c r="GA9" s="18">
        <v>44680</v>
      </c>
      <c r="GB9" s="18">
        <v>44694</v>
      </c>
      <c r="GC9" s="18">
        <v>44720</v>
      </c>
      <c r="GD9" s="18">
        <v>44733</v>
      </c>
      <c r="GE9" s="18">
        <v>44747</v>
      </c>
      <c r="GF9" s="18">
        <v>44761</v>
      </c>
      <c r="GG9" s="18">
        <v>44783</v>
      </c>
      <c r="GH9" s="18">
        <v>44797</v>
      </c>
      <c r="GI9" s="18">
        <v>44811</v>
      </c>
      <c r="GJ9" s="18">
        <v>44826</v>
      </c>
      <c r="GK9" s="38">
        <v>44839</v>
      </c>
      <c r="GL9" s="38">
        <v>44855</v>
      </c>
      <c r="GM9" s="38">
        <v>44867</v>
      </c>
      <c r="GN9" s="38">
        <v>44881</v>
      </c>
      <c r="GO9" s="38">
        <v>44895</v>
      </c>
      <c r="GP9" s="18">
        <v>44908</v>
      </c>
      <c r="GQ9" s="38">
        <v>44922</v>
      </c>
      <c r="GR9" s="38">
        <v>44944</v>
      </c>
      <c r="GS9" s="38">
        <v>44957</v>
      </c>
      <c r="GT9" s="164">
        <v>44966</v>
      </c>
      <c r="GU9" s="164">
        <v>44980</v>
      </c>
      <c r="GV9" s="164">
        <v>44994</v>
      </c>
      <c r="GW9" s="18">
        <v>45015</v>
      </c>
      <c r="GX9" s="18">
        <v>45033</v>
      </c>
      <c r="GY9" s="18">
        <v>45050</v>
      </c>
      <c r="GZ9" s="18">
        <v>45064</v>
      </c>
      <c r="HA9" s="18">
        <v>45078</v>
      </c>
      <c r="HB9" s="18">
        <v>45092</v>
      </c>
      <c r="HC9" s="18">
        <v>45106</v>
      </c>
      <c r="HD9" s="18">
        <v>45120</v>
      </c>
      <c r="HE9" s="18">
        <v>45134</v>
      </c>
      <c r="HF9" s="18">
        <v>45155</v>
      </c>
      <c r="HG9" s="18">
        <v>45169</v>
      </c>
      <c r="HH9" s="18">
        <v>45183</v>
      </c>
      <c r="HI9" s="38">
        <v>45210</v>
      </c>
      <c r="HJ9" s="38">
        <v>45225</v>
      </c>
      <c r="HK9" s="38">
        <v>45239</v>
      </c>
      <c r="HL9" s="38">
        <v>45257</v>
      </c>
      <c r="HM9" s="38">
        <v>45274</v>
      </c>
      <c r="HN9" s="18">
        <v>45288</v>
      </c>
      <c r="HO9" s="38">
        <v>45301</v>
      </c>
      <c r="HP9" s="38">
        <v>45316</v>
      </c>
      <c r="HQ9" s="18">
        <v>45329</v>
      </c>
      <c r="HR9" s="18">
        <v>45343</v>
      </c>
      <c r="HS9" s="18">
        <v>45357</v>
      </c>
      <c r="HT9" s="18">
        <v>45369</v>
      </c>
      <c r="HU9" s="18">
        <v>45385</v>
      </c>
      <c r="HV9" s="18">
        <v>45399</v>
      </c>
      <c r="HW9" s="18">
        <v>45421</v>
      </c>
      <c r="HX9" s="18">
        <v>45434</v>
      </c>
      <c r="HY9" s="18">
        <v>45448</v>
      </c>
      <c r="HZ9" s="18">
        <v>45462</v>
      </c>
      <c r="IA9" s="18">
        <v>45476</v>
      </c>
      <c r="IB9" s="18">
        <v>45489</v>
      </c>
      <c r="IC9" s="18">
        <v>45541</v>
      </c>
      <c r="ID9" s="18">
        <v>45562</v>
      </c>
      <c r="IE9" s="18">
        <v>45580</v>
      </c>
      <c r="IF9" s="38">
        <v>45593</v>
      </c>
      <c r="IG9" s="18">
        <v>45611</v>
      </c>
      <c r="IH9" s="18">
        <v>45622</v>
      </c>
      <c r="II9" s="18">
        <v>45639</v>
      </c>
      <c r="IJ9" s="38">
        <v>45653</v>
      </c>
      <c r="IK9" s="18">
        <v>45666</v>
      </c>
      <c r="IL9" s="18">
        <v>45701</v>
      </c>
      <c r="IM9" s="18">
        <v>45716</v>
      </c>
      <c r="IN9" s="18">
        <v>45729</v>
      </c>
      <c r="IO9" s="18">
        <v>45757</v>
      </c>
      <c r="IP9" s="18">
        <v>45764</v>
      </c>
      <c r="IQ9" s="18">
        <v>45778</v>
      </c>
      <c r="IR9" s="18">
        <v>45793</v>
      </c>
      <c r="IS9" s="18">
        <v>45806</v>
      </c>
      <c r="IT9" s="18">
        <v>45820</v>
      </c>
      <c r="IU9" s="18">
        <v>45833</v>
      </c>
      <c r="IV9" s="18">
        <v>45848</v>
      </c>
      <c r="IW9" s="18">
        <v>45862</v>
      </c>
      <c r="IX9" s="18">
        <v>45876</v>
      </c>
      <c r="IY9" s="18">
        <v>45890</v>
      </c>
      <c r="IZ9" s="18">
        <v>45904</v>
      </c>
      <c r="JA9" s="18">
        <v>45917</v>
      </c>
      <c r="JB9" s="18">
        <v>45932</v>
      </c>
      <c r="JC9" s="18">
        <v>45946</v>
      </c>
      <c r="JD9" s="18">
        <v>45959</v>
      </c>
      <c r="JE9" s="18">
        <v>45975</v>
      </c>
      <c r="JF9" s="18">
        <v>45988</v>
      </c>
      <c r="JG9" s="18">
        <v>46002</v>
      </c>
      <c r="JH9" s="18">
        <v>46020</v>
      </c>
      <c r="JI9" s="18">
        <v>46031</v>
      </c>
      <c r="JJ9" s="18">
        <v>46051</v>
      </c>
      <c r="JK9" s="18">
        <v>46057</v>
      </c>
      <c r="JL9" s="18">
        <v>46073</v>
      </c>
      <c r="JM9" s="18">
        <v>46093</v>
      </c>
      <c r="JN9" s="18">
        <v>46114</v>
      </c>
      <c r="JO9" s="18">
        <v>46132</v>
      </c>
      <c r="JP9" s="18">
        <v>46142</v>
      </c>
      <c r="JQ9" s="18">
        <v>46163</v>
      </c>
      <c r="JR9" s="18">
        <v>46192</v>
      </c>
      <c r="JS9" s="18">
        <v>46212</v>
      </c>
      <c r="JT9" s="18">
        <v>46233</v>
      </c>
      <c r="JU9" s="18">
        <v>46247</v>
      </c>
      <c r="JV9" s="18">
        <v>46269</v>
      </c>
      <c r="JW9" s="38">
        <v>44081</v>
      </c>
      <c r="JX9" s="38">
        <v>44116</v>
      </c>
      <c r="JY9" s="38">
        <v>44131</v>
      </c>
      <c r="JZ9" s="38">
        <v>44146</v>
      </c>
      <c r="KA9" s="38">
        <v>44154</v>
      </c>
      <c r="KB9" s="38">
        <v>44162</v>
      </c>
      <c r="KC9" s="38">
        <v>44169</v>
      </c>
      <c r="KD9" s="18">
        <v>44172</v>
      </c>
      <c r="KE9" s="18">
        <v>44553</v>
      </c>
      <c r="KF9" s="18">
        <v>44211</v>
      </c>
      <c r="KG9" s="18">
        <v>44229</v>
      </c>
      <c r="KH9" s="18">
        <v>44251</v>
      </c>
      <c r="KI9" s="18">
        <v>44273</v>
      </c>
      <c r="KJ9" s="38">
        <v>44300</v>
      </c>
      <c r="KK9" s="18">
        <v>44314</v>
      </c>
      <c r="KL9" s="18">
        <v>44356</v>
      </c>
      <c r="KM9" s="18">
        <v>44370</v>
      </c>
      <c r="KN9" s="18">
        <v>44389</v>
      </c>
      <c r="KO9" s="18">
        <v>44412</v>
      </c>
      <c r="KP9" s="38">
        <v>44426</v>
      </c>
      <c r="KQ9" s="38">
        <v>44455</v>
      </c>
      <c r="KR9" s="38">
        <v>44468</v>
      </c>
      <c r="KS9" s="18">
        <v>44476</v>
      </c>
      <c r="KT9" s="18">
        <v>44491</v>
      </c>
      <c r="KU9" s="18">
        <v>44498</v>
      </c>
      <c r="KV9" s="18">
        <v>44508</v>
      </c>
      <c r="KW9" s="18">
        <v>44518</v>
      </c>
      <c r="KX9" s="18">
        <v>44530</v>
      </c>
      <c r="KY9" s="164">
        <v>44539</v>
      </c>
      <c r="KZ9" s="164">
        <v>44557</v>
      </c>
      <c r="LA9" s="164">
        <v>44574</v>
      </c>
      <c r="LB9" s="18">
        <v>44588</v>
      </c>
      <c r="LC9" s="18">
        <v>44614</v>
      </c>
      <c r="LD9" s="18">
        <v>44624</v>
      </c>
      <c r="LE9" s="18">
        <v>44644</v>
      </c>
      <c r="LF9" s="18">
        <v>44664</v>
      </c>
      <c r="LG9" s="18">
        <v>44680</v>
      </c>
      <c r="LH9" s="18">
        <v>44694</v>
      </c>
      <c r="LI9" s="18">
        <v>44720</v>
      </c>
      <c r="LJ9" s="18">
        <v>44733</v>
      </c>
      <c r="LK9" s="18">
        <v>44747</v>
      </c>
      <c r="LL9" s="18">
        <v>44761</v>
      </c>
      <c r="LM9" s="18">
        <v>44783</v>
      </c>
      <c r="LN9" s="18">
        <v>44797</v>
      </c>
      <c r="LO9" s="18">
        <v>44811</v>
      </c>
      <c r="LP9" s="18">
        <v>44826</v>
      </c>
      <c r="LQ9" s="38">
        <v>44839</v>
      </c>
      <c r="LR9" s="38">
        <v>44855</v>
      </c>
      <c r="LS9" s="38">
        <v>44867</v>
      </c>
      <c r="LT9" s="38">
        <v>44881</v>
      </c>
      <c r="LU9" s="38">
        <v>44895</v>
      </c>
      <c r="LV9" s="18">
        <v>44908</v>
      </c>
      <c r="LW9" s="38">
        <v>44922</v>
      </c>
      <c r="LX9" s="38">
        <v>44944</v>
      </c>
      <c r="LY9" s="38">
        <v>44957</v>
      </c>
      <c r="LZ9" s="18">
        <v>44966</v>
      </c>
      <c r="MA9" s="164">
        <v>44980</v>
      </c>
      <c r="MB9" s="164">
        <v>44994</v>
      </c>
      <c r="MC9" s="18">
        <v>45015</v>
      </c>
      <c r="MD9" s="18">
        <v>45033</v>
      </c>
      <c r="ME9" s="18">
        <v>45050</v>
      </c>
      <c r="MF9" s="18">
        <v>45064</v>
      </c>
      <c r="MG9" s="18">
        <v>45078</v>
      </c>
      <c r="MH9" s="18">
        <v>45092</v>
      </c>
      <c r="MI9" s="18">
        <v>45106</v>
      </c>
      <c r="MJ9" s="18">
        <v>45120</v>
      </c>
      <c r="MK9" s="18">
        <v>45134</v>
      </c>
      <c r="ML9" s="18">
        <v>45155</v>
      </c>
      <c r="MM9" s="18">
        <v>45169</v>
      </c>
      <c r="MN9" s="18">
        <v>45183</v>
      </c>
      <c r="MO9" s="38">
        <v>45210</v>
      </c>
      <c r="MP9" s="38">
        <v>45225</v>
      </c>
      <c r="MQ9" s="38">
        <v>45239</v>
      </c>
      <c r="MR9" s="38">
        <v>45257</v>
      </c>
      <c r="MS9" s="38">
        <v>45274</v>
      </c>
      <c r="MT9" s="18">
        <v>45288</v>
      </c>
      <c r="MU9" s="38">
        <v>45301</v>
      </c>
      <c r="MV9" s="38">
        <v>45316</v>
      </c>
      <c r="MW9" s="18">
        <v>45329</v>
      </c>
      <c r="MX9" s="18">
        <v>45343</v>
      </c>
      <c r="MY9" s="18">
        <v>45357</v>
      </c>
      <c r="MZ9" s="18">
        <v>45369</v>
      </c>
      <c r="NA9" s="18">
        <v>45385</v>
      </c>
      <c r="NB9" s="18">
        <v>45399</v>
      </c>
      <c r="NC9" s="18">
        <v>45421</v>
      </c>
      <c r="ND9" s="18">
        <v>45434</v>
      </c>
      <c r="NE9" s="18">
        <v>45448</v>
      </c>
      <c r="NF9" s="18">
        <v>45462</v>
      </c>
      <c r="NG9" s="18">
        <v>45476</v>
      </c>
      <c r="NH9" s="18">
        <v>45489</v>
      </c>
      <c r="NI9" s="18">
        <v>45541</v>
      </c>
      <c r="NJ9" s="18">
        <v>45562</v>
      </c>
      <c r="NK9" s="18">
        <v>45580</v>
      </c>
      <c r="NL9" s="38">
        <v>45593</v>
      </c>
      <c r="NM9" s="18">
        <v>45611</v>
      </c>
      <c r="NN9" s="18">
        <v>45622</v>
      </c>
      <c r="NO9" s="18">
        <v>45639</v>
      </c>
      <c r="NP9" s="38">
        <v>45653</v>
      </c>
      <c r="NQ9" s="18">
        <v>45666</v>
      </c>
      <c r="NR9" s="18">
        <v>45701</v>
      </c>
      <c r="NS9" s="18">
        <v>45716</v>
      </c>
      <c r="NT9" s="18">
        <v>45729</v>
      </c>
      <c r="NU9" s="18">
        <v>45757</v>
      </c>
      <c r="NV9" s="18">
        <v>45764</v>
      </c>
      <c r="NW9" s="18">
        <v>45778</v>
      </c>
      <c r="NX9" s="18">
        <v>45793</v>
      </c>
      <c r="NY9" s="18">
        <v>45806</v>
      </c>
      <c r="NZ9" s="18">
        <v>45820</v>
      </c>
      <c r="OA9" s="18">
        <v>45833</v>
      </c>
      <c r="OB9" s="18">
        <v>45848</v>
      </c>
      <c r="OC9" s="18">
        <v>45862</v>
      </c>
      <c r="OD9" s="18">
        <v>45876</v>
      </c>
      <c r="OE9" s="18">
        <v>45890</v>
      </c>
      <c r="OF9" s="18">
        <v>45904</v>
      </c>
      <c r="OG9" s="18">
        <v>45917</v>
      </c>
      <c r="OH9" s="18">
        <v>45932</v>
      </c>
      <c r="OI9" s="18">
        <v>45946</v>
      </c>
      <c r="OJ9" s="18">
        <v>45959</v>
      </c>
      <c r="OK9" s="18">
        <v>45975</v>
      </c>
      <c r="OL9" s="18">
        <v>45988</v>
      </c>
      <c r="OM9" s="18">
        <v>46002</v>
      </c>
      <c r="ON9" s="18">
        <v>46020</v>
      </c>
      <c r="OO9" s="18">
        <v>46031</v>
      </c>
      <c r="OP9" s="18">
        <v>46051</v>
      </c>
      <c r="OQ9" s="18">
        <v>46057</v>
      </c>
      <c r="OR9" s="18">
        <v>46073</v>
      </c>
      <c r="OS9" s="18">
        <v>46093</v>
      </c>
      <c r="OT9" s="18">
        <v>46114</v>
      </c>
      <c r="OU9" s="18">
        <v>46132</v>
      </c>
      <c r="OV9" s="18">
        <v>46142</v>
      </c>
      <c r="OW9" s="18">
        <v>46163</v>
      </c>
      <c r="OX9" s="18">
        <v>46192</v>
      </c>
      <c r="OY9" s="18">
        <v>46212</v>
      </c>
      <c r="OZ9" s="18">
        <v>46233</v>
      </c>
      <c r="PA9" s="18">
        <v>46247</v>
      </c>
      <c r="PB9" s="18">
        <v>46269</v>
      </c>
      <c r="PC9" s="38">
        <v>44081</v>
      </c>
      <c r="PD9" s="38">
        <v>44116</v>
      </c>
      <c r="PE9" s="38">
        <v>44131</v>
      </c>
      <c r="PF9" s="38">
        <v>44146</v>
      </c>
      <c r="PG9" s="38">
        <v>44154</v>
      </c>
      <c r="PH9" s="38">
        <v>44162</v>
      </c>
      <c r="PI9" s="18">
        <v>44169</v>
      </c>
      <c r="PJ9" s="18">
        <v>44172</v>
      </c>
      <c r="PK9" s="18">
        <v>44553</v>
      </c>
      <c r="PL9" s="18">
        <v>44211</v>
      </c>
      <c r="PM9" s="18">
        <v>44229</v>
      </c>
      <c r="PN9" s="18">
        <v>44251</v>
      </c>
      <c r="PO9" s="18">
        <v>44273</v>
      </c>
      <c r="PP9" s="18">
        <v>44300</v>
      </c>
      <c r="PQ9" s="18">
        <v>44314</v>
      </c>
      <c r="PR9" s="18">
        <v>44356</v>
      </c>
      <c r="PS9" s="18">
        <v>44370</v>
      </c>
      <c r="PT9" s="18">
        <v>44389</v>
      </c>
      <c r="PU9" s="18">
        <v>44412</v>
      </c>
      <c r="PV9" s="38">
        <v>44426</v>
      </c>
      <c r="PW9" s="38">
        <v>44455</v>
      </c>
      <c r="PX9" s="38">
        <v>44468</v>
      </c>
      <c r="PY9" s="18">
        <v>44476</v>
      </c>
      <c r="PZ9" s="18">
        <v>44491</v>
      </c>
      <c r="QA9" s="18">
        <v>44498</v>
      </c>
      <c r="QB9" s="18">
        <v>44508</v>
      </c>
      <c r="QC9" s="18">
        <v>44518</v>
      </c>
      <c r="QD9" s="18">
        <v>44530</v>
      </c>
      <c r="QE9" s="164">
        <v>44539</v>
      </c>
      <c r="QF9" s="164">
        <v>44557</v>
      </c>
      <c r="QG9" s="164">
        <v>44574</v>
      </c>
      <c r="QH9" s="18">
        <v>44588</v>
      </c>
      <c r="QI9" s="18">
        <v>44614</v>
      </c>
      <c r="QJ9" s="18">
        <v>44624</v>
      </c>
      <c r="QK9" s="18">
        <v>44644</v>
      </c>
      <c r="QL9" s="18">
        <v>44664</v>
      </c>
      <c r="QM9" s="18">
        <v>44680</v>
      </c>
      <c r="QN9" s="18">
        <v>44694</v>
      </c>
      <c r="QO9" s="18">
        <v>44720</v>
      </c>
      <c r="QP9" s="18">
        <v>44733</v>
      </c>
      <c r="QQ9" s="18">
        <v>44747</v>
      </c>
      <c r="QR9" s="18">
        <v>44761</v>
      </c>
      <c r="QS9" s="18">
        <v>44783</v>
      </c>
      <c r="QT9" s="18">
        <v>44797</v>
      </c>
      <c r="QU9" s="18">
        <v>44811</v>
      </c>
      <c r="QV9" s="18">
        <v>44826</v>
      </c>
      <c r="QW9" s="38">
        <v>44839</v>
      </c>
      <c r="QX9" s="38">
        <v>44855</v>
      </c>
      <c r="QY9" s="38">
        <v>44867</v>
      </c>
      <c r="QZ9" s="38">
        <v>44881</v>
      </c>
      <c r="RA9" s="38">
        <v>44895</v>
      </c>
      <c r="RB9" s="18">
        <v>44908</v>
      </c>
      <c r="RC9" s="38">
        <v>44922</v>
      </c>
      <c r="RD9" s="38">
        <v>44944</v>
      </c>
      <c r="RE9" s="38">
        <v>44957</v>
      </c>
      <c r="RF9" s="18">
        <v>44966</v>
      </c>
      <c r="RG9" s="164">
        <v>44980</v>
      </c>
      <c r="RH9" s="164">
        <v>44994</v>
      </c>
      <c r="RI9" s="18">
        <v>45015</v>
      </c>
      <c r="RJ9" s="18">
        <v>45033</v>
      </c>
      <c r="RK9" s="18">
        <v>45050</v>
      </c>
      <c r="RL9" s="18">
        <v>45064</v>
      </c>
      <c r="RM9" s="18">
        <v>45078</v>
      </c>
      <c r="RN9" s="18">
        <v>45092</v>
      </c>
      <c r="RO9" s="18">
        <v>45106</v>
      </c>
      <c r="RP9" s="18">
        <v>45120</v>
      </c>
      <c r="RQ9" s="18">
        <v>45134</v>
      </c>
      <c r="RR9" s="18">
        <v>45155</v>
      </c>
      <c r="RS9" s="18">
        <v>45169</v>
      </c>
      <c r="RT9" s="18">
        <v>45183</v>
      </c>
      <c r="RU9" s="38">
        <v>45210</v>
      </c>
      <c r="RV9" s="38">
        <v>45225</v>
      </c>
      <c r="RW9" s="38">
        <v>45239</v>
      </c>
      <c r="RX9" s="38">
        <v>45257</v>
      </c>
      <c r="RY9" s="38">
        <v>45274</v>
      </c>
      <c r="RZ9" s="18">
        <v>45288</v>
      </c>
      <c r="SA9" s="38">
        <v>45301</v>
      </c>
      <c r="SB9" s="38">
        <v>45316</v>
      </c>
      <c r="SC9" s="18">
        <v>45329</v>
      </c>
      <c r="SD9" s="18">
        <v>45343</v>
      </c>
      <c r="SE9" s="18">
        <v>45357</v>
      </c>
      <c r="SF9" s="18">
        <v>45369</v>
      </c>
      <c r="SG9" s="18">
        <v>45385</v>
      </c>
      <c r="SH9" s="18">
        <v>45399</v>
      </c>
      <c r="SI9" s="18">
        <v>45421</v>
      </c>
      <c r="SJ9" s="18">
        <v>45434</v>
      </c>
      <c r="SK9" s="18">
        <v>45448</v>
      </c>
      <c r="SL9" s="18">
        <v>45462</v>
      </c>
      <c r="SM9" s="18">
        <v>45476</v>
      </c>
      <c r="SN9" s="18">
        <v>45489</v>
      </c>
      <c r="SO9" s="18">
        <v>45541</v>
      </c>
      <c r="SP9" s="18">
        <v>45562</v>
      </c>
      <c r="SQ9" s="18">
        <v>45580</v>
      </c>
      <c r="SR9" s="38">
        <v>45593</v>
      </c>
      <c r="SS9" s="18">
        <v>45611</v>
      </c>
      <c r="ST9" s="18">
        <v>45622</v>
      </c>
      <c r="SU9" s="18">
        <v>45639</v>
      </c>
      <c r="SV9" s="38">
        <v>45653</v>
      </c>
      <c r="SW9" s="18">
        <v>45666</v>
      </c>
      <c r="SX9" s="18">
        <v>45701</v>
      </c>
      <c r="SY9" s="18">
        <v>45716</v>
      </c>
      <c r="SZ9" s="18">
        <v>45729</v>
      </c>
      <c r="TA9" s="18">
        <v>45757</v>
      </c>
      <c r="TB9" s="18">
        <v>45764</v>
      </c>
      <c r="TC9" s="18">
        <v>45778</v>
      </c>
      <c r="TD9" s="18">
        <v>45793</v>
      </c>
      <c r="TE9" s="18">
        <v>45806</v>
      </c>
      <c r="TF9" s="18">
        <v>45820</v>
      </c>
      <c r="TG9" s="18">
        <v>45833</v>
      </c>
      <c r="TH9" s="18">
        <v>45848</v>
      </c>
      <c r="TI9" s="18">
        <v>45862</v>
      </c>
      <c r="TJ9" s="18">
        <v>45876</v>
      </c>
      <c r="TK9" s="18">
        <v>45890</v>
      </c>
      <c r="TL9" s="18">
        <v>45904</v>
      </c>
      <c r="TM9" s="18">
        <v>45917</v>
      </c>
      <c r="TN9" s="18">
        <v>45932</v>
      </c>
      <c r="TO9" s="18">
        <v>45946</v>
      </c>
      <c r="TP9" s="18">
        <v>45959</v>
      </c>
      <c r="TQ9" s="18">
        <v>45975</v>
      </c>
      <c r="TR9" s="18">
        <v>45988</v>
      </c>
      <c r="TS9" s="18">
        <v>46002</v>
      </c>
      <c r="TT9" s="18">
        <v>46020</v>
      </c>
      <c r="TU9" s="18">
        <v>46031</v>
      </c>
      <c r="TV9" s="18">
        <v>46051</v>
      </c>
      <c r="TW9" s="18">
        <v>46057</v>
      </c>
      <c r="TX9" s="18">
        <v>46073</v>
      </c>
      <c r="TY9" s="18">
        <v>46093</v>
      </c>
      <c r="TZ9" s="18">
        <v>46114</v>
      </c>
      <c r="UA9" s="18">
        <v>46132</v>
      </c>
      <c r="UB9" s="18">
        <v>46142</v>
      </c>
      <c r="UC9" s="18">
        <v>46163</v>
      </c>
      <c r="UD9" s="18">
        <v>46192</v>
      </c>
      <c r="UE9" s="18">
        <v>46212</v>
      </c>
      <c r="UF9" s="18">
        <v>46233</v>
      </c>
      <c r="UG9" s="18">
        <v>46247</v>
      </c>
      <c r="UH9" s="18">
        <v>46269</v>
      </c>
      <c r="UI9" s="38">
        <v>44081</v>
      </c>
      <c r="UJ9" s="38">
        <v>44116</v>
      </c>
      <c r="UK9" s="40">
        <v>44131</v>
      </c>
      <c r="UL9" s="40">
        <v>44154</v>
      </c>
      <c r="UM9" s="39">
        <v>44162</v>
      </c>
      <c r="UN9" s="39">
        <v>44188</v>
      </c>
      <c r="UO9" s="39">
        <v>44229</v>
      </c>
      <c r="UP9" s="39">
        <v>44273</v>
      </c>
      <c r="UQ9" s="40">
        <v>44300</v>
      </c>
      <c r="UR9" s="39">
        <v>44314</v>
      </c>
      <c r="US9" s="39">
        <v>44356</v>
      </c>
      <c r="UT9" s="39">
        <v>44370</v>
      </c>
      <c r="UU9" s="39">
        <v>44484</v>
      </c>
      <c r="UV9" s="39">
        <v>44498</v>
      </c>
      <c r="UW9" s="39">
        <v>44513</v>
      </c>
      <c r="UX9" s="40">
        <v>44855</v>
      </c>
      <c r="UY9" s="39">
        <v>44867</v>
      </c>
      <c r="UZ9" s="40">
        <v>45245</v>
      </c>
      <c r="VA9" s="39">
        <v>45301</v>
      </c>
      <c r="VB9" s="40" t="s">
        <v>22</v>
      </c>
      <c r="VC9" s="40" t="s">
        <v>25</v>
      </c>
      <c r="VD9" s="39" t="s">
        <v>27</v>
      </c>
      <c r="VE9" s="39" t="s">
        <v>31</v>
      </c>
      <c r="VF9" s="40">
        <v>44154</v>
      </c>
      <c r="VG9" s="40">
        <v>44162</v>
      </c>
      <c r="VH9" s="39">
        <v>44169</v>
      </c>
      <c r="VI9" s="39">
        <v>44188</v>
      </c>
      <c r="VJ9" s="39">
        <v>44513</v>
      </c>
      <c r="VK9" s="157" t="s">
        <v>59</v>
      </c>
      <c r="VL9" s="40">
        <v>44855</v>
      </c>
      <c r="VM9" s="40">
        <v>44867</v>
      </c>
      <c r="VN9" s="40">
        <v>44881</v>
      </c>
      <c r="VO9" s="40">
        <v>44895</v>
      </c>
      <c r="VP9" s="39">
        <v>44908</v>
      </c>
      <c r="VQ9" s="40">
        <v>44922</v>
      </c>
      <c r="VR9" s="39">
        <v>44944</v>
      </c>
      <c r="VS9" s="39" t="s">
        <v>148</v>
      </c>
      <c r="VT9" s="39">
        <v>44957</v>
      </c>
      <c r="VU9" s="39" t="s">
        <v>150</v>
      </c>
      <c r="VV9" s="40">
        <v>45258</v>
      </c>
      <c r="VW9" s="40">
        <v>45301</v>
      </c>
      <c r="VX9" s="40">
        <v>45316</v>
      </c>
      <c r="VY9" s="40">
        <v>44146</v>
      </c>
      <c r="VZ9" s="40">
        <v>44154</v>
      </c>
      <c r="WA9" s="40">
        <v>44162</v>
      </c>
      <c r="WB9" s="39">
        <v>44169</v>
      </c>
      <c r="WC9" s="39">
        <v>44172</v>
      </c>
      <c r="WD9" s="39">
        <v>44553</v>
      </c>
      <c r="WE9" s="39">
        <v>44211</v>
      </c>
      <c r="WF9" s="39">
        <v>44229</v>
      </c>
      <c r="WG9" s="39">
        <v>44251</v>
      </c>
      <c r="WH9" s="39">
        <v>44273</v>
      </c>
      <c r="WI9" s="40">
        <v>44300</v>
      </c>
      <c r="WJ9" s="39">
        <v>44314</v>
      </c>
      <c r="WK9" s="39">
        <v>44356</v>
      </c>
      <c r="WL9" s="39">
        <v>44370</v>
      </c>
      <c r="WM9" s="40">
        <v>44389</v>
      </c>
      <c r="WN9" s="40">
        <v>44412</v>
      </c>
      <c r="WO9" s="40">
        <v>44426</v>
      </c>
      <c r="WP9" s="40">
        <v>44455</v>
      </c>
      <c r="WQ9" s="40">
        <v>44468</v>
      </c>
      <c r="WR9" s="39">
        <v>44476</v>
      </c>
      <c r="WS9" s="39">
        <v>44491</v>
      </c>
      <c r="WT9" s="39">
        <v>44498</v>
      </c>
      <c r="WU9" s="39">
        <v>44508</v>
      </c>
      <c r="WV9" s="39">
        <v>44518</v>
      </c>
      <c r="WW9" s="39">
        <v>44530</v>
      </c>
      <c r="WX9" s="183">
        <v>44539</v>
      </c>
      <c r="WY9" s="183">
        <v>44557</v>
      </c>
      <c r="WZ9" s="183">
        <v>44574</v>
      </c>
      <c r="XA9" s="39">
        <v>44588</v>
      </c>
      <c r="XB9" s="39">
        <v>44614</v>
      </c>
      <c r="XC9" s="39">
        <v>44624</v>
      </c>
      <c r="XD9" s="39">
        <v>44644</v>
      </c>
      <c r="XE9" s="39">
        <v>44664</v>
      </c>
      <c r="XF9" s="39">
        <v>44680</v>
      </c>
      <c r="XG9" s="39">
        <v>44694</v>
      </c>
      <c r="XH9" s="39">
        <v>44720</v>
      </c>
      <c r="XI9" s="39">
        <v>44733</v>
      </c>
      <c r="XJ9" s="39">
        <v>44747</v>
      </c>
      <c r="XK9" s="39">
        <v>44761</v>
      </c>
      <c r="XL9" s="39">
        <v>44783</v>
      </c>
      <c r="XM9" s="39">
        <v>44797</v>
      </c>
      <c r="XN9" s="39">
        <v>44811</v>
      </c>
      <c r="XO9" s="39">
        <v>44826</v>
      </c>
      <c r="XP9" s="40">
        <v>44839</v>
      </c>
      <c r="XQ9" s="40">
        <v>44855</v>
      </c>
      <c r="XR9" s="40">
        <v>44867</v>
      </c>
      <c r="XS9" s="40">
        <v>44881</v>
      </c>
      <c r="XT9" s="40">
        <v>44895</v>
      </c>
      <c r="XU9" s="39">
        <v>44908</v>
      </c>
      <c r="XV9" s="40">
        <v>44922</v>
      </c>
      <c r="XW9" s="39">
        <v>44944</v>
      </c>
      <c r="XX9" s="183">
        <v>44957</v>
      </c>
      <c r="XY9" s="39">
        <v>44966</v>
      </c>
      <c r="XZ9" s="183">
        <v>44980</v>
      </c>
      <c r="YA9" s="183">
        <v>44994</v>
      </c>
      <c r="YB9" s="39">
        <v>45015</v>
      </c>
      <c r="YC9" s="39">
        <v>45033</v>
      </c>
      <c r="YD9" s="39">
        <v>45050</v>
      </c>
      <c r="YE9" s="39">
        <v>45064</v>
      </c>
      <c r="YF9" s="39">
        <v>45078</v>
      </c>
      <c r="YG9" s="39">
        <v>45092</v>
      </c>
      <c r="YH9" s="39">
        <v>45106</v>
      </c>
      <c r="YI9" s="39">
        <v>45120</v>
      </c>
      <c r="YJ9" s="39">
        <v>45134</v>
      </c>
      <c r="YK9" s="39">
        <v>45155</v>
      </c>
      <c r="YL9" s="39">
        <v>45169</v>
      </c>
      <c r="YM9" s="39">
        <v>45183</v>
      </c>
      <c r="YN9" s="40">
        <v>45210</v>
      </c>
      <c r="YO9" s="40">
        <v>45225</v>
      </c>
      <c r="YP9" s="40">
        <v>45239</v>
      </c>
      <c r="YQ9" s="40">
        <v>45257</v>
      </c>
      <c r="YR9" s="40">
        <v>45274</v>
      </c>
      <c r="YS9" s="39">
        <v>45288</v>
      </c>
      <c r="YT9" s="40">
        <v>45301</v>
      </c>
      <c r="YU9" s="40">
        <v>45316</v>
      </c>
      <c r="YV9" s="39">
        <v>45329</v>
      </c>
      <c r="YW9" s="39">
        <v>45343</v>
      </c>
      <c r="YX9" s="39">
        <v>45357</v>
      </c>
      <c r="YY9" s="39">
        <v>45369</v>
      </c>
      <c r="YZ9" s="39">
        <v>45385</v>
      </c>
      <c r="ZA9" s="39">
        <v>45399</v>
      </c>
      <c r="ZB9" s="39">
        <v>45421</v>
      </c>
      <c r="ZC9" s="39">
        <v>45434</v>
      </c>
      <c r="ZD9" s="39">
        <v>45448</v>
      </c>
      <c r="ZE9" s="39">
        <v>45462</v>
      </c>
      <c r="ZF9" s="39">
        <v>45476</v>
      </c>
      <c r="ZG9" s="39">
        <v>45489</v>
      </c>
      <c r="ZH9" s="39">
        <v>45541</v>
      </c>
      <c r="ZI9" s="39">
        <v>45562</v>
      </c>
      <c r="ZJ9" s="39">
        <v>45580</v>
      </c>
      <c r="ZK9" s="40">
        <v>45593</v>
      </c>
      <c r="ZL9" s="39">
        <v>45611</v>
      </c>
      <c r="ZM9" s="39">
        <v>45622</v>
      </c>
      <c r="ZN9" s="39">
        <v>45639</v>
      </c>
      <c r="ZO9" s="40">
        <v>45653</v>
      </c>
      <c r="ZP9" s="39">
        <v>45666</v>
      </c>
      <c r="ZQ9" s="39">
        <v>45701</v>
      </c>
      <c r="ZR9" s="39">
        <v>45716</v>
      </c>
      <c r="ZS9" s="39">
        <v>45729</v>
      </c>
      <c r="ZT9" s="39">
        <v>45757</v>
      </c>
      <c r="ZU9" s="39">
        <v>45764</v>
      </c>
      <c r="ZV9" s="39">
        <v>45778</v>
      </c>
      <c r="ZW9" s="39">
        <v>45793</v>
      </c>
      <c r="ZX9" s="39">
        <v>45806</v>
      </c>
      <c r="ZY9" s="39">
        <v>45820</v>
      </c>
      <c r="ZZ9" s="39">
        <v>45833</v>
      </c>
      <c r="AAA9" s="39">
        <v>45848</v>
      </c>
      <c r="AAB9" s="39">
        <v>45862</v>
      </c>
      <c r="AAC9" s="39">
        <v>45876</v>
      </c>
      <c r="AAD9" s="39">
        <v>45890</v>
      </c>
      <c r="AAE9" s="39">
        <v>45904</v>
      </c>
      <c r="AAF9" s="39">
        <v>45917</v>
      </c>
      <c r="AAG9" s="39">
        <v>45932</v>
      </c>
      <c r="AAH9" s="39">
        <v>45946</v>
      </c>
      <c r="AAI9" s="39">
        <v>45959</v>
      </c>
      <c r="AAJ9" s="39">
        <v>45975</v>
      </c>
      <c r="AAK9" s="39">
        <v>45988</v>
      </c>
      <c r="AAL9" s="18">
        <v>46002</v>
      </c>
      <c r="AAM9" s="18">
        <v>46020</v>
      </c>
      <c r="AAN9" s="18">
        <v>46031</v>
      </c>
      <c r="AAO9" s="18">
        <v>46051</v>
      </c>
      <c r="AAP9" s="18">
        <v>46057</v>
      </c>
      <c r="AAQ9" s="18">
        <v>46073</v>
      </c>
      <c r="AAR9" s="18">
        <v>46093</v>
      </c>
      <c r="AAS9" s="18">
        <v>46114</v>
      </c>
      <c r="AAT9" s="18">
        <v>46132</v>
      </c>
      <c r="AAU9" s="18">
        <v>46142</v>
      </c>
      <c r="AAV9" s="18">
        <v>46163</v>
      </c>
      <c r="AAW9" s="18">
        <v>46192</v>
      </c>
      <c r="AAX9" s="18">
        <v>46212</v>
      </c>
      <c r="AAY9" s="18">
        <v>46233</v>
      </c>
      <c r="AAZ9" s="18">
        <v>46247</v>
      </c>
      <c r="ABA9" s="18">
        <v>46269</v>
      </c>
      <c r="ABB9" s="40">
        <v>44146</v>
      </c>
      <c r="ABC9" s="40">
        <v>44154</v>
      </c>
      <c r="ABD9" s="40">
        <v>44162</v>
      </c>
      <c r="ABE9" s="39">
        <v>44169</v>
      </c>
      <c r="ABF9" s="39">
        <v>44172</v>
      </c>
      <c r="ABG9" s="39">
        <v>44188</v>
      </c>
      <c r="ABH9" s="39">
        <v>44211</v>
      </c>
      <c r="ABI9" s="39">
        <v>44229</v>
      </c>
      <c r="ABJ9" s="39">
        <v>44251</v>
      </c>
      <c r="ABK9" s="39">
        <v>44273</v>
      </c>
      <c r="ABL9" s="40">
        <v>44300</v>
      </c>
      <c r="ABM9" s="39">
        <v>44314</v>
      </c>
      <c r="ABN9" s="39">
        <v>44356</v>
      </c>
      <c r="ABO9" s="39">
        <v>44370</v>
      </c>
      <c r="ABP9" s="39">
        <v>44389</v>
      </c>
      <c r="ABQ9" s="39">
        <v>44412</v>
      </c>
      <c r="ABR9" s="40">
        <v>44426</v>
      </c>
      <c r="ABS9" s="40">
        <v>44455</v>
      </c>
      <c r="ABT9" s="40">
        <v>44468</v>
      </c>
      <c r="ABU9" s="39">
        <v>44476</v>
      </c>
      <c r="ABV9" s="39">
        <v>44491</v>
      </c>
      <c r="ABW9" s="39">
        <v>44498</v>
      </c>
      <c r="ABX9" s="39">
        <v>44508</v>
      </c>
      <c r="ABY9" s="39">
        <v>44518</v>
      </c>
      <c r="ABZ9" s="39">
        <v>44530</v>
      </c>
      <c r="ACA9" s="183">
        <v>44539</v>
      </c>
      <c r="ACB9" s="183">
        <v>44557</v>
      </c>
      <c r="ACC9" s="183">
        <v>44574</v>
      </c>
      <c r="ACD9" s="39">
        <v>44588</v>
      </c>
      <c r="ACE9" s="39">
        <v>44614</v>
      </c>
      <c r="ACF9" s="39">
        <v>44624</v>
      </c>
      <c r="ACG9" s="39">
        <v>44644</v>
      </c>
      <c r="ACH9" s="39">
        <v>44664</v>
      </c>
      <c r="ACI9" s="39">
        <v>44680</v>
      </c>
      <c r="ACJ9" s="39">
        <v>44694</v>
      </c>
      <c r="ACK9" s="39">
        <v>44720</v>
      </c>
      <c r="ACL9" s="39">
        <v>44733</v>
      </c>
      <c r="ACM9" s="39">
        <v>44747</v>
      </c>
      <c r="ACN9" s="39">
        <v>44761</v>
      </c>
      <c r="ACO9" s="39">
        <v>44783</v>
      </c>
      <c r="ACP9" s="39">
        <v>44797</v>
      </c>
      <c r="ACQ9" s="39">
        <v>44811</v>
      </c>
      <c r="ACR9" s="39">
        <v>44826</v>
      </c>
      <c r="ACS9" s="40">
        <v>44839</v>
      </c>
      <c r="ACT9" s="40">
        <v>44855</v>
      </c>
      <c r="ACU9" s="40">
        <v>44867</v>
      </c>
      <c r="ACV9" s="40">
        <v>44881</v>
      </c>
      <c r="ACW9" s="40">
        <v>44895</v>
      </c>
      <c r="ACX9" s="39">
        <v>44908</v>
      </c>
      <c r="ACY9" s="40">
        <v>44922</v>
      </c>
      <c r="ACZ9" s="39">
        <v>44944</v>
      </c>
      <c r="ADA9" s="183">
        <v>44957</v>
      </c>
      <c r="ADB9" s="39">
        <v>44966</v>
      </c>
      <c r="ADC9" s="183">
        <v>44980</v>
      </c>
      <c r="ADD9" s="183">
        <v>44994</v>
      </c>
      <c r="ADE9" s="39">
        <v>45015</v>
      </c>
      <c r="ADF9" s="39">
        <v>45033</v>
      </c>
      <c r="ADG9" s="39">
        <v>45050</v>
      </c>
      <c r="ADH9" s="39">
        <v>45064</v>
      </c>
      <c r="ADI9" s="39">
        <v>45078</v>
      </c>
      <c r="ADJ9" s="39">
        <v>45092</v>
      </c>
      <c r="ADK9" s="39">
        <v>45106</v>
      </c>
      <c r="ADL9" s="39">
        <v>45120</v>
      </c>
      <c r="ADM9" s="39">
        <v>45134</v>
      </c>
      <c r="ADN9" s="39">
        <v>45155</v>
      </c>
      <c r="ADO9" s="39">
        <v>45169</v>
      </c>
      <c r="ADP9" s="39">
        <v>45183</v>
      </c>
      <c r="ADQ9" s="40">
        <v>45210</v>
      </c>
      <c r="ADR9" s="40">
        <v>45225</v>
      </c>
      <c r="ADS9" s="40">
        <v>45239</v>
      </c>
      <c r="ADT9" s="40">
        <v>45257</v>
      </c>
      <c r="ADU9" s="40">
        <v>45274</v>
      </c>
      <c r="ADV9" s="39">
        <v>45288</v>
      </c>
      <c r="ADW9" s="39">
        <v>45301</v>
      </c>
      <c r="ADX9" s="39">
        <v>45316</v>
      </c>
      <c r="ADY9" s="39">
        <v>45329</v>
      </c>
      <c r="ADZ9" s="39">
        <v>45343</v>
      </c>
      <c r="AEA9" s="39">
        <v>45357</v>
      </c>
      <c r="AEB9" s="39">
        <v>45369</v>
      </c>
      <c r="AEC9" s="39">
        <v>45385</v>
      </c>
      <c r="AED9" s="39">
        <v>45399</v>
      </c>
      <c r="AEE9" s="39">
        <v>45421</v>
      </c>
      <c r="AEF9" s="39">
        <v>45434</v>
      </c>
      <c r="AEG9" s="39">
        <v>45448</v>
      </c>
      <c r="AEH9" s="39">
        <v>45462</v>
      </c>
      <c r="AEI9" s="39">
        <v>45476</v>
      </c>
      <c r="AEJ9" s="39">
        <v>45489</v>
      </c>
      <c r="AEK9" s="39">
        <v>45541</v>
      </c>
      <c r="AEL9" s="39">
        <v>45562</v>
      </c>
      <c r="AEM9" s="39">
        <v>45580</v>
      </c>
      <c r="AEN9" s="40">
        <v>45593</v>
      </c>
      <c r="AEO9" s="39">
        <v>45611</v>
      </c>
      <c r="AEP9" s="39">
        <v>45622</v>
      </c>
      <c r="AEQ9" s="568">
        <v>45639</v>
      </c>
      <c r="AER9" s="581">
        <v>45876</v>
      </c>
      <c r="AES9" s="39">
        <v>45890</v>
      </c>
      <c r="AET9" s="39">
        <v>45904</v>
      </c>
      <c r="AEU9" s="39">
        <v>45917</v>
      </c>
      <c r="AEV9" s="39">
        <v>45932</v>
      </c>
      <c r="AEW9" s="39">
        <v>45946</v>
      </c>
      <c r="AEX9" s="39">
        <v>45959</v>
      </c>
      <c r="AEY9" s="39">
        <v>45975</v>
      </c>
      <c r="AEZ9" s="39">
        <v>45988</v>
      </c>
      <c r="AFA9" s="18">
        <v>46002</v>
      </c>
      <c r="AFB9" s="18">
        <v>46020</v>
      </c>
      <c r="AFC9" s="18">
        <v>46031</v>
      </c>
      <c r="AFD9" s="18">
        <v>46051</v>
      </c>
      <c r="AFE9" s="18">
        <v>46057</v>
      </c>
      <c r="AFF9" s="18">
        <v>46073</v>
      </c>
      <c r="AFG9" s="18">
        <v>46093</v>
      </c>
      <c r="AFH9" s="18">
        <v>46114</v>
      </c>
      <c r="AFI9" s="18">
        <v>46132</v>
      </c>
      <c r="AFJ9" s="18">
        <v>46142</v>
      </c>
      <c r="AFK9" s="18">
        <v>46163</v>
      </c>
      <c r="AFL9" s="18">
        <v>46192</v>
      </c>
      <c r="AFM9" s="18">
        <v>46212</v>
      </c>
      <c r="AFN9" s="18">
        <v>46233</v>
      </c>
      <c r="AFO9" s="18">
        <v>46247</v>
      </c>
      <c r="AFP9" s="582">
        <v>46269</v>
      </c>
      <c r="AFQ9" s="619">
        <v>45653</v>
      </c>
      <c r="AFR9" s="39">
        <v>45666</v>
      </c>
      <c r="AFS9" s="39">
        <v>45701</v>
      </c>
      <c r="AFT9" s="39">
        <v>45716</v>
      </c>
      <c r="AFU9" s="39">
        <v>45729</v>
      </c>
      <c r="AFV9" s="39">
        <v>45757</v>
      </c>
      <c r="AFW9" s="39">
        <v>45764</v>
      </c>
      <c r="AFX9" s="39">
        <v>45778</v>
      </c>
      <c r="AFY9" s="39">
        <v>45793</v>
      </c>
      <c r="AFZ9" s="39">
        <v>45806</v>
      </c>
      <c r="AGA9" s="39">
        <v>45820</v>
      </c>
      <c r="AGB9" s="39">
        <v>45833</v>
      </c>
      <c r="AGC9" s="39">
        <v>45848</v>
      </c>
      <c r="AGD9" s="617">
        <v>45862</v>
      </c>
      <c r="AGE9" s="39">
        <v>45876</v>
      </c>
      <c r="AGF9" s="39">
        <v>45890</v>
      </c>
      <c r="AGG9" s="39">
        <v>45904</v>
      </c>
      <c r="AGH9" s="39">
        <v>45917</v>
      </c>
      <c r="AGI9" s="39">
        <v>45932</v>
      </c>
      <c r="AGJ9" s="39">
        <v>45946</v>
      </c>
      <c r="AGK9" s="39">
        <v>45959</v>
      </c>
      <c r="AGL9" s="39">
        <v>45975</v>
      </c>
      <c r="AGM9" s="39">
        <v>45988</v>
      </c>
      <c r="AGN9" s="18">
        <v>46002</v>
      </c>
      <c r="AGO9" s="18">
        <v>46020</v>
      </c>
      <c r="AGP9" s="18">
        <v>46031</v>
      </c>
      <c r="AGQ9" s="18">
        <v>46051</v>
      </c>
      <c r="AGR9" s="18">
        <v>46057</v>
      </c>
      <c r="AGS9" s="18">
        <v>46073</v>
      </c>
      <c r="AGT9" s="18">
        <v>46093</v>
      </c>
      <c r="AGU9" s="18">
        <v>46114</v>
      </c>
      <c r="AGV9" s="18">
        <v>46132</v>
      </c>
      <c r="AGW9" s="18">
        <v>46142</v>
      </c>
      <c r="AGX9" s="18">
        <v>46163</v>
      </c>
      <c r="AGY9" s="18">
        <v>46192</v>
      </c>
      <c r="AGZ9" s="18">
        <v>46212</v>
      </c>
      <c r="AHA9" s="18">
        <v>46233</v>
      </c>
      <c r="AHB9" s="18">
        <v>46247</v>
      </c>
      <c r="AHC9" s="582">
        <v>46269</v>
      </c>
      <c r="AHD9" s="585">
        <v>44081</v>
      </c>
      <c r="AHE9" s="585">
        <v>44116</v>
      </c>
      <c r="AHF9" s="585">
        <v>44131</v>
      </c>
      <c r="AHG9" s="585">
        <v>44148</v>
      </c>
      <c r="AHH9" s="586">
        <v>44162</v>
      </c>
      <c r="AHI9" s="587">
        <v>44553</v>
      </c>
      <c r="AHJ9" s="587">
        <v>44211</v>
      </c>
      <c r="AHK9" s="587">
        <v>44229</v>
      </c>
      <c r="AHL9" s="587">
        <v>44250</v>
      </c>
      <c r="AHM9" s="587">
        <v>44273</v>
      </c>
      <c r="AHN9" s="588">
        <v>44300</v>
      </c>
      <c r="AHO9" s="587">
        <v>44314</v>
      </c>
      <c r="AHP9" s="587">
        <v>44356</v>
      </c>
      <c r="AHQ9" s="587">
        <v>44370</v>
      </c>
      <c r="AHR9" s="587">
        <v>44389</v>
      </c>
      <c r="AHS9" s="587">
        <v>44413</v>
      </c>
      <c r="AHT9" s="588">
        <v>44426</v>
      </c>
      <c r="AHU9" s="588">
        <v>44455</v>
      </c>
      <c r="AHV9" s="588">
        <v>44468</v>
      </c>
      <c r="AHW9" s="587">
        <v>44476</v>
      </c>
      <c r="AHX9" s="587">
        <v>44491</v>
      </c>
      <c r="AHY9" s="587">
        <v>44498</v>
      </c>
      <c r="AHZ9" s="587">
        <v>44508</v>
      </c>
      <c r="AIA9" s="587">
        <v>44518</v>
      </c>
      <c r="AIB9" s="587">
        <v>44530</v>
      </c>
      <c r="AIC9" s="589">
        <v>44539</v>
      </c>
      <c r="AID9" s="589">
        <v>44557</v>
      </c>
      <c r="AIE9" s="589">
        <v>44574</v>
      </c>
      <c r="AIF9" s="587">
        <v>44588</v>
      </c>
      <c r="AIG9" s="587">
        <v>44614</v>
      </c>
      <c r="AIH9" s="587">
        <v>44624</v>
      </c>
      <c r="AII9" s="587">
        <v>44644</v>
      </c>
      <c r="AIJ9" s="587">
        <v>44664</v>
      </c>
      <c r="AIK9" s="587">
        <v>44680</v>
      </c>
      <c r="AIL9" s="587">
        <v>44694</v>
      </c>
      <c r="AIM9" s="587">
        <v>44720</v>
      </c>
      <c r="AIN9" s="587">
        <v>44733</v>
      </c>
      <c r="AIO9" s="587">
        <v>44747</v>
      </c>
      <c r="AIP9" s="587">
        <v>44761</v>
      </c>
      <c r="AIQ9" s="587">
        <v>44761</v>
      </c>
      <c r="AIR9" s="587">
        <v>44783</v>
      </c>
      <c r="AIS9" s="587">
        <v>44797</v>
      </c>
      <c r="AIT9" s="587">
        <v>44811</v>
      </c>
      <c r="AIU9" s="587">
        <v>44826</v>
      </c>
      <c r="AIV9" s="588">
        <v>44839</v>
      </c>
      <c r="AIW9" s="588">
        <v>44855</v>
      </c>
      <c r="AIX9" s="588">
        <v>44867</v>
      </c>
      <c r="AIY9" s="588">
        <v>44881</v>
      </c>
      <c r="AIZ9" s="588">
        <v>44895</v>
      </c>
      <c r="AJA9" s="587">
        <v>44908</v>
      </c>
      <c r="AJB9" s="588">
        <v>44922</v>
      </c>
      <c r="AJC9" s="587" t="s">
        <v>149</v>
      </c>
      <c r="AJD9" s="587">
        <v>44957</v>
      </c>
      <c r="AJE9" s="587">
        <v>44966</v>
      </c>
      <c r="AJF9" s="587">
        <v>44980</v>
      </c>
      <c r="AJG9" s="587">
        <v>44994</v>
      </c>
      <c r="AJH9" s="587">
        <v>45015</v>
      </c>
      <c r="AJI9" s="587">
        <v>45169</v>
      </c>
      <c r="AJJ9" s="588">
        <v>45183</v>
      </c>
      <c r="AJK9" s="588">
        <v>45225</v>
      </c>
      <c r="AJL9" s="588">
        <v>45239</v>
      </c>
      <c r="AJM9" s="588">
        <v>45257</v>
      </c>
      <c r="AJN9" s="588">
        <v>45274</v>
      </c>
      <c r="AJO9" s="587">
        <v>45288</v>
      </c>
      <c r="AJP9" s="587">
        <v>45301</v>
      </c>
      <c r="AJQ9" s="588">
        <v>45593</v>
      </c>
      <c r="AJR9" s="587">
        <v>45611</v>
      </c>
      <c r="AJS9" s="587">
        <v>45622</v>
      </c>
      <c r="AJT9" s="588">
        <v>44839</v>
      </c>
      <c r="AJU9" s="588">
        <v>44855</v>
      </c>
      <c r="AJV9" s="588">
        <v>44867</v>
      </c>
      <c r="AJW9" s="588">
        <v>44881</v>
      </c>
      <c r="AJX9" s="588">
        <v>44895</v>
      </c>
      <c r="AJY9" s="587">
        <v>44908</v>
      </c>
      <c r="AJZ9" s="588">
        <v>44922</v>
      </c>
      <c r="AKA9" s="587">
        <v>44944</v>
      </c>
      <c r="AKB9" s="589">
        <v>44957</v>
      </c>
      <c r="AKC9" s="587">
        <v>44966</v>
      </c>
      <c r="AKD9" s="587">
        <v>44980</v>
      </c>
      <c r="AKE9" s="587">
        <v>44994</v>
      </c>
      <c r="AKF9" s="587"/>
      <c r="AKG9" s="587"/>
      <c r="AKH9" s="587"/>
      <c r="AKI9" s="590"/>
      <c r="AKJ9" s="590"/>
      <c r="AKK9" s="590"/>
      <c r="AKL9" s="590"/>
      <c r="AKM9" s="590"/>
      <c r="AKN9" s="590"/>
      <c r="AKO9" s="590"/>
      <c r="AKP9" s="591"/>
      <c r="AKQ9" s="591"/>
      <c r="AKR9" s="591"/>
      <c r="AKS9" s="591"/>
      <c r="AKT9" s="591"/>
      <c r="AKU9" s="591"/>
      <c r="AKV9" s="591"/>
      <c r="AKW9" s="591"/>
      <c r="AKX9" s="591"/>
      <c r="AKY9" s="591"/>
      <c r="AKZ9" s="591"/>
      <c r="ALA9" s="591"/>
      <c r="ALB9" s="591"/>
      <c r="ALC9" s="591"/>
      <c r="ALD9" s="591"/>
      <c r="ALE9" s="590"/>
      <c r="ALF9" s="590"/>
      <c r="ALG9" s="592"/>
      <c r="ALH9" s="592"/>
      <c r="ALI9" s="592"/>
      <c r="ALJ9" s="592"/>
      <c r="ALK9" s="592"/>
      <c r="ALL9" s="592"/>
      <c r="ALM9" s="592"/>
      <c r="ALN9" s="592"/>
      <c r="ALO9" s="592"/>
      <c r="ALP9" s="592"/>
      <c r="ALQ9" s="592"/>
      <c r="ALR9" s="592"/>
      <c r="ALS9" s="592"/>
      <c r="ALT9" s="592"/>
      <c r="ALU9" s="593">
        <v>46002</v>
      </c>
      <c r="ALV9" s="18">
        <v>46020</v>
      </c>
      <c r="ALW9" s="39">
        <v>46031</v>
      </c>
      <c r="ALX9" s="39">
        <v>46051</v>
      </c>
      <c r="ALY9" s="39">
        <v>46057</v>
      </c>
      <c r="ALZ9" s="39">
        <v>46073</v>
      </c>
      <c r="AMA9" s="39">
        <v>46093</v>
      </c>
      <c r="AMB9" s="39">
        <v>46114</v>
      </c>
      <c r="AMC9" s="39">
        <v>46132</v>
      </c>
      <c r="AMD9" s="39">
        <v>46142</v>
      </c>
      <c r="AME9" s="39">
        <v>46163</v>
      </c>
      <c r="AMF9" s="39">
        <v>46192</v>
      </c>
      <c r="AMG9" s="39">
        <v>46212</v>
      </c>
      <c r="AMH9" s="39">
        <v>46233</v>
      </c>
      <c r="AMI9" s="39">
        <v>46247</v>
      </c>
      <c r="AMJ9" s="579">
        <v>46269</v>
      </c>
      <c r="AMK9" s="575">
        <v>46269</v>
      </c>
      <c r="AML9" s="571"/>
      <c r="AMM9" s="572"/>
      <c r="AMO9" s="393" t="s">
        <v>199</v>
      </c>
    </row>
    <row r="10" spans="1:1029" ht="29.1" customHeight="1" thickBot="1" x14ac:dyDescent="0.35">
      <c r="A10" s="562" t="s">
        <v>12</v>
      </c>
      <c r="B10" s="563" t="s">
        <v>187</v>
      </c>
      <c r="C10" s="564" t="s">
        <v>2</v>
      </c>
      <c r="D10" s="564">
        <v>650</v>
      </c>
      <c r="E10" s="457" t="s">
        <v>9</v>
      </c>
      <c r="F10" s="458">
        <v>59.7</v>
      </c>
      <c r="G10" s="458">
        <f t="shared" ref="G10" si="0">F10+0.5</f>
        <v>60.2</v>
      </c>
      <c r="H10" s="458">
        <v>51.4</v>
      </c>
      <c r="I10" s="459" t="s">
        <v>114</v>
      </c>
      <c r="J10" s="460">
        <v>50000</v>
      </c>
      <c r="K10" s="461"/>
      <c r="L10" s="462">
        <v>53</v>
      </c>
      <c r="M10" s="463">
        <v>53</v>
      </c>
      <c r="N10" s="463">
        <v>74</v>
      </c>
      <c r="O10" s="463">
        <v>54</v>
      </c>
      <c r="P10" s="463">
        <v>50.9</v>
      </c>
      <c r="Q10" s="463">
        <v>55</v>
      </c>
      <c r="R10" s="463">
        <v>55</v>
      </c>
      <c r="S10" s="463">
        <v>57</v>
      </c>
      <c r="T10" s="463">
        <v>67.849999999999994</v>
      </c>
      <c r="U10" s="463">
        <v>70</v>
      </c>
      <c r="V10" s="463">
        <v>70</v>
      </c>
      <c r="W10" s="463">
        <v>73</v>
      </c>
      <c r="X10" s="463">
        <v>59</v>
      </c>
      <c r="Y10" s="463">
        <v>63.5</v>
      </c>
      <c r="Z10" s="463">
        <v>63</v>
      </c>
      <c r="AA10" s="463">
        <v>66</v>
      </c>
      <c r="AB10" s="463">
        <v>67.5</v>
      </c>
      <c r="AC10" s="463">
        <v>65</v>
      </c>
      <c r="AD10" s="463">
        <v>68.5</v>
      </c>
      <c r="AE10" s="463">
        <v>68.5</v>
      </c>
      <c r="AF10" s="464">
        <v>64</v>
      </c>
      <c r="AG10" s="464">
        <v>67</v>
      </c>
      <c r="AH10" s="464">
        <v>67</v>
      </c>
      <c r="AI10" s="464">
        <v>68</v>
      </c>
      <c r="AJ10" s="464">
        <v>70</v>
      </c>
      <c r="AK10" s="464">
        <v>70.5</v>
      </c>
      <c r="AL10" s="464">
        <v>70.5</v>
      </c>
      <c r="AM10" s="464">
        <v>72.5</v>
      </c>
      <c r="AN10" s="464">
        <v>67.5</v>
      </c>
      <c r="AO10" s="464">
        <v>67.5</v>
      </c>
      <c r="AP10" s="464">
        <v>67.5</v>
      </c>
      <c r="AQ10" s="464">
        <v>67.5</v>
      </c>
      <c r="AR10" s="464">
        <v>67.5</v>
      </c>
      <c r="AS10" s="464">
        <v>65.5</v>
      </c>
      <c r="AT10" s="464">
        <v>70.5</v>
      </c>
      <c r="AU10" s="464">
        <v>71.5</v>
      </c>
      <c r="AV10" s="464">
        <v>71.5</v>
      </c>
      <c r="AW10" s="464">
        <v>71.5</v>
      </c>
      <c r="AX10" s="464">
        <v>71.5</v>
      </c>
      <c r="AY10" s="464">
        <v>73</v>
      </c>
      <c r="AZ10" s="464">
        <v>73</v>
      </c>
      <c r="BA10" s="464">
        <v>74.5</v>
      </c>
      <c r="BB10" s="464">
        <v>74.5</v>
      </c>
      <c r="BC10" s="464">
        <v>76.5</v>
      </c>
      <c r="BD10" s="464">
        <v>76.5</v>
      </c>
      <c r="BE10" s="465">
        <v>83</v>
      </c>
      <c r="BF10" s="465">
        <v>79.5</v>
      </c>
      <c r="BG10" s="465">
        <v>78</v>
      </c>
      <c r="BH10" s="465">
        <v>75</v>
      </c>
      <c r="BI10" s="465">
        <v>69.5</v>
      </c>
      <c r="BJ10" s="465">
        <v>69.5</v>
      </c>
      <c r="BK10" s="465">
        <v>69.5</v>
      </c>
      <c r="BL10" s="465">
        <v>69.5</v>
      </c>
      <c r="BM10" s="466">
        <v>69.5</v>
      </c>
      <c r="BN10" s="466">
        <v>69.5</v>
      </c>
      <c r="BO10" s="466">
        <v>70.5</v>
      </c>
      <c r="BP10" s="466">
        <v>71</v>
      </c>
      <c r="BQ10" s="466">
        <v>70.5</v>
      </c>
      <c r="BR10" s="466">
        <v>70.5</v>
      </c>
      <c r="BS10" s="466">
        <v>76</v>
      </c>
      <c r="BT10" s="466">
        <v>76</v>
      </c>
      <c r="BU10" s="466">
        <v>76</v>
      </c>
      <c r="BV10" s="466">
        <v>76</v>
      </c>
      <c r="BW10" s="466">
        <v>78</v>
      </c>
      <c r="BX10" s="466">
        <v>78</v>
      </c>
      <c r="BY10" s="466">
        <v>78</v>
      </c>
      <c r="BZ10" s="466">
        <v>78.5</v>
      </c>
      <c r="CA10" s="466">
        <v>79</v>
      </c>
      <c r="CB10" s="466">
        <v>77</v>
      </c>
      <c r="CC10" s="466">
        <v>77</v>
      </c>
      <c r="CD10" s="466">
        <v>78</v>
      </c>
      <c r="CE10" s="467">
        <v>78</v>
      </c>
      <c r="CF10" s="467">
        <v>81</v>
      </c>
      <c r="CG10" s="467">
        <v>83</v>
      </c>
      <c r="CH10" s="467">
        <v>83</v>
      </c>
      <c r="CI10" s="467">
        <v>82</v>
      </c>
      <c r="CJ10" s="467" t="s">
        <v>184</v>
      </c>
      <c r="CK10" s="467">
        <v>88</v>
      </c>
      <c r="CL10" s="467">
        <v>95</v>
      </c>
      <c r="CM10" s="467">
        <v>100</v>
      </c>
      <c r="CN10" s="467">
        <v>102</v>
      </c>
      <c r="CO10" s="467">
        <v>97</v>
      </c>
      <c r="CP10" s="467">
        <v>97</v>
      </c>
      <c r="CQ10" s="467">
        <v>97</v>
      </c>
      <c r="CR10" s="467">
        <v>102</v>
      </c>
      <c r="CS10" s="467">
        <v>110</v>
      </c>
      <c r="CT10" s="467">
        <v>113</v>
      </c>
      <c r="CU10" s="467">
        <v>115</v>
      </c>
      <c r="CV10" s="467">
        <v>115</v>
      </c>
      <c r="CW10" s="467">
        <v>115</v>
      </c>
      <c r="CX10" s="467">
        <v>117</v>
      </c>
      <c r="CY10" s="467">
        <v>117</v>
      </c>
      <c r="CZ10" s="259">
        <v>116</v>
      </c>
      <c r="DA10" s="467">
        <v>114</v>
      </c>
      <c r="DB10" s="467">
        <v>108</v>
      </c>
      <c r="DC10" s="467">
        <v>98</v>
      </c>
      <c r="DD10" s="259">
        <v>98</v>
      </c>
      <c r="DE10" s="467">
        <v>98</v>
      </c>
      <c r="DF10" s="467">
        <v>98</v>
      </c>
      <c r="DG10" s="467">
        <v>95</v>
      </c>
      <c r="DH10" s="467">
        <v>94</v>
      </c>
      <c r="DI10" s="467">
        <v>92</v>
      </c>
      <c r="DJ10" s="467">
        <v>92</v>
      </c>
      <c r="DK10" s="467">
        <v>92</v>
      </c>
      <c r="DL10" s="467">
        <v>91</v>
      </c>
      <c r="DM10" s="467">
        <v>91</v>
      </c>
      <c r="DN10" s="467">
        <v>92</v>
      </c>
      <c r="DO10" s="467">
        <v>92</v>
      </c>
      <c r="DP10" s="467">
        <v>91</v>
      </c>
      <c r="DQ10" s="467">
        <v>87</v>
      </c>
      <c r="DR10" s="467">
        <v>87</v>
      </c>
      <c r="DS10" s="467">
        <v>87</v>
      </c>
      <c r="DT10" s="467">
        <v>87</v>
      </c>
      <c r="DU10" s="467">
        <v>87</v>
      </c>
      <c r="DV10" s="467">
        <v>88</v>
      </c>
      <c r="DW10" s="467">
        <v>88</v>
      </c>
      <c r="DX10" s="467">
        <v>88</v>
      </c>
      <c r="DY10" s="467">
        <v>88</v>
      </c>
      <c r="DZ10" s="467">
        <v>88</v>
      </c>
      <c r="EA10" s="467">
        <v>85.3</v>
      </c>
      <c r="EB10" s="467">
        <v>85.3</v>
      </c>
      <c r="EC10" s="467">
        <v>84</v>
      </c>
      <c r="ED10" s="467">
        <v>84</v>
      </c>
      <c r="EE10" s="467">
        <v>84</v>
      </c>
      <c r="EF10" s="467">
        <v>86</v>
      </c>
      <c r="EG10" s="467">
        <v>95</v>
      </c>
      <c r="EH10" s="467">
        <v>95</v>
      </c>
      <c r="EI10" s="467">
        <v>96</v>
      </c>
      <c r="EJ10" s="467">
        <v>96</v>
      </c>
      <c r="EK10" s="467">
        <v>96</v>
      </c>
      <c r="EL10" s="467">
        <v>96</v>
      </c>
      <c r="EM10" s="467">
        <v>96</v>
      </c>
      <c r="EN10" s="467">
        <v>95</v>
      </c>
      <c r="EO10" s="467">
        <v>95</v>
      </c>
      <c r="EP10" s="467">
        <v>95</v>
      </c>
      <c r="EQ10" s="468">
        <v>46.8</v>
      </c>
      <c r="ER10" s="468">
        <v>57</v>
      </c>
      <c r="ES10" s="468">
        <v>62</v>
      </c>
      <c r="ET10" s="468">
        <v>62</v>
      </c>
      <c r="EU10" s="468">
        <v>61</v>
      </c>
      <c r="EV10" s="468">
        <v>54</v>
      </c>
      <c r="EW10" s="468">
        <v>53.5</v>
      </c>
      <c r="EX10" s="468">
        <v>53.5</v>
      </c>
      <c r="EY10" s="468">
        <v>62</v>
      </c>
      <c r="EZ10" s="468">
        <v>66</v>
      </c>
      <c r="FA10" s="468">
        <v>75</v>
      </c>
      <c r="FB10" s="468">
        <v>66</v>
      </c>
      <c r="FC10" s="468">
        <v>65</v>
      </c>
      <c r="FD10" s="468">
        <v>66.5</v>
      </c>
      <c r="FE10" s="468">
        <v>59.5</v>
      </c>
      <c r="FF10" s="468">
        <v>66</v>
      </c>
      <c r="FG10" s="468">
        <v>66</v>
      </c>
      <c r="FH10" s="468">
        <v>66</v>
      </c>
      <c r="FI10" s="468">
        <v>66</v>
      </c>
      <c r="FJ10" s="468">
        <v>66</v>
      </c>
      <c r="FK10" s="468">
        <v>66</v>
      </c>
      <c r="FL10" s="468">
        <v>69</v>
      </c>
      <c r="FM10" s="468">
        <v>69</v>
      </c>
      <c r="FN10" s="468">
        <v>69</v>
      </c>
      <c r="FO10" s="468">
        <v>69</v>
      </c>
      <c r="FP10" s="468">
        <v>69.5</v>
      </c>
      <c r="FQ10" s="468">
        <v>70</v>
      </c>
      <c r="FR10" s="468">
        <v>71.5</v>
      </c>
      <c r="FS10" s="468">
        <v>71.5</v>
      </c>
      <c r="FT10" s="468">
        <v>71.5</v>
      </c>
      <c r="FU10" s="468">
        <v>70.5</v>
      </c>
      <c r="FV10" s="468">
        <v>69.5</v>
      </c>
      <c r="FW10" s="468">
        <v>67.5</v>
      </c>
      <c r="FX10" s="468">
        <v>67.5</v>
      </c>
      <c r="FY10" s="468">
        <v>68.5</v>
      </c>
      <c r="FZ10" s="468">
        <v>70.5</v>
      </c>
      <c r="GA10" s="468">
        <v>70.5</v>
      </c>
      <c r="GB10" s="468">
        <v>71.5</v>
      </c>
      <c r="GC10" s="468">
        <v>72.5</v>
      </c>
      <c r="GD10" s="468">
        <v>72</v>
      </c>
      <c r="GE10" s="468">
        <v>71.5</v>
      </c>
      <c r="GF10" s="468">
        <v>73.5</v>
      </c>
      <c r="GG10" s="468">
        <v>75.5</v>
      </c>
      <c r="GH10" s="468">
        <v>79.5</v>
      </c>
      <c r="GI10" s="468">
        <v>75.5</v>
      </c>
      <c r="GJ10" s="468">
        <v>72.5</v>
      </c>
      <c r="GK10" s="468">
        <v>64</v>
      </c>
      <c r="GL10" s="468">
        <v>64</v>
      </c>
      <c r="GM10" s="468">
        <v>64</v>
      </c>
      <c r="GN10" s="468">
        <v>63.7</v>
      </c>
      <c r="GO10" s="468">
        <v>63.7</v>
      </c>
      <c r="GP10" s="468">
        <v>64</v>
      </c>
      <c r="GQ10" s="468">
        <v>64</v>
      </c>
      <c r="GR10" s="468">
        <v>67</v>
      </c>
      <c r="GS10" s="468">
        <v>67</v>
      </c>
      <c r="GT10" s="468">
        <v>70</v>
      </c>
      <c r="GU10" s="468">
        <v>85</v>
      </c>
      <c r="GV10" s="468">
        <v>88</v>
      </c>
      <c r="GW10" s="468">
        <v>91.5</v>
      </c>
      <c r="GX10" s="468">
        <v>90</v>
      </c>
      <c r="GY10" s="468">
        <v>94</v>
      </c>
      <c r="GZ10" s="468">
        <v>94</v>
      </c>
      <c r="HA10" s="468">
        <v>93.5</v>
      </c>
      <c r="HB10" s="468">
        <v>94</v>
      </c>
      <c r="HC10" s="468">
        <v>82.5</v>
      </c>
      <c r="HD10" s="468">
        <v>82.8</v>
      </c>
      <c r="HE10" s="468">
        <v>83</v>
      </c>
      <c r="HF10" s="468">
        <v>82.8</v>
      </c>
      <c r="HG10" s="468">
        <v>83.3</v>
      </c>
      <c r="HH10" s="468">
        <v>83.3</v>
      </c>
      <c r="HI10" s="468">
        <v>90</v>
      </c>
      <c r="HJ10" s="468">
        <v>74</v>
      </c>
      <c r="HK10" s="468">
        <v>74</v>
      </c>
      <c r="HL10" s="468">
        <v>75</v>
      </c>
      <c r="HM10" s="468">
        <v>83.5</v>
      </c>
      <c r="HN10" s="468">
        <v>82</v>
      </c>
      <c r="HO10" s="468">
        <v>83</v>
      </c>
      <c r="HP10" s="468">
        <v>90</v>
      </c>
      <c r="HQ10" s="468">
        <v>99.5</v>
      </c>
      <c r="HR10" s="468">
        <v>103</v>
      </c>
      <c r="HS10" s="468">
        <v>107</v>
      </c>
      <c r="HT10" s="468">
        <v>105</v>
      </c>
      <c r="HU10" s="468">
        <v>104</v>
      </c>
      <c r="HV10" s="468">
        <v>104</v>
      </c>
      <c r="HW10" s="468">
        <v>105</v>
      </c>
      <c r="HX10" s="468">
        <v>107</v>
      </c>
      <c r="HY10" s="468">
        <v>120</v>
      </c>
      <c r="HZ10" s="468">
        <v>125</v>
      </c>
      <c r="IA10" s="468">
        <v>123</v>
      </c>
      <c r="IB10" s="468">
        <v>123</v>
      </c>
      <c r="IC10" s="468">
        <v>119</v>
      </c>
      <c r="ID10" s="468">
        <v>115</v>
      </c>
      <c r="IE10" s="468">
        <v>115</v>
      </c>
      <c r="IF10" s="257">
        <v>115</v>
      </c>
      <c r="IG10" s="468">
        <v>114</v>
      </c>
      <c r="IH10" s="468">
        <v>102.5</v>
      </c>
      <c r="II10" s="468">
        <v>98</v>
      </c>
      <c r="IJ10" s="257">
        <v>103.5</v>
      </c>
      <c r="IK10" s="468">
        <v>103.5</v>
      </c>
      <c r="IL10" s="468">
        <v>102</v>
      </c>
      <c r="IM10" s="468">
        <v>93</v>
      </c>
      <c r="IN10" s="468">
        <v>95</v>
      </c>
      <c r="IO10" s="468">
        <v>91</v>
      </c>
      <c r="IP10" s="468">
        <v>91</v>
      </c>
      <c r="IQ10" s="468">
        <v>89</v>
      </c>
      <c r="IR10" s="468">
        <v>82</v>
      </c>
      <c r="IS10" s="468">
        <v>82</v>
      </c>
      <c r="IT10" s="468">
        <v>85</v>
      </c>
      <c r="IU10" s="468">
        <v>86.6</v>
      </c>
      <c r="IV10" s="468">
        <v>84.6</v>
      </c>
      <c r="IW10" s="468">
        <v>84</v>
      </c>
      <c r="IX10" s="468">
        <v>84</v>
      </c>
      <c r="IY10" s="468">
        <v>84</v>
      </c>
      <c r="IZ10" s="468">
        <v>85</v>
      </c>
      <c r="JA10" s="468">
        <v>84</v>
      </c>
      <c r="JB10" s="468">
        <v>84</v>
      </c>
      <c r="JC10" s="468">
        <v>86</v>
      </c>
      <c r="JD10" s="468">
        <v>90</v>
      </c>
      <c r="JE10" s="468">
        <v>95</v>
      </c>
      <c r="JF10" s="468">
        <v>88</v>
      </c>
      <c r="JG10" s="468">
        <v>87</v>
      </c>
      <c r="JH10" s="468">
        <v>87</v>
      </c>
      <c r="JI10" s="468">
        <v>88</v>
      </c>
      <c r="JJ10" s="468">
        <v>88</v>
      </c>
      <c r="JK10" s="468">
        <v>91</v>
      </c>
      <c r="JL10" s="468">
        <v>91</v>
      </c>
      <c r="JM10" s="468">
        <v>94</v>
      </c>
      <c r="JN10" s="468">
        <v>94</v>
      </c>
      <c r="JO10" s="468">
        <v>94.5</v>
      </c>
      <c r="JP10" s="468">
        <v>94.5</v>
      </c>
      <c r="JQ10" s="468">
        <v>108</v>
      </c>
      <c r="JR10" s="468">
        <v>117</v>
      </c>
      <c r="JS10" s="468">
        <v>117</v>
      </c>
      <c r="JT10" s="468">
        <v>107</v>
      </c>
      <c r="JU10" s="468">
        <v>107</v>
      </c>
      <c r="JV10" s="468">
        <v>110</v>
      </c>
      <c r="JW10" s="468">
        <v>43</v>
      </c>
      <c r="JX10" s="468">
        <v>54.6</v>
      </c>
      <c r="JY10" s="468">
        <v>57</v>
      </c>
      <c r="JZ10" s="469">
        <v>55</v>
      </c>
      <c r="KA10" s="467">
        <v>55</v>
      </c>
      <c r="KB10" s="467">
        <v>54.2</v>
      </c>
      <c r="KC10" s="467">
        <v>53.5</v>
      </c>
      <c r="KD10" s="467">
        <v>53.5</v>
      </c>
      <c r="KE10" s="467">
        <v>52.5</v>
      </c>
      <c r="KF10" s="467">
        <v>65</v>
      </c>
      <c r="KG10" s="467">
        <v>65</v>
      </c>
      <c r="KH10" s="467">
        <v>67</v>
      </c>
      <c r="KI10" s="467">
        <v>69.5</v>
      </c>
      <c r="KJ10" s="467">
        <v>65</v>
      </c>
      <c r="KK10" s="467">
        <v>59</v>
      </c>
      <c r="KL10" s="467">
        <v>61</v>
      </c>
      <c r="KM10" s="469">
        <v>62</v>
      </c>
      <c r="KN10" s="467">
        <v>64</v>
      </c>
      <c r="KO10" s="467">
        <v>63</v>
      </c>
      <c r="KP10" s="467">
        <v>63</v>
      </c>
      <c r="KQ10" s="467">
        <v>63</v>
      </c>
      <c r="KR10" s="467">
        <v>64</v>
      </c>
      <c r="KS10" s="467">
        <v>64</v>
      </c>
      <c r="KT10" s="467">
        <v>66</v>
      </c>
      <c r="KU10" s="467">
        <v>66</v>
      </c>
      <c r="KV10" s="467">
        <v>66</v>
      </c>
      <c r="KW10" s="467">
        <v>67.3</v>
      </c>
      <c r="KX10" s="467">
        <v>69.3</v>
      </c>
      <c r="KY10" s="469">
        <v>69.3</v>
      </c>
      <c r="KZ10" s="469">
        <v>67.3</v>
      </c>
      <c r="LA10" s="469">
        <v>67.3</v>
      </c>
      <c r="LB10" s="469">
        <v>67.3</v>
      </c>
      <c r="LC10" s="467">
        <v>66.3</v>
      </c>
      <c r="LD10" s="467">
        <v>66.3</v>
      </c>
      <c r="LE10" s="467">
        <v>65.3</v>
      </c>
      <c r="LF10" s="467">
        <v>67.3</v>
      </c>
      <c r="LG10" s="467">
        <v>67.3</v>
      </c>
      <c r="LH10" s="467">
        <v>67.3</v>
      </c>
      <c r="LI10" s="467">
        <v>65.3</v>
      </c>
      <c r="LJ10" s="467">
        <v>66.3</v>
      </c>
      <c r="LK10" s="467">
        <v>66.3</v>
      </c>
      <c r="LL10" s="467">
        <v>66.3</v>
      </c>
      <c r="LM10" s="467">
        <v>66.3</v>
      </c>
      <c r="LN10" s="467">
        <v>66.3</v>
      </c>
      <c r="LO10" s="467">
        <v>72.3</v>
      </c>
      <c r="LP10" s="467">
        <v>72.3</v>
      </c>
      <c r="LQ10" s="467">
        <v>67.3</v>
      </c>
      <c r="LR10" s="467">
        <v>67.3</v>
      </c>
      <c r="LS10" s="467">
        <v>66.3</v>
      </c>
      <c r="LT10" s="467">
        <v>65.3</v>
      </c>
      <c r="LU10" s="467">
        <v>65.3</v>
      </c>
      <c r="LV10" s="467">
        <v>65.3</v>
      </c>
      <c r="LW10" s="467">
        <v>64.3</v>
      </c>
      <c r="LX10" s="467">
        <v>64.3</v>
      </c>
      <c r="LY10" s="467">
        <v>64.3</v>
      </c>
      <c r="LZ10" s="467">
        <v>75.3</v>
      </c>
      <c r="MA10" s="467">
        <v>75.3</v>
      </c>
      <c r="MB10" s="467">
        <v>71.3</v>
      </c>
      <c r="MC10" s="467">
        <v>75.3</v>
      </c>
      <c r="MD10" s="467">
        <v>75.3</v>
      </c>
      <c r="ME10" s="467">
        <v>72.3</v>
      </c>
      <c r="MF10" s="467">
        <v>72.3</v>
      </c>
      <c r="MG10" s="467">
        <v>72.3</v>
      </c>
      <c r="MH10" s="467">
        <v>72.3</v>
      </c>
      <c r="MI10" s="467">
        <v>72.3</v>
      </c>
      <c r="MJ10" s="467">
        <v>72.3</v>
      </c>
      <c r="MK10" s="467">
        <v>72.3</v>
      </c>
      <c r="ML10" s="467">
        <v>72.3</v>
      </c>
      <c r="MM10" s="467">
        <v>72.3</v>
      </c>
      <c r="MN10" s="467">
        <v>72.3</v>
      </c>
      <c r="MO10" s="467">
        <v>73</v>
      </c>
      <c r="MP10" s="467">
        <v>72</v>
      </c>
      <c r="MQ10" s="467">
        <v>73</v>
      </c>
      <c r="MR10" s="467">
        <v>76</v>
      </c>
      <c r="MS10" s="467">
        <v>79</v>
      </c>
      <c r="MT10" s="467">
        <v>79</v>
      </c>
      <c r="MU10" s="467">
        <v>78</v>
      </c>
      <c r="MV10" s="467">
        <v>90</v>
      </c>
      <c r="MW10" s="467">
        <v>100</v>
      </c>
      <c r="MX10" s="467">
        <v>105</v>
      </c>
      <c r="MY10" s="467">
        <v>105</v>
      </c>
      <c r="MZ10" s="467">
        <v>105</v>
      </c>
      <c r="NA10" s="467">
        <v>110</v>
      </c>
      <c r="NB10" s="467">
        <v>110</v>
      </c>
      <c r="NC10" s="467">
        <v>105</v>
      </c>
      <c r="ND10" s="467">
        <v>115</v>
      </c>
      <c r="NE10" s="467">
        <v>128</v>
      </c>
      <c r="NF10" s="467">
        <v>128</v>
      </c>
      <c r="NG10" s="467">
        <v>132</v>
      </c>
      <c r="NH10" s="467">
        <v>132</v>
      </c>
      <c r="NI10" s="467">
        <v>114</v>
      </c>
      <c r="NJ10" s="467">
        <v>114</v>
      </c>
      <c r="NK10" s="467">
        <v>113</v>
      </c>
      <c r="NL10" s="259">
        <v>108</v>
      </c>
      <c r="NM10" s="467">
        <v>103</v>
      </c>
      <c r="NN10" s="467">
        <v>99</v>
      </c>
      <c r="NO10" s="467">
        <v>87.3</v>
      </c>
      <c r="NP10" s="259">
        <v>89.3</v>
      </c>
      <c r="NQ10" s="467">
        <v>86.3</v>
      </c>
      <c r="NR10" s="467">
        <v>86.3</v>
      </c>
      <c r="NS10" s="467">
        <v>86.3</v>
      </c>
      <c r="NT10" s="467">
        <v>86.3</v>
      </c>
      <c r="NU10" s="467">
        <v>85</v>
      </c>
      <c r="NV10" s="467">
        <v>80.3</v>
      </c>
      <c r="NW10" s="467">
        <v>79.3</v>
      </c>
      <c r="NX10" s="467">
        <v>82.8</v>
      </c>
      <c r="NY10" s="467">
        <v>86.3</v>
      </c>
      <c r="NZ10" s="467">
        <v>84.3</v>
      </c>
      <c r="OA10" s="467">
        <v>84.3</v>
      </c>
      <c r="OB10" s="467">
        <v>81.3</v>
      </c>
      <c r="OC10" s="467">
        <v>81.3</v>
      </c>
      <c r="OD10" s="467">
        <v>81.3</v>
      </c>
      <c r="OE10" s="467">
        <v>81.3</v>
      </c>
      <c r="OF10" s="467">
        <v>81.3</v>
      </c>
      <c r="OG10" s="467">
        <v>80.3</v>
      </c>
      <c r="OH10" s="467">
        <v>80.3</v>
      </c>
      <c r="OI10" s="467">
        <v>80</v>
      </c>
      <c r="OJ10" s="467">
        <v>81.3</v>
      </c>
      <c r="OK10" s="467">
        <v>89.3</v>
      </c>
      <c r="OL10" s="467">
        <v>87.3</v>
      </c>
      <c r="OM10" s="467">
        <v>85.3</v>
      </c>
      <c r="ON10" s="467">
        <v>79.3</v>
      </c>
      <c r="OO10" s="467">
        <v>78</v>
      </c>
      <c r="OP10" s="467">
        <v>78.5</v>
      </c>
      <c r="OQ10" s="467">
        <v>78.8</v>
      </c>
      <c r="OR10" s="467">
        <v>79.8</v>
      </c>
      <c r="OS10" s="467">
        <v>90</v>
      </c>
      <c r="OT10" s="467">
        <v>102</v>
      </c>
      <c r="OU10" s="467">
        <v>95</v>
      </c>
      <c r="OV10" s="467">
        <v>89</v>
      </c>
      <c r="OW10" s="467">
        <v>89</v>
      </c>
      <c r="OX10" s="467">
        <v>96</v>
      </c>
      <c r="OY10" s="467"/>
      <c r="OZ10" s="467"/>
      <c r="PA10" s="467"/>
      <c r="PB10" s="467"/>
      <c r="PC10" s="468">
        <v>45.2</v>
      </c>
      <c r="PD10" s="468">
        <v>53.2</v>
      </c>
      <c r="PE10" s="468">
        <v>58.8</v>
      </c>
      <c r="PF10" s="468">
        <v>55.4</v>
      </c>
      <c r="PG10" s="468">
        <v>58.8</v>
      </c>
      <c r="PH10" s="468">
        <v>55.4</v>
      </c>
      <c r="PI10" s="468">
        <v>59</v>
      </c>
      <c r="PJ10" s="468">
        <v>59</v>
      </c>
      <c r="PK10" s="468">
        <v>64.400000000000006</v>
      </c>
      <c r="PL10" s="468">
        <v>72.5</v>
      </c>
      <c r="PM10" s="468"/>
      <c r="PN10" s="468"/>
      <c r="PO10" s="468"/>
      <c r="PP10" s="468"/>
      <c r="PQ10" s="468"/>
      <c r="PR10" s="468">
        <v>73.7</v>
      </c>
      <c r="PS10" s="467">
        <v>73.7</v>
      </c>
      <c r="PT10" s="467">
        <v>72.7</v>
      </c>
      <c r="PU10" s="467">
        <v>71.8</v>
      </c>
      <c r="PV10" s="467">
        <v>71.8</v>
      </c>
      <c r="PW10" s="467">
        <v>69.900000000000006</v>
      </c>
      <c r="PX10" s="467">
        <v>67.099999999999994</v>
      </c>
      <c r="PY10" s="467">
        <v>67.099999999999994</v>
      </c>
      <c r="PZ10" s="467">
        <v>67.099999999999994</v>
      </c>
      <c r="QA10" s="467">
        <v>67.099999999999994</v>
      </c>
      <c r="QB10" s="467">
        <v>68.900000000000006</v>
      </c>
      <c r="QC10" s="467">
        <v>73.2</v>
      </c>
      <c r="QD10" s="467">
        <v>73.2</v>
      </c>
      <c r="QE10" s="467">
        <v>73.2</v>
      </c>
      <c r="QF10" s="467">
        <v>68.599999999999994</v>
      </c>
      <c r="QG10" s="467">
        <v>68.599999999999994</v>
      </c>
      <c r="QH10" s="467">
        <v>67.599999999999994</v>
      </c>
      <c r="QI10" s="467">
        <v>67.599999999999994</v>
      </c>
      <c r="QJ10" s="467">
        <v>67.599999999999994</v>
      </c>
      <c r="QK10" s="467">
        <v>67.599999999999994</v>
      </c>
      <c r="QL10" s="467">
        <v>70.400000000000006</v>
      </c>
      <c r="QM10" s="467">
        <v>70.400000000000006</v>
      </c>
      <c r="QN10" s="467">
        <v>71.2</v>
      </c>
      <c r="QO10" s="467">
        <v>68.400000000000006</v>
      </c>
      <c r="QP10" s="467">
        <v>68.400000000000006</v>
      </c>
      <c r="QQ10" s="467">
        <v>68.400000000000006</v>
      </c>
      <c r="QR10" s="467">
        <v>72.02</v>
      </c>
      <c r="QS10" s="467">
        <v>72.02</v>
      </c>
      <c r="QT10" s="467">
        <v>76.489999999999995</v>
      </c>
      <c r="QU10" s="467">
        <v>74.459999999999994</v>
      </c>
      <c r="QV10" s="467">
        <v>74.459999999999994</v>
      </c>
      <c r="QW10" s="467">
        <v>71.650000000000006</v>
      </c>
      <c r="QX10" s="467">
        <v>67.040000000000006</v>
      </c>
      <c r="QY10" s="467">
        <v>64.7</v>
      </c>
      <c r="QZ10" s="467">
        <v>66.25</v>
      </c>
      <c r="RA10" s="467">
        <v>64.7</v>
      </c>
      <c r="RB10" s="470">
        <v>62.72</v>
      </c>
      <c r="RC10" s="470">
        <v>69.12</v>
      </c>
      <c r="RD10" s="470">
        <v>69.12</v>
      </c>
      <c r="RE10" s="470">
        <v>69.12</v>
      </c>
      <c r="RF10" s="470">
        <v>77.2</v>
      </c>
      <c r="RG10" s="470">
        <v>82.7</v>
      </c>
      <c r="RH10" s="470">
        <v>82.7</v>
      </c>
      <c r="RI10" s="470">
        <v>79.8</v>
      </c>
      <c r="RJ10" s="470">
        <v>79.8</v>
      </c>
      <c r="RK10" s="470">
        <v>79.8</v>
      </c>
      <c r="RL10" s="470">
        <v>79.3</v>
      </c>
      <c r="RM10" s="470">
        <v>78.3</v>
      </c>
      <c r="RN10" s="470">
        <v>77.8</v>
      </c>
      <c r="RO10" s="470">
        <v>77.8</v>
      </c>
      <c r="RP10" s="470">
        <v>77.400000000000006</v>
      </c>
      <c r="RQ10" s="470">
        <v>77.400000000000006</v>
      </c>
      <c r="RR10" s="470">
        <v>79.3</v>
      </c>
      <c r="RS10" s="470">
        <v>79.3</v>
      </c>
      <c r="RT10" s="467">
        <v>78.8</v>
      </c>
      <c r="RU10" s="467">
        <v>78.8</v>
      </c>
      <c r="RV10" s="467">
        <v>75.900000000000006</v>
      </c>
      <c r="RW10" s="467">
        <v>76.2</v>
      </c>
      <c r="RX10" s="467">
        <v>81.3</v>
      </c>
      <c r="RY10" s="467">
        <v>97.2</v>
      </c>
      <c r="RZ10" s="467">
        <v>97.2</v>
      </c>
      <c r="SA10" s="467">
        <v>104.6</v>
      </c>
      <c r="SB10" s="467">
        <v>109.1</v>
      </c>
      <c r="SC10" s="467">
        <v>109.1</v>
      </c>
      <c r="SD10" s="467">
        <v>112.1</v>
      </c>
      <c r="SE10" s="467">
        <v>115.3</v>
      </c>
      <c r="SF10" s="467">
        <v>118.6</v>
      </c>
      <c r="SG10" s="467">
        <v>125.5</v>
      </c>
      <c r="SH10" s="467">
        <v>125.5</v>
      </c>
      <c r="SI10" s="467">
        <v>129.69999999999999</v>
      </c>
      <c r="SJ10" s="467">
        <v>129.69999999999999</v>
      </c>
      <c r="SK10" s="467">
        <v>138.1</v>
      </c>
      <c r="SL10" s="467">
        <v>138.1</v>
      </c>
      <c r="SM10" s="467">
        <v>138.1</v>
      </c>
      <c r="SN10" s="467">
        <v>138.1</v>
      </c>
      <c r="SO10" s="467">
        <v>138.1</v>
      </c>
      <c r="SP10" s="467">
        <v>124.1</v>
      </c>
      <c r="SQ10" s="467">
        <v>124.1</v>
      </c>
      <c r="SR10" s="259">
        <v>125.7</v>
      </c>
      <c r="SS10" s="467">
        <v>102.38</v>
      </c>
      <c r="ST10" s="467">
        <v>98.97</v>
      </c>
      <c r="SU10" s="467">
        <v>92.1</v>
      </c>
      <c r="SV10" s="259">
        <v>92.1</v>
      </c>
      <c r="SW10" s="467">
        <v>86.33</v>
      </c>
      <c r="SX10" s="467">
        <v>88.4</v>
      </c>
      <c r="SY10" s="467">
        <v>85.1</v>
      </c>
      <c r="SZ10" s="467">
        <v>85.1</v>
      </c>
      <c r="TA10" s="467">
        <v>81.900000000000006</v>
      </c>
      <c r="TB10" s="467">
        <v>80.2</v>
      </c>
      <c r="TC10" s="467">
        <v>80.2</v>
      </c>
      <c r="TD10" s="467">
        <v>77</v>
      </c>
      <c r="TE10" s="467">
        <v>79.099999999999994</v>
      </c>
      <c r="TF10" s="467">
        <v>79.099999999999994</v>
      </c>
      <c r="TG10" s="467">
        <v>79.099999999999994</v>
      </c>
      <c r="TH10" s="467">
        <v>76.3</v>
      </c>
      <c r="TI10" s="467">
        <v>75.8</v>
      </c>
      <c r="TJ10" s="467">
        <v>75.8</v>
      </c>
      <c r="TK10" s="467">
        <v>78.3</v>
      </c>
      <c r="TL10" s="467">
        <v>85.7</v>
      </c>
      <c r="TM10" s="467">
        <v>85.7</v>
      </c>
      <c r="TN10" s="467">
        <v>85.7</v>
      </c>
      <c r="TO10" s="467">
        <v>85.7</v>
      </c>
      <c r="TP10" s="467">
        <v>88.9</v>
      </c>
      <c r="TQ10" s="467">
        <v>80.3</v>
      </c>
      <c r="TR10" s="467">
        <v>88.9</v>
      </c>
      <c r="TS10" s="467">
        <v>81.88</v>
      </c>
      <c r="TT10" s="467">
        <v>81.88</v>
      </c>
      <c r="TU10" s="467">
        <v>84.27</v>
      </c>
      <c r="TV10" s="467">
        <v>93.44</v>
      </c>
      <c r="TW10" s="467">
        <v>93.44</v>
      </c>
      <c r="TX10" s="467">
        <v>93.44</v>
      </c>
      <c r="TY10" s="467">
        <v>102.86</v>
      </c>
      <c r="TZ10" s="467">
        <v>98.99</v>
      </c>
      <c r="UA10" s="467">
        <v>100.3</v>
      </c>
      <c r="UB10" s="467">
        <v>104.5</v>
      </c>
      <c r="UC10" s="467">
        <v>105</v>
      </c>
      <c r="UD10" s="467">
        <v>111.2</v>
      </c>
      <c r="UE10" s="467">
        <v>113.6</v>
      </c>
      <c r="UF10" s="467">
        <v>108.9</v>
      </c>
      <c r="UG10" s="467">
        <v>110.8</v>
      </c>
      <c r="UH10" s="467">
        <v>110.2</v>
      </c>
      <c r="UI10" s="468"/>
      <c r="UJ10" s="468"/>
      <c r="UK10" s="468"/>
      <c r="UL10" s="468"/>
      <c r="UM10" s="468"/>
      <c r="UN10" s="468"/>
      <c r="UO10" s="468"/>
      <c r="UP10" s="468"/>
      <c r="UQ10" s="468"/>
      <c r="UR10" s="468"/>
      <c r="US10" s="468"/>
      <c r="UT10" s="468"/>
      <c r="UU10" s="468"/>
      <c r="UV10" s="468"/>
      <c r="UW10" s="468"/>
      <c r="UX10" s="468"/>
      <c r="UY10" s="468"/>
      <c r="UZ10" s="468"/>
      <c r="VA10" s="468"/>
      <c r="VB10" s="468"/>
      <c r="VC10" s="468"/>
      <c r="VD10" s="468"/>
      <c r="VE10" s="468"/>
      <c r="VF10" s="468"/>
      <c r="VG10" s="468"/>
      <c r="VH10" s="468"/>
      <c r="VI10" s="468"/>
      <c r="VJ10" s="468"/>
      <c r="VK10" s="468"/>
      <c r="VL10" s="468">
        <v>66</v>
      </c>
      <c r="VM10" s="468">
        <v>66</v>
      </c>
      <c r="VN10" s="468">
        <v>63.7</v>
      </c>
      <c r="VO10" s="468">
        <v>63.7</v>
      </c>
      <c r="VP10" s="468">
        <v>63.7</v>
      </c>
      <c r="VQ10" s="468">
        <v>63</v>
      </c>
      <c r="VR10" s="468">
        <v>63</v>
      </c>
      <c r="VS10" s="468">
        <v>63</v>
      </c>
      <c r="VT10" s="468">
        <v>63</v>
      </c>
      <c r="VU10" s="468">
        <v>63</v>
      </c>
      <c r="VV10" s="468"/>
      <c r="VW10" s="468"/>
      <c r="VX10" s="468">
        <v>98.5</v>
      </c>
      <c r="VY10" s="469">
        <v>55</v>
      </c>
      <c r="VZ10" s="469">
        <v>55</v>
      </c>
      <c r="WA10" s="467">
        <v>55</v>
      </c>
      <c r="WB10" s="467">
        <v>53.5</v>
      </c>
      <c r="WC10" s="467">
        <v>53.5</v>
      </c>
      <c r="WD10" s="467">
        <v>53</v>
      </c>
      <c r="WE10" s="467">
        <v>57</v>
      </c>
      <c r="WF10" s="467">
        <v>59</v>
      </c>
      <c r="WG10" s="467">
        <v>64</v>
      </c>
      <c r="WH10" s="467">
        <v>62</v>
      </c>
      <c r="WI10" s="467">
        <v>68</v>
      </c>
      <c r="WJ10" s="467">
        <v>68</v>
      </c>
      <c r="WK10" s="467">
        <v>79.5</v>
      </c>
      <c r="WL10" s="467">
        <v>79.5</v>
      </c>
      <c r="WM10" s="467">
        <v>79.5</v>
      </c>
      <c r="WN10" s="467"/>
      <c r="WO10" s="467"/>
      <c r="WP10" s="467">
        <v>73.8</v>
      </c>
      <c r="WQ10" s="467">
        <v>73.8</v>
      </c>
      <c r="WR10" s="467">
        <v>73.8</v>
      </c>
      <c r="WS10" s="467">
        <v>71</v>
      </c>
      <c r="WT10" s="467">
        <v>74.5</v>
      </c>
      <c r="WU10" s="467">
        <v>73.5</v>
      </c>
      <c r="WV10" s="467">
        <v>73.8</v>
      </c>
      <c r="WW10" s="467">
        <v>73.8</v>
      </c>
      <c r="WX10" s="467">
        <v>72.3</v>
      </c>
      <c r="WY10" s="467">
        <v>72.3</v>
      </c>
      <c r="WZ10" s="467">
        <v>72.3</v>
      </c>
      <c r="XA10" s="467">
        <v>69.3</v>
      </c>
      <c r="XB10" s="467">
        <v>72.88</v>
      </c>
      <c r="XC10" s="467">
        <v>73.8</v>
      </c>
      <c r="XD10" s="467">
        <v>73.8</v>
      </c>
      <c r="XE10" s="467">
        <v>72.7</v>
      </c>
      <c r="XF10" s="467">
        <v>70.8</v>
      </c>
      <c r="XG10" s="467">
        <v>70.8</v>
      </c>
      <c r="XH10" s="467">
        <v>71.3</v>
      </c>
      <c r="XI10" s="467">
        <v>69.2</v>
      </c>
      <c r="XJ10" s="467">
        <v>66.400000000000006</v>
      </c>
      <c r="XK10" s="467">
        <v>66.2</v>
      </c>
      <c r="XL10" s="467">
        <v>66.2</v>
      </c>
      <c r="XM10" s="467">
        <v>67.3</v>
      </c>
      <c r="XN10" s="467">
        <v>67.3</v>
      </c>
      <c r="XO10" s="467">
        <v>67.3</v>
      </c>
      <c r="XP10" s="467">
        <v>64</v>
      </c>
      <c r="XQ10" s="467">
        <v>64</v>
      </c>
      <c r="XR10" s="467">
        <v>64</v>
      </c>
      <c r="XS10" s="467">
        <v>64</v>
      </c>
      <c r="XT10" s="467">
        <v>64</v>
      </c>
      <c r="XU10" s="467">
        <v>64</v>
      </c>
      <c r="XV10" s="467">
        <v>64</v>
      </c>
      <c r="XW10" s="467">
        <v>69</v>
      </c>
      <c r="XX10" s="467">
        <v>68</v>
      </c>
      <c r="XY10" s="467">
        <v>68</v>
      </c>
      <c r="XZ10" s="467">
        <v>69</v>
      </c>
      <c r="YA10" s="467">
        <v>72</v>
      </c>
      <c r="YB10" s="467">
        <v>68.3</v>
      </c>
      <c r="YC10" s="467">
        <v>68.3</v>
      </c>
      <c r="YD10" s="467">
        <v>68.3</v>
      </c>
      <c r="YE10" s="467">
        <v>68.3</v>
      </c>
      <c r="YF10" s="467">
        <v>68.3</v>
      </c>
      <c r="YG10" s="467">
        <v>68.3</v>
      </c>
      <c r="YH10" s="467">
        <v>76.599999999999994</v>
      </c>
      <c r="YI10" s="467">
        <v>76.599999999999994</v>
      </c>
      <c r="YJ10" s="467">
        <v>76.599999999999994</v>
      </c>
      <c r="YK10" s="467">
        <v>76.599999999999994</v>
      </c>
      <c r="YL10" s="467">
        <v>76.599999999999994</v>
      </c>
      <c r="YM10" s="467">
        <v>76.599999999999994</v>
      </c>
      <c r="YN10" s="467">
        <v>76.599999999999994</v>
      </c>
      <c r="YO10" s="467">
        <v>78.7</v>
      </c>
      <c r="YP10" s="467">
        <v>78.7</v>
      </c>
      <c r="YQ10" s="467">
        <v>78.7</v>
      </c>
      <c r="YR10" s="467">
        <v>80.8</v>
      </c>
      <c r="YS10" s="467">
        <v>80.8</v>
      </c>
      <c r="YT10" s="467">
        <v>80.8</v>
      </c>
      <c r="YU10" s="467">
        <v>88.9</v>
      </c>
      <c r="YV10" s="467">
        <v>95</v>
      </c>
      <c r="YW10" s="467">
        <v>95</v>
      </c>
      <c r="YX10" s="467">
        <v>100</v>
      </c>
      <c r="YY10" s="467">
        <v>100</v>
      </c>
      <c r="YZ10" s="467">
        <v>103</v>
      </c>
      <c r="ZA10" s="467">
        <v>103</v>
      </c>
      <c r="ZB10" s="467">
        <v>106</v>
      </c>
      <c r="ZC10" s="467">
        <v>115</v>
      </c>
      <c r="ZD10" s="467">
        <v>123</v>
      </c>
      <c r="ZE10" s="467">
        <v>123</v>
      </c>
      <c r="ZF10" s="467">
        <v>145</v>
      </c>
      <c r="ZG10" s="467">
        <v>145</v>
      </c>
      <c r="ZH10" s="467">
        <v>145</v>
      </c>
      <c r="ZI10" s="467">
        <v>145</v>
      </c>
      <c r="ZJ10" s="467">
        <v>117.3</v>
      </c>
      <c r="ZK10" s="259">
        <v>117.3</v>
      </c>
      <c r="ZL10" s="467">
        <v>110.3</v>
      </c>
      <c r="ZM10" s="467">
        <v>103</v>
      </c>
      <c r="ZN10" s="467">
        <v>103</v>
      </c>
      <c r="ZO10" s="259">
        <v>103</v>
      </c>
      <c r="ZP10" s="467">
        <v>103</v>
      </c>
      <c r="ZQ10" s="467">
        <v>90.3</v>
      </c>
      <c r="ZR10" s="467">
        <v>86.8</v>
      </c>
      <c r="ZS10" s="467">
        <v>86.3</v>
      </c>
      <c r="ZT10" s="467">
        <v>81.3</v>
      </c>
      <c r="ZU10" s="467">
        <v>82.3</v>
      </c>
      <c r="ZV10" s="467">
        <v>83.3</v>
      </c>
      <c r="ZW10" s="467">
        <v>83.3</v>
      </c>
      <c r="ZX10" s="467">
        <v>94.3</v>
      </c>
      <c r="ZY10" s="467">
        <v>94.3</v>
      </c>
      <c r="ZZ10" s="467">
        <v>89.3</v>
      </c>
      <c r="AAA10" s="467">
        <v>89.3</v>
      </c>
      <c r="AAB10" s="467">
        <v>78.3</v>
      </c>
      <c r="AAC10" s="467">
        <v>78.3</v>
      </c>
      <c r="AAD10" s="467">
        <v>85.3</v>
      </c>
      <c r="AAE10" s="467">
        <v>85.3</v>
      </c>
      <c r="AAF10" s="467">
        <v>72.3</v>
      </c>
      <c r="AAG10" s="467">
        <v>72.3</v>
      </c>
      <c r="AAH10" s="467">
        <v>87.3</v>
      </c>
      <c r="AAI10" s="467">
        <v>92.3</v>
      </c>
      <c r="AAJ10" s="467">
        <v>92.3</v>
      </c>
      <c r="AAK10" s="467">
        <v>91.8</v>
      </c>
      <c r="AAL10" s="467">
        <v>91.8</v>
      </c>
      <c r="AAM10" s="467">
        <v>91.8</v>
      </c>
      <c r="AAN10" s="467">
        <v>91.8</v>
      </c>
      <c r="AAO10" s="467">
        <v>91.8</v>
      </c>
      <c r="AAP10" s="467">
        <v>91.8</v>
      </c>
      <c r="AAQ10" s="467">
        <v>91.8</v>
      </c>
      <c r="AAR10" s="467">
        <v>99</v>
      </c>
      <c r="AAS10" s="467">
        <v>99.5</v>
      </c>
      <c r="AAT10" s="467">
        <v>99.5</v>
      </c>
      <c r="AAU10" s="467">
        <v>99.5</v>
      </c>
      <c r="AAV10" s="467">
        <v>105</v>
      </c>
      <c r="AAW10" s="467">
        <v>108</v>
      </c>
      <c r="AAX10" s="467">
        <v>105</v>
      </c>
      <c r="AAY10" s="467">
        <v>103</v>
      </c>
      <c r="AAZ10" s="467">
        <v>103.5</v>
      </c>
      <c r="ABA10" s="467">
        <v>111</v>
      </c>
      <c r="ABB10" s="468">
        <v>58.5</v>
      </c>
      <c r="ABC10" s="468">
        <v>57</v>
      </c>
      <c r="ABD10" s="468">
        <v>56</v>
      </c>
      <c r="ABE10" s="468">
        <v>55</v>
      </c>
      <c r="ABF10" s="468">
        <v>55</v>
      </c>
      <c r="ABG10" s="467">
        <v>53</v>
      </c>
      <c r="ABH10" s="467">
        <v>53</v>
      </c>
      <c r="ABI10" s="467"/>
      <c r="ABJ10" s="467"/>
      <c r="ABK10" s="467">
        <v>62.5</v>
      </c>
      <c r="ABL10" s="467">
        <v>62.5</v>
      </c>
      <c r="ABM10" s="467">
        <v>59.5</v>
      </c>
      <c r="ABN10" s="467">
        <v>64</v>
      </c>
      <c r="ABO10" s="467">
        <v>66</v>
      </c>
      <c r="ABP10" s="467">
        <v>66</v>
      </c>
      <c r="ABQ10" s="467">
        <v>64</v>
      </c>
      <c r="ABR10" s="467">
        <v>64</v>
      </c>
      <c r="ABS10" s="467">
        <v>65</v>
      </c>
      <c r="ABT10" s="467">
        <v>65</v>
      </c>
      <c r="ABU10" s="467">
        <v>65.5</v>
      </c>
      <c r="ABV10" s="467">
        <v>64</v>
      </c>
      <c r="ABW10" s="467">
        <v>64</v>
      </c>
      <c r="ABX10" s="467">
        <v>66.5</v>
      </c>
      <c r="ABY10" s="467">
        <v>67.3</v>
      </c>
      <c r="ABZ10" s="467">
        <v>69.8</v>
      </c>
      <c r="ACA10" s="467">
        <v>69.8</v>
      </c>
      <c r="ACB10" s="467">
        <v>68.8</v>
      </c>
      <c r="ACC10" s="467">
        <v>68.3</v>
      </c>
      <c r="ACD10" s="467">
        <v>68.3</v>
      </c>
      <c r="ACE10" s="467">
        <v>67.3</v>
      </c>
      <c r="ACF10" s="467">
        <v>67.3</v>
      </c>
      <c r="ACG10" s="467">
        <v>66.3</v>
      </c>
      <c r="ACH10" s="467">
        <v>66.8</v>
      </c>
      <c r="ACI10" s="467">
        <v>67.8</v>
      </c>
      <c r="ACJ10" s="467">
        <v>67.8</v>
      </c>
      <c r="ACK10" s="467">
        <v>67.3</v>
      </c>
      <c r="ACL10" s="467">
        <v>67.3</v>
      </c>
      <c r="ACM10" s="467">
        <v>67.3</v>
      </c>
      <c r="ACN10" s="467">
        <v>67.8</v>
      </c>
      <c r="ACO10" s="467">
        <v>67.8</v>
      </c>
      <c r="ACP10" s="467">
        <v>68.3</v>
      </c>
      <c r="ACQ10" s="467">
        <v>69.3</v>
      </c>
      <c r="ACR10" s="467">
        <v>69.3</v>
      </c>
      <c r="ACS10" s="467">
        <v>69.3</v>
      </c>
      <c r="ACT10" s="467">
        <v>68.8</v>
      </c>
      <c r="ACU10" s="467">
        <v>66.3</v>
      </c>
      <c r="ACV10" s="467">
        <v>66.3</v>
      </c>
      <c r="ACW10" s="467">
        <v>66.3</v>
      </c>
      <c r="ACX10" s="467">
        <v>66.3</v>
      </c>
      <c r="ACY10" s="467">
        <v>68.8</v>
      </c>
      <c r="ACZ10" s="467">
        <v>68.8</v>
      </c>
      <c r="ADA10" s="467">
        <v>64.3</v>
      </c>
      <c r="ADB10" s="467">
        <v>65.3</v>
      </c>
      <c r="ADC10" s="467">
        <v>66.3</v>
      </c>
      <c r="ADD10" s="467">
        <v>68.3</v>
      </c>
      <c r="ADE10" s="467">
        <v>71.3</v>
      </c>
      <c r="ADF10" s="467">
        <v>71.3</v>
      </c>
      <c r="ADG10" s="467">
        <v>74</v>
      </c>
      <c r="ADH10" s="467">
        <v>74</v>
      </c>
      <c r="ADI10" s="467">
        <v>76</v>
      </c>
      <c r="ADJ10" s="467">
        <v>76</v>
      </c>
      <c r="ADK10" s="467">
        <v>76.3</v>
      </c>
      <c r="ADL10" s="467">
        <v>76.3</v>
      </c>
      <c r="ADM10" s="467">
        <v>76.3</v>
      </c>
      <c r="ADN10" s="467">
        <v>76.3</v>
      </c>
      <c r="ADO10" s="467">
        <v>76.3</v>
      </c>
      <c r="ADP10" s="467">
        <v>76.3</v>
      </c>
      <c r="ADQ10" s="467">
        <v>76.3</v>
      </c>
      <c r="ADR10" s="467">
        <v>76.3</v>
      </c>
      <c r="ADS10" s="467">
        <v>66.3</v>
      </c>
      <c r="ADT10" s="467">
        <v>72.3</v>
      </c>
      <c r="ADU10" s="467">
        <v>74.3</v>
      </c>
      <c r="ADV10" s="467">
        <v>82.3</v>
      </c>
      <c r="ADW10" s="467">
        <v>87.3</v>
      </c>
      <c r="ADX10" s="467">
        <v>89.3</v>
      </c>
      <c r="ADY10" s="467">
        <v>110.3</v>
      </c>
      <c r="ADZ10" s="467">
        <v>120.3</v>
      </c>
      <c r="AEA10" s="467">
        <v>120.3</v>
      </c>
      <c r="AEB10" s="467">
        <v>120.3</v>
      </c>
      <c r="AEC10" s="467">
        <v>120.3</v>
      </c>
      <c r="AED10" s="467">
        <v>120.3</v>
      </c>
      <c r="AEE10" s="467">
        <v>120.3</v>
      </c>
      <c r="AEF10" s="467">
        <v>120.3</v>
      </c>
      <c r="AEG10" s="467">
        <v>132</v>
      </c>
      <c r="AEH10" s="467">
        <v>134</v>
      </c>
      <c r="AEI10" s="467">
        <v>134</v>
      </c>
      <c r="AEJ10" s="467">
        <v>134</v>
      </c>
      <c r="AEK10" s="467">
        <v>125</v>
      </c>
      <c r="AEL10" s="467">
        <v>125</v>
      </c>
      <c r="AEM10" s="467">
        <v>118</v>
      </c>
      <c r="AEN10" s="259">
        <v>113</v>
      </c>
      <c r="AEO10" s="467">
        <v>107</v>
      </c>
      <c r="AEP10" s="467">
        <v>98.3</v>
      </c>
      <c r="AEQ10" s="570">
        <v>84.3</v>
      </c>
      <c r="AER10" s="583">
        <v>80</v>
      </c>
      <c r="AES10" s="467">
        <v>80</v>
      </c>
      <c r="AET10" s="467">
        <v>81.5</v>
      </c>
      <c r="AEU10" s="467">
        <v>81.5</v>
      </c>
      <c r="AEV10" s="467">
        <v>81</v>
      </c>
      <c r="AEW10" s="467">
        <v>83.5</v>
      </c>
      <c r="AEX10" s="467">
        <v>92</v>
      </c>
      <c r="AEY10" s="467">
        <v>89</v>
      </c>
      <c r="AEZ10" s="467">
        <v>90</v>
      </c>
      <c r="AFA10" s="467">
        <v>88</v>
      </c>
      <c r="AFB10" s="467">
        <v>77</v>
      </c>
      <c r="AFC10" s="467">
        <v>77</v>
      </c>
      <c r="AFD10" s="467">
        <v>77</v>
      </c>
      <c r="AFE10" s="467">
        <v>78.5</v>
      </c>
      <c r="AFF10" s="467">
        <v>84</v>
      </c>
      <c r="AFG10" s="467">
        <v>82</v>
      </c>
      <c r="AFH10" s="467">
        <v>80</v>
      </c>
      <c r="AFI10" s="467">
        <v>84.5</v>
      </c>
      <c r="AFJ10" s="467">
        <v>88</v>
      </c>
      <c r="AFK10" s="467">
        <v>91</v>
      </c>
      <c r="AFL10" s="467">
        <v>94</v>
      </c>
      <c r="AFM10" s="467">
        <v>92</v>
      </c>
      <c r="AFN10" s="467">
        <v>91.5</v>
      </c>
      <c r="AFO10" s="467">
        <v>91.5</v>
      </c>
      <c r="AFP10" s="580">
        <v>95</v>
      </c>
      <c r="AFQ10" s="620">
        <v>85.3</v>
      </c>
      <c r="AFR10" s="467">
        <v>85.3</v>
      </c>
      <c r="AFS10" s="467">
        <v>85.3</v>
      </c>
      <c r="AFT10" s="467">
        <v>84.3</v>
      </c>
      <c r="AFU10" s="467">
        <v>84.3</v>
      </c>
      <c r="AFV10" s="467">
        <v>81.3</v>
      </c>
      <c r="AFW10" s="467">
        <v>81.3</v>
      </c>
      <c r="AFX10" s="467">
        <v>81.3</v>
      </c>
      <c r="AFY10" s="467">
        <v>82.3</v>
      </c>
      <c r="AFZ10" s="467">
        <v>82.3</v>
      </c>
      <c r="AGA10" s="467">
        <v>89.3</v>
      </c>
      <c r="AGB10" s="467">
        <v>89.3</v>
      </c>
      <c r="AGC10" s="467">
        <v>88.3</v>
      </c>
      <c r="AGD10" s="576">
        <v>88.3</v>
      </c>
      <c r="AGE10" s="467">
        <v>88.3</v>
      </c>
      <c r="AGF10" s="467">
        <v>89.3</v>
      </c>
      <c r="AGG10" s="467">
        <v>89.3</v>
      </c>
      <c r="AGH10" s="467">
        <v>88.3</v>
      </c>
      <c r="AGI10" s="467">
        <v>88.3</v>
      </c>
      <c r="AGJ10" s="467">
        <v>88.3</v>
      </c>
      <c r="AGK10" s="467">
        <v>88.3</v>
      </c>
      <c r="AGL10" s="467">
        <v>92.3</v>
      </c>
      <c r="AGM10" s="467">
        <v>92.3</v>
      </c>
      <c r="AGN10" s="467">
        <v>88.3</v>
      </c>
      <c r="AGO10" s="467">
        <v>84.3</v>
      </c>
      <c r="AGP10" s="467">
        <v>84.3</v>
      </c>
      <c r="AGQ10" s="467">
        <v>83</v>
      </c>
      <c r="AGR10" s="467">
        <v>83</v>
      </c>
      <c r="AGS10" s="467">
        <v>85</v>
      </c>
      <c r="AGT10" s="467">
        <v>92</v>
      </c>
      <c r="AGU10" s="467">
        <v>95</v>
      </c>
      <c r="AGV10" s="467">
        <v>95</v>
      </c>
      <c r="AGW10" s="467">
        <v>95</v>
      </c>
      <c r="AGX10" s="467">
        <v>95</v>
      </c>
      <c r="AGY10" s="467">
        <v>96</v>
      </c>
      <c r="AGZ10" s="467">
        <v>96</v>
      </c>
      <c r="AHA10" s="467">
        <v>101</v>
      </c>
      <c r="AHB10" s="467">
        <v>105</v>
      </c>
      <c r="AHC10" s="580">
        <v>105</v>
      </c>
      <c r="AHD10" s="594"/>
      <c r="AHE10" s="594"/>
      <c r="AHF10" s="595">
        <v>50</v>
      </c>
      <c r="AHG10" s="595">
        <v>52.5</v>
      </c>
      <c r="AHH10" s="596">
        <v>50</v>
      </c>
      <c r="AHI10" s="596">
        <v>50.3</v>
      </c>
      <c r="AHJ10" s="597">
        <v>58.5</v>
      </c>
      <c r="AHK10" s="597">
        <v>60</v>
      </c>
      <c r="AHL10" s="597">
        <v>60</v>
      </c>
      <c r="AHM10" s="597">
        <v>66.5</v>
      </c>
      <c r="AHN10" s="598">
        <v>64</v>
      </c>
      <c r="AHO10" s="597">
        <v>61.3</v>
      </c>
      <c r="AHP10" s="597">
        <v>61.8</v>
      </c>
      <c r="AHQ10" s="597">
        <v>61.8</v>
      </c>
      <c r="AHR10" s="597">
        <v>61.8</v>
      </c>
      <c r="AHS10" s="597">
        <v>61.8</v>
      </c>
      <c r="AHT10" s="598">
        <v>61.8</v>
      </c>
      <c r="AHU10" s="598">
        <v>61.8</v>
      </c>
      <c r="AHV10" s="598">
        <v>61.8</v>
      </c>
      <c r="AHW10" s="597">
        <v>61.8</v>
      </c>
      <c r="AHX10" s="597">
        <v>61.8</v>
      </c>
      <c r="AHY10" s="597">
        <v>74.3</v>
      </c>
      <c r="AHZ10" s="597">
        <v>74.8</v>
      </c>
      <c r="AIA10" s="597">
        <v>74.8</v>
      </c>
      <c r="AIB10" s="597">
        <v>74.8</v>
      </c>
      <c r="AIC10" s="599">
        <v>73.8</v>
      </c>
      <c r="AID10" s="599">
        <v>73.3</v>
      </c>
      <c r="AIE10" s="599">
        <v>72.8</v>
      </c>
      <c r="AIF10" s="597">
        <v>72.8</v>
      </c>
      <c r="AIG10" s="597">
        <v>72.8</v>
      </c>
      <c r="AIH10" s="597">
        <v>72.8</v>
      </c>
      <c r="AII10" s="597">
        <v>72.8</v>
      </c>
      <c r="AIJ10" s="597">
        <v>72</v>
      </c>
      <c r="AIK10" s="597">
        <v>73.5</v>
      </c>
      <c r="AIL10" s="597">
        <v>73.5</v>
      </c>
      <c r="AIM10" s="597">
        <v>73</v>
      </c>
      <c r="AIN10" s="597">
        <v>72.5</v>
      </c>
      <c r="AIO10" s="597">
        <v>72.5</v>
      </c>
      <c r="AIP10" s="597">
        <v>72.5</v>
      </c>
      <c r="AIQ10" s="597">
        <v>73.8</v>
      </c>
      <c r="AIR10" s="597">
        <v>73.8</v>
      </c>
      <c r="AIS10" s="597">
        <v>74.8</v>
      </c>
      <c r="AIT10" s="597">
        <v>76.2</v>
      </c>
      <c r="AIU10" s="597">
        <v>76.3</v>
      </c>
      <c r="AIV10" s="598">
        <v>63.5</v>
      </c>
      <c r="AIW10" s="598">
        <v>63.5</v>
      </c>
      <c r="AIX10" s="598">
        <v>62.3</v>
      </c>
      <c r="AIY10" s="598"/>
      <c r="AIZ10" s="598">
        <v>62</v>
      </c>
      <c r="AJA10" s="597">
        <v>62</v>
      </c>
      <c r="AJB10" s="598">
        <v>62</v>
      </c>
      <c r="AJC10" s="597"/>
      <c r="AJD10" s="597">
        <v>62</v>
      </c>
      <c r="AJE10" s="597" t="s">
        <v>152</v>
      </c>
      <c r="AJF10" s="597" t="s">
        <v>152</v>
      </c>
      <c r="AJG10" s="597" t="s">
        <v>152</v>
      </c>
      <c r="AJH10" s="597" t="s">
        <v>152</v>
      </c>
      <c r="AJI10" s="597">
        <v>67.5</v>
      </c>
      <c r="AJJ10" s="598">
        <v>67.5</v>
      </c>
      <c r="AJK10" s="598">
        <v>65.8</v>
      </c>
      <c r="AJL10" s="600">
        <v>66.8</v>
      </c>
      <c r="AJM10" s="598">
        <v>72.3</v>
      </c>
      <c r="AJN10" s="598">
        <v>74.3</v>
      </c>
      <c r="AJO10" s="597" t="s">
        <v>183</v>
      </c>
      <c r="AJP10" s="597" t="s">
        <v>183</v>
      </c>
      <c r="AJQ10" s="600">
        <v>108.3</v>
      </c>
      <c r="AJR10" s="601">
        <v>107.3</v>
      </c>
      <c r="AJS10" s="601">
        <v>102.8</v>
      </c>
      <c r="AJT10" s="598">
        <v>63</v>
      </c>
      <c r="AJU10" s="598">
        <v>62</v>
      </c>
      <c r="AJV10" s="598">
        <v>60</v>
      </c>
      <c r="AJW10" s="598">
        <v>60</v>
      </c>
      <c r="AJX10" s="598">
        <v>60</v>
      </c>
      <c r="AJY10" s="597">
        <v>63</v>
      </c>
      <c r="AJZ10" s="598">
        <v>63</v>
      </c>
      <c r="AKA10" s="597">
        <v>63</v>
      </c>
      <c r="AKB10" s="602">
        <v>66</v>
      </c>
      <c r="AKC10" s="597">
        <v>71</v>
      </c>
      <c r="AKD10" s="597">
        <v>71</v>
      </c>
      <c r="AKE10" s="597">
        <v>66</v>
      </c>
      <c r="AKF10" s="603"/>
      <c r="AKG10" s="603">
        <f>AVERAGE(EP10,JV10,PB10,ABA10,AKE10)</f>
        <v>95.5</v>
      </c>
      <c r="AKH10" s="604"/>
      <c r="AKI10" s="605">
        <f>AVERAGE(AM10,FS10,QE10,WX10,ACA10)</f>
        <v>71.86</v>
      </c>
      <c r="AKJ10" s="605">
        <f>AVERAGE(AN10,FT10,QF10,WY10,ACB10)</f>
        <v>69.739999999999995</v>
      </c>
      <c r="AKK10" s="605" t="e">
        <f>AVERAGE(EP10,JV10,UH10,ABA10,#REF!)</f>
        <v>#REF!</v>
      </c>
      <c r="AKL10" s="605" t="e">
        <f>AVERAGE(EP10,JV10,UH10,ABA10,#REF!)</f>
        <v>#REF!</v>
      </c>
      <c r="AKM10" s="605">
        <f>AVERAGE(AZ10,GF10,LL10,QR10,XK10,ACN10,AIQ10)</f>
        <v>70.374285714285719</v>
      </c>
      <c r="AKN10" s="605" t="e">
        <f>AVERAGE(EP10,JV10,PB10,UH10,ABA10,#REF!,AJS10)</f>
        <v>#REF!</v>
      </c>
      <c r="AKO10" s="606">
        <f>AVERAGE(AJA10,ACX10,XU10,VP10,LV10,GP10,AKE10)</f>
        <v>64.471428571428575</v>
      </c>
      <c r="AKP10" s="605"/>
      <c r="AKQ10" s="605"/>
      <c r="AKR10" s="605"/>
      <c r="AKS10" s="605"/>
      <c r="AKT10" s="605"/>
      <c r="AKU10" s="605"/>
      <c r="AKV10" s="605"/>
      <c r="AKW10" s="605"/>
      <c r="AKX10" s="605"/>
      <c r="AKY10" s="605"/>
      <c r="AKZ10" s="605"/>
      <c r="ALA10" s="605"/>
      <c r="ALB10" s="605"/>
      <c r="ALC10" s="605"/>
      <c r="ALD10" s="605"/>
      <c r="ALE10" s="591" t="e">
        <f>AVERAGE(EP10,JV10,PB10,UH10,ABA10,#REF!)</f>
        <v>#REF!</v>
      </c>
      <c r="ALF10" s="607" t="e">
        <f>AVERAGE(EP10,JV10,PB10,UH10,ABA10,#REF!)</f>
        <v>#REF!</v>
      </c>
      <c r="ALG10" s="592"/>
      <c r="ALH10" s="592"/>
      <c r="ALI10" s="592"/>
      <c r="ALJ10" s="592"/>
      <c r="ALK10" s="592"/>
      <c r="ALL10" s="592"/>
      <c r="ALM10" s="592"/>
      <c r="ALN10" s="592"/>
      <c r="ALO10" s="592"/>
      <c r="ALP10" s="592"/>
      <c r="ALQ10" s="592"/>
      <c r="ALR10" s="592"/>
      <c r="ALS10" s="592"/>
      <c r="ALT10" s="592"/>
      <c r="ALU10" s="583">
        <v>92.3</v>
      </c>
      <c r="ALV10" s="467">
        <v>92.3</v>
      </c>
      <c r="ALW10" s="467">
        <v>85</v>
      </c>
      <c r="ALX10" s="467">
        <v>87</v>
      </c>
      <c r="ALY10" s="467">
        <v>84.5</v>
      </c>
      <c r="ALZ10" s="467">
        <v>84.5</v>
      </c>
      <c r="AMA10" s="467">
        <v>89</v>
      </c>
      <c r="AMB10" s="467">
        <v>94.2</v>
      </c>
      <c r="AMC10" s="467">
        <v>107</v>
      </c>
      <c r="AMD10" s="467">
        <v>108.6</v>
      </c>
      <c r="AME10" s="467">
        <v>111.5</v>
      </c>
      <c r="AMF10" s="467">
        <v>108</v>
      </c>
      <c r="AMG10" s="467">
        <v>106</v>
      </c>
      <c r="AMH10" s="467">
        <v>101.5</v>
      </c>
      <c r="AMI10" s="467">
        <v>101.5</v>
      </c>
      <c r="AMJ10" s="580">
        <v>105.5</v>
      </c>
      <c r="AMK10" s="576">
        <v>91.4</v>
      </c>
      <c r="AML10" s="467"/>
      <c r="AMM10" s="574"/>
      <c r="AMO10" s="233">
        <f>AVERAGE(AHC10,ABA10,UH10,PB10,JV10,EP10)</f>
        <v>106.24000000000001</v>
      </c>
    </row>
    <row r="11" spans="1:1029" ht="29.1" customHeight="1" thickTop="1" thickBot="1" x14ac:dyDescent="0.35">
      <c r="A11" s="549" t="s">
        <v>11</v>
      </c>
      <c r="B11" s="550" t="s">
        <v>62</v>
      </c>
      <c r="C11" s="265" t="s">
        <v>180</v>
      </c>
      <c r="D11" s="265">
        <v>600</v>
      </c>
      <c r="E11" s="96" t="s">
        <v>6</v>
      </c>
      <c r="F11" s="98">
        <v>28</v>
      </c>
      <c r="G11" s="119">
        <f t="shared" ref="G11:G16" si="1">F11+0.3</f>
        <v>28.3</v>
      </c>
      <c r="H11" s="161">
        <v>28.3</v>
      </c>
      <c r="I11" s="99">
        <v>39.299999999999997</v>
      </c>
      <c r="J11" s="215">
        <v>5000</v>
      </c>
      <c r="K11" s="285"/>
      <c r="L11" s="41">
        <v>27</v>
      </c>
      <c r="M11" s="42">
        <v>30</v>
      </c>
      <c r="N11" s="43">
        <v>34.5</v>
      </c>
      <c r="O11" s="43">
        <v>31.5</v>
      </c>
      <c r="P11" s="42">
        <v>27.2</v>
      </c>
      <c r="Q11" s="43">
        <v>28</v>
      </c>
      <c r="R11" s="10">
        <v>28</v>
      </c>
      <c r="S11" s="10">
        <v>30</v>
      </c>
      <c r="T11" s="10">
        <v>40.9</v>
      </c>
      <c r="U11" s="10">
        <v>45</v>
      </c>
      <c r="V11" s="10">
        <v>45</v>
      </c>
      <c r="W11" s="10">
        <v>46</v>
      </c>
      <c r="X11" s="43">
        <v>40</v>
      </c>
      <c r="Y11" s="10">
        <v>36</v>
      </c>
      <c r="Z11" s="10">
        <v>36.5</v>
      </c>
      <c r="AA11" s="10">
        <v>39</v>
      </c>
      <c r="AB11" s="10">
        <v>44</v>
      </c>
      <c r="AC11" s="10">
        <v>42</v>
      </c>
      <c r="AD11" s="43"/>
      <c r="AE11" s="43"/>
      <c r="AF11" s="43">
        <v>41</v>
      </c>
      <c r="AG11" s="10">
        <v>41</v>
      </c>
      <c r="AH11" s="10">
        <v>39.5</v>
      </c>
      <c r="AI11" s="10">
        <v>40</v>
      </c>
      <c r="AJ11" s="10">
        <v>41</v>
      </c>
      <c r="AK11" s="10">
        <v>43.5</v>
      </c>
      <c r="AL11" s="10">
        <v>43.5</v>
      </c>
      <c r="AM11" s="193">
        <v>47.3</v>
      </c>
      <c r="AN11" s="169">
        <v>41.5</v>
      </c>
      <c r="AO11" s="194">
        <v>40.5</v>
      </c>
      <c r="AP11" s="10">
        <v>40.5</v>
      </c>
      <c r="AQ11" s="10">
        <v>40.5</v>
      </c>
      <c r="AR11" s="10">
        <v>40.5</v>
      </c>
      <c r="AS11" s="10">
        <v>37.5</v>
      </c>
      <c r="AT11" s="10">
        <v>40</v>
      </c>
      <c r="AU11" s="10">
        <v>40</v>
      </c>
      <c r="AV11" s="10">
        <v>40</v>
      </c>
      <c r="AW11" s="10">
        <v>40</v>
      </c>
      <c r="AX11" s="10">
        <v>39</v>
      </c>
      <c r="AY11" s="10">
        <v>39</v>
      </c>
      <c r="AZ11" s="10">
        <v>38.5</v>
      </c>
      <c r="BA11" s="10">
        <v>41.5</v>
      </c>
      <c r="BB11" s="10">
        <v>41.5</v>
      </c>
      <c r="BC11" s="10">
        <v>41.5</v>
      </c>
      <c r="BD11" s="10">
        <v>41.5</v>
      </c>
      <c r="BE11" s="280">
        <v>39</v>
      </c>
      <c r="BF11" s="280">
        <v>38.5</v>
      </c>
      <c r="BG11" s="280">
        <v>37.5</v>
      </c>
      <c r="BH11" s="280">
        <v>36.9</v>
      </c>
      <c r="BI11" s="280">
        <v>35.5</v>
      </c>
      <c r="BJ11" s="281">
        <v>35.5</v>
      </c>
      <c r="BK11" s="280">
        <v>35.5</v>
      </c>
      <c r="BL11" s="280">
        <v>35.5</v>
      </c>
      <c r="BM11" s="259">
        <v>35.5</v>
      </c>
      <c r="BN11" s="261">
        <v>35.5</v>
      </c>
      <c r="BO11" s="261">
        <v>36.5</v>
      </c>
      <c r="BP11" s="261">
        <v>38.5</v>
      </c>
      <c r="BQ11" s="260">
        <v>37.5</v>
      </c>
      <c r="BR11" s="260">
        <v>35.5</v>
      </c>
      <c r="BS11" s="260">
        <v>35</v>
      </c>
      <c r="BT11" s="260">
        <v>34.5</v>
      </c>
      <c r="BU11" s="260">
        <v>34.5</v>
      </c>
      <c r="BV11" s="260">
        <v>34</v>
      </c>
      <c r="BW11" s="260">
        <v>34.5</v>
      </c>
      <c r="BX11" s="260">
        <v>34.5</v>
      </c>
      <c r="BY11" s="260">
        <v>34.5</v>
      </c>
      <c r="BZ11" s="260">
        <v>34</v>
      </c>
      <c r="CA11" s="260">
        <v>34</v>
      </c>
      <c r="CB11" s="260">
        <v>34</v>
      </c>
      <c r="CC11" s="259">
        <v>34</v>
      </c>
      <c r="CD11" s="259">
        <v>34.5</v>
      </c>
      <c r="CE11" s="259">
        <v>34.5</v>
      </c>
      <c r="CF11" s="259">
        <v>36</v>
      </c>
      <c r="CG11" s="259">
        <v>38</v>
      </c>
      <c r="CH11" s="260">
        <v>38</v>
      </c>
      <c r="CI11" s="259">
        <v>36</v>
      </c>
      <c r="CJ11" s="259">
        <v>37</v>
      </c>
      <c r="CK11" s="260">
        <v>38</v>
      </c>
      <c r="CL11" s="260">
        <v>40</v>
      </c>
      <c r="CM11" s="260">
        <v>45</v>
      </c>
      <c r="CN11" s="260">
        <v>46</v>
      </c>
      <c r="CO11" s="260">
        <v>42</v>
      </c>
      <c r="CP11" s="260">
        <v>42</v>
      </c>
      <c r="CQ11" s="260">
        <v>42</v>
      </c>
      <c r="CR11" s="260">
        <v>45</v>
      </c>
      <c r="CS11" s="260">
        <v>48</v>
      </c>
      <c r="CT11" s="260">
        <v>50</v>
      </c>
      <c r="CU11" s="260">
        <v>50</v>
      </c>
      <c r="CV11" s="260">
        <v>50</v>
      </c>
      <c r="CW11" s="260">
        <v>50</v>
      </c>
      <c r="CX11" s="260">
        <v>53</v>
      </c>
      <c r="CY11" s="260">
        <v>55</v>
      </c>
      <c r="CZ11" s="259">
        <v>54</v>
      </c>
      <c r="DA11" s="260">
        <v>52</v>
      </c>
      <c r="DB11" s="260">
        <v>49</v>
      </c>
      <c r="DC11" s="260">
        <v>45</v>
      </c>
      <c r="DD11" s="259">
        <v>47</v>
      </c>
      <c r="DE11" s="260">
        <v>45</v>
      </c>
      <c r="DF11" s="260">
        <v>45</v>
      </c>
      <c r="DG11" s="260">
        <v>44</v>
      </c>
      <c r="DH11" s="260">
        <v>43</v>
      </c>
      <c r="DI11" s="260">
        <v>42</v>
      </c>
      <c r="DJ11" s="260">
        <v>42</v>
      </c>
      <c r="DK11" s="260">
        <v>42</v>
      </c>
      <c r="DL11" s="260">
        <v>41</v>
      </c>
      <c r="DM11" s="260">
        <v>41</v>
      </c>
      <c r="DN11" s="260">
        <v>42</v>
      </c>
      <c r="DO11" s="260">
        <v>44</v>
      </c>
      <c r="DP11" s="260">
        <v>41</v>
      </c>
      <c r="DQ11" s="260">
        <v>45</v>
      </c>
      <c r="DR11" s="260">
        <v>46</v>
      </c>
      <c r="DS11" s="260">
        <v>47</v>
      </c>
      <c r="DT11" s="260">
        <v>47</v>
      </c>
      <c r="DU11" s="260">
        <v>47</v>
      </c>
      <c r="DV11" s="260">
        <v>48</v>
      </c>
      <c r="DW11" s="260">
        <v>49</v>
      </c>
      <c r="DX11" s="260">
        <v>51</v>
      </c>
      <c r="DY11" s="260">
        <v>53</v>
      </c>
      <c r="DZ11" s="260">
        <v>53</v>
      </c>
      <c r="EA11" s="260">
        <v>51</v>
      </c>
      <c r="EB11" s="260">
        <v>51</v>
      </c>
      <c r="EC11" s="260">
        <v>50</v>
      </c>
      <c r="ED11" s="260">
        <v>50</v>
      </c>
      <c r="EE11" s="260">
        <v>50</v>
      </c>
      <c r="EF11" s="260">
        <v>52</v>
      </c>
      <c r="EG11" s="260">
        <v>60</v>
      </c>
      <c r="EH11" s="260">
        <v>60</v>
      </c>
      <c r="EI11" s="260">
        <v>62</v>
      </c>
      <c r="EJ11" s="260">
        <v>62</v>
      </c>
      <c r="EK11" s="260">
        <v>62</v>
      </c>
      <c r="EL11" s="260">
        <v>62</v>
      </c>
      <c r="EM11" s="260">
        <v>62</v>
      </c>
      <c r="EN11" s="260">
        <v>60</v>
      </c>
      <c r="EO11" s="260">
        <v>60</v>
      </c>
      <c r="EP11" s="260">
        <v>60</v>
      </c>
      <c r="EQ11" s="257"/>
      <c r="ER11" s="257">
        <v>35</v>
      </c>
      <c r="ES11" s="257">
        <v>39</v>
      </c>
      <c r="ET11" s="257">
        <v>39</v>
      </c>
      <c r="EU11" s="257">
        <v>39</v>
      </c>
      <c r="EV11" s="257">
        <v>30</v>
      </c>
      <c r="EW11" s="256">
        <v>30</v>
      </c>
      <c r="EX11" s="256">
        <v>30</v>
      </c>
      <c r="EY11" s="256">
        <v>35</v>
      </c>
      <c r="EZ11" s="256">
        <v>42</v>
      </c>
      <c r="FA11" s="256">
        <v>53.5</v>
      </c>
      <c r="FB11" s="256">
        <v>50</v>
      </c>
      <c r="FC11" s="256">
        <v>48</v>
      </c>
      <c r="FD11" s="257">
        <v>50.5</v>
      </c>
      <c r="FE11" s="256">
        <v>49</v>
      </c>
      <c r="FF11" s="256">
        <v>52</v>
      </c>
      <c r="FG11" s="256">
        <v>50</v>
      </c>
      <c r="FH11" s="256">
        <v>50</v>
      </c>
      <c r="FI11" s="256">
        <v>48.5</v>
      </c>
      <c r="FJ11" s="257">
        <v>47.5</v>
      </c>
      <c r="FK11" s="257">
        <v>52</v>
      </c>
      <c r="FL11" s="257">
        <v>52</v>
      </c>
      <c r="FM11" s="256">
        <v>52</v>
      </c>
      <c r="FN11" s="256">
        <v>47</v>
      </c>
      <c r="FO11" s="256">
        <v>48</v>
      </c>
      <c r="FP11" s="256">
        <v>48</v>
      </c>
      <c r="FQ11" s="256">
        <v>49.5</v>
      </c>
      <c r="FR11" s="256">
        <v>49.5</v>
      </c>
      <c r="FS11" s="258">
        <v>48.5</v>
      </c>
      <c r="FT11" s="364">
        <v>46.5</v>
      </c>
      <c r="FU11" s="364">
        <v>43.5</v>
      </c>
      <c r="FV11" s="260">
        <v>42.5</v>
      </c>
      <c r="FW11" s="260">
        <v>42</v>
      </c>
      <c r="FX11" s="260">
        <v>42</v>
      </c>
      <c r="FY11" s="260">
        <v>43.5</v>
      </c>
      <c r="FZ11" s="260">
        <v>45.5</v>
      </c>
      <c r="GA11" s="260">
        <v>45.5</v>
      </c>
      <c r="GB11" s="260">
        <v>46</v>
      </c>
      <c r="GC11" s="260">
        <v>45</v>
      </c>
      <c r="GD11" s="260">
        <v>45</v>
      </c>
      <c r="GE11" s="260">
        <v>44.5</v>
      </c>
      <c r="GF11" s="260">
        <v>46</v>
      </c>
      <c r="GG11" s="260">
        <v>48</v>
      </c>
      <c r="GH11" s="260">
        <v>50</v>
      </c>
      <c r="GI11" s="260">
        <v>50</v>
      </c>
      <c r="GJ11" s="260">
        <v>43.5</v>
      </c>
      <c r="GK11" s="259">
        <v>38.5</v>
      </c>
      <c r="GL11" s="259">
        <v>36.700000000000003</v>
      </c>
      <c r="GM11" s="259">
        <v>34.799999999999997</v>
      </c>
      <c r="GN11" s="259">
        <v>34.6</v>
      </c>
      <c r="GO11" s="259">
        <v>34.6</v>
      </c>
      <c r="GP11" s="260">
        <v>35.799999999999997</v>
      </c>
      <c r="GQ11" s="259">
        <v>35.799999999999997</v>
      </c>
      <c r="GR11" s="259">
        <v>38</v>
      </c>
      <c r="GS11" s="259">
        <v>38</v>
      </c>
      <c r="GT11" s="261">
        <v>40</v>
      </c>
      <c r="GU11" s="261">
        <v>49</v>
      </c>
      <c r="GV11" s="261">
        <v>51</v>
      </c>
      <c r="GW11" s="260">
        <v>50</v>
      </c>
      <c r="GX11" s="260">
        <v>48</v>
      </c>
      <c r="GY11" s="260">
        <v>50</v>
      </c>
      <c r="GZ11" s="260">
        <v>50</v>
      </c>
      <c r="HA11" s="260">
        <v>49.5</v>
      </c>
      <c r="HB11" s="260">
        <v>49</v>
      </c>
      <c r="HC11" s="260">
        <v>44.5</v>
      </c>
      <c r="HD11" s="260">
        <v>44.1</v>
      </c>
      <c r="HE11" s="260">
        <v>44.1</v>
      </c>
      <c r="HF11" s="260">
        <v>43.7</v>
      </c>
      <c r="HG11" s="260">
        <v>44</v>
      </c>
      <c r="HH11" s="260">
        <v>44</v>
      </c>
      <c r="HI11" s="259">
        <v>44</v>
      </c>
      <c r="HJ11" s="259">
        <v>44</v>
      </c>
      <c r="HK11" s="259">
        <v>43.5</v>
      </c>
      <c r="HL11" s="259">
        <v>38</v>
      </c>
      <c r="HM11" s="259">
        <v>42</v>
      </c>
      <c r="HN11" s="260">
        <v>42</v>
      </c>
      <c r="HO11" s="259">
        <v>42</v>
      </c>
      <c r="HP11" s="259">
        <v>41</v>
      </c>
      <c r="HQ11" s="260">
        <v>49</v>
      </c>
      <c r="HR11" s="260">
        <v>53</v>
      </c>
      <c r="HS11" s="260">
        <v>54.5</v>
      </c>
      <c r="HT11" s="260">
        <v>54</v>
      </c>
      <c r="HU11" s="260">
        <v>53</v>
      </c>
      <c r="HV11" s="260">
        <v>53.5</v>
      </c>
      <c r="HW11" s="260">
        <v>49.5</v>
      </c>
      <c r="HX11" s="260">
        <v>49.5</v>
      </c>
      <c r="HY11" s="260">
        <v>58</v>
      </c>
      <c r="HZ11" s="260">
        <v>59</v>
      </c>
      <c r="IA11" s="260">
        <v>58</v>
      </c>
      <c r="IB11" s="260">
        <v>59</v>
      </c>
      <c r="IC11" s="260">
        <v>55.5</v>
      </c>
      <c r="ID11" s="260">
        <v>58</v>
      </c>
      <c r="IE11" s="260">
        <v>58</v>
      </c>
      <c r="IF11" s="259">
        <v>58</v>
      </c>
      <c r="IG11" s="260">
        <v>55</v>
      </c>
      <c r="IH11" s="260">
        <v>48</v>
      </c>
      <c r="II11" s="260">
        <v>49</v>
      </c>
      <c r="IJ11" s="259">
        <v>51</v>
      </c>
      <c r="IK11" s="260">
        <v>51</v>
      </c>
      <c r="IL11" s="260">
        <v>50</v>
      </c>
      <c r="IM11" s="260">
        <v>48</v>
      </c>
      <c r="IN11" s="260">
        <v>48</v>
      </c>
      <c r="IO11" s="260">
        <v>47</v>
      </c>
      <c r="IP11" s="260">
        <v>47</v>
      </c>
      <c r="IQ11" s="260">
        <v>47</v>
      </c>
      <c r="IR11" s="260">
        <v>45.8</v>
      </c>
      <c r="IS11" s="260">
        <v>44.5</v>
      </c>
      <c r="IT11" s="260">
        <v>46.5</v>
      </c>
      <c r="IU11" s="260">
        <v>50.5</v>
      </c>
      <c r="IV11" s="260">
        <v>48.5</v>
      </c>
      <c r="IW11" s="260">
        <v>45.5</v>
      </c>
      <c r="IX11" s="260">
        <v>45.5</v>
      </c>
      <c r="IY11" s="260">
        <v>47</v>
      </c>
      <c r="IZ11" s="260">
        <v>48</v>
      </c>
      <c r="JA11" s="260">
        <v>47</v>
      </c>
      <c r="JB11" s="260">
        <v>47</v>
      </c>
      <c r="JC11" s="260">
        <v>51</v>
      </c>
      <c r="JD11" s="260">
        <v>58</v>
      </c>
      <c r="JE11" s="260">
        <v>58</v>
      </c>
      <c r="JF11" s="260">
        <v>58</v>
      </c>
      <c r="JG11" s="260">
        <v>57</v>
      </c>
      <c r="JH11" s="260">
        <v>57</v>
      </c>
      <c r="JI11" s="260">
        <v>57</v>
      </c>
      <c r="JJ11" s="260">
        <v>57.5</v>
      </c>
      <c r="JK11" s="260">
        <v>59</v>
      </c>
      <c r="JL11" s="260">
        <v>59</v>
      </c>
      <c r="JM11" s="260">
        <v>63.5</v>
      </c>
      <c r="JN11" s="260">
        <v>63.5</v>
      </c>
      <c r="JO11" s="260">
        <v>64</v>
      </c>
      <c r="JP11" s="260">
        <v>64</v>
      </c>
      <c r="JQ11" s="260">
        <v>66</v>
      </c>
      <c r="JR11" s="260">
        <v>66</v>
      </c>
      <c r="JS11" s="260">
        <v>66</v>
      </c>
      <c r="JT11" s="260">
        <v>63</v>
      </c>
      <c r="JU11" s="260">
        <v>60</v>
      </c>
      <c r="JV11" s="260">
        <v>64.5</v>
      </c>
      <c r="JW11" s="257">
        <v>20</v>
      </c>
      <c r="JX11" s="257">
        <v>29.8</v>
      </c>
      <c r="JY11" s="257">
        <v>31.5</v>
      </c>
      <c r="JZ11" s="264">
        <v>29.5</v>
      </c>
      <c r="KA11" s="259">
        <v>28.7</v>
      </c>
      <c r="KB11" s="259">
        <v>27.7</v>
      </c>
      <c r="KC11" s="259">
        <v>27.7</v>
      </c>
      <c r="KD11" s="262">
        <v>27.2</v>
      </c>
      <c r="KE11" s="262">
        <v>27.2</v>
      </c>
      <c r="KF11" s="260">
        <v>43</v>
      </c>
      <c r="KG11" s="260">
        <v>39</v>
      </c>
      <c r="KH11" s="260">
        <v>41</v>
      </c>
      <c r="KI11" s="260">
        <v>44</v>
      </c>
      <c r="KJ11" s="259">
        <v>39</v>
      </c>
      <c r="KK11" s="260">
        <v>37</v>
      </c>
      <c r="KL11" s="260">
        <v>38</v>
      </c>
      <c r="KM11" s="260">
        <v>41</v>
      </c>
      <c r="KN11" s="260">
        <v>44</v>
      </c>
      <c r="KO11" s="260">
        <v>42</v>
      </c>
      <c r="KP11" s="259">
        <v>42</v>
      </c>
      <c r="KQ11" s="259">
        <v>42</v>
      </c>
      <c r="KR11" s="259">
        <v>42</v>
      </c>
      <c r="KS11" s="260">
        <v>42</v>
      </c>
      <c r="KT11" s="260">
        <v>42</v>
      </c>
      <c r="KU11" s="260">
        <v>40</v>
      </c>
      <c r="KV11" s="260">
        <v>44</v>
      </c>
      <c r="KW11" s="260">
        <v>45.3</v>
      </c>
      <c r="KX11" s="260">
        <v>47.3</v>
      </c>
      <c r="KY11" s="261">
        <v>47.3</v>
      </c>
      <c r="KZ11" s="261">
        <v>43.3</v>
      </c>
      <c r="LA11" s="261">
        <v>43.3</v>
      </c>
      <c r="LB11" s="365">
        <v>43.3</v>
      </c>
      <c r="LC11" s="260">
        <v>41.3</v>
      </c>
      <c r="LD11" s="260">
        <v>41.3</v>
      </c>
      <c r="LE11" s="260">
        <v>39.299999999999997</v>
      </c>
      <c r="LF11" s="260">
        <v>39.299999999999997</v>
      </c>
      <c r="LG11" s="260">
        <v>39.299999999999997</v>
      </c>
      <c r="LH11" s="260">
        <v>40.299999999999997</v>
      </c>
      <c r="LI11" s="260">
        <v>39.299999999999997</v>
      </c>
      <c r="LJ11" s="260">
        <v>39.299999999999997</v>
      </c>
      <c r="LK11" s="260">
        <v>39.299999999999997</v>
      </c>
      <c r="LL11" s="260">
        <v>39.299999999999997</v>
      </c>
      <c r="LM11" s="260">
        <v>39.299999999999997</v>
      </c>
      <c r="LN11" s="260">
        <v>39.299999999999997</v>
      </c>
      <c r="LO11" s="260">
        <v>41.3</v>
      </c>
      <c r="LP11" s="260">
        <v>41.3</v>
      </c>
      <c r="LQ11" s="259">
        <v>39.299999999999997</v>
      </c>
      <c r="LR11" s="259">
        <v>38.799999999999997</v>
      </c>
      <c r="LS11" s="259">
        <v>34.299999999999997</v>
      </c>
      <c r="LT11" s="259">
        <v>34.299999999999997</v>
      </c>
      <c r="LU11" s="259">
        <v>34.299999999999997</v>
      </c>
      <c r="LV11" s="260">
        <v>33.299999999999997</v>
      </c>
      <c r="LW11" s="259">
        <v>33.299999999999997</v>
      </c>
      <c r="LX11" s="259">
        <v>33.299999999999997</v>
      </c>
      <c r="LY11" s="259">
        <v>33.299999999999997</v>
      </c>
      <c r="LZ11" s="260">
        <v>40.299999999999997</v>
      </c>
      <c r="MA11" s="261">
        <v>40.299999999999997</v>
      </c>
      <c r="MB11" s="261">
        <v>37.299999999999997</v>
      </c>
      <c r="MC11" s="260">
        <v>39.299999999999997</v>
      </c>
      <c r="MD11" s="260">
        <v>39.299999999999997</v>
      </c>
      <c r="ME11" s="260">
        <v>39.299999999999997</v>
      </c>
      <c r="MF11" s="260">
        <v>39.299999999999997</v>
      </c>
      <c r="MG11" s="260">
        <v>39.299999999999997</v>
      </c>
      <c r="MH11" s="260">
        <v>39.299999999999997</v>
      </c>
      <c r="MI11" s="260">
        <v>39.299999999999997</v>
      </c>
      <c r="MJ11" s="260">
        <v>39.299999999999997</v>
      </c>
      <c r="MK11" s="260">
        <v>39.299999999999997</v>
      </c>
      <c r="ML11" s="260">
        <v>37.299999999999997</v>
      </c>
      <c r="MM11" s="260">
        <v>37.299999999999997</v>
      </c>
      <c r="MN11" s="260">
        <v>37.299999999999997</v>
      </c>
      <c r="MO11" s="259">
        <v>36</v>
      </c>
      <c r="MP11" s="259">
        <v>35</v>
      </c>
      <c r="MQ11" s="259">
        <v>35</v>
      </c>
      <c r="MR11" s="259">
        <v>36</v>
      </c>
      <c r="MS11" s="259">
        <v>38</v>
      </c>
      <c r="MT11" s="260">
        <v>38</v>
      </c>
      <c r="MU11" s="259">
        <v>37</v>
      </c>
      <c r="MV11" s="259">
        <v>45</v>
      </c>
      <c r="MW11" s="260">
        <v>48</v>
      </c>
      <c r="MX11" s="260">
        <v>48</v>
      </c>
      <c r="MY11" s="260">
        <v>49</v>
      </c>
      <c r="MZ11" s="260">
        <v>50</v>
      </c>
      <c r="NA11" s="260">
        <v>48</v>
      </c>
      <c r="NB11" s="260">
        <v>48</v>
      </c>
      <c r="NC11" s="260">
        <v>48</v>
      </c>
      <c r="ND11" s="260">
        <v>49</v>
      </c>
      <c r="NE11" s="260">
        <v>55</v>
      </c>
      <c r="NF11" s="260">
        <v>55</v>
      </c>
      <c r="NG11" s="260">
        <v>58</v>
      </c>
      <c r="NH11" s="260">
        <v>56</v>
      </c>
      <c r="NI11" s="260">
        <v>51</v>
      </c>
      <c r="NJ11" s="260">
        <v>53</v>
      </c>
      <c r="NK11" s="260">
        <v>52</v>
      </c>
      <c r="NL11" s="259">
        <v>52</v>
      </c>
      <c r="NM11" s="260">
        <v>51</v>
      </c>
      <c r="NN11" s="260">
        <v>48</v>
      </c>
      <c r="NO11" s="260">
        <v>43.3</v>
      </c>
      <c r="NP11" s="259">
        <v>45.3</v>
      </c>
      <c r="NQ11" s="260">
        <v>44.3</v>
      </c>
      <c r="NR11" s="260">
        <v>44.3</v>
      </c>
      <c r="NS11" s="260">
        <v>44.3</v>
      </c>
      <c r="NT11" s="260">
        <v>44.3</v>
      </c>
      <c r="NU11" s="260">
        <v>43</v>
      </c>
      <c r="NV11" s="260">
        <v>40.299999999999997</v>
      </c>
      <c r="NW11" s="260">
        <v>41.3</v>
      </c>
      <c r="NX11" s="260">
        <v>42.3</v>
      </c>
      <c r="NY11" s="260">
        <v>45.1</v>
      </c>
      <c r="NZ11" s="260">
        <v>48.3</v>
      </c>
      <c r="OA11" s="260">
        <v>48.3</v>
      </c>
      <c r="OB11" s="260">
        <v>43.3</v>
      </c>
      <c r="OC11" s="260">
        <v>44.3</v>
      </c>
      <c r="OD11" s="260">
        <v>44.3</v>
      </c>
      <c r="OE11" s="260">
        <v>44.3</v>
      </c>
      <c r="OF11" s="260">
        <v>44.3</v>
      </c>
      <c r="OG11" s="260">
        <v>45.3</v>
      </c>
      <c r="OH11" s="260">
        <v>45.3</v>
      </c>
      <c r="OI11" s="260">
        <v>45.3</v>
      </c>
      <c r="OJ11" s="260">
        <v>48.3</v>
      </c>
      <c r="OK11" s="260">
        <v>54.3</v>
      </c>
      <c r="OL11" s="260">
        <v>52.3</v>
      </c>
      <c r="OM11" s="260">
        <v>51.3</v>
      </c>
      <c r="ON11" s="260">
        <v>48.3</v>
      </c>
      <c r="OO11" s="260">
        <v>47</v>
      </c>
      <c r="OP11" s="260">
        <v>48.6</v>
      </c>
      <c r="OQ11" s="260">
        <v>48.9</v>
      </c>
      <c r="OR11" s="260">
        <v>49.8</v>
      </c>
      <c r="OS11" s="260">
        <v>54</v>
      </c>
      <c r="OT11" s="260">
        <v>55</v>
      </c>
      <c r="OU11" s="260">
        <v>56</v>
      </c>
      <c r="OV11" s="260">
        <v>58</v>
      </c>
      <c r="OW11" s="260">
        <v>58</v>
      </c>
      <c r="OX11" s="260">
        <v>58</v>
      </c>
      <c r="OY11" s="260"/>
      <c r="OZ11" s="260"/>
      <c r="PA11" s="260"/>
      <c r="PB11" s="260"/>
      <c r="PC11" s="257">
        <v>23.5</v>
      </c>
      <c r="PD11" s="257">
        <v>29.9</v>
      </c>
      <c r="PE11" s="257">
        <v>32.9</v>
      </c>
      <c r="PF11" s="257">
        <v>29.8</v>
      </c>
      <c r="PG11" s="264">
        <v>28.6</v>
      </c>
      <c r="PH11" s="264">
        <v>26.8</v>
      </c>
      <c r="PI11" s="260">
        <v>27.7</v>
      </c>
      <c r="PJ11" s="260">
        <v>27.7</v>
      </c>
      <c r="PK11" s="260">
        <v>31.2</v>
      </c>
      <c r="PL11" s="260">
        <v>39.5</v>
      </c>
      <c r="PM11" s="260"/>
      <c r="PN11" s="260"/>
      <c r="PO11" s="260"/>
      <c r="PP11" s="260"/>
      <c r="PQ11" s="260"/>
      <c r="PR11" s="260">
        <v>43.3</v>
      </c>
      <c r="PS11" s="260">
        <v>43.3</v>
      </c>
      <c r="PT11" s="260">
        <v>42.4</v>
      </c>
      <c r="PU11" s="260">
        <v>41.5</v>
      </c>
      <c r="PV11" s="259">
        <v>41.5</v>
      </c>
      <c r="PW11" s="259">
        <v>41.5</v>
      </c>
      <c r="PX11" s="259">
        <v>40.4</v>
      </c>
      <c r="PY11" s="260">
        <v>40.4</v>
      </c>
      <c r="PZ11" s="260">
        <v>40.4</v>
      </c>
      <c r="QA11" s="260">
        <v>43</v>
      </c>
      <c r="QB11" s="260">
        <v>43</v>
      </c>
      <c r="QC11" s="260">
        <v>47.4</v>
      </c>
      <c r="QD11" s="260">
        <v>47.4</v>
      </c>
      <c r="QE11" s="261">
        <v>47.4</v>
      </c>
      <c r="QF11" s="261">
        <v>42</v>
      </c>
      <c r="QG11" s="261">
        <v>42</v>
      </c>
      <c r="QH11" s="262">
        <v>39.299999999999997</v>
      </c>
      <c r="QI11" s="260">
        <v>39.299999999999997</v>
      </c>
      <c r="QJ11" s="260">
        <v>37.5</v>
      </c>
      <c r="QK11" s="260">
        <v>36.6</v>
      </c>
      <c r="QL11" s="260">
        <v>43.8</v>
      </c>
      <c r="QM11" s="260">
        <v>43.8</v>
      </c>
      <c r="QN11" s="260">
        <v>38.200000000000003</v>
      </c>
      <c r="QO11" s="260">
        <v>38.6</v>
      </c>
      <c r="QP11" s="260">
        <v>36.840000000000003</v>
      </c>
      <c r="QQ11" s="260">
        <v>36.840000000000003</v>
      </c>
      <c r="QR11" s="260">
        <v>37.700000000000003</v>
      </c>
      <c r="QS11" s="260">
        <v>40.299999999999997</v>
      </c>
      <c r="QT11" s="260">
        <v>40.299999999999997</v>
      </c>
      <c r="QU11" s="260">
        <v>39.340000000000003</v>
      </c>
      <c r="QV11" s="260">
        <v>39.340000000000003</v>
      </c>
      <c r="QW11" s="259">
        <v>37.9</v>
      </c>
      <c r="QX11" s="259">
        <v>36.14</v>
      </c>
      <c r="QY11" s="259">
        <v>33.9</v>
      </c>
      <c r="QZ11" s="259">
        <v>34.14</v>
      </c>
      <c r="RA11" s="259">
        <v>33.9</v>
      </c>
      <c r="RB11" s="323">
        <v>32.22</v>
      </c>
      <c r="RC11" s="342">
        <v>36.54</v>
      </c>
      <c r="RD11" s="342">
        <v>36.54</v>
      </c>
      <c r="RE11" s="342">
        <v>36.54</v>
      </c>
      <c r="RF11" s="366">
        <v>41.5</v>
      </c>
      <c r="RG11" s="383">
        <v>40.200000000000003</v>
      </c>
      <c r="RH11" s="383">
        <v>40.200000000000003</v>
      </c>
      <c r="RI11" s="323">
        <v>39.6</v>
      </c>
      <c r="RJ11" s="323">
        <v>38.799999999999997</v>
      </c>
      <c r="RK11" s="323">
        <v>38.799999999999997</v>
      </c>
      <c r="RL11" s="323">
        <v>38.5</v>
      </c>
      <c r="RM11" s="323">
        <v>38</v>
      </c>
      <c r="RN11" s="323">
        <v>37</v>
      </c>
      <c r="RO11" s="323">
        <v>37</v>
      </c>
      <c r="RP11" s="323">
        <v>36.9</v>
      </c>
      <c r="RQ11" s="323">
        <v>36.9</v>
      </c>
      <c r="RR11" s="323">
        <v>37</v>
      </c>
      <c r="RS11" s="323">
        <v>37</v>
      </c>
      <c r="RT11" s="260">
        <v>37</v>
      </c>
      <c r="RU11" s="259">
        <v>36.299999999999997</v>
      </c>
      <c r="RV11" s="259">
        <v>36.299999999999997</v>
      </c>
      <c r="RW11" s="259">
        <v>32.6</v>
      </c>
      <c r="RX11" s="259">
        <v>40.6</v>
      </c>
      <c r="RY11" s="259">
        <v>42.4</v>
      </c>
      <c r="RZ11" s="260">
        <v>42.4</v>
      </c>
      <c r="SA11" s="259">
        <v>43.7</v>
      </c>
      <c r="SB11" s="259">
        <v>45.6</v>
      </c>
      <c r="SC11" s="260">
        <v>45.6</v>
      </c>
      <c r="SD11" s="260">
        <v>48.9</v>
      </c>
      <c r="SE11" s="260">
        <v>49.5</v>
      </c>
      <c r="SF11" s="260">
        <v>50.1</v>
      </c>
      <c r="SG11" s="260">
        <v>51</v>
      </c>
      <c r="SH11" s="260">
        <v>51</v>
      </c>
      <c r="SI11" s="260">
        <v>51.8</v>
      </c>
      <c r="SJ11" s="260">
        <v>51.8</v>
      </c>
      <c r="SK11" s="260">
        <v>59.1</v>
      </c>
      <c r="SL11" s="260">
        <v>59.1</v>
      </c>
      <c r="SM11" s="260">
        <v>59.1</v>
      </c>
      <c r="SN11" s="260">
        <v>59.1</v>
      </c>
      <c r="SO11" s="260">
        <v>55.1</v>
      </c>
      <c r="SP11" s="260">
        <v>57.8</v>
      </c>
      <c r="SQ11" s="260">
        <v>57.8</v>
      </c>
      <c r="SR11" s="259">
        <v>57.7</v>
      </c>
      <c r="SS11" s="260">
        <v>49.3</v>
      </c>
      <c r="ST11" s="260">
        <v>49.4</v>
      </c>
      <c r="SU11" s="260">
        <v>41.3</v>
      </c>
      <c r="SV11" s="259">
        <v>41.3</v>
      </c>
      <c r="SW11" s="260">
        <v>41.3</v>
      </c>
      <c r="SX11" s="260">
        <v>41.3</v>
      </c>
      <c r="SY11" s="260">
        <v>41.3</v>
      </c>
      <c r="SZ11" s="260">
        <v>41.3</v>
      </c>
      <c r="TA11" s="260">
        <v>40.799999999999997</v>
      </c>
      <c r="TB11" s="260">
        <v>40.799999999999997</v>
      </c>
      <c r="TC11" s="260">
        <v>40.799999999999997</v>
      </c>
      <c r="TD11" s="260">
        <v>40.799999999999997</v>
      </c>
      <c r="TE11" s="260">
        <v>46.4</v>
      </c>
      <c r="TF11" s="260">
        <v>46.4</v>
      </c>
      <c r="TG11" s="260">
        <v>46.4</v>
      </c>
      <c r="TH11" s="260">
        <v>41.3</v>
      </c>
      <c r="TI11" s="260">
        <v>44.8</v>
      </c>
      <c r="TJ11" s="260">
        <v>44.8</v>
      </c>
      <c r="TK11" s="260">
        <v>46.4</v>
      </c>
      <c r="TL11" s="260">
        <v>49.6</v>
      </c>
      <c r="TM11" s="260">
        <v>49.6</v>
      </c>
      <c r="TN11" s="260">
        <v>48</v>
      </c>
      <c r="TO11" s="260">
        <v>52.7</v>
      </c>
      <c r="TP11" s="260">
        <v>57.5</v>
      </c>
      <c r="TQ11" s="260">
        <v>52.2</v>
      </c>
      <c r="TR11" s="260">
        <v>57.5</v>
      </c>
      <c r="TS11" s="260">
        <v>51.27</v>
      </c>
      <c r="TT11" s="260">
        <v>51.27</v>
      </c>
      <c r="TU11" s="260">
        <v>51</v>
      </c>
      <c r="TV11" s="260">
        <v>59.84</v>
      </c>
      <c r="TW11" s="260">
        <v>59.84</v>
      </c>
      <c r="TX11" s="260">
        <v>59.84</v>
      </c>
      <c r="TY11" s="260">
        <v>61.82</v>
      </c>
      <c r="TZ11" s="260">
        <v>59.69</v>
      </c>
      <c r="UA11" s="260">
        <v>60.5</v>
      </c>
      <c r="UB11" s="260">
        <v>61.3</v>
      </c>
      <c r="UC11" s="260">
        <v>61.5</v>
      </c>
      <c r="UD11" s="260">
        <v>61.3</v>
      </c>
      <c r="UE11" s="260">
        <v>62.6</v>
      </c>
      <c r="UF11" s="260">
        <v>59.8</v>
      </c>
      <c r="UG11" s="260">
        <v>60.6</v>
      </c>
      <c r="UH11" s="260">
        <v>61.4</v>
      </c>
      <c r="UI11" s="257"/>
      <c r="UJ11" s="257"/>
      <c r="UK11" s="257"/>
      <c r="UL11" s="257"/>
      <c r="UM11" s="256"/>
      <c r="UN11" s="256"/>
      <c r="UO11" s="256"/>
      <c r="UP11" s="256"/>
      <c r="UQ11" s="257"/>
      <c r="UR11" s="256"/>
      <c r="US11" s="256"/>
      <c r="UT11" s="256"/>
      <c r="UU11" s="256"/>
      <c r="UV11" s="256"/>
      <c r="UW11" s="256"/>
      <c r="UX11" s="257"/>
      <c r="UY11" s="256"/>
      <c r="UZ11" s="257"/>
      <c r="VA11" s="256"/>
      <c r="VB11" s="257"/>
      <c r="VC11" s="257"/>
      <c r="VD11" s="256"/>
      <c r="VE11" s="256"/>
      <c r="VF11" s="257"/>
      <c r="VG11" s="257"/>
      <c r="VH11" s="256"/>
      <c r="VI11" s="256"/>
      <c r="VJ11" s="256"/>
      <c r="VK11" s="256"/>
      <c r="VL11" s="257"/>
      <c r="VM11" s="257"/>
      <c r="VN11" s="257"/>
      <c r="VO11" s="257"/>
      <c r="VP11" s="256"/>
      <c r="VQ11" s="257"/>
      <c r="VR11" s="256"/>
      <c r="VS11" s="256"/>
      <c r="VT11" s="256"/>
      <c r="VU11" s="256"/>
      <c r="VV11" s="257"/>
      <c r="VW11" s="257"/>
      <c r="VX11" s="257"/>
      <c r="VY11" s="257">
        <v>31</v>
      </c>
      <c r="VZ11" s="257">
        <v>31</v>
      </c>
      <c r="WA11" s="257">
        <v>29.5</v>
      </c>
      <c r="WB11" s="256">
        <v>29</v>
      </c>
      <c r="WC11" s="256">
        <v>29</v>
      </c>
      <c r="WD11" s="256">
        <v>28</v>
      </c>
      <c r="WE11" s="256">
        <v>38</v>
      </c>
      <c r="WF11" s="256">
        <v>31</v>
      </c>
      <c r="WG11" s="256">
        <v>44</v>
      </c>
      <c r="WH11" s="256">
        <v>39</v>
      </c>
      <c r="WI11" s="257">
        <v>39</v>
      </c>
      <c r="WJ11" s="256">
        <v>39</v>
      </c>
      <c r="WK11" s="256">
        <v>52.5</v>
      </c>
      <c r="WL11" s="256">
        <v>52.5</v>
      </c>
      <c r="WM11" s="257">
        <v>52.5</v>
      </c>
      <c r="WN11" s="257"/>
      <c r="WO11" s="257"/>
      <c r="WP11" s="257">
        <v>40.5</v>
      </c>
      <c r="WQ11" s="257">
        <v>41.5</v>
      </c>
      <c r="WR11" s="256">
        <v>41.5</v>
      </c>
      <c r="WS11" s="256">
        <v>41.2</v>
      </c>
      <c r="WT11" s="256">
        <v>43.5</v>
      </c>
      <c r="WU11" s="256">
        <v>48</v>
      </c>
      <c r="WV11" s="256">
        <v>48.3</v>
      </c>
      <c r="WW11" s="256">
        <v>48.3</v>
      </c>
      <c r="WX11" s="367">
        <v>44.3</v>
      </c>
      <c r="WY11" s="367">
        <v>41.3</v>
      </c>
      <c r="WZ11" s="258">
        <v>40.799999999999997</v>
      </c>
      <c r="XA11" s="256">
        <v>40.799999999999997</v>
      </c>
      <c r="XB11" s="256">
        <v>43.94</v>
      </c>
      <c r="XC11" s="256">
        <v>42.85</v>
      </c>
      <c r="XD11" s="256">
        <v>42.85</v>
      </c>
      <c r="XE11" s="256">
        <v>41.9</v>
      </c>
      <c r="XF11" s="256">
        <v>42</v>
      </c>
      <c r="XG11" s="256">
        <v>42</v>
      </c>
      <c r="XH11" s="256">
        <v>42.5</v>
      </c>
      <c r="XI11" s="256">
        <v>41.4</v>
      </c>
      <c r="XJ11" s="256">
        <v>41.1</v>
      </c>
      <c r="XK11" s="256">
        <v>41.1</v>
      </c>
      <c r="XL11" s="256">
        <v>40.6</v>
      </c>
      <c r="XM11" s="256">
        <v>41.6</v>
      </c>
      <c r="XN11" s="256">
        <v>41.6</v>
      </c>
      <c r="XO11" s="256">
        <v>41.6</v>
      </c>
      <c r="XP11" s="257">
        <v>39</v>
      </c>
      <c r="XQ11" s="257">
        <v>39</v>
      </c>
      <c r="XR11" s="257">
        <v>38.299999999999997</v>
      </c>
      <c r="XS11" s="257">
        <v>35.299999999999997</v>
      </c>
      <c r="XT11" s="257">
        <v>35.299999999999997</v>
      </c>
      <c r="XU11" s="256">
        <v>35.299999999999997</v>
      </c>
      <c r="XV11" s="257">
        <v>35.299999999999997</v>
      </c>
      <c r="XW11" s="256">
        <v>34.299999999999997</v>
      </c>
      <c r="XX11" s="258">
        <v>34.299999999999997</v>
      </c>
      <c r="XY11" s="256">
        <v>34.299999999999997</v>
      </c>
      <c r="XZ11" s="258">
        <v>35.299999999999997</v>
      </c>
      <c r="YA11" s="258">
        <v>39.299999999999997</v>
      </c>
      <c r="YB11" s="256">
        <v>35.299999999999997</v>
      </c>
      <c r="YC11" s="256">
        <v>35.299999999999997</v>
      </c>
      <c r="YD11" s="256">
        <v>35.299999999999997</v>
      </c>
      <c r="YE11" s="256">
        <v>35.299999999999997</v>
      </c>
      <c r="YF11" s="256">
        <v>35.299999999999997</v>
      </c>
      <c r="YG11" s="256">
        <v>36.299999999999997</v>
      </c>
      <c r="YH11" s="256">
        <v>37.299999999999997</v>
      </c>
      <c r="YI11" s="256">
        <v>37.299999999999997</v>
      </c>
      <c r="YJ11" s="256">
        <v>37.299999999999997</v>
      </c>
      <c r="YK11" s="256">
        <v>36.299999999999997</v>
      </c>
      <c r="YL11" s="256">
        <v>36.299999999999997</v>
      </c>
      <c r="YM11" s="256">
        <v>36.299999999999997</v>
      </c>
      <c r="YN11" s="257">
        <v>36.299999999999997</v>
      </c>
      <c r="YO11" s="257">
        <v>36.299999999999997</v>
      </c>
      <c r="YP11" s="257">
        <v>36.299999999999997</v>
      </c>
      <c r="YQ11" s="257">
        <v>36.299999999999997</v>
      </c>
      <c r="YR11" s="257">
        <v>37.299999999999997</v>
      </c>
      <c r="YS11" s="256">
        <v>37.299999999999997</v>
      </c>
      <c r="YT11" s="257">
        <v>38.299999999999997</v>
      </c>
      <c r="YU11" s="257">
        <v>42</v>
      </c>
      <c r="YV11" s="256">
        <v>44</v>
      </c>
      <c r="YW11" s="256">
        <v>44</v>
      </c>
      <c r="YX11" s="256">
        <v>44</v>
      </c>
      <c r="YY11" s="256">
        <v>44</v>
      </c>
      <c r="YZ11" s="256">
        <v>45</v>
      </c>
      <c r="ZA11" s="256">
        <v>45</v>
      </c>
      <c r="ZB11" s="256">
        <v>45</v>
      </c>
      <c r="ZC11" s="256">
        <v>49</v>
      </c>
      <c r="ZD11" s="256">
        <v>53</v>
      </c>
      <c r="ZE11" s="256">
        <v>53</v>
      </c>
      <c r="ZF11" s="256">
        <v>56</v>
      </c>
      <c r="ZG11" s="256">
        <v>56</v>
      </c>
      <c r="ZH11" s="256">
        <v>60</v>
      </c>
      <c r="ZI11" s="256">
        <v>60</v>
      </c>
      <c r="ZJ11" s="256">
        <v>55.3</v>
      </c>
      <c r="ZK11" s="257">
        <v>52.3</v>
      </c>
      <c r="ZL11" s="256">
        <v>51.3</v>
      </c>
      <c r="ZM11" s="256">
        <v>46.5</v>
      </c>
      <c r="ZN11" s="256">
        <v>46</v>
      </c>
      <c r="ZO11" s="257">
        <v>46</v>
      </c>
      <c r="ZP11" s="256">
        <v>46</v>
      </c>
      <c r="ZQ11" s="256">
        <v>46.3</v>
      </c>
      <c r="ZR11" s="256">
        <v>46.3</v>
      </c>
      <c r="ZS11" s="256">
        <v>45.8</v>
      </c>
      <c r="ZT11" s="256">
        <v>43.3</v>
      </c>
      <c r="ZU11" s="256">
        <v>44.3</v>
      </c>
      <c r="ZV11" s="256">
        <v>44.8</v>
      </c>
      <c r="ZW11" s="256">
        <v>44.8</v>
      </c>
      <c r="ZX11" s="256">
        <v>52.3</v>
      </c>
      <c r="ZY11" s="256">
        <v>52.3</v>
      </c>
      <c r="ZZ11" s="256">
        <v>49.8</v>
      </c>
      <c r="AAA11" s="256">
        <v>49.8</v>
      </c>
      <c r="AAB11" s="256">
        <v>48.3</v>
      </c>
      <c r="AAC11" s="256">
        <v>48.3</v>
      </c>
      <c r="AAD11" s="256">
        <v>52.3</v>
      </c>
      <c r="AAE11" s="256">
        <v>52.3</v>
      </c>
      <c r="AAF11" s="256">
        <v>45.3</v>
      </c>
      <c r="AAG11" s="256">
        <v>45.3</v>
      </c>
      <c r="AAH11" s="256">
        <v>53.3</v>
      </c>
      <c r="AAI11" s="256">
        <v>60.3</v>
      </c>
      <c r="AAJ11" s="256">
        <v>60.3</v>
      </c>
      <c r="AAK11" s="256">
        <v>53.3</v>
      </c>
      <c r="AAL11" s="256">
        <v>50.3</v>
      </c>
      <c r="AAM11" s="256">
        <v>50.3</v>
      </c>
      <c r="AAN11" s="256">
        <v>50.3</v>
      </c>
      <c r="AAO11" s="256">
        <v>54.3</v>
      </c>
      <c r="AAP11" s="256">
        <v>54.3</v>
      </c>
      <c r="AAQ11" s="256">
        <v>54.3</v>
      </c>
      <c r="AAR11" s="256">
        <v>60</v>
      </c>
      <c r="AAS11" s="256">
        <v>60</v>
      </c>
      <c r="AAT11" s="256">
        <v>60</v>
      </c>
      <c r="AAU11" s="256">
        <v>60</v>
      </c>
      <c r="AAV11" s="256">
        <v>59.5</v>
      </c>
      <c r="AAW11" s="256">
        <v>62</v>
      </c>
      <c r="AAX11" s="256">
        <v>61</v>
      </c>
      <c r="AAY11" s="256">
        <v>56</v>
      </c>
      <c r="AAZ11" s="256">
        <v>60.5</v>
      </c>
      <c r="ABA11" s="256">
        <v>58.5</v>
      </c>
      <c r="ABB11" s="257">
        <v>31.8</v>
      </c>
      <c r="ABC11" s="257">
        <v>31</v>
      </c>
      <c r="ABD11" s="257">
        <v>30</v>
      </c>
      <c r="ABE11" s="256">
        <v>29</v>
      </c>
      <c r="ABF11" s="256">
        <v>29</v>
      </c>
      <c r="ABG11" s="260">
        <v>27.5</v>
      </c>
      <c r="ABH11" s="260">
        <v>27.5</v>
      </c>
      <c r="ABI11" s="260"/>
      <c r="ABJ11" s="260"/>
      <c r="ABK11" s="260"/>
      <c r="ABL11" s="259"/>
      <c r="ABM11" s="260">
        <v>39</v>
      </c>
      <c r="ABN11" s="260">
        <v>41</v>
      </c>
      <c r="ABO11" s="260">
        <v>42.5</v>
      </c>
      <c r="ABP11" s="260">
        <v>42.5</v>
      </c>
      <c r="ABQ11" s="260">
        <v>41</v>
      </c>
      <c r="ABR11" s="259">
        <v>41</v>
      </c>
      <c r="ABS11" s="259">
        <v>40</v>
      </c>
      <c r="ABT11" s="259">
        <v>40</v>
      </c>
      <c r="ABU11" s="260">
        <v>39.799999999999997</v>
      </c>
      <c r="ABV11" s="260">
        <v>39.5</v>
      </c>
      <c r="ABW11" s="260">
        <v>38.700000000000003</v>
      </c>
      <c r="ABX11" s="260">
        <v>41</v>
      </c>
      <c r="ABY11" s="260">
        <v>41.8</v>
      </c>
      <c r="ABZ11" s="260">
        <v>44.8</v>
      </c>
      <c r="ACA11" s="261">
        <v>44.8</v>
      </c>
      <c r="ACB11" s="261">
        <v>43.8</v>
      </c>
      <c r="ACC11" s="261">
        <v>43.3</v>
      </c>
      <c r="ACD11" s="260">
        <v>41.3</v>
      </c>
      <c r="ACE11" s="260">
        <v>42.8</v>
      </c>
      <c r="ACF11" s="260">
        <v>41.8</v>
      </c>
      <c r="ACG11" s="260">
        <v>41.3</v>
      </c>
      <c r="ACH11" s="260">
        <v>41.8</v>
      </c>
      <c r="ACI11" s="260">
        <v>41.8</v>
      </c>
      <c r="ACJ11" s="260">
        <v>41.8</v>
      </c>
      <c r="ACK11" s="260">
        <v>40.799999999999997</v>
      </c>
      <c r="ACL11" s="260">
        <v>40.799999999999997</v>
      </c>
      <c r="ACM11" s="260">
        <v>41.3</v>
      </c>
      <c r="ACN11" s="260">
        <v>41.3</v>
      </c>
      <c r="ACO11" s="260">
        <v>41.3</v>
      </c>
      <c r="ACP11" s="260">
        <v>41.3</v>
      </c>
      <c r="ACQ11" s="260">
        <v>41.3</v>
      </c>
      <c r="ACR11" s="260">
        <v>40.299999999999997</v>
      </c>
      <c r="ACS11" s="259">
        <v>40</v>
      </c>
      <c r="ACT11" s="259">
        <v>38.299999999999997</v>
      </c>
      <c r="ACU11" s="259">
        <v>36.799999999999997</v>
      </c>
      <c r="ACV11" s="259">
        <v>35.299999999999997</v>
      </c>
      <c r="ACW11" s="259">
        <v>34.299999999999997</v>
      </c>
      <c r="ACX11" s="260">
        <v>33</v>
      </c>
      <c r="ACY11" s="259">
        <v>35.299999999999997</v>
      </c>
      <c r="ACZ11" s="260">
        <v>35.299999999999997</v>
      </c>
      <c r="ADA11" s="261">
        <v>33.299999999999997</v>
      </c>
      <c r="ADB11" s="260">
        <v>34.299999999999997</v>
      </c>
      <c r="ADC11" s="261">
        <v>36.299999999999997</v>
      </c>
      <c r="ADD11" s="261">
        <v>38.299999999999997</v>
      </c>
      <c r="ADE11" s="260">
        <v>38.299999999999997</v>
      </c>
      <c r="ADF11" s="260">
        <v>38.299999999999997</v>
      </c>
      <c r="ADG11" s="260">
        <v>38</v>
      </c>
      <c r="ADH11" s="260">
        <v>38.299999999999997</v>
      </c>
      <c r="ADI11" s="260">
        <v>38.299999999999997</v>
      </c>
      <c r="ADJ11" s="260">
        <v>38.299999999999997</v>
      </c>
      <c r="ADK11" s="260">
        <v>36.299999999999997</v>
      </c>
      <c r="ADL11" s="260">
        <v>35.299999999999997</v>
      </c>
      <c r="ADM11" s="260">
        <v>35.299999999999997</v>
      </c>
      <c r="ADN11" s="260">
        <v>35.299999999999997</v>
      </c>
      <c r="ADO11" s="260">
        <v>35.299999999999997</v>
      </c>
      <c r="ADP11" s="260">
        <v>36.299999999999997</v>
      </c>
      <c r="ADQ11" s="259">
        <v>36.299999999999997</v>
      </c>
      <c r="ADR11" s="259">
        <v>36.299999999999997</v>
      </c>
      <c r="ADS11" s="259">
        <v>32.299999999999997</v>
      </c>
      <c r="ADT11" s="259">
        <v>35.299999999999997</v>
      </c>
      <c r="ADU11" s="259">
        <v>36.299999999999997</v>
      </c>
      <c r="ADV11" s="260">
        <v>39.299999999999997</v>
      </c>
      <c r="ADW11" s="260">
        <v>42.3</v>
      </c>
      <c r="ADX11" s="260">
        <v>42.3</v>
      </c>
      <c r="ADY11" s="260">
        <v>51.3</v>
      </c>
      <c r="ADZ11" s="260">
        <v>53.3</v>
      </c>
      <c r="AEA11" s="260">
        <v>53.3</v>
      </c>
      <c r="AEB11" s="260">
        <v>51.3</v>
      </c>
      <c r="AEC11" s="260">
        <v>51.3</v>
      </c>
      <c r="AED11" s="260">
        <v>51.3</v>
      </c>
      <c r="AEE11" s="260">
        <v>44</v>
      </c>
      <c r="AEF11" s="260">
        <v>44</v>
      </c>
      <c r="AEG11" s="260">
        <v>55</v>
      </c>
      <c r="AEH11" s="260">
        <v>58</v>
      </c>
      <c r="AEI11" s="260">
        <v>58</v>
      </c>
      <c r="AEJ11" s="260">
        <v>59</v>
      </c>
      <c r="AEK11" s="260">
        <v>55</v>
      </c>
      <c r="AEL11" s="260">
        <v>55</v>
      </c>
      <c r="AEM11" s="260">
        <v>53</v>
      </c>
      <c r="AEN11" s="259">
        <v>53</v>
      </c>
      <c r="AEO11" s="260">
        <v>50</v>
      </c>
      <c r="AEP11" s="260">
        <v>48.3</v>
      </c>
      <c r="AEQ11" s="569">
        <v>43.3</v>
      </c>
      <c r="AER11" s="621"/>
      <c r="AES11" s="256"/>
      <c r="AET11" s="256"/>
      <c r="AEU11" s="256"/>
      <c r="AEV11" s="256"/>
      <c r="AEW11" s="256"/>
      <c r="AEX11" s="256"/>
      <c r="AEY11" s="256"/>
      <c r="AEZ11" s="256"/>
      <c r="AFA11" s="256"/>
      <c r="AFB11" s="256"/>
      <c r="AFC11" s="256"/>
      <c r="AFD11" s="256"/>
      <c r="AFE11" s="256"/>
      <c r="AFF11" s="256"/>
      <c r="AFG11" s="256"/>
      <c r="AFH11" s="256"/>
      <c r="AFI11" s="256"/>
      <c r="AFJ11" s="256"/>
      <c r="AFK11" s="256"/>
      <c r="AFL11" s="256"/>
      <c r="AFM11" s="256"/>
      <c r="AFN11" s="256"/>
      <c r="AFO11" s="256"/>
      <c r="AFP11" s="622"/>
      <c r="AFQ11" s="620">
        <v>44</v>
      </c>
      <c r="AFR11" s="260">
        <v>44</v>
      </c>
      <c r="AFS11" s="260">
        <v>43.8</v>
      </c>
      <c r="AFT11" s="260">
        <v>43.8</v>
      </c>
      <c r="AFU11" s="260">
        <v>43.8</v>
      </c>
      <c r="AFV11" s="260">
        <v>42.3</v>
      </c>
      <c r="AFW11" s="260">
        <v>42.3</v>
      </c>
      <c r="AFX11" s="260">
        <v>42.3</v>
      </c>
      <c r="AFY11" s="260">
        <v>43.3</v>
      </c>
      <c r="AFZ11" s="260">
        <v>43.3</v>
      </c>
      <c r="AGA11" s="260">
        <v>43.5</v>
      </c>
      <c r="AGB11" s="260">
        <v>43.8</v>
      </c>
      <c r="AGC11" s="260">
        <v>42.8</v>
      </c>
      <c r="AGD11" s="618">
        <v>43.3</v>
      </c>
      <c r="AGE11" s="260">
        <v>44.3</v>
      </c>
      <c r="AGF11" s="260">
        <v>47.8</v>
      </c>
      <c r="AGG11" s="260">
        <v>47.8</v>
      </c>
      <c r="AGH11" s="260">
        <v>48.3</v>
      </c>
      <c r="AGI11" s="260">
        <v>49.8</v>
      </c>
      <c r="AGJ11" s="260">
        <v>50.1</v>
      </c>
      <c r="AGK11" s="260">
        <v>50.1</v>
      </c>
      <c r="AGL11" s="260">
        <v>55</v>
      </c>
      <c r="AGM11" s="260">
        <v>55</v>
      </c>
      <c r="AGN11" s="260">
        <v>49.3</v>
      </c>
      <c r="AGO11" s="260">
        <v>49.3</v>
      </c>
      <c r="AGP11" s="260">
        <v>49.3</v>
      </c>
      <c r="AGQ11" s="260">
        <v>47</v>
      </c>
      <c r="AGR11" s="260">
        <v>47</v>
      </c>
      <c r="AGS11" s="260">
        <v>50</v>
      </c>
      <c r="AGT11" s="260">
        <v>55</v>
      </c>
      <c r="AGU11" s="260">
        <v>55</v>
      </c>
      <c r="AGV11" s="260">
        <v>59</v>
      </c>
      <c r="AGW11" s="260">
        <v>59</v>
      </c>
      <c r="AGX11" s="260">
        <v>59</v>
      </c>
      <c r="AGY11" s="260">
        <v>57</v>
      </c>
      <c r="AGZ11" s="260">
        <v>57</v>
      </c>
      <c r="AHA11" s="260">
        <v>57</v>
      </c>
      <c r="AHB11" s="260">
        <v>55</v>
      </c>
      <c r="AHC11" s="291">
        <v>55</v>
      </c>
      <c r="AHD11" s="608"/>
      <c r="AHE11" s="608">
        <v>46.8</v>
      </c>
      <c r="AHF11" s="608"/>
      <c r="AHG11" s="608"/>
      <c r="AHH11" s="609"/>
      <c r="AHI11" s="610"/>
      <c r="AHJ11" s="610"/>
      <c r="AHK11" s="610"/>
      <c r="AHL11" s="610"/>
      <c r="AHM11" s="610"/>
      <c r="AHN11" s="600"/>
      <c r="AHO11" s="610"/>
      <c r="AHP11" s="610"/>
      <c r="AHQ11" s="610"/>
      <c r="AHR11" s="610"/>
      <c r="AHS11" s="610"/>
      <c r="AHT11" s="600"/>
      <c r="AHU11" s="600"/>
      <c r="AHV11" s="600"/>
      <c r="AHW11" s="610"/>
      <c r="AHX11" s="610"/>
      <c r="AHY11" s="610"/>
      <c r="AHZ11" s="610"/>
      <c r="AIA11" s="610"/>
      <c r="AIB11" s="610"/>
      <c r="AIC11" s="611"/>
      <c r="AID11" s="611"/>
      <c r="AIE11" s="611"/>
      <c r="AIF11" s="610"/>
      <c r="AIG11" s="610"/>
      <c r="AIH11" s="610"/>
      <c r="AII11" s="610"/>
      <c r="AIJ11" s="610"/>
      <c r="AIK11" s="610"/>
      <c r="AIL11" s="610"/>
      <c r="AIM11" s="610"/>
      <c r="AIN11" s="610"/>
      <c r="AIO11" s="610"/>
      <c r="AIP11" s="610"/>
      <c r="AIQ11" s="610"/>
      <c r="AIR11" s="610"/>
      <c r="AIS11" s="610"/>
      <c r="AIT11" s="610"/>
      <c r="AIU11" s="610"/>
      <c r="AIV11" s="600"/>
      <c r="AIW11" s="600"/>
      <c r="AIX11" s="600"/>
      <c r="AIY11" s="600"/>
      <c r="AIZ11" s="600">
        <v>34</v>
      </c>
      <c r="AJA11" s="610">
        <v>34</v>
      </c>
      <c r="AJB11" s="600">
        <v>34</v>
      </c>
      <c r="AJC11" s="610"/>
      <c r="AJD11" s="610"/>
      <c r="AJE11" s="610"/>
      <c r="AJF11" s="610"/>
      <c r="AJG11" s="610"/>
      <c r="AJH11" s="610"/>
      <c r="AJI11" s="610">
        <v>35</v>
      </c>
      <c r="AJJ11" s="600"/>
      <c r="AJK11" s="600"/>
      <c r="AJL11" s="600"/>
      <c r="AJM11" s="600"/>
      <c r="AJN11" s="600"/>
      <c r="AJO11" s="610"/>
      <c r="AJP11" s="610"/>
      <c r="AJQ11" s="600">
        <v>49.3</v>
      </c>
      <c r="AJR11" s="610">
        <v>48.8</v>
      </c>
      <c r="AJS11" s="610">
        <v>45.8</v>
      </c>
      <c r="AJT11" s="600">
        <v>37</v>
      </c>
      <c r="AJU11" s="600">
        <v>36</v>
      </c>
      <c r="AJV11" s="600">
        <v>35.5</v>
      </c>
      <c r="AJW11" s="600">
        <v>34</v>
      </c>
      <c r="AJX11" s="600">
        <v>33</v>
      </c>
      <c r="AJY11" s="610">
        <v>33</v>
      </c>
      <c r="AJZ11" s="600">
        <v>33</v>
      </c>
      <c r="AKA11" s="610">
        <v>33</v>
      </c>
      <c r="AKB11" s="611">
        <v>34</v>
      </c>
      <c r="AKC11" s="612">
        <v>34</v>
      </c>
      <c r="AKD11" s="612">
        <v>34</v>
      </c>
      <c r="AKE11" s="612">
        <v>34</v>
      </c>
      <c r="AKF11" s="610"/>
      <c r="AKG11" s="613" t="e">
        <f>AVERAGE(EP11,JV11,PB11,ABA11,#REF!)</f>
        <v>#REF!</v>
      </c>
      <c r="AKH11" s="614"/>
      <c r="AKI11" s="591">
        <f>AVERAGE(FS11,KY11,QE11,ACA11)</f>
        <v>47</v>
      </c>
      <c r="AKJ11" s="591">
        <f>AVERAGE(AN11,KZ11,QF11,ACB11)</f>
        <v>42.65</v>
      </c>
      <c r="AKK11" s="591" t="e">
        <f>AVERAGE(#REF!,UH11,ABA11,#REF!)</f>
        <v>#REF!</v>
      </c>
      <c r="AKL11" s="591">
        <f>AVERAGE(EP11,JV11,ABA11)</f>
        <v>61</v>
      </c>
      <c r="AKM11" s="591"/>
      <c r="AKN11" s="591"/>
      <c r="AKO11" s="606">
        <f>AVERAGE(AJA11,ACX11,XU11,AKE11,LV11,BJ11)</f>
        <v>34.183333333333337</v>
      </c>
      <c r="AKP11" s="591"/>
      <c r="AKQ11" s="591"/>
      <c r="AKR11" s="591"/>
      <c r="AKS11" s="591"/>
      <c r="AKT11" s="591"/>
      <c r="AKU11" s="615" t="s">
        <v>95</v>
      </c>
      <c r="AKV11" s="615"/>
      <c r="AKW11" s="615" t="s">
        <v>107</v>
      </c>
      <c r="AKX11" s="591"/>
      <c r="AKY11" s="615"/>
      <c r="AKZ11" s="591"/>
      <c r="ALA11" s="591"/>
      <c r="ALB11" s="591"/>
      <c r="ALC11" s="591"/>
      <c r="ALD11" s="591"/>
      <c r="ALE11" s="591" t="e">
        <f>AVERAGE(EP11,JV11,PB11,UH11,ABA11,#REF!)</f>
        <v>#REF!</v>
      </c>
      <c r="ALF11" s="616" t="e">
        <f>AVERAGE(EP11,JV11,PB11,UH11,ABA11,#REF!)</f>
        <v>#REF!</v>
      </c>
      <c r="ALG11" s="592"/>
      <c r="ALH11" s="592"/>
      <c r="ALI11" s="592"/>
      <c r="ALJ11" s="592"/>
      <c r="ALK11" s="592"/>
      <c r="ALL11" s="592"/>
      <c r="ALM11" s="592"/>
      <c r="ALN11" s="592"/>
      <c r="ALO11" s="592"/>
      <c r="ALP11" s="592"/>
      <c r="ALQ11" s="592"/>
      <c r="ALR11" s="592"/>
      <c r="ALS11" s="592"/>
      <c r="ALT11" s="592"/>
      <c r="ALU11" s="584">
        <v>57.5</v>
      </c>
      <c r="ALV11" s="260">
        <v>57.5</v>
      </c>
      <c r="ALW11" s="260">
        <v>53.5</v>
      </c>
      <c r="ALX11" s="260">
        <v>56</v>
      </c>
      <c r="ALY11" s="260">
        <v>54.3</v>
      </c>
      <c r="ALZ11" s="260">
        <v>54.3</v>
      </c>
      <c r="AMA11" s="260">
        <v>61</v>
      </c>
      <c r="AMB11" s="260">
        <v>63.5</v>
      </c>
      <c r="AMC11" s="260">
        <v>66.5</v>
      </c>
      <c r="AMD11" s="260">
        <v>68.599999999999994</v>
      </c>
      <c r="AME11" s="260">
        <v>65</v>
      </c>
      <c r="AMF11" s="260">
        <v>63.5</v>
      </c>
      <c r="AMG11" s="260">
        <v>64.5</v>
      </c>
      <c r="AMH11" s="260">
        <v>62</v>
      </c>
      <c r="AMI11" s="260">
        <v>62</v>
      </c>
      <c r="AMJ11" s="291">
        <v>62</v>
      </c>
      <c r="AMK11" s="577">
        <v>51.1</v>
      </c>
      <c r="AML11" s="270"/>
      <c r="AMM11" s="573"/>
      <c r="AMO11" s="233">
        <f>AVERAGE(AHC11,ABA11,UH11,PB11,JV11,EP11)</f>
        <v>59.879999999999995</v>
      </c>
    </row>
    <row r="12" spans="1:1029" ht="29.1" hidden="1" customHeight="1" x14ac:dyDescent="0.3">
      <c r="A12" s="417" t="s">
        <v>13</v>
      </c>
      <c r="B12" s="371" t="s">
        <v>56</v>
      </c>
      <c r="C12" s="372" t="s">
        <v>3</v>
      </c>
      <c r="D12" s="372">
        <v>600</v>
      </c>
      <c r="E12" s="25" t="s">
        <v>8</v>
      </c>
      <c r="F12" s="27">
        <v>30.4</v>
      </c>
      <c r="G12" s="118">
        <f t="shared" si="1"/>
        <v>30.7</v>
      </c>
      <c r="H12" s="159"/>
      <c r="I12" s="222"/>
      <c r="J12" s="216"/>
      <c r="K12" s="287"/>
      <c r="L12" s="46">
        <v>28</v>
      </c>
      <c r="M12" s="47">
        <v>31</v>
      </c>
      <c r="N12" s="48">
        <v>36</v>
      </c>
      <c r="O12" s="48">
        <v>35</v>
      </c>
      <c r="P12" s="48">
        <v>32</v>
      </c>
      <c r="Q12" s="48">
        <v>33.5</v>
      </c>
      <c r="R12" s="16">
        <v>33.5</v>
      </c>
      <c r="S12" s="16">
        <v>36</v>
      </c>
      <c r="T12" s="16">
        <v>44.8</v>
      </c>
      <c r="U12" s="16">
        <v>47</v>
      </c>
      <c r="V12" s="16">
        <v>47</v>
      </c>
      <c r="W12" s="16">
        <v>49</v>
      </c>
      <c r="X12" s="48">
        <v>42</v>
      </c>
      <c r="Y12" s="16">
        <v>47</v>
      </c>
      <c r="Z12" s="16">
        <v>42.5</v>
      </c>
      <c r="AA12" s="16">
        <v>45</v>
      </c>
      <c r="AB12" s="16">
        <v>46</v>
      </c>
      <c r="AC12" s="16">
        <v>48</v>
      </c>
      <c r="AD12" s="48"/>
      <c r="AE12" s="48"/>
      <c r="AF12" s="48">
        <v>47</v>
      </c>
      <c r="AG12" s="16">
        <v>47</v>
      </c>
      <c r="AH12" s="16">
        <v>44.5</v>
      </c>
      <c r="AI12" s="16">
        <v>44</v>
      </c>
      <c r="AJ12" s="16">
        <v>45</v>
      </c>
      <c r="AK12" s="16">
        <v>47.5</v>
      </c>
      <c r="AL12" s="16">
        <v>47.5</v>
      </c>
      <c r="AM12" s="170">
        <v>52</v>
      </c>
      <c r="AN12" s="170">
        <v>45.5</v>
      </c>
      <c r="AO12" s="170">
        <v>44.5</v>
      </c>
      <c r="AP12" s="16">
        <v>44.5</v>
      </c>
      <c r="AQ12" s="16">
        <v>44.5</v>
      </c>
      <c r="AR12" s="16">
        <v>44.5</v>
      </c>
      <c r="AS12" s="16">
        <v>44.5</v>
      </c>
      <c r="AT12" s="16">
        <v>44.5</v>
      </c>
      <c r="AU12" s="16">
        <v>44.5</v>
      </c>
      <c r="AV12" s="16">
        <v>44.5</v>
      </c>
      <c r="AW12" s="16">
        <v>44.5</v>
      </c>
      <c r="AX12" s="16">
        <v>44.5</v>
      </c>
      <c r="AY12" s="16">
        <v>44.5</v>
      </c>
      <c r="AZ12" s="16">
        <v>44.5</v>
      </c>
      <c r="BA12" s="16">
        <v>44.5</v>
      </c>
      <c r="BB12" s="16">
        <v>44.5</v>
      </c>
      <c r="BC12" s="16">
        <v>44.5</v>
      </c>
      <c r="BD12" s="16">
        <v>44.5</v>
      </c>
      <c r="BE12" s="253">
        <v>44.5</v>
      </c>
      <c r="BF12" s="253">
        <v>44.5</v>
      </c>
      <c r="BG12" s="253">
        <v>44.5</v>
      </c>
      <c r="BH12" s="253">
        <v>44.5</v>
      </c>
      <c r="BI12" s="253">
        <v>44.5</v>
      </c>
      <c r="BJ12" s="237">
        <v>44.5</v>
      </c>
      <c r="BK12" s="253">
        <v>44.5</v>
      </c>
      <c r="BL12" s="253">
        <v>44.5</v>
      </c>
      <c r="BM12" s="253">
        <v>44.5</v>
      </c>
      <c r="BN12" s="255">
        <v>44.5</v>
      </c>
      <c r="BO12" s="255">
        <v>44.5</v>
      </c>
      <c r="BP12" s="255">
        <v>44.5</v>
      </c>
      <c r="BQ12" s="237">
        <v>44.5</v>
      </c>
      <c r="BR12" s="237">
        <v>44.5</v>
      </c>
      <c r="BS12" s="237">
        <v>44.5</v>
      </c>
      <c r="BT12" s="237">
        <v>44.5</v>
      </c>
      <c r="BU12" s="237">
        <v>44.5</v>
      </c>
      <c r="BV12" s="237">
        <v>44.5</v>
      </c>
      <c r="BW12" s="237">
        <v>44.5</v>
      </c>
      <c r="BX12" s="237">
        <v>44.5</v>
      </c>
      <c r="BY12" s="237">
        <v>44.5</v>
      </c>
      <c r="BZ12" s="237">
        <v>44.5</v>
      </c>
      <c r="CA12" s="237">
        <v>44.5</v>
      </c>
      <c r="CB12" s="237">
        <v>44.5</v>
      </c>
      <c r="CC12" s="253">
        <v>44.5</v>
      </c>
      <c r="CD12" s="253">
        <v>44.5</v>
      </c>
      <c r="CE12" s="253">
        <v>44.5</v>
      </c>
      <c r="CF12" s="253">
        <v>44.5</v>
      </c>
      <c r="CG12" s="253">
        <v>44.5</v>
      </c>
      <c r="CH12" s="237">
        <v>44.5</v>
      </c>
      <c r="CI12" s="253">
        <v>44.5</v>
      </c>
      <c r="CJ12" s="253">
        <v>44.5</v>
      </c>
      <c r="CK12" s="237">
        <v>44.5</v>
      </c>
      <c r="CL12" s="237">
        <v>44.5</v>
      </c>
      <c r="CM12" s="237">
        <v>44.5</v>
      </c>
      <c r="CN12" s="237">
        <v>44.5</v>
      </c>
      <c r="CO12" s="237">
        <v>44.5</v>
      </c>
      <c r="CP12" s="237">
        <v>44.5</v>
      </c>
      <c r="CQ12" s="237">
        <v>44.5</v>
      </c>
      <c r="CR12" s="237">
        <v>44.5</v>
      </c>
      <c r="CS12" s="237">
        <v>44.5</v>
      </c>
      <c r="CT12" s="237">
        <v>44.5</v>
      </c>
      <c r="CU12" s="237">
        <v>44.5</v>
      </c>
      <c r="CV12" s="237">
        <v>44.5</v>
      </c>
      <c r="CW12" s="237">
        <v>44.5</v>
      </c>
      <c r="CX12" s="237">
        <v>44.5</v>
      </c>
      <c r="CY12" s="237">
        <v>44.5</v>
      </c>
      <c r="CZ12" s="253">
        <v>44.5</v>
      </c>
      <c r="DA12" s="237">
        <v>44.5</v>
      </c>
      <c r="DB12" s="237">
        <v>44.5</v>
      </c>
      <c r="DC12" s="237">
        <v>44.5</v>
      </c>
      <c r="DD12" s="237">
        <v>44.5</v>
      </c>
      <c r="DE12" s="237">
        <v>44.5</v>
      </c>
      <c r="DF12" s="237">
        <v>44.5</v>
      </c>
      <c r="DG12" s="237">
        <v>44.5</v>
      </c>
      <c r="DH12" s="237">
        <v>44.5</v>
      </c>
      <c r="DI12" s="237"/>
      <c r="DJ12" s="237"/>
      <c r="DK12" s="237"/>
      <c r="DL12" s="237"/>
      <c r="DM12" s="237"/>
      <c r="DN12" s="237"/>
      <c r="DO12" s="237"/>
      <c r="DP12" s="237"/>
      <c r="DQ12" s="237"/>
      <c r="DR12" s="237"/>
      <c r="DS12" s="237"/>
      <c r="DT12" s="237"/>
      <c r="DU12" s="237"/>
      <c r="DV12" s="237"/>
      <c r="DW12" s="237"/>
      <c r="DX12" s="237"/>
      <c r="DY12" s="237"/>
      <c r="DZ12" s="237"/>
      <c r="EA12" s="237"/>
      <c r="EB12" s="237"/>
      <c r="EC12" s="237"/>
      <c r="ED12" s="237"/>
      <c r="EE12" s="237"/>
      <c r="EF12" s="237"/>
      <c r="EG12" s="237"/>
      <c r="EH12" s="237"/>
      <c r="EI12" s="237"/>
      <c r="EJ12" s="237"/>
      <c r="EK12" s="237"/>
      <c r="EL12" s="237"/>
      <c r="EM12" s="237"/>
      <c r="EN12" s="237"/>
      <c r="EO12" s="237"/>
      <c r="EP12" s="237"/>
      <c r="EQ12" s="54"/>
      <c r="ER12" s="54">
        <v>38</v>
      </c>
      <c r="ES12" s="54">
        <v>40</v>
      </c>
      <c r="ET12" s="54">
        <v>40</v>
      </c>
      <c r="EU12" s="54">
        <v>40</v>
      </c>
      <c r="EV12" s="54">
        <v>32</v>
      </c>
      <c r="EW12" s="55">
        <v>32</v>
      </c>
      <c r="EX12" s="55">
        <v>32</v>
      </c>
      <c r="EY12" s="55">
        <v>37</v>
      </c>
      <c r="EZ12" s="55">
        <v>45</v>
      </c>
      <c r="FA12" s="55">
        <v>57</v>
      </c>
      <c r="FB12" s="55">
        <v>54</v>
      </c>
      <c r="FC12" s="55">
        <v>51</v>
      </c>
      <c r="FD12" s="54">
        <v>54.5</v>
      </c>
      <c r="FE12" s="55">
        <v>53</v>
      </c>
      <c r="FF12" s="55">
        <v>57</v>
      </c>
      <c r="FG12" s="55">
        <v>54</v>
      </c>
      <c r="FH12" s="55">
        <v>54</v>
      </c>
      <c r="FI12" s="55">
        <v>52.5</v>
      </c>
      <c r="FJ12" s="54">
        <v>52.5</v>
      </c>
      <c r="FK12" s="54">
        <v>57.5</v>
      </c>
      <c r="FL12" s="54">
        <v>57.5</v>
      </c>
      <c r="FM12" s="55">
        <v>57.5</v>
      </c>
      <c r="FN12" s="55">
        <v>52</v>
      </c>
      <c r="FO12" s="55">
        <v>53</v>
      </c>
      <c r="FP12" s="55">
        <v>53</v>
      </c>
      <c r="FQ12" s="55">
        <v>55.5</v>
      </c>
      <c r="FR12" s="55">
        <v>55.5</v>
      </c>
      <c r="FS12" s="252">
        <v>54.5</v>
      </c>
      <c r="FT12" s="252">
        <v>51.5</v>
      </c>
      <c r="FU12" s="252">
        <v>48.5</v>
      </c>
      <c r="FV12" s="55">
        <v>48.5</v>
      </c>
      <c r="FW12" s="55">
        <v>48.5</v>
      </c>
      <c r="FX12" s="55">
        <v>48.5</v>
      </c>
      <c r="FY12" s="55">
        <v>48.5</v>
      </c>
      <c r="FZ12" s="55">
        <v>48.5</v>
      </c>
      <c r="GA12" s="55">
        <v>48.5</v>
      </c>
      <c r="GB12" s="55">
        <v>48.5</v>
      </c>
      <c r="GC12" s="55">
        <v>48.5</v>
      </c>
      <c r="GD12" s="55">
        <v>48.5</v>
      </c>
      <c r="GE12" s="55">
        <v>48.5</v>
      </c>
      <c r="GF12" s="55">
        <v>48.5</v>
      </c>
      <c r="GG12" s="55">
        <v>48.5</v>
      </c>
      <c r="GH12" s="55">
        <v>48.5</v>
      </c>
      <c r="GI12" s="55">
        <v>48.5</v>
      </c>
      <c r="GJ12" s="55">
        <v>48.5</v>
      </c>
      <c r="GK12" s="54">
        <v>48.5</v>
      </c>
      <c r="GL12" s="54">
        <v>48.5</v>
      </c>
      <c r="GM12" s="54">
        <v>48.5</v>
      </c>
      <c r="GN12" s="54">
        <v>48.5</v>
      </c>
      <c r="GO12" s="54">
        <v>48.5</v>
      </c>
      <c r="GP12" s="55">
        <v>48.5</v>
      </c>
      <c r="GQ12" s="54">
        <v>48.5</v>
      </c>
      <c r="GR12" s="54">
        <v>48.5</v>
      </c>
      <c r="GS12" s="54">
        <v>48.5</v>
      </c>
      <c r="GT12" s="252">
        <v>48.5</v>
      </c>
      <c r="GU12" s="252">
        <v>48.5</v>
      </c>
      <c r="GV12" s="252">
        <v>48.5</v>
      </c>
      <c r="GW12" s="55">
        <v>48.5</v>
      </c>
      <c r="GX12" s="55">
        <v>48.5</v>
      </c>
      <c r="GY12" s="55">
        <v>48.5</v>
      </c>
      <c r="GZ12" s="55">
        <v>48.5</v>
      </c>
      <c r="HA12" s="55">
        <v>48.5</v>
      </c>
      <c r="HB12" s="55">
        <v>48.5</v>
      </c>
      <c r="HC12" s="55">
        <v>48.5</v>
      </c>
      <c r="HD12" s="55">
        <v>48.5</v>
      </c>
      <c r="HE12" s="55">
        <v>48.5</v>
      </c>
      <c r="HF12" s="55">
        <v>48.5</v>
      </c>
      <c r="HG12" s="55">
        <v>48.5</v>
      </c>
      <c r="HH12" s="55">
        <v>48.5</v>
      </c>
      <c r="HI12" s="54">
        <v>48.5</v>
      </c>
      <c r="HJ12" s="54">
        <v>48.5</v>
      </c>
      <c r="HK12" s="54">
        <v>48.5</v>
      </c>
      <c r="HL12" s="54">
        <v>48.5</v>
      </c>
      <c r="HM12" s="54">
        <v>48.5</v>
      </c>
      <c r="HN12" s="55">
        <v>48.5</v>
      </c>
      <c r="HO12" s="54">
        <v>48.5</v>
      </c>
      <c r="HP12" s="54">
        <v>48.5</v>
      </c>
      <c r="HQ12" s="55">
        <v>48.5</v>
      </c>
      <c r="HR12" s="55">
        <v>48.5</v>
      </c>
      <c r="HS12" s="55">
        <v>48.5</v>
      </c>
      <c r="HT12" s="55">
        <v>48.5</v>
      </c>
      <c r="HU12" s="55">
        <v>48.5</v>
      </c>
      <c r="HV12" s="55">
        <v>48.5</v>
      </c>
      <c r="HW12" s="55">
        <v>48.5</v>
      </c>
      <c r="HX12" s="55">
        <v>48.5</v>
      </c>
      <c r="HY12" s="55">
        <v>48.5</v>
      </c>
      <c r="HZ12" s="55">
        <v>48.5</v>
      </c>
      <c r="IA12" s="55">
        <v>48.5</v>
      </c>
      <c r="IB12" s="55">
        <v>48.5</v>
      </c>
      <c r="IC12" s="55">
        <v>48.5</v>
      </c>
      <c r="ID12" s="55">
        <v>48.5</v>
      </c>
      <c r="IE12" s="55">
        <v>48.5</v>
      </c>
      <c r="IF12" s="54">
        <v>48.5</v>
      </c>
      <c r="IG12" s="55">
        <v>48.5</v>
      </c>
      <c r="IH12" s="55">
        <v>48.5</v>
      </c>
      <c r="II12" s="55">
        <v>48.5</v>
      </c>
      <c r="IJ12" s="55">
        <v>48.5</v>
      </c>
      <c r="IK12" s="55">
        <v>48.5</v>
      </c>
      <c r="IL12" s="55">
        <v>48.5</v>
      </c>
      <c r="IM12" s="55">
        <v>48.5</v>
      </c>
      <c r="IN12" s="55">
        <v>48.5</v>
      </c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>
        <v>48.5</v>
      </c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>
        <v>48.5</v>
      </c>
      <c r="JW12" s="54">
        <v>21.5</v>
      </c>
      <c r="JX12" s="54">
        <v>31.3</v>
      </c>
      <c r="JY12" s="54">
        <v>33</v>
      </c>
      <c r="JZ12" s="253">
        <v>32.5</v>
      </c>
      <c r="KA12" s="254">
        <v>31.7</v>
      </c>
      <c r="KB12" s="253">
        <v>31.7</v>
      </c>
      <c r="KC12" s="253">
        <v>31.7</v>
      </c>
      <c r="KD12" s="263">
        <v>31.7</v>
      </c>
      <c r="KE12" s="237">
        <v>31.7</v>
      </c>
      <c r="KF12" s="237">
        <v>45</v>
      </c>
      <c r="KG12" s="237">
        <v>41</v>
      </c>
      <c r="KH12" s="237">
        <v>43</v>
      </c>
      <c r="KI12" s="237">
        <v>46</v>
      </c>
      <c r="KJ12" s="253">
        <v>46</v>
      </c>
      <c r="KK12" s="237">
        <v>42</v>
      </c>
      <c r="KL12" s="237">
        <v>42</v>
      </c>
      <c r="KM12" s="237">
        <v>44</v>
      </c>
      <c r="KN12" s="237">
        <v>47</v>
      </c>
      <c r="KO12" s="237">
        <v>46</v>
      </c>
      <c r="KP12" s="253">
        <v>46</v>
      </c>
      <c r="KQ12" s="253">
        <v>46</v>
      </c>
      <c r="KR12" s="253">
        <v>46</v>
      </c>
      <c r="KS12" s="237">
        <v>46</v>
      </c>
      <c r="KT12" s="237">
        <v>46</v>
      </c>
      <c r="KU12" s="237">
        <v>44</v>
      </c>
      <c r="KV12" s="237">
        <v>48</v>
      </c>
      <c r="KW12" s="237">
        <v>48.3</v>
      </c>
      <c r="KX12" s="237">
        <v>50.3</v>
      </c>
      <c r="KY12" s="255">
        <v>50.3</v>
      </c>
      <c r="KZ12" s="255">
        <v>46.3</v>
      </c>
      <c r="LA12" s="255">
        <v>46.3</v>
      </c>
      <c r="LB12" s="237">
        <v>46.3</v>
      </c>
      <c r="LC12" s="237">
        <v>46.3</v>
      </c>
      <c r="LD12" s="237">
        <v>46.3</v>
      </c>
      <c r="LE12" s="237">
        <v>46.3</v>
      </c>
      <c r="LF12" s="237">
        <v>46.3</v>
      </c>
      <c r="LG12" s="237">
        <v>46.3</v>
      </c>
      <c r="LH12" s="237">
        <v>46.3</v>
      </c>
      <c r="LI12" s="237">
        <v>46.3</v>
      </c>
      <c r="LJ12" s="237">
        <v>46.3</v>
      </c>
      <c r="LK12" s="237">
        <v>46.3</v>
      </c>
      <c r="LL12" s="237">
        <v>46.3</v>
      </c>
      <c r="LM12" s="237">
        <v>46.3</v>
      </c>
      <c r="LN12" s="237">
        <v>46.3</v>
      </c>
      <c r="LO12" s="237">
        <v>46.3</v>
      </c>
      <c r="LP12" s="237">
        <v>46.3</v>
      </c>
      <c r="LQ12" s="253">
        <v>46.3</v>
      </c>
      <c r="LR12" s="253">
        <v>46.3</v>
      </c>
      <c r="LS12" s="253">
        <v>46.3</v>
      </c>
      <c r="LT12" s="253">
        <v>46.3</v>
      </c>
      <c r="LU12" s="253">
        <v>46.3</v>
      </c>
      <c r="LV12" s="237">
        <v>46.3</v>
      </c>
      <c r="LW12" s="253">
        <v>46.3</v>
      </c>
      <c r="LX12" s="253">
        <v>46.3</v>
      </c>
      <c r="LY12" s="253">
        <v>46.3</v>
      </c>
      <c r="LZ12" s="237">
        <v>46.3</v>
      </c>
      <c r="MA12" s="255">
        <v>46.3</v>
      </c>
      <c r="MB12" s="255">
        <v>46.3</v>
      </c>
      <c r="MC12" s="237">
        <v>46.3</v>
      </c>
      <c r="MD12" s="237">
        <v>46.3</v>
      </c>
      <c r="ME12" s="237">
        <v>46.3</v>
      </c>
      <c r="MF12" s="237">
        <v>46.3</v>
      </c>
      <c r="MG12" s="237">
        <v>46.3</v>
      </c>
      <c r="MH12" s="237">
        <v>46.3</v>
      </c>
      <c r="MI12" s="237">
        <v>46.3</v>
      </c>
      <c r="MJ12" s="237">
        <v>46.3</v>
      </c>
      <c r="MK12" s="237">
        <v>46.3</v>
      </c>
      <c r="ML12" s="237">
        <v>46.3</v>
      </c>
      <c r="MM12" s="237">
        <v>46.3</v>
      </c>
      <c r="MN12" s="237">
        <v>46.3</v>
      </c>
      <c r="MO12" s="253">
        <v>46.3</v>
      </c>
      <c r="MP12" s="253">
        <v>46.3</v>
      </c>
      <c r="MQ12" s="253">
        <v>46.3</v>
      </c>
      <c r="MR12" s="253">
        <v>46.3</v>
      </c>
      <c r="MS12" s="253">
        <v>46.3</v>
      </c>
      <c r="MT12" s="237">
        <v>46.3</v>
      </c>
      <c r="MU12" s="253">
        <v>46.3</v>
      </c>
      <c r="MV12" s="253">
        <v>46.3</v>
      </c>
      <c r="MW12" s="237">
        <v>46.3</v>
      </c>
      <c r="MX12" s="237">
        <v>46.3</v>
      </c>
      <c r="MY12" s="237">
        <v>46.3</v>
      </c>
      <c r="MZ12" s="237">
        <v>46.3</v>
      </c>
      <c r="NA12" s="237">
        <v>46.3</v>
      </c>
      <c r="NB12" s="237">
        <v>46.3</v>
      </c>
      <c r="NC12" s="237">
        <v>46.3</v>
      </c>
      <c r="ND12" s="237">
        <v>46.3</v>
      </c>
      <c r="NE12" s="237">
        <v>46.3</v>
      </c>
      <c r="NF12" s="237">
        <v>46.3</v>
      </c>
      <c r="NG12" s="237">
        <v>46.3</v>
      </c>
      <c r="NH12" s="237">
        <v>46.3</v>
      </c>
      <c r="NI12" s="237">
        <v>46.3</v>
      </c>
      <c r="NJ12" s="237">
        <v>46.3</v>
      </c>
      <c r="NK12" s="237">
        <v>46.3</v>
      </c>
      <c r="NL12" s="253">
        <v>46.3</v>
      </c>
      <c r="NM12" s="237">
        <v>46.3</v>
      </c>
      <c r="NN12" s="237">
        <v>46.3</v>
      </c>
      <c r="NO12" s="237">
        <v>46.3</v>
      </c>
      <c r="NP12" s="237">
        <v>46.3</v>
      </c>
      <c r="NQ12" s="237">
        <v>46.3</v>
      </c>
      <c r="NR12" s="237">
        <v>46.3</v>
      </c>
      <c r="NS12" s="237">
        <v>46.3</v>
      </c>
      <c r="NT12" s="237">
        <v>46.3</v>
      </c>
      <c r="NU12" s="237"/>
      <c r="NV12" s="237"/>
      <c r="NW12" s="237"/>
      <c r="NX12" s="237"/>
      <c r="NY12" s="237"/>
      <c r="NZ12" s="237"/>
      <c r="OA12" s="237"/>
      <c r="OB12" s="237"/>
      <c r="OC12" s="237"/>
      <c r="OD12" s="237"/>
      <c r="OE12" s="237"/>
      <c r="OF12" s="237"/>
      <c r="OG12" s="237"/>
      <c r="OH12" s="237"/>
      <c r="OI12" s="237"/>
      <c r="OJ12" s="237"/>
      <c r="OK12" s="237"/>
      <c r="OL12" s="237"/>
      <c r="OM12" s="237"/>
      <c r="ON12" s="237">
        <v>46.3</v>
      </c>
      <c r="OO12" s="237"/>
      <c r="OP12" s="237"/>
      <c r="OQ12" s="237"/>
      <c r="OR12" s="237"/>
      <c r="OS12" s="237"/>
      <c r="OT12" s="237"/>
      <c r="OU12" s="237"/>
      <c r="OV12" s="237"/>
      <c r="OW12" s="237"/>
      <c r="OX12" s="237"/>
      <c r="OY12" s="237"/>
      <c r="OZ12" s="237"/>
      <c r="PA12" s="237"/>
      <c r="PB12" s="237">
        <v>46.3</v>
      </c>
      <c r="PC12" s="54">
        <v>24.3</v>
      </c>
      <c r="PD12" s="54">
        <v>34.1</v>
      </c>
      <c r="PE12" s="54">
        <v>40.700000000000003</v>
      </c>
      <c r="PF12" s="254">
        <v>32</v>
      </c>
      <c r="PG12" s="253">
        <v>35.5</v>
      </c>
      <c r="PH12" s="253">
        <v>34.6</v>
      </c>
      <c r="PI12" s="237">
        <v>33.700000000000003</v>
      </c>
      <c r="PJ12" s="237">
        <v>32</v>
      </c>
      <c r="PK12" s="237">
        <v>38</v>
      </c>
      <c r="PL12" s="237">
        <v>42.1</v>
      </c>
      <c r="PM12" s="237"/>
      <c r="PN12" s="237"/>
      <c r="PO12" s="237"/>
      <c r="PP12" s="237"/>
      <c r="PQ12" s="237"/>
      <c r="PR12" s="237">
        <v>48.7</v>
      </c>
      <c r="PS12" s="237">
        <v>48.7</v>
      </c>
      <c r="PT12" s="237">
        <v>47.8</v>
      </c>
      <c r="PU12" s="237">
        <v>46.9</v>
      </c>
      <c r="PV12" s="253">
        <v>46.9</v>
      </c>
      <c r="PW12" s="253">
        <v>46.9</v>
      </c>
      <c r="PX12" s="253">
        <v>45.6</v>
      </c>
      <c r="PY12" s="237">
        <v>45.6</v>
      </c>
      <c r="PZ12" s="237">
        <v>45.6</v>
      </c>
      <c r="QA12" s="237">
        <v>46.5</v>
      </c>
      <c r="QB12" s="237">
        <v>46.5</v>
      </c>
      <c r="QC12" s="237">
        <v>51</v>
      </c>
      <c r="QD12" s="237">
        <v>51</v>
      </c>
      <c r="QE12" s="255">
        <v>50.1</v>
      </c>
      <c r="QF12" s="255">
        <v>44.7</v>
      </c>
      <c r="QG12" s="255">
        <v>44.7</v>
      </c>
      <c r="QH12" s="237">
        <v>44.7</v>
      </c>
      <c r="QI12" s="237">
        <v>44.7</v>
      </c>
      <c r="QJ12" s="237">
        <v>44.7</v>
      </c>
      <c r="QK12" s="237">
        <v>44.7</v>
      </c>
      <c r="QL12" s="237">
        <v>44.7</v>
      </c>
      <c r="QM12" s="237">
        <v>44.7</v>
      </c>
      <c r="QN12" s="237">
        <v>44.7</v>
      </c>
      <c r="QO12" s="237">
        <v>44.7</v>
      </c>
      <c r="QP12" s="237">
        <v>44.7</v>
      </c>
      <c r="QQ12" s="237">
        <v>44.7</v>
      </c>
      <c r="QR12" s="237">
        <v>44.7</v>
      </c>
      <c r="QS12" s="237">
        <v>44.7</v>
      </c>
      <c r="QT12" s="237">
        <v>44.7</v>
      </c>
      <c r="QU12" s="237">
        <v>44.7</v>
      </c>
      <c r="QV12" s="237">
        <v>44.7</v>
      </c>
      <c r="QW12" s="253">
        <v>44.7</v>
      </c>
      <c r="QX12" s="253">
        <v>44.7</v>
      </c>
      <c r="QY12" s="253">
        <v>44.7</v>
      </c>
      <c r="QZ12" s="253">
        <v>44.7</v>
      </c>
      <c r="RA12" s="253">
        <v>44.7</v>
      </c>
      <c r="RB12" s="318">
        <v>44.7</v>
      </c>
      <c r="RC12" s="337">
        <v>44.7</v>
      </c>
      <c r="RD12" s="337">
        <v>44.7</v>
      </c>
      <c r="RE12" s="337">
        <v>44.7</v>
      </c>
      <c r="RF12" s="318">
        <v>44.7</v>
      </c>
      <c r="RG12" s="378">
        <v>44.7</v>
      </c>
      <c r="RH12" s="378">
        <v>44.7</v>
      </c>
      <c r="RI12" s="318">
        <v>44.7</v>
      </c>
      <c r="RJ12" s="318">
        <v>44.7</v>
      </c>
      <c r="RK12" s="318">
        <v>44.7</v>
      </c>
      <c r="RL12" s="318">
        <v>44.7</v>
      </c>
      <c r="RM12" s="318">
        <v>44.7</v>
      </c>
      <c r="RN12" s="318"/>
      <c r="RO12" s="318"/>
      <c r="RP12" s="318"/>
      <c r="RQ12" s="318"/>
      <c r="RR12" s="318"/>
      <c r="RS12" s="318"/>
      <c r="RT12" s="318"/>
      <c r="RU12" s="337"/>
      <c r="RV12" s="337"/>
      <c r="RW12" s="337"/>
      <c r="RX12" s="337"/>
      <c r="RY12" s="337"/>
      <c r="RZ12" s="318"/>
      <c r="SA12" s="337"/>
      <c r="SB12" s="337"/>
      <c r="SC12" s="318"/>
      <c r="SD12" s="318"/>
      <c r="SE12" s="318"/>
      <c r="SF12" s="318"/>
      <c r="SG12" s="318"/>
      <c r="SH12" s="318"/>
      <c r="SI12" s="318"/>
      <c r="SJ12" s="318"/>
      <c r="SK12" s="318"/>
      <c r="SL12" s="318"/>
      <c r="SM12" s="318"/>
      <c r="SN12" s="318"/>
      <c r="SO12" s="318"/>
      <c r="SP12" s="318"/>
      <c r="SQ12" s="318"/>
      <c r="SR12" s="337"/>
      <c r="SS12" s="318"/>
      <c r="ST12" s="318"/>
      <c r="SU12" s="318"/>
      <c r="SV12" s="318"/>
      <c r="SW12" s="318"/>
      <c r="SX12" s="318"/>
      <c r="SY12" s="318"/>
      <c r="SZ12" s="318"/>
      <c r="TA12" s="318"/>
      <c r="TB12" s="318"/>
      <c r="TC12" s="318"/>
      <c r="TD12" s="318"/>
      <c r="TE12" s="318"/>
      <c r="TF12" s="318"/>
      <c r="TG12" s="318"/>
      <c r="TH12" s="318"/>
      <c r="TI12" s="318"/>
      <c r="TJ12" s="318"/>
      <c r="TK12" s="318"/>
      <c r="TL12" s="318"/>
      <c r="TM12" s="318"/>
      <c r="TN12" s="318"/>
      <c r="TO12" s="318"/>
      <c r="TP12" s="318"/>
      <c r="TQ12" s="318"/>
      <c r="TR12" s="318"/>
      <c r="TS12" s="318"/>
      <c r="TT12" s="318"/>
      <c r="TU12" s="318"/>
      <c r="TV12" s="318"/>
      <c r="TW12" s="318"/>
      <c r="TX12" s="318"/>
      <c r="TY12" s="318"/>
      <c r="TZ12" s="318"/>
      <c r="UA12" s="318"/>
      <c r="UB12" s="318"/>
      <c r="UC12" s="318"/>
      <c r="UD12" s="318"/>
      <c r="UE12" s="318"/>
      <c r="UF12" s="318"/>
      <c r="UG12" s="318"/>
      <c r="UH12" s="318"/>
      <c r="UI12" s="54"/>
      <c r="UJ12" s="54"/>
      <c r="UK12" s="54"/>
      <c r="UL12" s="54"/>
      <c r="UM12" s="55"/>
      <c r="UN12" s="55"/>
      <c r="UO12" s="55"/>
      <c r="UP12" s="55"/>
      <c r="UQ12" s="54"/>
      <c r="UR12" s="55"/>
      <c r="US12" s="55"/>
      <c r="UT12" s="55"/>
      <c r="UU12" s="55"/>
      <c r="UV12" s="55"/>
      <c r="UW12" s="55"/>
      <c r="UX12" s="54"/>
      <c r="UY12" s="55"/>
      <c r="UZ12" s="54"/>
      <c r="VA12" s="55"/>
      <c r="VB12" s="54"/>
      <c r="VC12" s="54"/>
      <c r="VD12" s="55"/>
      <c r="VE12" s="55"/>
      <c r="VF12" s="54"/>
      <c r="VG12" s="54"/>
      <c r="VH12" s="55"/>
      <c r="VI12" s="55"/>
      <c r="VJ12" s="55"/>
      <c r="VK12" s="55"/>
      <c r="VL12" s="54"/>
      <c r="VM12" s="54"/>
      <c r="VN12" s="54"/>
      <c r="VO12" s="54"/>
      <c r="VP12" s="55"/>
      <c r="VQ12" s="54"/>
      <c r="VR12" s="55"/>
      <c r="VS12" s="55"/>
      <c r="VT12" s="55"/>
      <c r="VU12" s="55"/>
      <c r="VV12" s="54"/>
      <c r="VW12" s="54"/>
      <c r="VX12" s="54"/>
      <c r="VY12" s="54">
        <v>33</v>
      </c>
      <c r="VZ12" s="54">
        <v>33</v>
      </c>
      <c r="WA12" s="54">
        <v>32.5</v>
      </c>
      <c r="WB12" s="55">
        <v>32</v>
      </c>
      <c r="WC12" s="55">
        <v>32</v>
      </c>
      <c r="WD12" s="55">
        <v>31</v>
      </c>
      <c r="WE12" s="55">
        <v>40</v>
      </c>
      <c r="WF12" s="55">
        <v>34</v>
      </c>
      <c r="WG12" s="55">
        <v>46</v>
      </c>
      <c r="WH12" s="55">
        <v>41</v>
      </c>
      <c r="WI12" s="54">
        <v>43</v>
      </c>
      <c r="WJ12" s="55">
        <v>43</v>
      </c>
      <c r="WK12" s="55">
        <v>59</v>
      </c>
      <c r="WL12" s="55">
        <v>59</v>
      </c>
      <c r="WM12" s="54">
        <v>59</v>
      </c>
      <c r="WN12" s="54"/>
      <c r="WO12" s="54"/>
      <c r="WP12" s="54">
        <v>48.7</v>
      </c>
      <c r="WQ12" s="54">
        <v>48.7</v>
      </c>
      <c r="WR12" s="55">
        <v>48.7</v>
      </c>
      <c r="WS12" s="55">
        <v>46.8</v>
      </c>
      <c r="WT12" s="55">
        <v>49</v>
      </c>
      <c r="WU12" s="55">
        <v>52</v>
      </c>
      <c r="WV12" s="55">
        <v>52.3</v>
      </c>
      <c r="WW12" s="55">
        <v>52.3</v>
      </c>
      <c r="WX12" s="252">
        <v>48.8</v>
      </c>
      <c r="WY12" s="252">
        <v>45.3</v>
      </c>
      <c r="WZ12" s="252">
        <v>44.8</v>
      </c>
      <c r="XA12" s="55">
        <v>44.8</v>
      </c>
      <c r="XB12" s="55">
        <v>44.8</v>
      </c>
      <c r="XC12" s="55">
        <v>44.8</v>
      </c>
      <c r="XD12" s="55">
        <v>44.8</v>
      </c>
      <c r="XE12" s="55">
        <v>44.8</v>
      </c>
      <c r="XF12" s="55">
        <v>44.8</v>
      </c>
      <c r="XG12" s="55">
        <v>44.8</v>
      </c>
      <c r="XH12" s="55">
        <v>44.8</v>
      </c>
      <c r="XI12" s="55">
        <v>44.8</v>
      </c>
      <c r="XJ12" s="55">
        <v>44.8</v>
      </c>
      <c r="XK12" s="55">
        <v>44.8</v>
      </c>
      <c r="XL12" s="55">
        <v>44.8</v>
      </c>
      <c r="XM12" s="55">
        <v>44.8</v>
      </c>
      <c r="XN12" s="55">
        <v>44.8</v>
      </c>
      <c r="XO12" s="55">
        <v>44.8</v>
      </c>
      <c r="XP12" s="54">
        <v>44.8</v>
      </c>
      <c r="XQ12" s="54">
        <v>44.8</v>
      </c>
      <c r="XR12" s="54">
        <v>44.8</v>
      </c>
      <c r="XS12" s="54">
        <v>44.8</v>
      </c>
      <c r="XT12" s="54">
        <v>44.8</v>
      </c>
      <c r="XU12" s="55">
        <v>44.8</v>
      </c>
      <c r="XV12" s="54">
        <v>44.8</v>
      </c>
      <c r="XW12" s="55">
        <v>44.8</v>
      </c>
      <c r="XX12" s="252">
        <v>44.8</v>
      </c>
      <c r="XY12" s="55">
        <v>44.8</v>
      </c>
      <c r="XZ12" s="252">
        <v>44.8</v>
      </c>
      <c r="YA12" s="252">
        <v>44.8</v>
      </c>
      <c r="YB12" s="55">
        <v>44.8</v>
      </c>
      <c r="YC12" s="55">
        <v>44.8</v>
      </c>
      <c r="YD12" s="55">
        <v>44.8</v>
      </c>
      <c r="YE12" s="55">
        <v>44.8</v>
      </c>
      <c r="YF12" s="55">
        <v>44.8</v>
      </c>
      <c r="YG12" s="55">
        <v>44.8</v>
      </c>
      <c r="YH12" s="55">
        <v>44.8</v>
      </c>
      <c r="YI12" s="55">
        <v>44.8</v>
      </c>
      <c r="YJ12" s="55">
        <v>44.8</v>
      </c>
      <c r="YK12" s="55">
        <v>44.8</v>
      </c>
      <c r="YL12" s="55">
        <v>44.8</v>
      </c>
      <c r="YM12" s="55">
        <v>44.8</v>
      </c>
      <c r="YN12" s="54">
        <v>44.8</v>
      </c>
      <c r="YO12" s="54">
        <v>44.8</v>
      </c>
      <c r="YP12" s="54">
        <v>44.8</v>
      </c>
      <c r="YQ12" s="54"/>
      <c r="YR12" s="54"/>
      <c r="YS12" s="55"/>
      <c r="YT12" s="54"/>
      <c r="YU12" s="54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4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4">
        <v>33.799999999999997</v>
      </c>
      <c r="ABC12" s="54">
        <v>33.5</v>
      </c>
      <c r="ABD12" s="54">
        <v>32</v>
      </c>
      <c r="ABE12" s="55">
        <v>31</v>
      </c>
      <c r="ABF12" s="55">
        <v>31</v>
      </c>
      <c r="ABG12" s="237">
        <v>30.5</v>
      </c>
      <c r="ABH12" s="237">
        <v>30.5</v>
      </c>
      <c r="ABI12" s="237"/>
      <c r="ABJ12" s="237"/>
      <c r="ABK12" s="237"/>
      <c r="ABL12" s="253"/>
      <c r="ABM12" s="237">
        <v>45</v>
      </c>
      <c r="ABN12" s="237">
        <v>47</v>
      </c>
      <c r="ABO12" s="237">
        <v>48</v>
      </c>
      <c r="ABP12" s="237">
        <v>48</v>
      </c>
      <c r="ABQ12" s="237">
        <v>46</v>
      </c>
      <c r="ABR12" s="253">
        <v>46</v>
      </c>
      <c r="ABS12" s="253">
        <v>45</v>
      </c>
      <c r="ABT12" s="253">
        <v>45</v>
      </c>
      <c r="ABU12" s="237">
        <v>44.5</v>
      </c>
      <c r="ABV12" s="237">
        <v>44.2</v>
      </c>
      <c r="ABW12" s="237">
        <v>44.2</v>
      </c>
      <c r="ABX12" s="237">
        <v>45</v>
      </c>
      <c r="ABY12" s="237">
        <v>45.8</v>
      </c>
      <c r="ABZ12" s="237">
        <v>48.8</v>
      </c>
      <c r="ACA12" s="255">
        <v>48.8</v>
      </c>
      <c r="ACB12" s="255">
        <v>47.8</v>
      </c>
      <c r="ACC12" s="255">
        <v>47.3</v>
      </c>
      <c r="ACD12" s="237">
        <v>45.3</v>
      </c>
      <c r="ACE12" s="237">
        <v>45.3</v>
      </c>
      <c r="ACF12" s="237">
        <v>45.3</v>
      </c>
      <c r="ACG12" s="237">
        <v>45.3</v>
      </c>
      <c r="ACH12" s="237">
        <v>45.3</v>
      </c>
      <c r="ACI12" s="237">
        <v>45.3</v>
      </c>
      <c r="ACJ12" s="237">
        <v>45.3</v>
      </c>
      <c r="ACK12" s="237">
        <v>45.3</v>
      </c>
      <c r="ACL12" s="237">
        <v>45.3</v>
      </c>
      <c r="ACM12" s="237">
        <v>45.3</v>
      </c>
      <c r="ACN12" s="237">
        <v>45.3</v>
      </c>
      <c r="ACO12" s="237">
        <v>45.3</v>
      </c>
      <c r="ACP12" s="237">
        <v>45.3</v>
      </c>
      <c r="ACQ12" s="237">
        <v>45.3</v>
      </c>
      <c r="ACR12" s="237">
        <v>45.3</v>
      </c>
      <c r="ACS12" s="253">
        <v>45.3</v>
      </c>
      <c r="ACT12" s="253">
        <v>45.3</v>
      </c>
      <c r="ACU12" s="253">
        <v>45.3</v>
      </c>
      <c r="ACV12" s="253">
        <v>45.3</v>
      </c>
      <c r="ACW12" s="253">
        <v>45.3</v>
      </c>
      <c r="ACX12" s="237">
        <v>45.3</v>
      </c>
      <c r="ACY12" s="253">
        <v>45.3</v>
      </c>
      <c r="ACZ12" s="237">
        <v>45.3</v>
      </c>
      <c r="ADA12" s="255">
        <v>45.3</v>
      </c>
      <c r="ADB12" s="237">
        <v>45.3</v>
      </c>
      <c r="ADC12" s="255">
        <v>45.3</v>
      </c>
      <c r="ADD12" s="255">
        <v>45.3</v>
      </c>
      <c r="ADE12" s="237">
        <v>45.3</v>
      </c>
      <c r="ADF12" s="237">
        <v>45.3</v>
      </c>
      <c r="ADG12" s="237">
        <v>45.3</v>
      </c>
      <c r="ADH12" s="237">
        <v>45.3</v>
      </c>
      <c r="ADI12" s="237">
        <v>45.3</v>
      </c>
      <c r="ADJ12" s="237"/>
      <c r="ADK12" s="237"/>
      <c r="ADL12" s="237"/>
      <c r="ADM12" s="237"/>
      <c r="ADN12" s="237"/>
      <c r="ADO12" s="237"/>
      <c r="ADP12" s="237"/>
      <c r="ADQ12" s="253"/>
      <c r="ADR12" s="253"/>
      <c r="ADS12" s="253"/>
      <c r="ADT12" s="253"/>
      <c r="ADU12" s="253"/>
      <c r="ADV12" s="237"/>
      <c r="ADW12" s="237"/>
      <c r="ADX12" s="237"/>
      <c r="ADY12" s="237"/>
      <c r="ADZ12" s="237"/>
      <c r="AEA12" s="237"/>
      <c r="AEB12" s="237"/>
      <c r="AEC12" s="237"/>
      <c r="AED12" s="237"/>
      <c r="AEE12" s="237"/>
      <c r="AEF12" s="237"/>
      <c r="AEG12" s="237"/>
      <c r="AEH12" s="237"/>
      <c r="AEI12" s="237"/>
      <c r="AEJ12" s="237"/>
      <c r="AEK12" s="237"/>
      <c r="AEL12" s="237"/>
      <c r="AEM12" s="237"/>
      <c r="AEN12" s="253"/>
      <c r="AEO12" s="237"/>
      <c r="AEP12" s="237"/>
      <c r="AEQ12" s="237"/>
      <c r="AER12" s="237"/>
      <c r="AES12" s="237"/>
      <c r="AET12" s="237"/>
      <c r="AEU12" s="237"/>
      <c r="AEV12" s="237"/>
      <c r="AEW12" s="237"/>
      <c r="AEX12" s="237"/>
      <c r="AEY12" s="237"/>
      <c r="AEZ12" s="237"/>
      <c r="AFA12" s="237"/>
      <c r="AFB12" s="237"/>
      <c r="AFC12" s="237"/>
      <c r="AFD12" s="237"/>
      <c r="AFE12" s="237"/>
      <c r="AFF12" s="237"/>
      <c r="AFG12" s="237"/>
      <c r="AFH12" s="237"/>
      <c r="AFI12" s="237"/>
      <c r="AFJ12" s="237"/>
      <c r="AFK12" s="237"/>
      <c r="AFL12" s="237"/>
      <c r="AFM12" s="237"/>
      <c r="AFN12" s="237"/>
      <c r="AFO12" s="237"/>
      <c r="AFP12" s="237"/>
      <c r="AFQ12" s="237"/>
      <c r="AFR12" s="237"/>
      <c r="AFS12" s="237"/>
      <c r="AFT12" s="237"/>
      <c r="AFU12" s="237"/>
      <c r="AFV12" s="237"/>
      <c r="AFW12" s="237"/>
      <c r="AFX12" s="237"/>
      <c r="AFY12" s="237"/>
      <c r="AFZ12" s="237"/>
      <c r="AGA12" s="237"/>
      <c r="AGB12" s="237"/>
      <c r="AGC12" s="237"/>
      <c r="AGD12" s="237"/>
      <c r="AGE12" s="237"/>
      <c r="AGF12" s="237"/>
      <c r="AGG12" s="237"/>
      <c r="AGH12" s="237"/>
      <c r="AGI12" s="237"/>
      <c r="AGJ12" s="237"/>
      <c r="AGK12" s="237"/>
      <c r="AGL12" s="237"/>
      <c r="AGM12" s="237"/>
      <c r="AGN12" s="237"/>
      <c r="AGO12" s="237"/>
      <c r="AGP12" s="237"/>
      <c r="AGQ12" s="237"/>
      <c r="AGR12" s="237"/>
      <c r="AGS12" s="237"/>
      <c r="AGT12" s="237"/>
      <c r="AGU12" s="237"/>
      <c r="AGV12" s="237"/>
      <c r="AGW12" s="237"/>
      <c r="AGX12" s="237"/>
      <c r="AGY12" s="237"/>
      <c r="AGZ12" s="237"/>
      <c r="AHA12" s="237"/>
      <c r="AHB12" s="237"/>
      <c r="AHC12" s="237"/>
      <c r="AHD12" s="54"/>
      <c r="AHE12" s="54">
        <v>48.8</v>
      </c>
      <c r="AHF12" s="54"/>
      <c r="AHG12" s="54"/>
      <c r="AHH12" s="55"/>
      <c r="AHI12" s="237"/>
      <c r="AHJ12" s="237"/>
      <c r="AHK12" s="237"/>
      <c r="AHL12" s="237"/>
      <c r="AHM12" s="237"/>
      <c r="AHN12" s="253"/>
      <c r="AHO12" s="237"/>
      <c r="AHP12" s="237"/>
      <c r="AHQ12" s="237"/>
      <c r="AHR12" s="237"/>
      <c r="AHS12" s="237"/>
      <c r="AHT12" s="253"/>
      <c r="AHU12" s="253"/>
      <c r="AHV12" s="253"/>
      <c r="AHW12" s="237"/>
      <c r="AHX12" s="237"/>
      <c r="AHY12" s="237"/>
      <c r="AHZ12" s="237"/>
      <c r="AIA12" s="237"/>
      <c r="AIB12" s="237"/>
      <c r="AIC12" s="255"/>
      <c r="AID12" s="255"/>
      <c r="AIE12" s="255"/>
      <c r="AIF12" s="237"/>
      <c r="AIG12" s="237"/>
      <c r="AIH12" s="237"/>
      <c r="AII12" s="237"/>
      <c r="AIJ12" s="237"/>
      <c r="AIK12" s="237"/>
      <c r="AIL12" s="237"/>
      <c r="AIM12" s="237"/>
      <c r="AIN12" s="237"/>
      <c r="AIO12" s="237"/>
      <c r="AIP12" s="237"/>
      <c r="AIQ12" s="237"/>
      <c r="AIR12" s="237"/>
      <c r="AIS12" s="237"/>
      <c r="AIT12" s="237"/>
      <c r="AIU12" s="237"/>
      <c r="AIV12" s="253"/>
      <c r="AIW12" s="253"/>
      <c r="AIX12" s="253"/>
      <c r="AIY12" s="253"/>
      <c r="AIZ12" s="253"/>
      <c r="AJA12" s="237"/>
      <c r="AJB12" s="253"/>
      <c r="AJC12" s="237"/>
      <c r="AJD12" s="237"/>
      <c r="AJE12" s="237"/>
      <c r="AJF12" s="237"/>
      <c r="AJG12" s="237"/>
      <c r="AJH12" s="237"/>
      <c r="AJI12" s="237"/>
      <c r="AJJ12" s="253"/>
      <c r="AJK12" s="253"/>
      <c r="AJL12" s="253"/>
      <c r="AJM12" s="253"/>
      <c r="AJN12" s="253"/>
      <c r="AJO12" s="237"/>
      <c r="AJP12" s="237"/>
      <c r="AJQ12" s="253"/>
      <c r="AJR12" s="237"/>
      <c r="AJS12" s="237"/>
      <c r="AJT12" s="253"/>
      <c r="AJU12" s="253"/>
      <c r="AJV12" s="311"/>
      <c r="AJW12" s="311"/>
      <c r="AJX12" s="311"/>
      <c r="AJY12" s="293"/>
      <c r="AJZ12" s="311"/>
      <c r="AKA12" s="293"/>
      <c r="AKB12" s="357"/>
      <c r="AKC12" s="293"/>
      <c r="AKD12" s="293"/>
      <c r="AKE12" s="293"/>
      <c r="AKF12" s="428"/>
      <c r="AKG12" s="293"/>
      <c r="AKH12" s="349"/>
      <c r="AKI12" s="4"/>
      <c r="AKJ12" s="186"/>
      <c r="AKK12" s="6"/>
      <c r="AKL12" s="6"/>
      <c r="AKM12" s="6"/>
      <c r="AKN12" s="6"/>
      <c r="AKO12" s="6"/>
      <c r="AKP12" s="187"/>
      <c r="AKQ12" s="187"/>
      <c r="AKR12" s="187"/>
      <c r="AKS12" s="187"/>
      <c r="AKT12" s="187"/>
      <c r="AKU12" s="197"/>
      <c r="AKV12" s="197"/>
      <c r="AKW12" s="197"/>
      <c r="AKX12" s="187"/>
      <c r="AKY12" s="187"/>
      <c r="AKZ12" s="187"/>
      <c r="ALA12" s="187"/>
      <c r="ALB12" s="187"/>
      <c r="ALC12" s="187"/>
      <c r="ALD12" s="187"/>
      <c r="ALU12" s="237"/>
      <c r="ALV12" s="237"/>
      <c r="ALW12" s="237"/>
      <c r="ALX12" s="237"/>
      <c r="ALY12" s="237"/>
      <c r="ALZ12" s="237"/>
      <c r="AMA12" s="237"/>
      <c r="AMB12" s="237"/>
      <c r="AMC12" s="237"/>
      <c r="AMD12" s="237"/>
      <c r="AME12" s="237"/>
      <c r="AMF12" s="237"/>
      <c r="AMG12" s="237"/>
      <c r="AMH12" s="237"/>
      <c r="AMI12" s="237"/>
      <c r="AMJ12" s="237"/>
      <c r="AMK12" s="349"/>
      <c r="AML12" s="349"/>
      <c r="AMM12" s="349"/>
    </row>
    <row r="13" spans="1:1029" ht="29.1" hidden="1" customHeight="1" thickBot="1" x14ac:dyDescent="0.35">
      <c r="A13" s="81" t="s">
        <v>11</v>
      </c>
      <c r="B13" s="82" t="s">
        <v>61</v>
      </c>
      <c r="C13" s="83" t="s">
        <v>4</v>
      </c>
      <c r="D13" s="83">
        <v>600</v>
      </c>
      <c r="E13" s="5" t="s">
        <v>8</v>
      </c>
      <c r="F13" s="101">
        <v>33.5</v>
      </c>
      <c r="G13" s="120">
        <f t="shared" si="1"/>
        <v>33.799999999999997</v>
      </c>
      <c r="H13" s="162"/>
      <c r="I13" s="102"/>
      <c r="J13" s="217"/>
      <c r="K13" s="289"/>
      <c r="L13" s="50">
        <v>29</v>
      </c>
      <c r="M13" s="51">
        <v>35</v>
      </c>
      <c r="N13" s="52">
        <v>47</v>
      </c>
      <c r="O13" s="52">
        <v>43</v>
      </c>
      <c r="P13" s="52">
        <v>38</v>
      </c>
      <c r="Q13" s="52">
        <v>39</v>
      </c>
      <c r="R13" s="20">
        <v>39</v>
      </c>
      <c r="S13" s="20">
        <v>39</v>
      </c>
      <c r="T13" s="20">
        <v>47.1</v>
      </c>
      <c r="U13" s="20">
        <v>49</v>
      </c>
      <c r="V13" s="20">
        <v>49</v>
      </c>
      <c r="W13" s="20">
        <v>52</v>
      </c>
      <c r="X13" s="52">
        <v>44</v>
      </c>
      <c r="Y13" s="20">
        <v>49</v>
      </c>
      <c r="Z13" s="20">
        <v>44.5</v>
      </c>
      <c r="AA13" s="20">
        <v>47</v>
      </c>
      <c r="AB13" s="20">
        <v>48</v>
      </c>
      <c r="AC13" s="20">
        <v>49</v>
      </c>
      <c r="AD13" s="52"/>
      <c r="AE13" s="52"/>
      <c r="AF13" s="52">
        <v>49</v>
      </c>
      <c r="AG13" s="20">
        <v>49</v>
      </c>
      <c r="AH13" s="20">
        <v>46</v>
      </c>
      <c r="AI13" s="20">
        <v>46</v>
      </c>
      <c r="AJ13" s="20">
        <v>47</v>
      </c>
      <c r="AK13" s="20">
        <v>50.5</v>
      </c>
      <c r="AL13" s="20">
        <v>50.5</v>
      </c>
      <c r="AM13" s="171">
        <v>53.3</v>
      </c>
      <c r="AN13" s="171">
        <v>48.5</v>
      </c>
      <c r="AO13" s="171">
        <v>47.5</v>
      </c>
      <c r="AP13" s="20">
        <v>47.5</v>
      </c>
      <c r="AQ13" s="20">
        <v>47.5</v>
      </c>
      <c r="AR13" s="20">
        <v>47.5</v>
      </c>
      <c r="AS13" s="20">
        <v>47.5</v>
      </c>
      <c r="AT13" s="20">
        <v>47.5</v>
      </c>
      <c r="AU13" s="20">
        <v>47.5</v>
      </c>
      <c r="AV13" s="20">
        <v>47.5</v>
      </c>
      <c r="AW13" s="20">
        <v>47.5</v>
      </c>
      <c r="AX13" s="20">
        <v>47.5</v>
      </c>
      <c r="AY13" s="20">
        <v>47.5</v>
      </c>
      <c r="AZ13" s="20">
        <v>47.5</v>
      </c>
      <c r="BA13" s="20">
        <v>47.5</v>
      </c>
      <c r="BB13" s="17">
        <v>47.5</v>
      </c>
      <c r="BC13" s="17">
        <v>47.5</v>
      </c>
      <c r="BD13" s="17">
        <v>47.5</v>
      </c>
      <c r="BE13" s="58">
        <v>47.5</v>
      </c>
      <c r="BF13" s="58">
        <v>47.5</v>
      </c>
      <c r="BG13" s="58">
        <v>47.5</v>
      </c>
      <c r="BH13" s="58">
        <v>47.5</v>
      </c>
      <c r="BI13" s="58">
        <v>47.5</v>
      </c>
      <c r="BJ13" s="17">
        <v>47.5</v>
      </c>
      <c r="BK13" s="58">
        <v>47.5</v>
      </c>
      <c r="BL13" s="58">
        <v>47.5</v>
      </c>
      <c r="BM13" s="58">
        <v>47.5</v>
      </c>
      <c r="BN13" s="181">
        <v>47.5</v>
      </c>
      <c r="BO13" s="181">
        <v>47.5</v>
      </c>
      <c r="BP13" s="181">
        <v>47.5</v>
      </c>
      <c r="BQ13" s="17">
        <v>47.5</v>
      </c>
      <c r="BR13" s="17">
        <v>47.5</v>
      </c>
      <c r="BS13" s="17">
        <v>47.5</v>
      </c>
      <c r="BT13" s="17">
        <v>47.5</v>
      </c>
      <c r="BU13" s="17">
        <v>47.5</v>
      </c>
      <c r="BV13" s="17">
        <v>47.5</v>
      </c>
      <c r="BW13" s="17">
        <v>47.5</v>
      </c>
      <c r="BX13" s="17">
        <v>47.5</v>
      </c>
      <c r="BY13" s="17">
        <v>47.5</v>
      </c>
      <c r="BZ13" s="17">
        <v>47.5</v>
      </c>
      <c r="CA13" s="17">
        <v>47.5</v>
      </c>
      <c r="CB13" s="17">
        <v>47.5</v>
      </c>
      <c r="CC13" s="58">
        <v>47.5</v>
      </c>
      <c r="CD13" s="58">
        <v>47.5</v>
      </c>
      <c r="CE13" s="58">
        <v>47.5</v>
      </c>
      <c r="CF13" s="58">
        <v>47.5</v>
      </c>
      <c r="CG13" s="58">
        <v>47.5</v>
      </c>
      <c r="CH13" s="17">
        <v>47.5</v>
      </c>
      <c r="CI13" s="58">
        <v>47.5</v>
      </c>
      <c r="CJ13" s="58">
        <v>47.5</v>
      </c>
      <c r="CK13" s="17">
        <v>47.5</v>
      </c>
      <c r="CL13" s="17">
        <v>47.5</v>
      </c>
      <c r="CM13" s="17">
        <v>47.5</v>
      </c>
      <c r="CN13" s="17">
        <v>47.5</v>
      </c>
      <c r="CO13" s="17">
        <v>47.5</v>
      </c>
      <c r="CP13" s="17">
        <v>47.5</v>
      </c>
      <c r="CQ13" s="17">
        <v>47.5</v>
      </c>
      <c r="CR13" s="17">
        <v>47.5</v>
      </c>
      <c r="CS13" s="17">
        <v>47.5</v>
      </c>
      <c r="CT13" s="17">
        <v>47.5</v>
      </c>
      <c r="CU13" s="17">
        <v>47.5</v>
      </c>
      <c r="CV13" s="17">
        <v>47.5</v>
      </c>
      <c r="CW13" s="17">
        <v>47.5</v>
      </c>
      <c r="CX13" s="17">
        <v>47.5</v>
      </c>
      <c r="CY13" s="17">
        <v>47.5</v>
      </c>
      <c r="CZ13" s="58">
        <v>47.5</v>
      </c>
      <c r="DA13" s="17">
        <v>47.5</v>
      </c>
      <c r="DB13" s="17">
        <v>47.5</v>
      </c>
      <c r="DC13" s="17">
        <v>47.5</v>
      </c>
      <c r="DD13" s="17">
        <v>47.5</v>
      </c>
      <c r="DE13" s="17">
        <v>47.5</v>
      </c>
      <c r="DF13" s="17">
        <v>47.5</v>
      </c>
      <c r="DG13" s="17">
        <v>47.5</v>
      </c>
      <c r="DH13" s="17">
        <v>47.5</v>
      </c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56"/>
      <c r="ER13" s="56"/>
      <c r="ES13" s="56"/>
      <c r="ET13" s="56"/>
      <c r="EU13" s="56"/>
      <c r="EV13" s="56"/>
      <c r="EW13" s="19"/>
      <c r="EX13" s="19"/>
      <c r="EY13" s="19"/>
      <c r="EZ13" s="19"/>
      <c r="FA13" s="19"/>
      <c r="FB13" s="19"/>
      <c r="FC13" s="19"/>
      <c r="FD13" s="56"/>
      <c r="FE13" s="19"/>
      <c r="FF13" s="19"/>
      <c r="FG13" s="19"/>
      <c r="FH13" s="19"/>
      <c r="FI13" s="19"/>
      <c r="FJ13" s="56"/>
      <c r="FK13" s="56"/>
      <c r="FL13" s="56"/>
      <c r="FM13" s="19"/>
      <c r="FN13" s="19"/>
      <c r="FO13" s="19"/>
      <c r="FP13" s="19"/>
      <c r="FQ13" s="19"/>
      <c r="FR13" s="19"/>
      <c r="FS13" s="168"/>
      <c r="FT13" s="168"/>
      <c r="FU13" s="168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56"/>
      <c r="GL13" s="56"/>
      <c r="GM13" s="56"/>
      <c r="GN13" s="56"/>
      <c r="GO13" s="56"/>
      <c r="GP13" s="19"/>
      <c r="GQ13" s="56"/>
      <c r="GR13" s="56"/>
      <c r="GS13" s="56"/>
      <c r="GT13" s="168"/>
      <c r="GU13" s="168"/>
      <c r="GV13" s="168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56"/>
      <c r="HJ13" s="56"/>
      <c r="HK13" s="56"/>
      <c r="HL13" s="56"/>
      <c r="HM13" s="56"/>
      <c r="HN13" s="19"/>
      <c r="HO13" s="56"/>
      <c r="HP13" s="56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56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56">
        <v>23.5</v>
      </c>
      <c r="JX13" s="56">
        <v>33.299999999999997</v>
      </c>
      <c r="JY13" s="57">
        <v>35</v>
      </c>
      <c r="JZ13" s="57">
        <v>34.5</v>
      </c>
      <c r="KA13" s="57">
        <v>33.700000000000003</v>
      </c>
      <c r="KB13" s="58">
        <v>33.700000000000003</v>
      </c>
      <c r="KC13" s="58">
        <v>33.700000000000003</v>
      </c>
      <c r="KD13" s="59">
        <v>33.700000000000003</v>
      </c>
      <c r="KE13" s="17">
        <v>33.700000000000003</v>
      </c>
      <c r="KF13" s="17">
        <v>47</v>
      </c>
      <c r="KG13" s="17">
        <v>43</v>
      </c>
      <c r="KH13" s="17">
        <v>45</v>
      </c>
      <c r="KI13" s="17">
        <v>48</v>
      </c>
      <c r="KJ13" s="58">
        <v>48</v>
      </c>
      <c r="KK13" s="17">
        <v>44</v>
      </c>
      <c r="KL13" s="17">
        <v>44</v>
      </c>
      <c r="KM13" s="17">
        <v>47</v>
      </c>
      <c r="KN13" s="17">
        <v>50</v>
      </c>
      <c r="KO13" s="17">
        <v>49</v>
      </c>
      <c r="KP13" s="58">
        <v>49</v>
      </c>
      <c r="KQ13" s="58">
        <v>49</v>
      </c>
      <c r="KR13" s="58">
        <v>49</v>
      </c>
      <c r="KS13" s="17">
        <v>49</v>
      </c>
      <c r="KT13" s="17">
        <v>49</v>
      </c>
      <c r="KU13" s="17">
        <v>46</v>
      </c>
      <c r="KV13" s="17">
        <v>51</v>
      </c>
      <c r="KW13" s="17">
        <v>51.3</v>
      </c>
      <c r="KX13" s="17">
        <v>53.3</v>
      </c>
      <c r="KY13" s="181">
        <v>53.3</v>
      </c>
      <c r="KZ13" s="181">
        <v>48.3</v>
      </c>
      <c r="LA13" s="181">
        <v>48.3</v>
      </c>
      <c r="LB13" s="17">
        <v>48.3</v>
      </c>
      <c r="LC13" s="17">
        <v>48.3</v>
      </c>
      <c r="LD13" s="17">
        <v>48.3</v>
      </c>
      <c r="LE13" s="17">
        <v>48.3</v>
      </c>
      <c r="LF13" s="17">
        <v>48.3</v>
      </c>
      <c r="LG13" s="17">
        <v>48.3</v>
      </c>
      <c r="LH13" s="17">
        <v>48.3</v>
      </c>
      <c r="LI13" s="17">
        <v>48.3</v>
      </c>
      <c r="LJ13" s="17">
        <v>48.3</v>
      </c>
      <c r="LK13" s="17">
        <v>48.3</v>
      </c>
      <c r="LL13" s="17">
        <v>48.3</v>
      </c>
      <c r="LM13" s="17">
        <v>48.3</v>
      </c>
      <c r="LN13" s="17">
        <v>48.3</v>
      </c>
      <c r="LO13" s="17">
        <v>48.3</v>
      </c>
      <c r="LP13" s="17">
        <v>48.3</v>
      </c>
      <c r="LQ13" s="58">
        <v>48.3</v>
      </c>
      <c r="LR13" s="58">
        <v>48.3</v>
      </c>
      <c r="LS13" s="58">
        <v>48.3</v>
      </c>
      <c r="LT13" s="58">
        <v>48.3</v>
      </c>
      <c r="LU13" s="58">
        <v>48.3</v>
      </c>
      <c r="LV13" s="17">
        <v>48.3</v>
      </c>
      <c r="LW13" s="58">
        <v>48.3</v>
      </c>
      <c r="LX13" s="58">
        <v>48.3</v>
      </c>
      <c r="LY13" s="58">
        <v>48.3</v>
      </c>
      <c r="LZ13" s="17">
        <v>48.3</v>
      </c>
      <c r="MA13" s="181">
        <v>48.3</v>
      </c>
      <c r="MB13" s="181">
        <v>48.3</v>
      </c>
      <c r="MC13" s="17">
        <v>48.3</v>
      </c>
      <c r="MD13" s="17">
        <v>48.3</v>
      </c>
      <c r="ME13" s="17">
        <v>48.3</v>
      </c>
      <c r="MF13" s="17">
        <v>48.3</v>
      </c>
      <c r="MG13" s="17">
        <v>48.3</v>
      </c>
      <c r="MH13" s="17">
        <v>48.3</v>
      </c>
      <c r="MI13" s="17">
        <v>48.3</v>
      </c>
      <c r="MJ13" s="17">
        <v>48.3</v>
      </c>
      <c r="MK13" s="17">
        <v>48.3</v>
      </c>
      <c r="ML13" s="17">
        <v>48.3</v>
      </c>
      <c r="MM13" s="17">
        <v>48.3</v>
      </c>
      <c r="MN13" s="17">
        <v>48.3</v>
      </c>
      <c r="MO13" s="58">
        <v>48.3</v>
      </c>
      <c r="MP13" s="58">
        <v>48.3</v>
      </c>
      <c r="MQ13" s="58">
        <v>48.3</v>
      </c>
      <c r="MR13" s="58">
        <v>48.3</v>
      </c>
      <c r="MS13" s="58">
        <v>48.3</v>
      </c>
      <c r="MT13" s="17">
        <v>48.3</v>
      </c>
      <c r="MU13" s="58">
        <v>48.3</v>
      </c>
      <c r="MV13" s="58">
        <v>48.3</v>
      </c>
      <c r="MW13" s="17">
        <v>48.3</v>
      </c>
      <c r="MX13" s="17">
        <v>48.3</v>
      </c>
      <c r="MY13" s="17">
        <v>48.3</v>
      </c>
      <c r="MZ13" s="17">
        <v>48.3</v>
      </c>
      <c r="NA13" s="17">
        <v>48.3</v>
      </c>
      <c r="NB13" s="17">
        <v>48.3</v>
      </c>
      <c r="NC13" s="17">
        <v>48.3</v>
      </c>
      <c r="ND13" s="17">
        <v>48.3</v>
      </c>
      <c r="NE13" s="17">
        <v>48.3</v>
      </c>
      <c r="NF13" s="17">
        <v>48.3</v>
      </c>
      <c r="NG13" s="17">
        <v>48.3</v>
      </c>
      <c r="NH13" s="17">
        <v>48.3</v>
      </c>
      <c r="NI13" s="17">
        <v>48.3</v>
      </c>
      <c r="NJ13" s="17">
        <v>48.3</v>
      </c>
      <c r="NK13" s="17">
        <v>48.3</v>
      </c>
      <c r="NL13" s="58">
        <v>48.3</v>
      </c>
      <c r="NM13" s="17">
        <v>48.3</v>
      </c>
      <c r="NN13" s="17">
        <v>48.3</v>
      </c>
      <c r="NO13" s="17">
        <v>48.3</v>
      </c>
      <c r="NP13" s="17">
        <v>48.3</v>
      </c>
      <c r="NQ13" s="17">
        <v>48.3</v>
      </c>
      <c r="NR13" s="17">
        <v>48.3</v>
      </c>
      <c r="NS13" s="17">
        <v>48.3</v>
      </c>
      <c r="NT13" s="17">
        <v>48.3</v>
      </c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>
        <v>48.3</v>
      </c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>
        <v>48.3</v>
      </c>
      <c r="PC13" s="56">
        <v>25.9</v>
      </c>
      <c r="PD13" s="56">
        <v>36.4</v>
      </c>
      <c r="PE13" s="56">
        <v>43.4</v>
      </c>
      <c r="PF13" s="56">
        <v>35.5</v>
      </c>
      <c r="PG13" s="58">
        <v>37.9</v>
      </c>
      <c r="PH13" s="58">
        <v>36.299999999999997</v>
      </c>
      <c r="PI13" s="17">
        <v>36.200000000000003</v>
      </c>
      <c r="PJ13" s="17">
        <v>34.1</v>
      </c>
      <c r="PK13" s="17">
        <v>39.799999999999997</v>
      </c>
      <c r="PL13" s="17">
        <v>43.9</v>
      </c>
      <c r="PM13" s="17"/>
      <c r="PN13" s="17"/>
      <c r="PO13" s="17"/>
      <c r="PP13" s="17"/>
      <c r="PQ13" s="17"/>
      <c r="PR13" s="17">
        <v>50.5</v>
      </c>
      <c r="PS13" s="17">
        <v>50.5</v>
      </c>
      <c r="PT13" s="17">
        <v>49.6</v>
      </c>
      <c r="PU13" s="17">
        <v>48.7</v>
      </c>
      <c r="PV13" s="58">
        <v>48.7</v>
      </c>
      <c r="PW13" s="58">
        <v>48.7</v>
      </c>
      <c r="PX13" s="58">
        <v>47.4</v>
      </c>
      <c r="PY13" s="17">
        <v>47.4</v>
      </c>
      <c r="PZ13" s="17">
        <v>47.4</v>
      </c>
      <c r="QA13" s="17">
        <v>48.2</v>
      </c>
      <c r="QB13" s="17">
        <v>48.2</v>
      </c>
      <c r="QC13" s="17">
        <v>52.8</v>
      </c>
      <c r="QD13" s="17">
        <v>52.8</v>
      </c>
      <c r="QE13" s="181">
        <v>51.9</v>
      </c>
      <c r="QF13" s="181">
        <v>45.6</v>
      </c>
      <c r="QG13" s="181">
        <v>45.6</v>
      </c>
      <c r="QH13" s="17">
        <v>45.6</v>
      </c>
      <c r="QI13" s="17">
        <v>45.6</v>
      </c>
      <c r="QJ13" s="17">
        <v>45.6</v>
      </c>
      <c r="QK13" s="17">
        <v>45.6</v>
      </c>
      <c r="QL13" s="17">
        <v>45.6</v>
      </c>
      <c r="QM13" s="17">
        <v>45.6</v>
      </c>
      <c r="QN13" s="17">
        <v>45.6</v>
      </c>
      <c r="QO13" s="17">
        <v>45.6</v>
      </c>
      <c r="QP13" s="17">
        <v>45.6</v>
      </c>
      <c r="QQ13" s="17">
        <v>45.6</v>
      </c>
      <c r="QR13" s="17">
        <v>45.6</v>
      </c>
      <c r="QS13" s="17">
        <v>45.6</v>
      </c>
      <c r="QT13" s="17">
        <v>45.6</v>
      </c>
      <c r="QU13" s="17">
        <v>45.6</v>
      </c>
      <c r="QV13" s="17">
        <v>45.6</v>
      </c>
      <c r="QW13" s="58">
        <v>45.6</v>
      </c>
      <c r="QX13" s="58">
        <v>45.6</v>
      </c>
      <c r="QY13" s="58">
        <v>45.6</v>
      </c>
      <c r="QZ13" s="58">
        <v>45.6</v>
      </c>
      <c r="RA13" s="58">
        <v>45.6</v>
      </c>
      <c r="RB13" s="322">
        <v>45.6</v>
      </c>
      <c r="RC13" s="341">
        <v>45.6</v>
      </c>
      <c r="RD13" s="341">
        <v>45.6</v>
      </c>
      <c r="RE13" s="341">
        <v>45.6</v>
      </c>
      <c r="RF13" s="322">
        <v>45.6</v>
      </c>
      <c r="RG13" s="382">
        <v>45.6</v>
      </c>
      <c r="RH13" s="382">
        <v>45.6</v>
      </c>
      <c r="RI13" s="322">
        <v>45.6</v>
      </c>
      <c r="RJ13" s="322">
        <v>45.6</v>
      </c>
      <c r="RK13" s="322">
        <v>45.6</v>
      </c>
      <c r="RL13" s="322">
        <v>45.6</v>
      </c>
      <c r="RM13" s="322">
        <v>45.6</v>
      </c>
      <c r="RN13" s="322"/>
      <c r="RO13" s="322"/>
      <c r="RP13" s="322"/>
      <c r="RQ13" s="322"/>
      <c r="RR13" s="322"/>
      <c r="RS13" s="322"/>
      <c r="RT13" s="322"/>
      <c r="RU13" s="341"/>
      <c r="RV13" s="341"/>
      <c r="RW13" s="341"/>
      <c r="RX13" s="341"/>
      <c r="RY13" s="341"/>
      <c r="RZ13" s="322"/>
      <c r="SA13" s="341"/>
      <c r="SB13" s="341"/>
      <c r="SC13" s="322"/>
      <c r="SD13" s="322"/>
      <c r="SE13" s="322"/>
      <c r="SF13" s="322"/>
      <c r="SG13" s="322"/>
      <c r="SH13" s="322"/>
      <c r="SI13" s="322"/>
      <c r="SJ13" s="322"/>
      <c r="SK13" s="322"/>
      <c r="SL13" s="322"/>
      <c r="SM13" s="322"/>
      <c r="SN13" s="322"/>
      <c r="SO13" s="322"/>
      <c r="SP13" s="322"/>
      <c r="SQ13" s="322"/>
      <c r="SR13" s="341"/>
      <c r="SS13" s="322"/>
      <c r="ST13" s="322"/>
      <c r="SU13" s="322"/>
      <c r="SV13" s="322"/>
      <c r="SW13" s="322"/>
      <c r="SX13" s="322"/>
      <c r="SY13" s="322"/>
      <c r="SZ13" s="322"/>
      <c r="TA13" s="322"/>
      <c r="TB13" s="322"/>
      <c r="TC13" s="322"/>
      <c r="TD13" s="322"/>
      <c r="TE13" s="322"/>
      <c r="TF13" s="322"/>
      <c r="TG13" s="322"/>
      <c r="TH13" s="322"/>
      <c r="TI13" s="322"/>
      <c r="TJ13" s="322"/>
      <c r="TK13" s="322"/>
      <c r="TL13" s="322"/>
      <c r="TM13" s="322"/>
      <c r="TN13" s="322"/>
      <c r="TO13" s="322"/>
      <c r="TP13" s="322"/>
      <c r="TQ13" s="322"/>
      <c r="TR13" s="322"/>
      <c r="TS13" s="322"/>
      <c r="TT13" s="322"/>
      <c r="TU13" s="322"/>
      <c r="TV13" s="322"/>
      <c r="TW13" s="322"/>
      <c r="TX13" s="322"/>
      <c r="TY13" s="322"/>
      <c r="TZ13" s="322"/>
      <c r="UA13" s="322"/>
      <c r="UB13" s="322"/>
      <c r="UC13" s="322"/>
      <c r="UD13" s="322"/>
      <c r="UE13" s="322"/>
      <c r="UF13" s="322"/>
      <c r="UG13" s="322"/>
      <c r="UH13" s="322"/>
      <c r="UI13" s="56"/>
      <c r="UJ13" s="56"/>
      <c r="UK13" s="56"/>
      <c r="UL13" s="56"/>
      <c r="UM13" s="19"/>
      <c r="UN13" s="19"/>
      <c r="UO13" s="19"/>
      <c r="UP13" s="19"/>
      <c r="UQ13" s="56"/>
      <c r="UR13" s="19"/>
      <c r="US13" s="19"/>
      <c r="UT13" s="19"/>
      <c r="UU13" s="19"/>
      <c r="UV13" s="19"/>
      <c r="UW13" s="19"/>
      <c r="UX13" s="56"/>
      <c r="UY13" s="19"/>
      <c r="UZ13" s="56"/>
      <c r="VA13" s="19"/>
      <c r="VB13" s="56"/>
      <c r="VC13" s="56"/>
      <c r="VD13" s="19"/>
      <c r="VE13" s="19"/>
      <c r="VF13" s="56"/>
      <c r="VG13" s="56"/>
      <c r="VH13" s="19"/>
      <c r="VI13" s="19"/>
      <c r="VJ13" s="19"/>
      <c r="VK13" s="19"/>
      <c r="VL13" s="56"/>
      <c r="VM13" s="56"/>
      <c r="VN13" s="56"/>
      <c r="VO13" s="56"/>
      <c r="VP13" s="19"/>
      <c r="VQ13" s="56"/>
      <c r="VR13" s="19"/>
      <c r="VS13" s="19"/>
      <c r="VT13" s="19"/>
      <c r="VU13" s="19"/>
      <c r="VV13" s="56"/>
      <c r="VW13" s="56"/>
      <c r="VX13" s="56"/>
      <c r="VY13" s="56">
        <v>35</v>
      </c>
      <c r="VZ13" s="56">
        <v>35</v>
      </c>
      <c r="WA13" s="56">
        <v>34.5</v>
      </c>
      <c r="WB13" s="19">
        <v>34</v>
      </c>
      <c r="WC13" s="19">
        <v>34</v>
      </c>
      <c r="WD13" s="19">
        <v>33</v>
      </c>
      <c r="WE13" s="19">
        <v>42</v>
      </c>
      <c r="WF13" s="19">
        <v>36</v>
      </c>
      <c r="WG13" s="19">
        <v>48</v>
      </c>
      <c r="WH13" s="19">
        <v>43</v>
      </c>
      <c r="WI13" s="56">
        <v>45</v>
      </c>
      <c r="WJ13" s="19">
        <v>45</v>
      </c>
      <c r="WK13" s="19">
        <v>61</v>
      </c>
      <c r="WL13" s="19">
        <v>61</v>
      </c>
      <c r="WM13" s="56">
        <v>61</v>
      </c>
      <c r="WN13" s="56"/>
      <c r="WO13" s="56"/>
      <c r="WP13" s="56">
        <v>52</v>
      </c>
      <c r="WQ13" s="19">
        <v>52</v>
      </c>
      <c r="WR13" s="19">
        <v>52</v>
      </c>
      <c r="WS13" s="19">
        <v>49</v>
      </c>
      <c r="WT13" s="19">
        <v>52</v>
      </c>
      <c r="WU13" s="19">
        <v>55</v>
      </c>
      <c r="WV13" s="19">
        <v>55.3</v>
      </c>
      <c r="WW13" s="19">
        <v>55.3</v>
      </c>
      <c r="WX13" s="168">
        <v>52.8</v>
      </c>
      <c r="WY13" s="168">
        <v>48.3</v>
      </c>
      <c r="WZ13" s="168">
        <v>47.8</v>
      </c>
      <c r="XA13" s="19">
        <v>47.8</v>
      </c>
      <c r="XB13" s="19">
        <v>47.8</v>
      </c>
      <c r="XC13" s="19">
        <v>47.8</v>
      </c>
      <c r="XD13" s="19">
        <v>47.8</v>
      </c>
      <c r="XE13" s="19">
        <v>47.8</v>
      </c>
      <c r="XF13" s="19">
        <v>47.8</v>
      </c>
      <c r="XG13" s="19">
        <v>47.8</v>
      </c>
      <c r="XH13" s="19">
        <v>47.8</v>
      </c>
      <c r="XI13" s="19">
        <v>47.8</v>
      </c>
      <c r="XJ13" s="19">
        <v>47.8</v>
      </c>
      <c r="XK13" s="19">
        <v>47.8</v>
      </c>
      <c r="XL13" s="19">
        <v>47.8</v>
      </c>
      <c r="XM13" s="19">
        <v>47.8</v>
      </c>
      <c r="XN13" s="19">
        <v>47.8</v>
      </c>
      <c r="XO13" s="19">
        <v>47.8</v>
      </c>
      <c r="XP13" s="56">
        <v>47.8</v>
      </c>
      <c r="XQ13" s="56">
        <v>47.8</v>
      </c>
      <c r="XR13" s="56">
        <v>47.8</v>
      </c>
      <c r="XS13" s="56">
        <v>47.8</v>
      </c>
      <c r="XT13" s="56">
        <v>47.8</v>
      </c>
      <c r="XU13" s="19">
        <v>47.8</v>
      </c>
      <c r="XV13" s="56">
        <v>47.8</v>
      </c>
      <c r="XW13" s="19">
        <v>47.8</v>
      </c>
      <c r="XX13" s="168">
        <v>47.8</v>
      </c>
      <c r="XY13" s="19">
        <v>47.8</v>
      </c>
      <c r="XZ13" s="168">
        <v>47.8</v>
      </c>
      <c r="YA13" s="168">
        <v>47.8</v>
      </c>
      <c r="YB13" s="19">
        <v>47.8</v>
      </c>
      <c r="YC13" s="19">
        <v>47.8</v>
      </c>
      <c r="YD13" s="19">
        <v>47.8</v>
      </c>
      <c r="YE13" s="19">
        <v>47.8</v>
      </c>
      <c r="YF13" s="19">
        <v>47.8</v>
      </c>
      <c r="YG13" s="19">
        <v>47.8</v>
      </c>
      <c r="YH13" s="19">
        <v>47.8</v>
      </c>
      <c r="YI13" s="19">
        <v>47.8</v>
      </c>
      <c r="YJ13" s="19">
        <v>47.8</v>
      </c>
      <c r="YK13" s="19">
        <v>47.8</v>
      </c>
      <c r="YL13" s="19">
        <v>47.8</v>
      </c>
      <c r="YM13" s="19">
        <v>47.8</v>
      </c>
      <c r="YN13" s="56">
        <v>47.8</v>
      </c>
      <c r="YO13" s="56">
        <v>47.8</v>
      </c>
      <c r="YP13" s="56">
        <v>47.8</v>
      </c>
      <c r="YQ13" s="56"/>
      <c r="YR13" s="56"/>
      <c r="YS13" s="19"/>
      <c r="YT13" s="56"/>
      <c r="YU13" s="56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56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56">
        <v>35.799999999999997</v>
      </c>
      <c r="ABC13" s="56">
        <v>35.5</v>
      </c>
      <c r="ABD13" s="56">
        <v>34</v>
      </c>
      <c r="ABE13" s="19">
        <v>33</v>
      </c>
      <c r="ABF13" s="19">
        <v>33</v>
      </c>
      <c r="ABG13" s="17">
        <v>32.5</v>
      </c>
      <c r="ABH13" s="17">
        <v>32.5</v>
      </c>
      <c r="ABI13" s="17"/>
      <c r="ABJ13" s="17"/>
      <c r="ABK13" s="17"/>
      <c r="ABL13" s="58"/>
      <c r="ABM13" s="17">
        <v>48</v>
      </c>
      <c r="ABN13" s="17">
        <v>50</v>
      </c>
      <c r="ABO13" s="17">
        <v>51</v>
      </c>
      <c r="ABP13" s="17">
        <v>51</v>
      </c>
      <c r="ABQ13" s="17">
        <v>49</v>
      </c>
      <c r="ABR13" s="58">
        <v>49</v>
      </c>
      <c r="ABS13" s="58">
        <v>48</v>
      </c>
      <c r="ABT13" s="58">
        <v>48</v>
      </c>
      <c r="ABU13" s="17">
        <v>48</v>
      </c>
      <c r="ABV13" s="17">
        <v>47.7</v>
      </c>
      <c r="ABW13" s="17">
        <v>47.7</v>
      </c>
      <c r="ABX13" s="17">
        <v>49</v>
      </c>
      <c r="ABY13" s="17">
        <v>49.8</v>
      </c>
      <c r="ABZ13" s="17">
        <v>52.8</v>
      </c>
      <c r="ACA13" s="181">
        <v>52.8</v>
      </c>
      <c r="ACB13" s="181">
        <v>51.8</v>
      </c>
      <c r="ACC13" s="181">
        <v>51.3</v>
      </c>
      <c r="ACD13" s="17">
        <v>49.3</v>
      </c>
      <c r="ACE13" s="17">
        <v>49.3</v>
      </c>
      <c r="ACF13" s="17">
        <v>49.3</v>
      </c>
      <c r="ACG13" s="17">
        <v>49.3</v>
      </c>
      <c r="ACH13" s="17">
        <v>49.3</v>
      </c>
      <c r="ACI13" s="17">
        <v>49.3</v>
      </c>
      <c r="ACJ13" s="17">
        <v>49.3</v>
      </c>
      <c r="ACK13" s="17">
        <v>49.3</v>
      </c>
      <c r="ACL13" s="17">
        <v>49.3</v>
      </c>
      <c r="ACM13" s="17">
        <v>49.3</v>
      </c>
      <c r="ACN13" s="17">
        <v>49.3</v>
      </c>
      <c r="ACO13" s="17">
        <v>49.3</v>
      </c>
      <c r="ACP13" s="17">
        <v>49.3</v>
      </c>
      <c r="ACQ13" s="17">
        <v>49.3</v>
      </c>
      <c r="ACR13" s="17">
        <v>49.3</v>
      </c>
      <c r="ACS13" s="58">
        <v>49.3</v>
      </c>
      <c r="ACT13" s="58">
        <v>49.3</v>
      </c>
      <c r="ACU13" s="58">
        <v>49.3</v>
      </c>
      <c r="ACV13" s="58">
        <v>49.3</v>
      </c>
      <c r="ACW13" s="58">
        <v>49.3</v>
      </c>
      <c r="ACX13" s="17">
        <v>49.3</v>
      </c>
      <c r="ACY13" s="58">
        <v>49.3</v>
      </c>
      <c r="ACZ13" s="17">
        <v>49.3</v>
      </c>
      <c r="ADA13" s="181">
        <v>49.3</v>
      </c>
      <c r="ADB13" s="17">
        <v>49.3</v>
      </c>
      <c r="ADC13" s="181">
        <v>49.3</v>
      </c>
      <c r="ADD13" s="181">
        <v>49.3</v>
      </c>
      <c r="ADE13" s="17">
        <v>49.3</v>
      </c>
      <c r="ADF13" s="17">
        <v>49.3</v>
      </c>
      <c r="ADG13" s="17">
        <v>49.3</v>
      </c>
      <c r="ADH13" s="17">
        <v>49.3</v>
      </c>
      <c r="ADI13" s="17">
        <v>49.3</v>
      </c>
      <c r="ADJ13" s="17"/>
      <c r="ADK13" s="17"/>
      <c r="ADL13" s="17"/>
      <c r="ADM13" s="17"/>
      <c r="ADN13" s="17"/>
      <c r="ADO13" s="17"/>
      <c r="ADP13" s="17"/>
      <c r="ADQ13" s="58"/>
      <c r="ADR13" s="58"/>
      <c r="ADS13" s="58"/>
      <c r="ADT13" s="58"/>
      <c r="ADU13" s="58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58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50"/>
      <c r="AHE13" s="50">
        <v>52.8</v>
      </c>
      <c r="AHF13" s="50">
        <v>35.5</v>
      </c>
      <c r="AHG13" s="50">
        <v>34.5</v>
      </c>
      <c r="AHH13" s="15">
        <v>34.5</v>
      </c>
      <c r="AHI13" s="20">
        <v>35.799999999999997</v>
      </c>
      <c r="AHJ13" s="20">
        <v>40.5</v>
      </c>
      <c r="AHK13" s="20">
        <v>40.5</v>
      </c>
      <c r="AHL13" s="20">
        <v>40.5</v>
      </c>
      <c r="AHM13" s="20">
        <v>45</v>
      </c>
      <c r="AHN13" s="52">
        <v>43.8</v>
      </c>
      <c r="AHO13" s="20">
        <v>42.8</v>
      </c>
      <c r="AHP13" s="20">
        <v>43.8</v>
      </c>
      <c r="AHQ13" s="20">
        <v>43.8</v>
      </c>
      <c r="AHR13" s="20">
        <v>43.8</v>
      </c>
      <c r="AHS13" s="20">
        <v>43.8</v>
      </c>
      <c r="AHT13" s="52">
        <v>43.8</v>
      </c>
      <c r="AHU13" s="52">
        <v>43.8</v>
      </c>
      <c r="AHV13" s="52">
        <v>43.8</v>
      </c>
      <c r="AHW13" s="20"/>
      <c r="AHX13" s="20"/>
      <c r="AHY13" s="20"/>
      <c r="AHZ13" s="20"/>
      <c r="AIA13" s="20"/>
      <c r="AIB13" s="20"/>
      <c r="AIC13" s="171"/>
      <c r="AID13" s="171"/>
      <c r="AIE13" s="171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52"/>
      <c r="AIW13" s="52"/>
      <c r="AIX13" s="52"/>
      <c r="AIY13" s="52"/>
      <c r="AIZ13" s="52"/>
      <c r="AJA13" s="20"/>
      <c r="AJB13" s="52"/>
      <c r="AJC13" s="20"/>
      <c r="AJD13" s="20"/>
      <c r="AJE13" s="20"/>
      <c r="AJF13" s="20"/>
      <c r="AJG13" s="20"/>
      <c r="AJH13" s="20"/>
      <c r="AJI13" s="20"/>
      <c r="AJJ13" s="52"/>
      <c r="AJK13" s="52"/>
      <c r="AJL13" s="52"/>
      <c r="AJM13" s="52"/>
      <c r="AJN13" s="52"/>
      <c r="AJO13" s="20"/>
      <c r="AJP13" s="20"/>
      <c r="AJQ13" s="52"/>
      <c r="AJR13" s="20"/>
      <c r="AJS13" s="20"/>
      <c r="AJT13" s="52"/>
      <c r="AJU13" s="52"/>
      <c r="AJV13" s="309"/>
      <c r="AJW13" s="309"/>
      <c r="AJX13" s="309"/>
      <c r="AJY13" s="290"/>
      <c r="AJZ13" s="309"/>
      <c r="AKA13" s="290"/>
      <c r="AKB13" s="355"/>
      <c r="AKC13" s="290"/>
      <c r="AKD13" s="290"/>
      <c r="AKE13" s="290"/>
      <c r="AKF13" s="430"/>
      <c r="AKG13" s="290"/>
      <c r="AKH13" s="349"/>
      <c r="AKI13" s="4"/>
      <c r="AKJ13" s="186"/>
      <c r="AKK13" s="6"/>
      <c r="AKL13" s="6"/>
      <c r="AKM13" s="6"/>
      <c r="AKN13" s="6"/>
      <c r="AKO13" s="6"/>
      <c r="AKP13" s="187"/>
      <c r="AKQ13" s="187"/>
      <c r="AKR13" s="187"/>
      <c r="AKS13" s="187"/>
      <c r="AKT13" s="187"/>
      <c r="AKU13" s="187"/>
      <c r="AKV13" s="187"/>
      <c r="AKW13" s="187"/>
      <c r="AKX13" s="187"/>
      <c r="AKY13" s="187"/>
      <c r="AKZ13" s="187"/>
      <c r="ALA13" s="187"/>
      <c r="ALB13" s="187"/>
      <c r="ALC13" s="187"/>
      <c r="ALD13" s="18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349"/>
      <c r="AML13" s="349"/>
      <c r="AMM13" s="349"/>
    </row>
    <row r="14" spans="1:1029" ht="29.1" hidden="1" customHeight="1" thickTop="1" thickBot="1" x14ac:dyDescent="0.35">
      <c r="A14" s="277" t="s">
        <v>11</v>
      </c>
      <c r="B14" s="278" t="s">
        <v>62</v>
      </c>
      <c r="C14" s="279" t="s">
        <v>2</v>
      </c>
      <c r="D14" s="279">
        <v>550</v>
      </c>
      <c r="E14" s="96" t="s">
        <v>6</v>
      </c>
      <c r="F14" s="98">
        <v>28</v>
      </c>
      <c r="G14" s="119">
        <f t="shared" si="1"/>
        <v>28.3</v>
      </c>
      <c r="H14" s="161" t="s">
        <v>68</v>
      </c>
      <c r="I14" s="99"/>
      <c r="J14" s="215"/>
      <c r="K14" s="285"/>
      <c r="L14" s="41"/>
      <c r="M14" s="42"/>
      <c r="N14" s="43"/>
      <c r="O14" s="43"/>
      <c r="P14" s="42"/>
      <c r="Q14" s="43"/>
      <c r="R14" s="10"/>
      <c r="S14" s="10"/>
      <c r="T14" s="10"/>
      <c r="U14" s="10"/>
      <c r="V14" s="10"/>
      <c r="W14" s="10"/>
      <c r="X14" s="43"/>
      <c r="Y14" s="10"/>
      <c r="Z14" s="10"/>
      <c r="AA14" s="10"/>
      <c r="AB14" s="10"/>
      <c r="AC14" s="10"/>
      <c r="AD14" s="43"/>
      <c r="AE14" s="43"/>
      <c r="AF14" s="43"/>
      <c r="AG14" s="10"/>
      <c r="AH14" s="10"/>
      <c r="AI14" s="10"/>
      <c r="AJ14" s="10"/>
      <c r="AK14" s="10"/>
      <c r="AL14" s="10"/>
      <c r="AM14" s="169"/>
      <c r="AN14" s="176">
        <v>40.5</v>
      </c>
      <c r="AO14" s="176">
        <v>39.5</v>
      </c>
      <c r="AP14" s="63">
        <v>39.5</v>
      </c>
      <c r="AQ14" s="63">
        <v>39.5</v>
      </c>
      <c r="AR14" s="63">
        <v>39.5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256"/>
      <c r="BC14" s="256"/>
      <c r="BD14" s="256"/>
      <c r="BE14" s="257"/>
      <c r="BF14" s="257"/>
      <c r="BG14" s="257"/>
      <c r="BH14" s="257"/>
      <c r="BI14" s="257"/>
      <c r="BJ14" s="256"/>
      <c r="BK14" s="257"/>
      <c r="BL14" s="257"/>
      <c r="BM14" s="257"/>
      <c r="BN14" s="258"/>
      <c r="BO14" s="258"/>
      <c r="BP14" s="258"/>
      <c r="BQ14" s="256"/>
      <c r="BR14" s="256"/>
      <c r="BS14" s="256"/>
      <c r="BT14" s="256"/>
      <c r="BU14" s="256"/>
      <c r="BV14" s="256"/>
      <c r="BW14" s="256"/>
      <c r="BX14" s="256"/>
      <c r="BY14" s="256"/>
      <c r="BZ14" s="256"/>
      <c r="CA14" s="256"/>
      <c r="CB14" s="256"/>
      <c r="CC14" s="257"/>
      <c r="CD14" s="257"/>
      <c r="CE14" s="257"/>
      <c r="CF14" s="257"/>
      <c r="CG14" s="257"/>
      <c r="CH14" s="256"/>
      <c r="CI14" s="257"/>
      <c r="CJ14" s="257"/>
      <c r="CK14" s="256"/>
      <c r="CL14" s="256"/>
      <c r="CM14" s="256"/>
      <c r="CN14" s="256"/>
      <c r="CO14" s="256"/>
      <c r="CP14" s="256"/>
      <c r="CQ14" s="256"/>
      <c r="CR14" s="256"/>
      <c r="CS14" s="256"/>
      <c r="CT14" s="256"/>
      <c r="CU14" s="256"/>
      <c r="CV14" s="256"/>
      <c r="CW14" s="256"/>
      <c r="CX14" s="256"/>
      <c r="CY14" s="256"/>
      <c r="CZ14" s="257"/>
      <c r="DA14" s="256"/>
      <c r="DB14" s="256"/>
      <c r="DC14" s="256"/>
      <c r="DD14" s="256"/>
      <c r="DE14" s="256"/>
      <c r="DF14" s="256"/>
      <c r="DG14" s="256"/>
      <c r="DH14" s="256"/>
      <c r="DI14" s="256"/>
      <c r="DJ14" s="256"/>
      <c r="DK14" s="256"/>
      <c r="DL14" s="256"/>
      <c r="DM14" s="256"/>
      <c r="DN14" s="256"/>
      <c r="DO14" s="256"/>
      <c r="DP14" s="256"/>
      <c r="DQ14" s="256"/>
      <c r="DR14" s="256"/>
      <c r="DS14" s="256"/>
      <c r="DT14" s="256"/>
      <c r="DU14" s="256"/>
      <c r="DV14" s="256"/>
      <c r="DW14" s="256"/>
      <c r="DX14" s="256"/>
      <c r="DY14" s="256"/>
      <c r="DZ14" s="256"/>
      <c r="EA14" s="256"/>
      <c r="EB14" s="256"/>
      <c r="EC14" s="256"/>
      <c r="ED14" s="256"/>
      <c r="EE14" s="256"/>
      <c r="EF14" s="256"/>
      <c r="EG14" s="256"/>
      <c r="EH14" s="256"/>
      <c r="EI14" s="256"/>
      <c r="EJ14" s="256"/>
      <c r="EK14" s="256"/>
      <c r="EL14" s="256"/>
      <c r="EM14" s="256"/>
      <c r="EN14" s="256"/>
      <c r="EO14" s="256"/>
      <c r="EP14" s="256"/>
      <c r="EQ14" s="257"/>
      <c r="ER14" s="257"/>
      <c r="ES14" s="257"/>
      <c r="ET14" s="257"/>
      <c r="EU14" s="257"/>
      <c r="EV14" s="257"/>
      <c r="EW14" s="256"/>
      <c r="EX14" s="256"/>
      <c r="EY14" s="256"/>
      <c r="EZ14" s="256"/>
      <c r="FA14" s="256"/>
      <c r="FB14" s="256"/>
      <c r="FC14" s="256"/>
      <c r="FD14" s="257"/>
      <c r="FE14" s="256"/>
      <c r="FF14" s="256"/>
      <c r="FG14" s="256"/>
      <c r="FH14" s="256"/>
      <c r="FI14" s="256"/>
      <c r="FJ14" s="257"/>
      <c r="FK14" s="257"/>
      <c r="FL14" s="257"/>
      <c r="FM14" s="256"/>
      <c r="FN14" s="256"/>
      <c r="FO14" s="256"/>
      <c r="FP14" s="256"/>
      <c r="FQ14" s="256"/>
      <c r="FR14" s="256"/>
      <c r="FS14" s="258"/>
      <c r="FT14" s="258">
        <v>45.5</v>
      </c>
      <c r="FU14" s="258">
        <v>42.5</v>
      </c>
      <c r="FV14" s="256">
        <v>42.5</v>
      </c>
      <c r="FW14" s="256">
        <v>41</v>
      </c>
      <c r="FX14" s="256">
        <v>41</v>
      </c>
      <c r="FY14" s="256"/>
      <c r="FZ14" s="256"/>
      <c r="GA14" s="256"/>
      <c r="GB14" s="256"/>
      <c r="GC14" s="256"/>
      <c r="GD14" s="256"/>
      <c r="GE14" s="256"/>
      <c r="GF14" s="256"/>
      <c r="GG14" s="256"/>
      <c r="GH14" s="256"/>
      <c r="GI14" s="256"/>
      <c r="GJ14" s="256"/>
      <c r="GK14" s="257"/>
      <c r="GL14" s="257"/>
      <c r="GM14" s="257"/>
      <c r="GN14" s="257"/>
      <c r="GO14" s="257"/>
      <c r="GP14" s="256"/>
      <c r="GQ14" s="257"/>
      <c r="GR14" s="257"/>
      <c r="GS14" s="257"/>
      <c r="GT14" s="258"/>
      <c r="GU14" s="258"/>
      <c r="GV14" s="258"/>
      <c r="GW14" s="256"/>
      <c r="GX14" s="256"/>
      <c r="GY14" s="256"/>
      <c r="GZ14" s="256"/>
      <c r="HA14" s="256"/>
      <c r="HB14" s="256"/>
      <c r="HC14" s="256"/>
      <c r="HD14" s="256"/>
      <c r="HE14" s="256"/>
      <c r="HF14" s="256"/>
      <c r="HG14" s="256"/>
      <c r="HH14" s="256"/>
      <c r="HI14" s="257"/>
      <c r="HJ14" s="257"/>
      <c r="HK14" s="257"/>
      <c r="HL14" s="257"/>
      <c r="HM14" s="257"/>
      <c r="HN14" s="256"/>
      <c r="HO14" s="257"/>
      <c r="HP14" s="257"/>
      <c r="HQ14" s="256"/>
      <c r="HR14" s="256"/>
      <c r="HS14" s="256"/>
      <c r="HT14" s="256"/>
      <c r="HU14" s="256"/>
      <c r="HV14" s="256"/>
      <c r="HW14" s="256"/>
      <c r="HX14" s="256"/>
      <c r="HY14" s="256"/>
      <c r="HZ14" s="256"/>
      <c r="IA14" s="256"/>
      <c r="IB14" s="256"/>
      <c r="IC14" s="256"/>
      <c r="ID14" s="256"/>
      <c r="IE14" s="256"/>
      <c r="IF14" s="257"/>
      <c r="IG14" s="256"/>
      <c r="IH14" s="256"/>
      <c r="II14" s="256"/>
      <c r="IJ14" s="256"/>
      <c r="IK14" s="256"/>
      <c r="IL14" s="256"/>
      <c r="IM14" s="256"/>
      <c r="IN14" s="256"/>
      <c r="IO14" s="256"/>
      <c r="IP14" s="256"/>
      <c r="IQ14" s="256"/>
      <c r="IR14" s="256"/>
      <c r="IS14" s="256"/>
      <c r="IT14" s="256"/>
      <c r="IU14" s="256"/>
      <c r="IV14" s="256"/>
      <c r="IW14" s="256"/>
      <c r="IX14" s="256"/>
      <c r="IY14" s="256"/>
      <c r="IZ14" s="256"/>
      <c r="JA14" s="256"/>
      <c r="JB14" s="256"/>
      <c r="JC14" s="256"/>
      <c r="JD14" s="256"/>
      <c r="JE14" s="256"/>
      <c r="JF14" s="256"/>
      <c r="JG14" s="256"/>
      <c r="JH14" s="256"/>
      <c r="JI14" s="256"/>
      <c r="JJ14" s="256"/>
      <c r="JK14" s="256"/>
      <c r="JL14" s="256"/>
      <c r="JM14" s="256"/>
      <c r="JN14" s="256"/>
      <c r="JO14" s="256"/>
      <c r="JP14" s="256"/>
      <c r="JQ14" s="256"/>
      <c r="JR14" s="256"/>
      <c r="JS14" s="256"/>
      <c r="JT14" s="256"/>
      <c r="JU14" s="256"/>
      <c r="JV14" s="256"/>
      <c r="JW14" s="257"/>
      <c r="JX14" s="257"/>
      <c r="JY14" s="257"/>
      <c r="JZ14" s="264"/>
      <c r="KA14" s="259"/>
      <c r="KB14" s="259"/>
      <c r="KC14" s="259"/>
      <c r="KD14" s="262"/>
      <c r="KE14" s="262"/>
      <c r="KF14" s="260"/>
      <c r="KG14" s="260"/>
      <c r="KH14" s="260"/>
      <c r="KI14" s="260"/>
      <c r="KJ14" s="259"/>
      <c r="KK14" s="260"/>
      <c r="KL14" s="260"/>
      <c r="KM14" s="260"/>
      <c r="KN14" s="260"/>
      <c r="KO14" s="260"/>
      <c r="KP14" s="259"/>
      <c r="KQ14" s="259"/>
      <c r="KR14" s="259"/>
      <c r="KS14" s="260"/>
      <c r="KT14" s="260"/>
      <c r="KU14" s="260"/>
      <c r="KV14" s="260"/>
      <c r="KW14" s="260"/>
      <c r="KX14" s="260"/>
      <c r="KY14" s="261"/>
      <c r="KZ14" s="261">
        <v>42.3</v>
      </c>
      <c r="LA14" s="261">
        <v>42.3</v>
      </c>
      <c r="LB14" s="260">
        <v>42.3</v>
      </c>
      <c r="LC14" s="260">
        <v>40.299999999999997</v>
      </c>
      <c r="LD14" s="260">
        <v>40.299999999999997</v>
      </c>
      <c r="LE14" s="260"/>
      <c r="LF14" s="260"/>
      <c r="LG14" s="260"/>
      <c r="LH14" s="260"/>
      <c r="LI14" s="260"/>
      <c r="LJ14" s="260"/>
      <c r="LK14" s="260"/>
      <c r="LL14" s="260"/>
      <c r="LM14" s="260"/>
      <c r="LN14" s="260"/>
      <c r="LO14" s="260"/>
      <c r="LP14" s="260"/>
      <c r="LQ14" s="259"/>
      <c r="LR14" s="259"/>
      <c r="LS14" s="259"/>
      <c r="LT14" s="259"/>
      <c r="LU14" s="259"/>
      <c r="LV14" s="260"/>
      <c r="LW14" s="259"/>
      <c r="LX14" s="259"/>
      <c r="LY14" s="259"/>
      <c r="LZ14" s="260"/>
      <c r="MA14" s="261"/>
      <c r="MB14" s="261"/>
      <c r="MC14" s="260"/>
      <c r="MD14" s="260"/>
      <c r="ME14" s="260"/>
      <c r="MF14" s="260"/>
      <c r="MG14" s="260"/>
      <c r="MH14" s="260"/>
      <c r="MI14" s="260"/>
      <c r="MJ14" s="260"/>
      <c r="MK14" s="260"/>
      <c r="ML14" s="260"/>
      <c r="MM14" s="260"/>
      <c r="MN14" s="260"/>
      <c r="MO14" s="259"/>
      <c r="MP14" s="259"/>
      <c r="MQ14" s="259"/>
      <c r="MR14" s="259"/>
      <c r="MS14" s="259"/>
      <c r="MT14" s="260"/>
      <c r="MU14" s="259"/>
      <c r="MV14" s="259"/>
      <c r="MW14" s="260"/>
      <c r="MX14" s="260"/>
      <c r="MY14" s="260"/>
      <c r="MZ14" s="260"/>
      <c r="NA14" s="260"/>
      <c r="NB14" s="260"/>
      <c r="NC14" s="260"/>
      <c r="ND14" s="260"/>
      <c r="NE14" s="260"/>
      <c r="NF14" s="260"/>
      <c r="NG14" s="260"/>
      <c r="NH14" s="260"/>
      <c r="NI14" s="260"/>
      <c r="NJ14" s="260"/>
      <c r="NK14" s="260"/>
      <c r="NL14" s="259"/>
      <c r="NM14" s="260"/>
      <c r="NN14" s="260"/>
      <c r="NO14" s="260"/>
      <c r="NP14" s="260"/>
      <c r="NQ14" s="260"/>
      <c r="NR14" s="260"/>
      <c r="NS14" s="260"/>
      <c r="NT14" s="260"/>
      <c r="NU14" s="260"/>
      <c r="NV14" s="260"/>
      <c r="NW14" s="260"/>
      <c r="NX14" s="260"/>
      <c r="NY14" s="260"/>
      <c r="NZ14" s="260"/>
      <c r="OA14" s="260"/>
      <c r="OB14" s="260"/>
      <c r="OC14" s="260"/>
      <c r="OD14" s="260"/>
      <c r="OE14" s="260"/>
      <c r="OF14" s="260"/>
      <c r="OG14" s="260"/>
      <c r="OH14" s="260"/>
      <c r="OI14" s="260"/>
      <c r="OJ14" s="260"/>
      <c r="OK14" s="260"/>
      <c r="OL14" s="260"/>
      <c r="OM14" s="260"/>
      <c r="ON14" s="260"/>
      <c r="OO14" s="260"/>
      <c r="OP14" s="260"/>
      <c r="OQ14" s="260"/>
      <c r="OR14" s="260"/>
      <c r="OS14" s="260"/>
      <c r="OT14" s="260"/>
      <c r="OU14" s="260"/>
      <c r="OV14" s="260"/>
      <c r="OW14" s="260"/>
      <c r="OX14" s="260"/>
      <c r="OY14" s="260"/>
      <c r="OZ14" s="260"/>
      <c r="PA14" s="260"/>
      <c r="PB14" s="260"/>
      <c r="PC14" s="257"/>
      <c r="PD14" s="257"/>
      <c r="PE14" s="257"/>
      <c r="PF14" s="257"/>
      <c r="PG14" s="264"/>
      <c r="PH14" s="264"/>
      <c r="PI14" s="260"/>
      <c r="PJ14" s="260"/>
      <c r="PK14" s="260"/>
      <c r="PL14" s="260"/>
      <c r="PM14" s="260"/>
      <c r="PN14" s="260"/>
      <c r="PO14" s="260"/>
      <c r="PP14" s="260"/>
      <c r="PQ14" s="260"/>
      <c r="PR14" s="260"/>
      <c r="PS14" s="260"/>
      <c r="PT14" s="260"/>
      <c r="PU14" s="260"/>
      <c r="PV14" s="259"/>
      <c r="PW14" s="259"/>
      <c r="PX14" s="259"/>
      <c r="PY14" s="260"/>
      <c r="PZ14" s="260"/>
      <c r="QA14" s="260"/>
      <c r="QB14" s="260"/>
      <c r="QC14" s="260"/>
      <c r="QD14" s="260"/>
      <c r="QE14" s="261"/>
      <c r="QF14" s="261"/>
      <c r="QG14" s="261"/>
      <c r="QH14" s="260"/>
      <c r="QI14" s="260"/>
      <c r="QJ14" s="260"/>
      <c r="QK14" s="260"/>
      <c r="QL14" s="260"/>
      <c r="QM14" s="260"/>
      <c r="QN14" s="260"/>
      <c r="QO14" s="260"/>
      <c r="QP14" s="260"/>
      <c r="QQ14" s="260"/>
      <c r="QR14" s="260"/>
      <c r="QS14" s="260"/>
      <c r="QT14" s="260"/>
      <c r="QU14" s="260"/>
      <c r="QV14" s="260"/>
      <c r="QW14" s="259"/>
      <c r="QX14" s="259"/>
      <c r="QY14" s="259"/>
      <c r="QZ14" s="259"/>
      <c r="RA14" s="259"/>
      <c r="RB14" s="323"/>
      <c r="RC14" s="342"/>
      <c r="RD14" s="342"/>
      <c r="RE14" s="342"/>
      <c r="RF14" s="323"/>
      <c r="RG14" s="383"/>
      <c r="RH14" s="383"/>
      <c r="RI14" s="323"/>
      <c r="RJ14" s="323"/>
      <c r="RK14" s="323"/>
      <c r="RL14" s="323"/>
      <c r="RM14" s="323"/>
      <c r="RN14" s="323"/>
      <c r="RO14" s="323"/>
      <c r="RP14" s="323"/>
      <c r="RQ14" s="323"/>
      <c r="RR14" s="323"/>
      <c r="RS14" s="323"/>
      <c r="RT14" s="323"/>
      <c r="RU14" s="342"/>
      <c r="RV14" s="342"/>
      <c r="RW14" s="342"/>
      <c r="RX14" s="342"/>
      <c r="RY14" s="342"/>
      <c r="RZ14" s="323"/>
      <c r="SA14" s="342"/>
      <c r="SB14" s="342"/>
      <c r="SC14" s="323"/>
      <c r="SD14" s="323"/>
      <c r="SE14" s="323"/>
      <c r="SF14" s="323"/>
      <c r="SG14" s="323"/>
      <c r="SH14" s="323"/>
      <c r="SI14" s="323"/>
      <c r="SJ14" s="323"/>
      <c r="SK14" s="323"/>
      <c r="SL14" s="323"/>
      <c r="SM14" s="323"/>
      <c r="SN14" s="323"/>
      <c r="SO14" s="323"/>
      <c r="SP14" s="323"/>
      <c r="SQ14" s="323"/>
      <c r="SR14" s="342"/>
      <c r="SS14" s="323"/>
      <c r="ST14" s="323"/>
      <c r="SU14" s="323"/>
      <c r="SV14" s="323"/>
      <c r="SW14" s="323"/>
      <c r="SX14" s="323"/>
      <c r="SY14" s="323"/>
      <c r="SZ14" s="323"/>
      <c r="TA14" s="323"/>
      <c r="TB14" s="323"/>
      <c r="TC14" s="323"/>
      <c r="TD14" s="323"/>
      <c r="TE14" s="323"/>
      <c r="TF14" s="323"/>
      <c r="TG14" s="323"/>
      <c r="TH14" s="323"/>
      <c r="TI14" s="323"/>
      <c r="TJ14" s="323"/>
      <c r="TK14" s="323"/>
      <c r="TL14" s="323"/>
      <c r="TM14" s="323"/>
      <c r="TN14" s="323"/>
      <c r="TO14" s="323"/>
      <c r="TP14" s="323"/>
      <c r="TQ14" s="323"/>
      <c r="TR14" s="323"/>
      <c r="TS14" s="323"/>
      <c r="TT14" s="323"/>
      <c r="TU14" s="323"/>
      <c r="TV14" s="323"/>
      <c r="TW14" s="323"/>
      <c r="TX14" s="323"/>
      <c r="TY14" s="323"/>
      <c r="TZ14" s="323"/>
      <c r="UA14" s="323"/>
      <c r="UB14" s="323"/>
      <c r="UC14" s="323"/>
      <c r="UD14" s="323"/>
      <c r="UE14" s="323"/>
      <c r="UF14" s="323"/>
      <c r="UG14" s="323"/>
      <c r="UH14" s="323"/>
      <c r="UI14" s="257"/>
      <c r="UJ14" s="257"/>
      <c r="UK14" s="257"/>
      <c r="UL14" s="257"/>
      <c r="UM14" s="256"/>
      <c r="UN14" s="256"/>
      <c r="UO14" s="256"/>
      <c r="UP14" s="256"/>
      <c r="UQ14" s="257"/>
      <c r="UR14" s="256"/>
      <c r="US14" s="256"/>
      <c r="UT14" s="256"/>
      <c r="UU14" s="256"/>
      <c r="UV14" s="256"/>
      <c r="UW14" s="256"/>
      <c r="UX14" s="257"/>
      <c r="UY14" s="256"/>
      <c r="UZ14" s="257"/>
      <c r="VA14" s="256"/>
      <c r="VB14" s="257"/>
      <c r="VC14" s="257"/>
      <c r="VD14" s="256"/>
      <c r="VE14" s="256"/>
      <c r="VF14" s="257"/>
      <c r="VG14" s="257"/>
      <c r="VH14" s="256"/>
      <c r="VI14" s="256"/>
      <c r="VJ14" s="256"/>
      <c r="VK14" s="256"/>
      <c r="VL14" s="257"/>
      <c r="VM14" s="257"/>
      <c r="VN14" s="257"/>
      <c r="VO14" s="257"/>
      <c r="VP14" s="256"/>
      <c r="VQ14" s="257"/>
      <c r="VR14" s="256"/>
      <c r="VS14" s="256"/>
      <c r="VT14" s="256"/>
      <c r="VU14" s="256"/>
      <c r="VV14" s="257"/>
      <c r="VW14" s="257"/>
      <c r="VX14" s="257"/>
      <c r="VY14" s="257"/>
      <c r="VZ14" s="257"/>
      <c r="WA14" s="257"/>
      <c r="WB14" s="256"/>
      <c r="WC14" s="256"/>
      <c r="WD14" s="256"/>
      <c r="WE14" s="256"/>
      <c r="WF14" s="256"/>
      <c r="WG14" s="256"/>
      <c r="WH14" s="256"/>
      <c r="WI14" s="257"/>
      <c r="WJ14" s="256"/>
      <c r="WK14" s="256"/>
      <c r="WL14" s="256"/>
      <c r="WM14" s="257"/>
      <c r="WN14" s="257"/>
      <c r="WO14" s="257"/>
      <c r="WP14" s="257"/>
      <c r="WQ14" s="257"/>
      <c r="WR14" s="256"/>
      <c r="WS14" s="256"/>
      <c r="WT14" s="256"/>
      <c r="WU14" s="256"/>
      <c r="WV14" s="256"/>
      <c r="WW14" s="256"/>
      <c r="WX14" s="258"/>
      <c r="WY14" s="258"/>
      <c r="WZ14" s="258"/>
      <c r="XA14" s="256"/>
      <c r="XB14" s="256"/>
      <c r="XC14" s="256"/>
      <c r="XD14" s="256"/>
      <c r="XE14" s="256"/>
      <c r="XF14" s="256"/>
      <c r="XG14" s="256"/>
      <c r="XH14" s="256"/>
      <c r="XI14" s="256"/>
      <c r="XJ14" s="256"/>
      <c r="XK14" s="256"/>
      <c r="XL14" s="256"/>
      <c r="XM14" s="256"/>
      <c r="XN14" s="256"/>
      <c r="XO14" s="256"/>
      <c r="XP14" s="257"/>
      <c r="XQ14" s="257"/>
      <c r="XR14" s="257"/>
      <c r="XS14" s="257"/>
      <c r="XT14" s="257"/>
      <c r="XU14" s="256"/>
      <c r="XV14" s="257"/>
      <c r="XW14" s="256"/>
      <c r="XX14" s="258"/>
      <c r="XY14" s="256"/>
      <c r="XZ14" s="258"/>
      <c r="YA14" s="258"/>
      <c r="YB14" s="256"/>
      <c r="YC14" s="256"/>
      <c r="YD14" s="256"/>
      <c r="YE14" s="256"/>
      <c r="YF14" s="256"/>
      <c r="YG14" s="256"/>
      <c r="YH14" s="256"/>
      <c r="YI14" s="256"/>
      <c r="YJ14" s="256"/>
      <c r="YK14" s="256"/>
      <c r="YL14" s="256"/>
      <c r="YM14" s="256"/>
      <c r="YN14" s="257"/>
      <c r="YO14" s="257"/>
      <c r="YP14" s="257"/>
      <c r="YQ14" s="257"/>
      <c r="YR14" s="257"/>
      <c r="YS14" s="256"/>
      <c r="YT14" s="257"/>
      <c r="YU14" s="257"/>
      <c r="YV14" s="256"/>
      <c r="YW14" s="256"/>
      <c r="YX14" s="256"/>
      <c r="YY14" s="256"/>
      <c r="YZ14" s="256"/>
      <c r="ZA14" s="256"/>
      <c r="ZB14" s="256"/>
      <c r="ZC14" s="256"/>
      <c r="ZD14" s="256"/>
      <c r="ZE14" s="256"/>
      <c r="ZF14" s="256"/>
      <c r="ZG14" s="256"/>
      <c r="ZH14" s="256"/>
      <c r="ZI14" s="256"/>
      <c r="ZJ14" s="256"/>
      <c r="ZK14" s="257"/>
      <c r="ZL14" s="256"/>
      <c r="ZM14" s="256"/>
      <c r="ZN14" s="256"/>
      <c r="ZO14" s="256"/>
      <c r="ZP14" s="256"/>
      <c r="ZQ14" s="256"/>
      <c r="ZR14" s="256"/>
      <c r="ZS14" s="256"/>
      <c r="ZT14" s="256"/>
      <c r="ZU14" s="256"/>
      <c r="ZV14" s="256"/>
      <c r="ZW14" s="256"/>
      <c r="ZX14" s="256"/>
      <c r="ZY14" s="256"/>
      <c r="ZZ14" s="256"/>
      <c r="AAA14" s="256"/>
      <c r="AAB14" s="256"/>
      <c r="AAC14" s="256"/>
      <c r="AAD14" s="256"/>
      <c r="AAE14" s="256"/>
      <c r="AAF14" s="256"/>
      <c r="AAG14" s="256"/>
      <c r="AAH14" s="256"/>
      <c r="AAI14" s="256"/>
      <c r="AAJ14" s="256"/>
      <c r="AAK14" s="256"/>
      <c r="AAL14" s="256"/>
      <c r="AAM14" s="256"/>
      <c r="AAN14" s="256"/>
      <c r="AAO14" s="256"/>
      <c r="AAP14" s="256"/>
      <c r="AAQ14" s="256"/>
      <c r="AAR14" s="256"/>
      <c r="AAS14" s="256"/>
      <c r="AAT14" s="256"/>
      <c r="AAU14" s="256"/>
      <c r="AAV14" s="256"/>
      <c r="AAW14" s="256"/>
      <c r="AAX14" s="256"/>
      <c r="AAY14" s="256"/>
      <c r="AAZ14" s="256"/>
      <c r="ABA14" s="256"/>
      <c r="ABB14" s="257"/>
      <c r="ABC14" s="257"/>
      <c r="ABD14" s="257"/>
      <c r="ABE14" s="256"/>
      <c r="ABF14" s="256"/>
      <c r="ABG14" s="260"/>
      <c r="ABH14" s="260"/>
      <c r="ABI14" s="260"/>
      <c r="ABJ14" s="260"/>
      <c r="ABK14" s="260"/>
      <c r="ABL14" s="259"/>
      <c r="ABM14" s="260"/>
      <c r="ABN14" s="260"/>
      <c r="ABO14" s="260"/>
      <c r="ABP14" s="260"/>
      <c r="ABQ14" s="260"/>
      <c r="ABR14" s="259"/>
      <c r="ABS14" s="259"/>
      <c r="ABT14" s="259"/>
      <c r="ABU14" s="260"/>
      <c r="ABV14" s="260"/>
      <c r="ABW14" s="260"/>
      <c r="ABX14" s="260"/>
      <c r="ABY14" s="260"/>
      <c r="ABZ14" s="260"/>
      <c r="ACA14" s="261"/>
      <c r="ACB14" s="261">
        <v>41.8</v>
      </c>
      <c r="ACC14" s="261">
        <v>41.3</v>
      </c>
      <c r="ACD14" s="260"/>
      <c r="ACE14" s="260">
        <v>40.299999999999997</v>
      </c>
      <c r="ACF14" s="260"/>
      <c r="ACG14" s="260"/>
      <c r="ACH14" s="260"/>
      <c r="ACI14" s="260"/>
      <c r="ACJ14" s="260"/>
      <c r="ACK14" s="260"/>
      <c r="ACL14" s="260"/>
      <c r="ACM14" s="260"/>
      <c r="ACN14" s="260"/>
      <c r="ACO14" s="260"/>
      <c r="ACP14" s="260"/>
      <c r="ACQ14" s="260"/>
      <c r="ACR14" s="260"/>
      <c r="ACS14" s="259"/>
      <c r="ACT14" s="259"/>
      <c r="ACU14" s="259"/>
      <c r="ACV14" s="259"/>
      <c r="ACW14" s="259"/>
      <c r="ACX14" s="260"/>
      <c r="ACY14" s="259"/>
      <c r="ACZ14" s="260"/>
      <c r="ADA14" s="261"/>
      <c r="ADB14" s="260"/>
      <c r="ADC14" s="261"/>
      <c r="ADD14" s="261"/>
      <c r="ADE14" s="260"/>
      <c r="ADF14" s="260"/>
      <c r="ADG14" s="260"/>
      <c r="ADH14" s="260"/>
      <c r="ADI14" s="260"/>
      <c r="ADJ14" s="260"/>
      <c r="ADK14" s="260"/>
      <c r="ADL14" s="260"/>
      <c r="ADM14" s="260"/>
      <c r="ADN14" s="260"/>
      <c r="ADO14" s="260"/>
      <c r="ADP14" s="260"/>
      <c r="ADQ14" s="259"/>
      <c r="ADR14" s="259"/>
      <c r="ADS14" s="259"/>
      <c r="ADT14" s="259"/>
      <c r="ADU14" s="259"/>
      <c r="ADV14" s="260"/>
      <c r="ADW14" s="260"/>
      <c r="ADX14" s="260"/>
      <c r="ADY14" s="260"/>
      <c r="ADZ14" s="260"/>
      <c r="AEA14" s="260"/>
      <c r="AEB14" s="260"/>
      <c r="AEC14" s="260"/>
      <c r="AED14" s="260"/>
      <c r="AEE14" s="260"/>
      <c r="AEF14" s="260"/>
      <c r="AEG14" s="260"/>
      <c r="AEH14" s="260"/>
      <c r="AEI14" s="260"/>
      <c r="AEJ14" s="260"/>
      <c r="AEK14" s="260"/>
      <c r="AEL14" s="260"/>
      <c r="AEM14" s="260"/>
      <c r="AEN14" s="259"/>
      <c r="AEO14" s="260"/>
      <c r="AEP14" s="260"/>
      <c r="AEQ14" s="260"/>
      <c r="AER14" s="260"/>
      <c r="AES14" s="260"/>
      <c r="AET14" s="260"/>
      <c r="AEU14" s="260"/>
      <c r="AEV14" s="260"/>
      <c r="AEW14" s="260"/>
      <c r="AEX14" s="260"/>
      <c r="AEY14" s="260"/>
      <c r="AEZ14" s="260"/>
      <c r="AFA14" s="260"/>
      <c r="AFB14" s="260"/>
      <c r="AFC14" s="260"/>
      <c r="AFD14" s="260"/>
      <c r="AFE14" s="260"/>
      <c r="AFF14" s="260"/>
      <c r="AFG14" s="260"/>
      <c r="AFH14" s="260"/>
      <c r="AFI14" s="260"/>
      <c r="AFJ14" s="260"/>
      <c r="AFK14" s="260"/>
      <c r="AFL14" s="260"/>
      <c r="AFM14" s="260"/>
      <c r="AFN14" s="260"/>
      <c r="AFO14" s="260"/>
      <c r="AFP14" s="260"/>
      <c r="AFQ14" s="260"/>
      <c r="AFR14" s="260"/>
      <c r="AFS14" s="260"/>
      <c r="AFT14" s="260"/>
      <c r="AFU14" s="260"/>
      <c r="AFV14" s="260"/>
      <c r="AFW14" s="260"/>
      <c r="AFX14" s="260"/>
      <c r="AFY14" s="260"/>
      <c r="AFZ14" s="260"/>
      <c r="AGA14" s="260"/>
      <c r="AGB14" s="260"/>
      <c r="AGC14" s="260"/>
      <c r="AGD14" s="260"/>
      <c r="AGE14" s="260"/>
      <c r="AGF14" s="260"/>
      <c r="AGG14" s="260"/>
      <c r="AGH14" s="260"/>
      <c r="AGI14" s="260"/>
      <c r="AGJ14" s="260"/>
      <c r="AGK14" s="260"/>
      <c r="AGL14" s="260"/>
      <c r="AGM14" s="260"/>
      <c r="AGN14" s="260"/>
      <c r="AGO14" s="260"/>
      <c r="AGP14" s="260"/>
      <c r="AGQ14" s="260"/>
      <c r="AGR14" s="260"/>
      <c r="AGS14" s="260"/>
      <c r="AGT14" s="260"/>
      <c r="AGU14" s="260"/>
      <c r="AGV14" s="260"/>
      <c r="AGW14" s="260"/>
      <c r="AGX14" s="260"/>
      <c r="AGY14" s="260"/>
      <c r="AGZ14" s="260"/>
      <c r="AHA14" s="260"/>
      <c r="AHB14" s="260"/>
      <c r="AHC14" s="260"/>
      <c r="AHD14" s="41"/>
      <c r="AHE14" s="41"/>
      <c r="AHF14" s="41"/>
      <c r="AHG14" s="41"/>
      <c r="AHH14" s="13"/>
      <c r="AHI14" s="10"/>
      <c r="AHJ14" s="10"/>
      <c r="AHK14" s="10"/>
      <c r="AHL14" s="10"/>
      <c r="AHM14" s="10"/>
      <c r="AHN14" s="43"/>
      <c r="AHO14" s="10"/>
      <c r="AHP14" s="10"/>
      <c r="AHQ14" s="10"/>
      <c r="AHR14" s="10"/>
      <c r="AHS14" s="10"/>
      <c r="AHT14" s="43"/>
      <c r="AHU14" s="43"/>
      <c r="AHV14" s="43"/>
      <c r="AHW14" s="10"/>
      <c r="AHX14" s="10"/>
      <c r="AHY14" s="10"/>
      <c r="AHZ14" s="10"/>
      <c r="AIA14" s="10"/>
      <c r="AIB14" s="10"/>
      <c r="AIC14" s="169"/>
      <c r="AID14" s="169">
        <v>37.299999999999997</v>
      </c>
      <c r="AIE14" s="169">
        <v>36.799999999999997</v>
      </c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43"/>
      <c r="AIW14" s="43"/>
      <c r="AIX14" s="43"/>
      <c r="AIY14" s="43"/>
      <c r="AIZ14" s="43"/>
      <c r="AJA14" s="10"/>
      <c r="AJB14" s="43"/>
      <c r="AJC14" s="10"/>
      <c r="AJD14" s="10"/>
      <c r="AJE14" s="10"/>
      <c r="AJF14" s="10"/>
      <c r="AJG14" s="10"/>
      <c r="AJH14" s="10"/>
      <c r="AJI14" s="10"/>
      <c r="AJJ14" s="43"/>
      <c r="AJK14" s="43"/>
      <c r="AJL14" s="43"/>
      <c r="AJM14" s="43"/>
      <c r="AJN14" s="43"/>
      <c r="AJO14" s="10"/>
      <c r="AJP14" s="10"/>
      <c r="AJQ14" s="43"/>
      <c r="AJR14" s="10"/>
      <c r="AJS14" s="10"/>
      <c r="AJT14" s="43"/>
      <c r="AJU14" s="43"/>
      <c r="AJV14" s="307"/>
      <c r="AJW14" s="307"/>
      <c r="AJX14" s="307"/>
      <c r="AJY14" s="286"/>
      <c r="AJZ14" s="307"/>
      <c r="AKA14" s="286"/>
      <c r="AKB14" s="353"/>
      <c r="AKC14" s="286"/>
      <c r="AKD14" s="286"/>
      <c r="AKE14" s="286"/>
      <c r="AKF14" s="431"/>
      <c r="AKG14" s="286"/>
      <c r="AKH14" s="349"/>
      <c r="AKI14" s="4"/>
      <c r="AKJ14" s="187"/>
      <c r="AKK14" s="196"/>
      <c r="AKL14" s="196"/>
      <c r="AKM14" s="196"/>
      <c r="AKN14" s="196"/>
      <c r="AKO14" s="196"/>
      <c r="AKP14" s="221" t="s">
        <v>96</v>
      </c>
      <c r="AKQ14" s="220"/>
      <c r="AKR14" s="220"/>
      <c r="AKS14" s="221" t="s">
        <v>98</v>
      </c>
      <c r="AKT14" s="221" t="s">
        <v>97</v>
      </c>
      <c r="AKU14" s="220"/>
      <c r="AKV14" s="220"/>
      <c r="AKW14" s="220"/>
      <c r="AKX14" s="221" t="s">
        <v>99</v>
      </c>
      <c r="AKY14" s="221" t="s">
        <v>110</v>
      </c>
      <c r="AKZ14" s="221" t="s">
        <v>100</v>
      </c>
      <c r="ALA14" s="221" t="s">
        <v>101</v>
      </c>
      <c r="ALB14" s="221" t="s">
        <v>102</v>
      </c>
      <c r="ALC14" s="221" t="s">
        <v>103</v>
      </c>
      <c r="ALD14" s="187"/>
      <c r="ALU14" s="260"/>
      <c r="ALV14" s="260"/>
      <c r="ALW14" s="260"/>
      <c r="ALX14" s="260"/>
      <c r="ALY14" s="260"/>
      <c r="ALZ14" s="260"/>
      <c r="AMA14" s="260"/>
      <c r="AMB14" s="260"/>
      <c r="AMC14" s="260"/>
      <c r="AMD14" s="260"/>
      <c r="AME14" s="260"/>
      <c r="AMF14" s="260"/>
      <c r="AMG14" s="260"/>
      <c r="AMH14" s="260"/>
      <c r="AMI14" s="260"/>
      <c r="AMJ14" s="260"/>
      <c r="AMK14" s="349"/>
      <c r="AML14" s="349"/>
      <c r="AMM14" s="349"/>
    </row>
    <row r="15" spans="1:1029" ht="29.1" hidden="1" customHeight="1" x14ac:dyDescent="0.3">
      <c r="A15" s="35" t="s">
        <v>13</v>
      </c>
      <c r="B15" s="30" t="s">
        <v>56</v>
      </c>
      <c r="C15" s="29" t="s">
        <v>3</v>
      </c>
      <c r="D15" s="29">
        <v>550</v>
      </c>
      <c r="E15" s="25" t="s">
        <v>8</v>
      </c>
      <c r="F15" s="27">
        <v>30.4</v>
      </c>
      <c r="G15" s="118">
        <f t="shared" si="1"/>
        <v>30.7</v>
      </c>
      <c r="H15" s="159"/>
      <c r="I15" s="28"/>
      <c r="J15" s="216"/>
      <c r="K15" s="287"/>
      <c r="L15" s="46"/>
      <c r="M15" s="47"/>
      <c r="N15" s="48"/>
      <c r="O15" s="48"/>
      <c r="P15" s="48"/>
      <c r="Q15" s="48"/>
      <c r="R15" s="16"/>
      <c r="S15" s="16"/>
      <c r="T15" s="16"/>
      <c r="U15" s="16"/>
      <c r="V15" s="16"/>
      <c r="W15" s="16"/>
      <c r="X15" s="48"/>
      <c r="Y15" s="16"/>
      <c r="Z15" s="16"/>
      <c r="AA15" s="16"/>
      <c r="AB15" s="16"/>
      <c r="AC15" s="16"/>
      <c r="AD15" s="48"/>
      <c r="AE15" s="48"/>
      <c r="AF15" s="48"/>
      <c r="AG15" s="16"/>
      <c r="AH15" s="16"/>
      <c r="AI15" s="16"/>
      <c r="AJ15" s="16"/>
      <c r="AK15" s="16"/>
      <c r="AL15" s="16"/>
      <c r="AM15" s="170"/>
      <c r="AN15" s="175">
        <v>44.5</v>
      </c>
      <c r="AO15" s="175">
        <v>42.5</v>
      </c>
      <c r="AP15" s="24">
        <v>42.5</v>
      </c>
      <c r="AQ15" s="24">
        <v>42.5</v>
      </c>
      <c r="AR15" s="24">
        <v>42.5</v>
      </c>
      <c r="AS15" s="24">
        <v>42.5</v>
      </c>
      <c r="AT15" s="24">
        <v>42.5</v>
      </c>
      <c r="AU15" s="24">
        <v>42.5</v>
      </c>
      <c r="AV15" s="24">
        <v>42.5</v>
      </c>
      <c r="AW15" s="24">
        <v>42.5</v>
      </c>
      <c r="AX15" s="24">
        <v>42.5</v>
      </c>
      <c r="AY15" s="24">
        <v>42.5</v>
      </c>
      <c r="AZ15" s="24">
        <v>42.5</v>
      </c>
      <c r="BA15" s="24">
        <v>42.5</v>
      </c>
      <c r="BB15" s="63">
        <v>42.5</v>
      </c>
      <c r="BC15" s="63">
        <v>42.5</v>
      </c>
      <c r="BD15" s="63">
        <v>42.5</v>
      </c>
      <c r="BE15" s="62">
        <v>42.5</v>
      </c>
      <c r="BF15" s="62">
        <v>42.5</v>
      </c>
      <c r="BG15" s="62">
        <v>42.5</v>
      </c>
      <c r="BH15" s="62">
        <v>42.5</v>
      </c>
      <c r="BI15" s="62">
        <v>42.5</v>
      </c>
      <c r="BJ15" s="63">
        <v>42.5</v>
      </c>
      <c r="BK15" s="62">
        <v>42.5</v>
      </c>
      <c r="BL15" s="62">
        <v>42.5</v>
      </c>
      <c r="BM15" s="62">
        <v>42.5</v>
      </c>
      <c r="BN15" s="176">
        <v>42.5</v>
      </c>
      <c r="BO15" s="176">
        <v>42.5</v>
      </c>
      <c r="BP15" s="176">
        <v>42.5</v>
      </c>
      <c r="BQ15" s="63">
        <v>42.5</v>
      </c>
      <c r="BR15" s="63">
        <v>42.5</v>
      </c>
      <c r="BS15" s="63">
        <v>42.5</v>
      </c>
      <c r="BT15" s="63">
        <v>42.5</v>
      </c>
      <c r="BU15" s="63">
        <v>42.5</v>
      </c>
      <c r="BV15" s="63">
        <v>42.5</v>
      </c>
      <c r="BW15" s="63">
        <v>42.5</v>
      </c>
      <c r="BX15" s="63">
        <v>42.5</v>
      </c>
      <c r="BY15" s="63">
        <v>42.5</v>
      </c>
      <c r="BZ15" s="63">
        <v>42.5</v>
      </c>
      <c r="CA15" s="63">
        <v>42.5</v>
      </c>
      <c r="CB15" s="63">
        <v>42.5</v>
      </c>
      <c r="CC15" s="62">
        <v>42.5</v>
      </c>
      <c r="CD15" s="62">
        <v>42.5</v>
      </c>
      <c r="CE15" s="62">
        <v>42.5</v>
      </c>
      <c r="CF15" s="62">
        <v>42.5</v>
      </c>
      <c r="CG15" s="62">
        <v>42.5</v>
      </c>
      <c r="CH15" s="63">
        <v>42.5</v>
      </c>
      <c r="CI15" s="62">
        <v>42.5</v>
      </c>
      <c r="CJ15" s="62">
        <v>42.5</v>
      </c>
      <c r="CK15" s="63">
        <v>42.5</v>
      </c>
      <c r="CL15" s="63">
        <v>42.5</v>
      </c>
      <c r="CM15" s="63">
        <v>42.5</v>
      </c>
      <c r="CN15" s="63">
        <v>42.5</v>
      </c>
      <c r="CO15" s="63">
        <v>42.5</v>
      </c>
      <c r="CP15" s="63">
        <v>42.5</v>
      </c>
      <c r="CQ15" s="63">
        <v>42.5</v>
      </c>
      <c r="CR15" s="63">
        <v>42.5</v>
      </c>
      <c r="CS15" s="63">
        <v>42.5</v>
      </c>
      <c r="CT15" s="63">
        <v>42.5</v>
      </c>
      <c r="CU15" s="63">
        <v>42.5</v>
      </c>
      <c r="CV15" s="63">
        <v>42.5</v>
      </c>
      <c r="CW15" s="63">
        <v>42.5</v>
      </c>
      <c r="CX15" s="63">
        <v>42.5</v>
      </c>
      <c r="CY15" s="63">
        <v>42.5</v>
      </c>
      <c r="CZ15" s="62">
        <v>42.5</v>
      </c>
      <c r="DA15" s="63">
        <v>42.5</v>
      </c>
      <c r="DB15" s="63">
        <v>42.5</v>
      </c>
      <c r="DC15" s="63">
        <v>42.5</v>
      </c>
      <c r="DD15" s="63">
        <v>42.5</v>
      </c>
      <c r="DE15" s="63">
        <v>42.5</v>
      </c>
      <c r="DF15" s="63">
        <v>42.5</v>
      </c>
      <c r="DG15" s="63">
        <v>42.5</v>
      </c>
      <c r="DH15" s="63">
        <v>42.5</v>
      </c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54"/>
      <c r="ER15" s="54"/>
      <c r="ES15" s="54"/>
      <c r="ET15" s="54"/>
      <c r="EU15" s="54"/>
      <c r="EV15" s="54"/>
      <c r="EW15" s="55"/>
      <c r="EX15" s="55"/>
      <c r="EY15" s="55"/>
      <c r="EZ15" s="55"/>
      <c r="FA15" s="55"/>
      <c r="FB15" s="55"/>
      <c r="FC15" s="55"/>
      <c r="FD15" s="54"/>
      <c r="FE15" s="55"/>
      <c r="FF15" s="55"/>
      <c r="FG15" s="55"/>
      <c r="FH15" s="55"/>
      <c r="FI15" s="55"/>
      <c r="FJ15" s="54"/>
      <c r="FK15" s="54"/>
      <c r="FL15" s="54"/>
      <c r="FM15" s="55"/>
      <c r="FN15" s="55"/>
      <c r="FO15" s="55"/>
      <c r="FP15" s="55"/>
      <c r="FQ15" s="55"/>
      <c r="FR15" s="55"/>
      <c r="FS15" s="252"/>
      <c r="FT15" s="176">
        <v>50.5</v>
      </c>
      <c r="FU15" s="176">
        <v>47.5</v>
      </c>
      <c r="FV15" s="63">
        <v>47.5</v>
      </c>
      <c r="FW15" s="63">
        <v>47.5</v>
      </c>
      <c r="FX15" s="63">
        <v>47.5</v>
      </c>
      <c r="FY15" s="63">
        <v>47.5</v>
      </c>
      <c r="FZ15" s="63">
        <v>47.5</v>
      </c>
      <c r="GA15" s="63">
        <v>47.5</v>
      </c>
      <c r="GB15" s="63">
        <v>47.5</v>
      </c>
      <c r="GC15" s="63">
        <v>47.5</v>
      </c>
      <c r="GD15" s="63">
        <v>47.5</v>
      </c>
      <c r="GE15" s="63">
        <v>47.5</v>
      </c>
      <c r="GF15" s="63">
        <v>47.5</v>
      </c>
      <c r="GG15" s="63">
        <v>47.5</v>
      </c>
      <c r="GH15" s="63">
        <v>47.5</v>
      </c>
      <c r="GI15" s="63">
        <v>47.5</v>
      </c>
      <c r="GJ15" s="63">
        <v>47.5</v>
      </c>
      <c r="GK15" s="62">
        <v>47.5</v>
      </c>
      <c r="GL15" s="62">
        <v>47.5</v>
      </c>
      <c r="GM15" s="62">
        <v>47.5</v>
      </c>
      <c r="GN15" s="62">
        <v>47.5</v>
      </c>
      <c r="GO15" s="62">
        <v>47.5</v>
      </c>
      <c r="GP15" s="63">
        <v>47.5</v>
      </c>
      <c r="GQ15" s="62">
        <v>47.5</v>
      </c>
      <c r="GR15" s="62">
        <v>47.5</v>
      </c>
      <c r="GS15" s="62">
        <v>47.5</v>
      </c>
      <c r="GT15" s="176">
        <v>47.5</v>
      </c>
      <c r="GU15" s="176">
        <v>47.5</v>
      </c>
      <c r="GV15" s="176">
        <v>47.5</v>
      </c>
      <c r="GW15" s="63">
        <v>47.5</v>
      </c>
      <c r="GX15" s="63">
        <v>47.5</v>
      </c>
      <c r="GY15" s="63">
        <v>47.5</v>
      </c>
      <c r="GZ15" s="63">
        <v>47.5</v>
      </c>
      <c r="HA15" s="63">
        <v>47.5</v>
      </c>
      <c r="HB15" s="63">
        <v>47.5</v>
      </c>
      <c r="HC15" s="63">
        <v>47.5</v>
      </c>
      <c r="HD15" s="63">
        <v>47.5</v>
      </c>
      <c r="HE15" s="63">
        <v>47.5</v>
      </c>
      <c r="HF15" s="63">
        <v>47.5</v>
      </c>
      <c r="HG15" s="63">
        <v>47.5</v>
      </c>
      <c r="HH15" s="63">
        <v>47.5</v>
      </c>
      <c r="HI15" s="62">
        <v>47.5</v>
      </c>
      <c r="HJ15" s="62">
        <v>47.5</v>
      </c>
      <c r="HK15" s="62">
        <v>47.5</v>
      </c>
      <c r="HL15" s="62">
        <v>47.5</v>
      </c>
      <c r="HM15" s="62">
        <v>47.5</v>
      </c>
      <c r="HN15" s="63">
        <v>47.5</v>
      </c>
      <c r="HO15" s="62">
        <v>47.5</v>
      </c>
      <c r="HP15" s="62">
        <v>47.5</v>
      </c>
      <c r="HQ15" s="63">
        <v>47.5</v>
      </c>
      <c r="HR15" s="63">
        <v>47.5</v>
      </c>
      <c r="HS15" s="63">
        <v>47.5</v>
      </c>
      <c r="HT15" s="63">
        <v>47.5</v>
      </c>
      <c r="HU15" s="63">
        <v>47.5</v>
      </c>
      <c r="HV15" s="63">
        <v>47.5</v>
      </c>
      <c r="HW15" s="63">
        <v>47.5</v>
      </c>
      <c r="HX15" s="63">
        <v>47.5</v>
      </c>
      <c r="HY15" s="63">
        <v>47.5</v>
      </c>
      <c r="HZ15" s="63">
        <v>47.5</v>
      </c>
      <c r="IA15" s="63">
        <v>47.5</v>
      </c>
      <c r="IB15" s="63">
        <v>47.5</v>
      </c>
      <c r="IC15" s="63">
        <v>47.5</v>
      </c>
      <c r="ID15" s="63">
        <v>47.5</v>
      </c>
      <c r="IE15" s="63">
        <v>47.5</v>
      </c>
      <c r="IF15" s="62">
        <v>47.5</v>
      </c>
      <c r="IG15" s="63">
        <v>47.5</v>
      </c>
      <c r="IH15" s="63">
        <v>47.5</v>
      </c>
      <c r="II15" s="63">
        <v>47.5</v>
      </c>
      <c r="IJ15" s="63">
        <v>47.5</v>
      </c>
      <c r="IK15" s="63">
        <v>47.5</v>
      </c>
      <c r="IL15" s="63">
        <v>47.5</v>
      </c>
      <c r="IM15" s="63">
        <v>47.5</v>
      </c>
      <c r="IN15" s="63">
        <v>47.5</v>
      </c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>
        <v>47.5</v>
      </c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>
        <v>47.5</v>
      </c>
      <c r="JW15" s="54"/>
      <c r="JX15" s="54"/>
      <c r="JY15" s="54"/>
      <c r="JZ15" s="253"/>
      <c r="KA15" s="254"/>
      <c r="KB15" s="253"/>
      <c r="KC15" s="253"/>
      <c r="KD15" s="263"/>
      <c r="KE15" s="237"/>
      <c r="KF15" s="237"/>
      <c r="KG15" s="237"/>
      <c r="KH15" s="237"/>
      <c r="KI15" s="237"/>
      <c r="KJ15" s="253"/>
      <c r="KK15" s="237"/>
      <c r="KL15" s="237"/>
      <c r="KM15" s="237"/>
      <c r="KN15" s="237"/>
      <c r="KO15" s="237"/>
      <c r="KP15" s="253"/>
      <c r="KQ15" s="253"/>
      <c r="KR15" s="253"/>
      <c r="KS15" s="237"/>
      <c r="KT15" s="237"/>
      <c r="KU15" s="237"/>
      <c r="KV15" s="237"/>
      <c r="KW15" s="237"/>
      <c r="KX15" s="237"/>
      <c r="KY15" s="255"/>
      <c r="KZ15" s="255">
        <v>45.3</v>
      </c>
      <c r="LA15" s="255">
        <v>45.3</v>
      </c>
      <c r="LB15" s="237">
        <v>45.3</v>
      </c>
      <c r="LC15" s="237">
        <v>45.3</v>
      </c>
      <c r="LD15" s="237">
        <v>45.3</v>
      </c>
      <c r="LE15" s="237">
        <v>45.3</v>
      </c>
      <c r="LF15" s="237">
        <v>45.3</v>
      </c>
      <c r="LG15" s="237">
        <v>45.3</v>
      </c>
      <c r="LH15" s="237">
        <v>45.3</v>
      </c>
      <c r="LI15" s="237">
        <v>45.3</v>
      </c>
      <c r="LJ15" s="237">
        <v>45.3</v>
      </c>
      <c r="LK15" s="237">
        <v>45.3</v>
      </c>
      <c r="LL15" s="237">
        <v>45.3</v>
      </c>
      <c r="LM15" s="237">
        <v>45.3</v>
      </c>
      <c r="LN15" s="237">
        <v>45.3</v>
      </c>
      <c r="LO15" s="237">
        <v>45.3</v>
      </c>
      <c r="LP15" s="237">
        <v>45.3</v>
      </c>
      <c r="LQ15" s="253">
        <v>45.3</v>
      </c>
      <c r="LR15" s="253">
        <v>45.3</v>
      </c>
      <c r="LS15" s="253">
        <v>45.3</v>
      </c>
      <c r="LT15" s="253">
        <v>45.3</v>
      </c>
      <c r="LU15" s="253">
        <v>45.3</v>
      </c>
      <c r="LV15" s="237">
        <v>45.3</v>
      </c>
      <c r="LW15" s="253">
        <v>45.3</v>
      </c>
      <c r="LX15" s="253">
        <v>45.3</v>
      </c>
      <c r="LY15" s="253">
        <v>45.3</v>
      </c>
      <c r="LZ15" s="237">
        <v>45.3</v>
      </c>
      <c r="MA15" s="255">
        <v>45.3</v>
      </c>
      <c r="MB15" s="255">
        <v>45.3</v>
      </c>
      <c r="MC15" s="237">
        <v>45.3</v>
      </c>
      <c r="MD15" s="237">
        <v>45.3</v>
      </c>
      <c r="ME15" s="237">
        <v>45.3</v>
      </c>
      <c r="MF15" s="237">
        <v>45.3</v>
      </c>
      <c r="MG15" s="237">
        <v>45.3</v>
      </c>
      <c r="MH15" s="237">
        <v>45.3</v>
      </c>
      <c r="MI15" s="237">
        <v>45.3</v>
      </c>
      <c r="MJ15" s="237">
        <v>45.3</v>
      </c>
      <c r="MK15" s="237">
        <v>45.3</v>
      </c>
      <c r="ML15" s="237">
        <v>45.3</v>
      </c>
      <c r="MM15" s="237">
        <v>45.3</v>
      </c>
      <c r="MN15" s="237">
        <v>45.3</v>
      </c>
      <c r="MO15" s="253">
        <v>45.3</v>
      </c>
      <c r="MP15" s="253">
        <v>45.3</v>
      </c>
      <c r="MQ15" s="253">
        <v>45.3</v>
      </c>
      <c r="MR15" s="253">
        <v>45.3</v>
      </c>
      <c r="MS15" s="253">
        <v>45.3</v>
      </c>
      <c r="MT15" s="237">
        <v>45.3</v>
      </c>
      <c r="MU15" s="253">
        <v>45.3</v>
      </c>
      <c r="MV15" s="253">
        <v>45.3</v>
      </c>
      <c r="MW15" s="237">
        <v>45.3</v>
      </c>
      <c r="MX15" s="237">
        <v>45.3</v>
      </c>
      <c r="MY15" s="237">
        <v>45.3</v>
      </c>
      <c r="MZ15" s="237">
        <v>45.3</v>
      </c>
      <c r="NA15" s="237">
        <v>45.3</v>
      </c>
      <c r="NB15" s="237">
        <v>45.3</v>
      </c>
      <c r="NC15" s="237">
        <v>45.3</v>
      </c>
      <c r="ND15" s="237">
        <v>45.3</v>
      </c>
      <c r="NE15" s="237">
        <v>45.3</v>
      </c>
      <c r="NF15" s="237">
        <v>45.3</v>
      </c>
      <c r="NG15" s="237">
        <v>45.3</v>
      </c>
      <c r="NH15" s="237">
        <v>45.3</v>
      </c>
      <c r="NI15" s="237">
        <v>45.3</v>
      </c>
      <c r="NJ15" s="237">
        <v>45.3</v>
      </c>
      <c r="NK15" s="237">
        <v>45.3</v>
      </c>
      <c r="NL15" s="253">
        <v>45.3</v>
      </c>
      <c r="NM15" s="237">
        <v>45.3</v>
      </c>
      <c r="NN15" s="237">
        <v>45.3</v>
      </c>
      <c r="NO15" s="237">
        <v>45.3</v>
      </c>
      <c r="NP15" s="237">
        <v>45.3</v>
      </c>
      <c r="NQ15" s="237">
        <v>45.3</v>
      </c>
      <c r="NR15" s="237">
        <v>45.3</v>
      </c>
      <c r="NS15" s="237">
        <v>45.3</v>
      </c>
      <c r="NT15" s="237">
        <v>45.3</v>
      </c>
      <c r="NU15" s="237"/>
      <c r="NV15" s="237"/>
      <c r="NW15" s="237"/>
      <c r="NX15" s="237"/>
      <c r="NY15" s="237"/>
      <c r="NZ15" s="237"/>
      <c r="OA15" s="237"/>
      <c r="OB15" s="237"/>
      <c r="OC15" s="237"/>
      <c r="OD15" s="237"/>
      <c r="OE15" s="237"/>
      <c r="OF15" s="237"/>
      <c r="OG15" s="237"/>
      <c r="OH15" s="237"/>
      <c r="OI15" s="237"/>
      <c r="OJ15" s="237"/>
      <c r="OK15" s="237"/>
      <c r="OL15" s="237"/>
      <c r="OM15" s="237"/>
      <c r="ON15" s="237">
        <v>45.3</v>
      </c>
      <c r="OO15" s="237"/>
      <c r="OP15" s="237"/>
      <c r="OQ15" s="237"/>
      <c r="OR15" s="237"/>
      <c r="OS15" s="237"/>
      <c r="OT15" s="237"/>
      <c r="OU15" s="237"/>
      <c r="OV15" s="237"/>
      <c r="OW15" s="237"/>
      <c r="OX15" s="237"/>
      <c r="OY15" s="237"/>
      <c r="OZ15" s="237"/>
      <c r="PA15" s="237"/>
      <c r="PB15" s="237">
        <v>45.3</v>
      </c>
      <c r="PC15" s="54"/>
      <c r="PD15" s="54"/>
      <c r="PE15" s="54"/>
      <c r="PF15" s="254"/>
      <c r="PG15" s="253"/>
      <c r="PH15" s="253"/>
      <c r="PI15" s="237"/>
      <c r="PJ15" s="237"/>
      <c r="PK15" s="237"/>
      <c r="PL15" s="237"/>
      <c r="PM15" s="237"/>
      <c r="PN15" s="237"/>
      <c r="PO15" s="237"/>
      <c r="PP15" s="237"/>
      <c r="PQ15" s="237"/>
      <c r="PR15" s="237"/>
      <c r="PS15" s="237"/>
      <c r="PT15" s="237"/>
      <c r="PU15" s="237"/>
      <c r="PV15" s="253"/>
      <c r="PW15" s="253"/>
      <c r="PX15" s="253"/>
      <c r="PY15" s="237"/>
      <c r="PZ15" s="237"/>
      <c r="QA15" s="237"/>
      <c r="QB15" s="237"/>
      <c r="QC15" s="237"/>
      <c r="QD15" s="237"/>
      <c r="QE15" s="255"/>
      <c r="QF15" s="255"/>
      <c r="QG15" s="255"/>
      <c r="QH15" s="237"/>
      <c r="QI15" s="237"/>
      <c r="QJ15" s="237"/>
      <c r="QK15" s="237"/>
      <c r="QL15" s="237"/>
      <c r="QM15" s="237"/>
      <c r="QN15" s="237"/>
      <c r="QO15" s="237"/>
      <c r="QP15" s="237"/>
      <c r="QQ15" s="237"/>
      <c r="QR15" s="237"/>
      <c r="QS15" s="237"/>
      <c r="QT15" s="237"/>
      <c r="QU15" s="237"/>
      <c r="QV15" s="237"/>
      <c r="QW15" s="253"/>
      <c r="QX15" s="253"/>
      <c r="QY15" s="253"/>
      <c r="QZ15" s="253"/>
      <c r="RA15" s="253"/>
      <c r="RB15" s="318"/>
      <c r="RC15" s="337"/>
      <c r="RD15" s="337"/>
      <c r="RE15" s="337"/>
      <c r="RF15" s="318"/>
      <c r="RG15" s="378"/>
      <c r="RH15" s="378"/>
      <c r="RI15" s="318"/>
      <c r="RJ15" s="318"/>
      <c r="RK15" s="318"/>
      <c r="RL15" s="318"/>
      <c r="RM15" s="318"/>
      <c r="RN15" s="318"/>
      <c r="RO15" s="318"/>
      <c r="RP15" s="318"/>
      <c r="RQ15" s="318"/>
      <c r="RR15" s="318"/>
      <c r="RS15" s="318"/>
      <c r="RT15" s="318"/>
      <c r="RU15" s="337"/>
      <c r="RV15" s="337"/>
      <c r="RW15" s="337"/>
      <c r="RX15" s="337"/>
      <c r="RY15" s="337"/>
      <c r="RZ15" s="318"/>
      <c r="SA15" s="337"/>
      <c r="SB15" s="337"/>
      <c r="SC15" s="318"/>
      <c r="SD15" s="318"/>
      <c r="SE15" s="318"/>
      <c r="SF15" s="318"/>
      <c r="SG15" s="318"/>
      <c r="SH15" s="318"/>
      <c r="SI15" s="318"/>
      <c r="SJ15" s="318"/>
      <c r="SK15" s="318"/>
      <c r="SL15" s="318"/>
      <c r="SM15" s="318"/>
      <c r="SN15" s="318"/>
      <c r="SO15" s="318"/>
      <c r="SP15" s="318"/>
      <c r="SQ15" s="318"/>
      <c r="SR15" s="337"/>
      <c r="SS15" s="318"/>
      <c r="ST15" s="318"/>
      <c r="SU15" s="318"/>
      <c r="SV15" s="318"/>
      <c r="SW15" s="318"/>
      <c r="SX15" s="318"/>
      <c r="SY15" s="318"/>
      <c r="SZ15" s="318"/>
      <c r="TA15" s="318"/>
      <c r="TB15" s="318"/>
      <c r="TC15" s="318"/>
      <c r="TD15" s="318"/>
      <c r="TE15" s="318"/>
      <c r="TF15" s="318"/>
      <c r="TG15" s="318"/>
      <c r="TH15" s="318"/>
      <c r="TI15" s="318"/>
      <c r="TJ15" s="318"/>
      <c r="TK15" s="318"/>
      <c r="TL15" s="318"/>
      <c r="TM15" s="318"/>
      <c r="TN15" s="318"/>
      <c r="TO15" s="318"/>
      <c r="TP15" s="318"/>
      <c r="TQ15" s="318"/>
      <c r="TR15" s="318"/>
      <c r="TS15" s="318"/>
      <c r="TT15" s="318"/>
      <c r="TU15" s="318"/>
      <c r="TV15" s="318"/>
      <c r="TW15" s="318"/>
      <c r="TX15" s="318"/>
      <c r="TY15" s="318"/>
      <c r="TZ15" s="318"/>
      <c r="UA15" s="318"/>
      <c r="UB15" s="318"/>
      <c r="UC15" s="318"/>
      <c r="UD15" s="318"/>
      <c r="UE15" s="318"/>
      <c r="UF15" s="318"/>
      <c r="UG15" s="318"/>
      <c r="UH15" s="318"/>
      <c r="UI15" s="54"/>
      <c r="UJ15" s="54"/>
      <c r="UK15" s="54"/>
      <c r="UL15" s="54"/>
      <c r="UM15" s="55"/>
      <c r="UN15" s="55"/>
      <c r="UO15" s="55"/>
      <c r="UP15" s="55"/>
      <c r="UQ15" s="54"/>
      <c r="UR15" s="55"/>
      <c r="US15" s="55"/>
      <c r="UT15" s="55"/>
      <c r="UU15" s="55"/>
      <c r="UV15" s="55"/>
      <c r="UW15" s="55"/>
      <c r="UX15" s="54"/>
      <c r="UY15" s="55"/>
      <c r="UZ15" s="54"/>
      <c r="VA15" s="55"/>
      <c r="VB15" s="54"/>
      <c r="VC15" s="54"/>
      <c r="VD15" s="55"/>
      <c r="VE15" s="55"/>
      <c r="VF15" s="54"/>
      <c r="VG15" s="54"/>
      <c r="VH15" s="55"/>
      <c r="VI15" s="55"/>
      <c r="VJ15" s="55"/>
      <c r="VK15" s="55"/>
      <c r="VL15" s="54"/>
      <c r="VM15" s="54"/>
      <c r="VN15" s="54"/>
      <c r="VO15" s="54"/>
      <c r="VP15" s="55"/>
      <c r="VQ15" s="54"/>
      <c r="VR15" s="55"/>
      <c r="VS15" s="55"/>
      <c r="VT15" s="55"/>
      <c r="VU15" s="55"/>
      <c r="VV15" s="54"/>
      <c r="VW15" s="54"/>
      <c r="VX15" s="54"/>
      <c r="VY15" s="54"/>
      <c r="VZ15" s="54"/>
      <c r="WA15" s="54"/>
      <c r="WB15" s="55"/>
      <c r="WC15" s="55"/>
      <c r="WD15" s="55"/>
      <c r="WE15" s="55"/>
      <c r="WF15" s="55"/>
      <c r="WG15" s="55"/>
      <c r="WH15" s="55"/>
      <c r="WI15" s="54"/>
      <c r="WJ15" s="55"/>
      <c r="WK15" s="55"/>
      <c r="WL15" s="55"/>
      <c r="WM15" s="54"/>
      <c r="WN15" s="54"/>
      <c r="WO15" s="54"/>
      <c r="WP15" s="54"/>
      <c r="WQ15" s="54"/>
      <c r="WR15" s="55"/>
      <c r="WS15" s="55"/>
      <c r="WT15" s="55"/>
      <c r="WU15" s="55"/>
      <c r="WV15" s="55"/>
      <c r="WW15" s="55"/>
      <c r="WX15" s="252"/>
      <c r="WY15" s="252"/>
      <c r="WZ15" s="252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4"/>
      <c r="XQ15" s="54"/>
      <c r="XR15" s="54"/>
      <c r="XS15" s="54"/>
      <c r="XT15" s="54"/>
      <c r="XU15" s="55"/>
      <c r="XV15" s="54"/>
      <c r="XW15" s="55"/>
      <c r="XX15" s="252"/>
      <c r="XY15" s="55"/>
      <c r="XZ15" s="252"/>
      <c r="YA15" s="252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4"/>
      <c r="YO15" s="54"/>
      <c r="YP15" s="54"/>
      <c r="YQ15" s="54"/>
      <c r="YR15" s="54"/>
      <c r="YS15" s="55"/>
      <c r="YT15" s="54"/>
      <c r="YU15" s="54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4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4"/>
      <c r="ABC15" s="54"/>
      <c r="ABD15" s="54"/>
      <c r="ABE15" s="55"/>
      <c r="ABF15" s="55"/>
      <c r="ABG15" s="237"/>
      <c r="ABH15" s="237"/>
      <c r="ABI15" s="237"/>
      <c r="ABJ15" s="237"/>
      <c r="ABK15" s="237"/>
      <c r="ABL15" s="253"/>
      <c r="ABM15" s="237"/>
      <c r="ABN15" s="237"/>
      <c r="ABO15" s="237"/>
      <c r="ABP15" s="237"/>
      <c r="ABQ15" s="237"/>
      <c r="ABR15" s="253"/>
      <c r="ABS15" s="253"/>
      <c r="ABT15" s="253"/>
      <c r="ABU15" s="237"/>
      <c r="ABV15" s="237"/>
      <c r="ABW15" s="237"/>
      <c r="ABX15" s="237"/>
      <c r="ABY15" s="237"/>
      <c r="ABZ15" s="237"/>
      <c r="ACA15" s="255"/>
      <c r="ACB15" s="255">
        <v>45.8</v>
      </c>
      <c r="ACC15" s="255">
        <v>45.3</v>
      </c>
      <c r="ACD15" s="237"/>
      <c r="ACE15" s="237"/>
      <c r="ACF15" s="237"/>
      <c r="ACG15" s="237"/>
      <c r="ACH15" s="237"/>
      <c r="ACI15" s="237"/>
      <c r="ACJ15" s="237"/>
      <c r="ACK15" s="237"/>
      <c r="ACL15" s="237"/>
      <c r="ACM15" s="237"/>
      <c r="ACN15" s="237"/>
      <c r="ACO15" s="237"/>
      <c r="ACP15" s="237"/>
      <c r="ACQ15" s="237"/>
      <c r="ACR15" s="237"/>
      <c r="ACS15" s="253"/>
      <c r="ACT15" s="253"/>
      <c r="ACU15" s="253"/>
      <c r="ACV15" s="253"/>
      <c r="ACW15" s="253"/>
      <c r="ACX15" s="237"/>
      <c r="ACY15" s="253"/>
      <c r="ACZ15" s="237"/>
      <c r="ADA15" s="255"/>
      <c r="ADB15" s="237"/>
      <c r="ADC15" s="255"/>
      <c r="ADD15" s="255"/>
      <c r="ADE15" s="237"/>
      <c r="ADF15" s="237"/>
      <c r="ADG15" s="237"/>
      <c r="ADH15" s="237"/>
      <c r="ADI15" s="237"/>
      <c r="ADJ15" s="237"/>
      <c r="ADK15" s="237"/>
      <c r="ADL15" s="237"/>
      <c r="ADM15" s="237"/>
      <c r="ADN15" s="237"/>
      <c r="ADO15" s="237"/>
      <c r="ADP15" s="237"/>
      <c r="ADQ15" s="253"/>
      <c r="ADR15" s="253"/>
      <c r="ADS15" s="253"/>
      <c r="ADT15" s="253"/>
      <c r="ADU15" s="253"/>
      <c r="ADV15" s="237"/>
      <c r="ADW15" s="237"/>
      <c r="ADX15" s="237"/>
      <c r="ADY15" s="237"/>
      <c r="ADZ15" s="237"/>
      <c r="AEA15" s="237"/>
      <c r="AEB15" s="237"/>
      <c r="AEC15" s="237"/>
      <c r="AED15" s="237"/>
      <c r="AEE15" s="237"/>
      <c r="AEF15" s="237"/>
      <c r="AEG15" s="237"/>
      <c r="AEH15" s="237"/>
      <c r="AEI15" s="237"/>
      <c r="AEJ15" s="237"/>
      <c r="AEK15" s="237"/>
      <c r="AEL15" s="237"/>
      <c r="AEM15" s="237"/>
      <c r="AEN15" s="253"/>
      <c r="AEO15" s="237"/>
      <c r="AEP15" s="237"/>
      <c r="AEQ15" s="237"/>
      <c r="AER15" s="237"/>
      <c r="AES15" s="237"/>
      <c r="AET15" s="237"/>
      <c r="AEU15" s="237"/>
      <c r="AEV15" s="237"/>
      <c r="AEW15" s="237"/>
      <c r="AEX15" s="237"/>
      <c r="AEY15" s="237"/>
      <c r="AEZ15" s="237"/>
      <c r="AFA15" s="237"/>
      <c r="AFB15" s="237"/>
      <c r="AFC15" s="237"/>
      <c r="AFD15" s="237"/>
      <c r="AFE15" s="237"/>
      <c r="AFF15" s="237"/>
      <c r="AFG15" s="237"/>
      <c r="AFH15" s="237"/>
      <c r="AFI15" s="237"/>
      <c r="AFJ15" s="237"/>
      <c r="AFK15" s="237"/>
      <c r="AFL15" s="237"/>
      <c r="AFM15" s="237"/>
      <c r="AFN15" s="237"/>
      <c r="AFO15" s="237"/>
      <c r="AFP15" s="237"/>
      <c r="AFQ15" s="237"/>
      <c r="AFR15" s="237"/>
      <c r="AFS15" s="237"/>
      <c r="AFT15" s="237"/>
      <c r="AFU15" s="237"/>
      <c r="AFV15" s="237"/>
      <c r="AFW15" s="237"/>
      <c r="AFX15" s="237"/>
      <c r="AFY15" s="237"/>
      <c r="AFZ15" s="237"/>
      <c r="AGA15" s="237"/>
      <c r="AGB15" s="237"/>
      <c r="AGC15" s="237"/>
      <c r="AGD15" s="237"/>
      <c r="AGE15" s="237"/>
      <c r="AGF15" s="237"/>
      <c r="AGG15" s="237"/>
      <c r="AGH15" s="237"/>
      <c r="AGI15" s="237"/>
      <c r="AGJ15" s="237"/>
      <c r="AGK15" s="237"/>
      <c r="AGL15" s="237"/>
      <c r="AGM15" s="237"/>
      <c r="AGN15" s="237"/>
      <c r="AGO15" s="237"/>
      <c r="AGP15" s="237"/>
      <c r="AGQ15" s="237"/>
      <c r="AGR15" s="237"/>
      <c r="AGS15" s="237"/>
      <c r="AGT15" s="237"/>
      <c r="AGU15" s="237"/>
      <c r="AGV15" s="237"/>
      <c r="AGW15" s="237"/>
      <c r="AGX15" s="237"/>
      <c r="AGY15" s="237"/>
      <c r="AGZ15" s="237"/>
      <c r="AHA15" s="237"/>
      <c r="AHB15" s="237"/>
      <c r="AHC15" s="237"/>
      <c r="AHD15" s="46"/>
      <c r="AHE15" s="46"/>
      <c r="AHF15" s="46"/>
      <c r="AHG15" s="46"/>
      <c r="AHH15" s="14"/>
      <c r="AHI15" s="16"/>
      <c r="AHJ15" s="16"/>
      <c r="AHK15" s="16"/>
      <c r="AHL15" s="16"/>
      <c r="AHM15" s="16"/>
      <c r="AHN15" s="48"/>
      <c r="AHO15" s="16"/>
      <c r="AHP15" s="16"/>
      <c r="AHQ15" s="16"/>
      <c r="AHR15" s="16"/>
      <c r="AHS15" s="16"/>
      <c r="AHT15" s="48"/>
      <c r="AHU15" s="48"/>
      <c r="AHV15" s="48"/>
      <c r="AHW15" s="16"/>
      <c r="AHX15" s="16"/>
      <c r="AHY15" s="16"/>
      <c r="AHZ15" s="16"/>
      <c r="AIA15" s="16"/>
      <c r="AIB15" s="16"/>
      <c r="AIC15" s="170"/>
      <c r="AID15" s="170">
        <v>42.3</v>
      </c>
      <c r="AIE15" s="170">
        <v>41.8</v>
      </c>
      <c r="AIF15" s="16">
        <v>41.8</v>
      </c>
      <c r="AIG15" s="16">
        <v>41.8</v>
      </c>
      <c r="AIH15" s="16">
        <v>41.8</v>
      </c>
      <c r="AII15" s="16">
        <v>41.8</v>
      </c>
      <c r="AIJ15" s="16">
        <v>41.8</v>
      </c>
      <c r="AIK15" s="16">
        <v>41.8</v>
      </c>
      <c r="AIL15" s="16">
        <v>41.8</v>
      </c>
      <c r="AIM15" s="16">
        <v>41.8</v>
      </c>
      <c r="AIN15" s="16">
        <v>41.8</v>
      </c>
      <c r="AIO15" s="16">
        <v>41.8</v>
      </c>
      <c r="AIP15" s="16">
        <v>41.8</v>
      </c>
      <c r="AIQ15" s="16">
        <v>41.8</v>
      </c>
      <c r="AIR15" s="16">
        <v>41.8</v>
      </c>
      <c r="AIS15" s="16">
        <v>41.8</v>
      </c>
      <c r="AIT15" s="16">
        <v>41.8</v>
      </c>
      <c r="AIU15" s="16">
        <v>41.8</v>
      </c>
      <c r="AIV15" s="48">
        <v>41.8</v>
      </c>
      <c r="AIW15" s="48">
        <v>41.8</v>
      </c>
      <c r="AIX15" s="48">
        <v>41.8</v>
      </c>
      <c r="AIY15" s="48">
        <v>41.8</v>
      </c>
      <c r="AIZ15" s="48">
        <v>41.8</v>
      </c>
      <c r="AJA15" s="16">
        <v>41.8</v>
      </c>
      <c r="AJB15" s="48">
        <v>41.8</v>
      </c>
      <c r="AJC15" s="16"/>
      <c r="AJD15" s="16"/>
      <c r="AJE15" s="16"/>
      <c r="AJF15" s="16"/>
      <c r="AJG15" s="16"/>
      <c r="AJH15" s="16"/>
      <c r="AJI15" s="16"/>
      <c r="AJJ15" s="48"/>
      <c r="AJK15" s="48"/>
      <c r="AJL15" s="48"/>
      <c r="AJM15" s="48"/>
      <c r="AJN15" s="48"/>
      <c r="AJO15" s="16"/>
      <c r="AJP15" s="16"/>
      <c r="AJQ15" s="48"/>
      <c r="AJR15" s="16"/>
      <c r="AJS15" s="16"/>
      <c r="AJT15" s="48">
        <v>41.8</v>
      </c>
      <c r="AJU15" s="48">
        <v>41.8</v>
      </c>
      <c r="AJV15" s="308">
        <v>41.8</v>
      </c>
      <c r="AJW15" s="308">
        <v>41.8</v>
      </c>
      <c r="AJX15" s="308">
        <v>41.8</v>
      </c>
      <c r="AJY15" s="288">
        <v>41.8</v>
      </c>
      <c r="AJZ15" s="308">
        <v>41.8</v>
      </c>
      <c r="AKA15" s="288">
        <v>41.8</v>
      </c>
      <c r="AKB15" s="354">
        <v>41.8</v>
      </c>
      <c r="AKC15" s="288">
        <v>41.8</v>
      </c>
      <c r="AKD15" s="288">
        <v>41.8</v>
      </c>
      <c r="AKE15" s="288">
        <v>41.8</v>
      </c>
      <c r="AKF15" s="429"/>
      <c r="AKG15" s="288"/>
      <c r="AKH15" s="349"/>
      <c r="AKI15" s="4"/>
      <c r="AKJ15" s="186"/>
      <c r="AKK15" s="6"/>
      <c r="AKL15" s="6"/>
      <c r="AKM15" s="6"/>
      <c r="AKN15" s="6"/>
      <c r="AKO15" s="6"/>
      <c r="AKP15" s="197"/>
      <c r="AKQ15" s="187"/>
      <c r="AKR15" s="187"/>
      <c r="AKS15" s="197"/>
      <c r="AKT15" s="197"/>
      <c r="AKU15" s="187"/>
      <c r="AKV15" s="187"/>
      <c r="AKW15" s="187"/>
      <c r="AKX15" s="197"/>
      <c r="AKY15" s="197"/>
      <c r="AKZ15" s="197"/>
      <c r="ALA15" s="197"/>
      <c r="ALB15" s="197"/>
      <c r="ALC15" s="198"/>
      <c r="ALD15" s="198"/>
      <c r="ALU15" s="237"/>
      <c r="ALV15" s="237"/>
      <c r="ALW15" s="237"/>
      <c r="ALX15" s="237"/>
      <c r="ALY15" s="237"/>
      <c r="ALZ15" s="237"/>
      <c r="AMA15" s="237"/>
      <c r="AMB15" s="237"/>
      <c r="AMC15" s="237"/>
      <c r="AMD15" s="237"/>
      <c r="AME15" s="237"/>
      <c r="AMF15" s="237"/>
      <c r="AMG15" s="237"/>
      <c r="AMH15" s="237"/>
      <c r="AMI15" s="237"/>
      <c r="AMJ15" s="237"/>
      <c r="AMK15" s="349"/>
      <c r="AML15" s="349"/>
      <c r="AMM15" s="349"/>
    </row>
    <row r="16" spans="1:1029" ht="29.1" hidden="1" customHeight="1" thickBot="1" x14ac:dyDescent="0.35">
      <c r="A16" s="108" t="s">
        <v>11</v>
      </c>
      <c r="B16" s="109" t="s">
        <v>61</v>
      </c>
      <c r="C16" s="110" t="s">
        <v>4</v>
      </c>
      <c r="D16" s="110">
        <v>550</v>
      </c>
      <c r="E16" s="5" t="s">
        <v>8</v>
      </c>
      <c r="F16" s="101">
        <v>33.5</v>
      </c>
      <c r="G16" s="120">
        <f t="shared" si="1"/>
        <v>33.799999999999997</v>
      </c>
      <c r="H16" s="162"/>
      <c r="I16" s="102"/>
      <c r="J16" s="217"/>
      <c r="K16" s="289"/>
      <c r="L16" s="50"/>
      <c r="M16" s="51"/>
      <c r="N16" s="52"/>
      <c r="O16" s="52"/>
      <c r="P16" s="52"/>
      <c r="Q16" s="52"/>
      <c r="R16" s="20"/>
      <c r="S16" s="20"/>
      <c r="T16" s="20"/>
      <c r="U16" s="20"/>
      <c r="V16" s="20"/>
      <c r="W16" s="20"/>
      <c r="X16" s="52"/>
      <c r="Y16" s="20"/>
      <c r="Z16" s="20"/>
      <c r="AA16" s="20"/>
      <c r="AB16" s="20"/>
      <c r="AC16" s="20"/>
      <c r="AD16" s="52"/>
      <c r="AE16" s="52"/>
      <c r="AF16" s="52"/>
      <c r="AG16" s="20"/>
      <c r="AH16" s="20"/>
      <c r="AI16" s="20"/>
      <c r="AJ16" s="20"/>
      <c r="AK16" s="20"/>
      <c r="AL16" s="20"/>
      <c r="AM16" s="171"/>
      <c r="AN16" s="174">
        <v>47.5</v>
      </c>
      <c r="AO16" s="174">
        <v>44.5</v>
      </c>
      <c r="AP16" s="23">
        <v>44.5</v>
      </c>
      <c r="AQ16" s="23">
        <v>44.5</v>
      </c>
      <c r="AR16" s="23">
        <v>44.5</v>
      </c>
      <c r="AS16" s="23">
        <v>44.5</v>
      </c>
      <c r="AT16" s="23">
        <v>44.5</v>
      </c>
      <c r="AU16" s="23">
        <v>44.5</v>
      </c>
      <c r="AV16" s="23">
        <v>44.5</v>
      </c>
      <c r="AW16" s="23">
        <v>44.5</v>
      </c>
      <c r="AX16" s="23">
        <v>44.5</v>
      </c>
      <c r="AY16" s="23">
        <v>44.5</v>
      </c>
      <c r="AZ16" s="23">
        <v>44.5</v>
      </c>
      <c r="BA16" s="23">
        <v>44.5</v>
      </c>
      <c r="BB16" s="23">
        <v>44.5</v>
      </c>
      <c r="BC16" s="23">
        <v>44.5</v>
      </c>
      <c r="BD16" s="23">
        <v>44.5</v>
      </c>
      <c r="BE16" s="66">
        <v>44.5</v>
      </c>
      <c r="BF16" s="66">
        <v>44.5</v>
      </c>
      <c r="BG16" s="66">
        <v>44.5</v>
      </c>
      <c r="BH16" s="66">
        <v>44.5</v>
      </c>
      <c r="BI16" s="66">
        <v>44.5</v>
      </c>
      <c r="BJ16" s="23">
        <v>44.5</v>
      </c>
      <c r="BK16" s="66">
        <v>44.5</v>
      </c>
      <c r="BL16" s="66">
        <v>44.5</v>
      </c>
      <c r="BM16" s="66">
        <v>44.5</v>
      </c>
      <c r="BN16" s="174">
        <v>44.5</v>
      </c>
      <c r="BO16" s="174">
        <v>44.5</v>
      </c>
      <c r="BP16" s="174">
        <v>44.5</v>
      </c>
      <c r="BQ16" s="23">
        <v>44.5</v>
      </c>
      <c r="BR16" s="23">
        <v>44.5</v>
      </c>
      <c r="BS16" s="23">
        <v>44.5</v>
      </c>
      <c r="BT16" s="23">
        <v>44.5</v>
      </c>
      <c r="BU16" s="23">
        <v>44.5</v>
      </c>
      <c r="BV16" s="23">
        <v>44.5</v>
      </c>
      <c r="BW16" s="23">
        <v>44.5</v>
      </c>
      <c r="BX16" s="23">
        <v>44.5</v>
      </c>
      <c r="BY16" s="23">
        <v>44.5</v>
      </c>
      <c r="BZ16" s="23">
        <v>44.5</v>
      </c>
      <c r="CA16" s="23">
        <v>44.5</v>
      </c>
      <c r="CB16" s="23">
        <v>44.5</v>
      </c>
      <c r="CC16" s="66">
        <v>44.5</v>
      </c>
      <c r="CD16" s="66">
        <v>44.5</v>
      </c>
      <c r="CE16" s="66">
        <v>44.5</v>
      </c>
      <c r="CF16" s="66">
        <v>44.5</v>
      </c>
      <c r="CG16" s="66">
        <v>44.5</v>
      </c>
      <c r="CH16" s="23">
        <v>44.5</v>
      </c>
      <c r="CI16" s="66">
        <v>44.5</v>
      </c>
      <c r="CJ16" s="66">
        <v>44.5</v>
      </c>
      <c r="CK16" s="23">
        <v>44.5</v>
      </c>
      <c r="CL16" s="23">
        <v>44.5</v>
      </c>
      <c r="CM16" s="23">
        <v>44.5</v>
      </c>
      <c r="CN16" s="23">
        <v>44.5</v>
      </c>
      <c r="CO16" s="23">
        <v>44.5</v>
      </c>
      <c r="CP16" s="23">
        <v>44.5</v>
      </c>
      <c r="CQ16" s="23">
        <v>44.5</v>
      </c>
      <c r="CR16" s="23">
        <v>44.5</v>
      </c>
      <c r="CS16" s="23">
        <v>44.5</v>
      </c>
      <c r="CT16" s="23">
        <v>44.5</v>
      </c>
      <c r="CU16" s="23">
        <v>44.5</v>
      </c>
      <c r="CV16" s="23">
        <v>44.5</v>
      </c>
      <c r="CW16" s="23">
        <v>44.5</v>
      </c>
      <c r="CX16" s="23">
        <v>44.5</v>
      </c>
      <c r="CY16" s="23">
        <v>44.5</v>
      </c>
      <c r="CZ16" s="66">
        <v>44.5</v>
      </c>
      <c r="DA16" s="23">
        <v>44.5</v>
      </c>
      <c r="DB16" s="23">
        <v>44.5</v>
      </c>
      <c r="DC16" s="23">
        <v>44.5</v>
      </c>
      <c r="DD16" s="23">
        <v>44.5</v>
      </c>
      <c r="DE16" s="23">
        <v>44.5</v>
      </c>
      <c r="DF16" s="23">
        <v>44.5</v>
      </c>
      <c r="DG16" s="23">
        <v>44.5</v>
      </c>
      <c r="DH16" s="23">
        <v>44.5</v>
      </c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50"/>
      <c r="ER16" s="50"/>
      <c r="ES16" s="50"/>
      <c r="ET16" s="50"/>
      <c r="EU16" s="50"/>
      <c r="EV16" s="50"/>
      <c r="EW16" s="15"/>
      <c r="EX16" s="15"/>
      <c r="EY16" s="15"/>
      <c r="EZ16" s="15"/>
      <c r="FA16" s="15"/>
      <c r="FB16" s="15"/>
      <c r="FC16" s="15"/>
      <c r="FD16" s="50"/>
      <c r="FE16" s="15"/>
      <c r="FF16" s="15"/>
      <c r="FG16" s="15"/>
      <c r="FH16" s="15"/>
      <c r="FI16" s="15"/>
      <c r="FJ16" s="50"/>
      <c r="FK16" s="50"/>
      <c r="FL16" s="50"/>
      <c r="FM16" s="15"/>
      <c r="FN16" s="15"/>
      <c r="FO16" s="15"/>
      <c r="FP16" s="15"/>
      <c r="FQ16" s="15"/>
      <c r="FR16" s="15"/>
      <c r="FS16" s="167"/>
      <c r="FT16" s="174"/>
      <c r="FU16" s="174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66"/>
      <c r="GL16" s="66"/>
      <c r="GM16" s="66"/>
      <c r="GN16" s="66"/>
      <c r="GO16" s="66"/>
      <c r="GP16" s="23"/>
      <c r="GQ16" s="66"/>
      <c r="GR16" s="66"/>
      <c r="GS16" s="66"/>
      <c r="GT16" s="174"/>
      <c r="GU16" s="174"/>
      <c r="GV16" s="174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66"/>
      <c r="HJ16" s="66"/>
      <c r="HK16" s="66"/>
      <c r="HL16" s="66"/>
      <c r="HM16" s="66"/>
      <c r="HN16" s="23"/>
      <c r="HO16" s="66"/>
      <c r="HP16" s="66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66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50"/>
      <c r="JX16" s="50"/>
      <c r="JY16" s="51"/>
      <c r="JZ16" s="51"/>
      <c r="KA16" s="51"/>
      <c r="KB16" s="52"/>
      <c r="KC16" s="52"/>
      <c r="KD16" s="53"/>
      <c r="KE16" s="20"/>
      <c r="KF16" s="20"/>
      <c r="KG16" s="20"/>
      <c r="KH16" s="20"/>
      <c r="KI16" s="20"/>
      <c r="KJ16" s="52"/>
      <c r="KK16" s="20"/>
      <c r="KL16" s="20"/>
      <c r="KM16" s="20"/>
      <c r="KN16" s="20"/>
      <c r="KO16" s="20"/>
      <c r="KP16" s="52"/>
      <c r="KQ16" s="52"/>
      <c r="KR16" s="52"/>
      <c r="KS16" s="20"/>
      <c r="KT16" s="20"/>
      <c r="KU16" s="20"/>
      <c r="KV16" s="20"/>
      <c r="KW16" s="20"/>
      <c r="KX16" s="20"/>
      <c r="KY16" s="171"/>
      <c r="KZ16" s="171">
        <v>47.3</v>
      </c>
      <c r="LA16" s="171">
        <v>47.3</v>
      </c>
      <c r="LB16" s="20">
        <v>47.3</v>
      </c>
      <c r="LC16" s="20">
        <v>47.3</v>
      </c>
      <c r="LD16" s="20">
        <v>47.3</v>
      </c>
      <c r="LE16" s="20">
        <v>47.3</v>
      </c>
      <c r="LF16" s="20">
        <v>47.3</v>
      </c>
      <c r="LG16" s="20">
        <v>47.3</v>
      </c>
      <c r="LH16" s="20">
        <v>47.3</v>
      </c>
      <c r="LI16" s="20">
        <v>47.3</v>
      </c>
      <c r="LJ16" s="20">
        <v>47.3</v>
      </c>
      <c r="LK16" s="20">
        <v>47.3</v>
      </c>
      <c r="LL16" s="20">
        <v>47.3</v>
      </c>
      <c r="LM16" s="20">
        <v>47.3</v>
      </c>
      <c r="LN16" s="20">
        <v>47.3</v>
      </c>
      <c r="LO16" s="20">
        <v>47.3</v>
      </c>
      <c r="LP16" s="20">
        <v>47.3</v>
      </c>
      <c r="LQ16" s="52">
        <v>47.3</v>
      </c>
      <c r="LR16" s="52">
        <v>47.3</v>
      </c>
      <c r="LS16" s="52">
        <v>47.3</v>
      </c>
      <c r="LT16" s="52">
        <v>47.3</v>
      </c>
      <c r="LU16" s="52">
        <v>47.3</v>
      </c>
      <c r="LV16" s="20">
        <v>47.3</v>
      </c>
      <c r="LW16" s="52">
        <v>47.3</v>
      </c>
      <c r="LX16" s="52">
        <v>47.3</v>
      </c>
      <c r="LY16" s="52">
        <v>47.3</v>
      </c>
      <c r="LZ16" s="20">
        <v>47.3</v>
      </c>
      <c r="MA16" s="171">
        <v>47.3</v>
      </c>
      <c r="MB16" s="171">
        <v>47.3</v>
      </c>
      <c r="MC16" s="20">
        <v>47.3</v>
      </c>
      <c r="MD16" s="20">
        <v>47.3</v>
      </c>
      <c r="ME16" s="20">
        <v>47.3</v>
      </c>
      <c r="MF16" s="20">
        <v>47.3</v>
      </c>
      <c r="MG16" s="20">
        <v>47.3</v>
      </c>
      <c r="MH16" s="20">
        <v>47.3</v>
      </c>
      <c r="MI16" s="20">
        <v>47.3</v>
      </c>
      <c r="MJ16" s="20">
        <v>47.3</v>
      </c>
      <c r="MK16" s="20">
        <v>47.3</v>
      </c>
      <c r="ML16" s="20">
        <v>47.3</v>
      </c>
      <c r="MM16" s="20">
        <v>47.3</v>
      </c>
      <c r="MN16" s="20">
        <v>47.3</v>
      </c>
      <c r="MO16" s="52">
        <v>47.3</v>
      </c>
      <c r="MP16" s="52">
        <v>47.3</v>
      </c>
      <c r="MQ16" s="52">
        <v>47.3</v>
      </c>
      <c r="MR16" s="52">
        <v>47.3</v>
      </c>
      <c r="MS16" s="52">
        <v>47.3</v>
      </c>
      <c r="MT16" s="20">
        <v>47.3</v>
      </c>
      <c r="MU16" s="52">
        <v>47.3</v>
      </c>
      <c r="MV16" s="52">
        <v>47.3</v>
      </c>
      <c r="MW16" s="20">
        <v>47.3</v>
      </c>
      <c r="MX16" s="20">
        <v>47.3</v>
      </c>
      <c r="MY16" s="20">
        <v>47.3</v>
      </c>
      <c r="MZ16" s="20">
        <v>47.3</v>
      </c>
      <c r="NA16" s="20">
        <v>47.3</v>
      </c>
      <c r="NB16" s="20">
        <v>47.3</v>
      </c>
      <c r="NC16" s="20">
        <v>47.3</v>
      </c>
      <c r="ND16" s="20">
        <v>47.3</v>
      </c>
      <c r="NE16" s="20">
        <v>47.3</v>
      </c>
      <c r="NF16" s="20">
        <v>47.3</v>
      </c>
      <c r="NG16" s="20">
        <v>47.3</v>
      </c>
      <c r="NH16" s="20">
        <v>47.3</v>
      </c>
      <c r="NI16" s="20">
        <v>47.3</v>
      </c>
      <c r="NJ16" s="20">
        <v>47.3</v>
      </c>
      <c r="NK16" s="20">
        <v>47.3</v>
      </c>
      <c r="NL16" s="52">
        <v>47.3</v>
      </c>
      <c r="NM16" s="20">
        <v>47.3</v>
      </c>
      <c r="NN16" s="20">
        <v>47.3</v>
      </c>
      <c r="NO16" s="20">
        <v>47.3</v>
      </c>
      <c r="NP16" s="20">
        <v>47.3</v>
      </c>
      <c r="NQ16" s="20">
        <v>47.3</v>
      </c>
      <c r="NR16" s="20">
        <v>47.3</v>
      </c>
      <c r="NS16" s="20">
        <v>47.3</v>
      </c>
      <c r="NT16" s="20">
        <v>47.3</v>
      </c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>
        <v>47.3</v>
      </c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>
        <v>47.3</v>
      </c>
      <c r="PC16" s="50"/>
      <c r="PD16" s="50"/>
      <c r="PE16" s="50"/>
      <c r="PF16" s="50"/>
      <c r="PG16" s="52"/>
      <c r="PH16" s="52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52"/>
      <c r="PW16" s="52"/>
      <c r="PX16" s="52"/>
      <c r="PY16" s="20"/>
      <c r="PZ16" s="20"/>
      <c r="QA16" s="20"/>
      <c r="QB16" s="20"/>
      <c r="QC16" s="20"/>
      <c r="QD16" s="20"/>
      <c r="QE16" s="171"/>
      <c r="QF16" s="171"/>
      <c r="QG16" s="171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52"/>
      <c r="QX16" s="52"/>
      <c r="QY16" s="52"/>
      <c r="QZ16" s="52"/>
      <c r="RA16" s="52"/>
      <c r="RB16" s="319"/>
      <c r="RC16" s="338"/>
      <c r="RD16" s="338"/>
      <c r="RE16" s="338"/>
      <c r="RF16" s="319"/>
      <c r="RG16" s="379"/>
      <c r="RH16" s="379"/>
      <c r="RI16" s="319"/>
      <c r="RJ16" s="319"/>
      <c r="RK16" s="319"/>
      <c r="RL16" s="319"/>
      <c r="RM16" s="319"/>
      <c r="RN16" s="319"/>
      <c r="RO16" s="319"/>
      <c r="RP16" s="319"/>
      <c r="RQ16" s="319"/>
      <c r="RR16" s="319"/>
      <c r="RS16" s="319"/>
      <c r="RT16" s="319"/>
      <c r="RU16" s="338"/>
      <c r="RV16" s="338"/>
      <c r="RW16" s="338"/>
      <c r="RX16" s="338"/>
      <c r="RY16" s="338"/>
      <c r="RZ16" s="319"/>
      <c r="SA16" s="338"/>
      <c r="SB16" s="338"/>
      <c r="SC16" s="319"/>
      <c r="SD16" s="319"/>
      <c r="SE16" s="319"/>
      <c r="SF16" s="319"/>
      <c r="SG16" s="319"/>
      <c r="SH16" s="319"/>
      <c r="SI16" s="319"/>
      <c r="SJ16" s="319"/>
      <c r="SK16" s="319"/>
      <c r="SL16" s="319"/>
      <c r="SM16" s="319"/>
      <c r="SN16" s="319"/>
      <c r="SO16" s="319"/>
      <c r="SP16" s="319"/>
      <c r="SQ16" s="319"/>
      <c r="SR16" s="338"/>
      <c r="SS16" s="319"/>
      <c r="ST16" s="319"/>
      <c r="SU16" s="319"/>
      <c r="SV16" s="319"/>
      <c r="SW16" s="319"/>
      <c r="SX16" s="319"/>
      <c r="SY16" s="319"/>
      <c r="SZ16" s="319"/>
      <c r="TA16" s="319"/>
      <c r="TB16" s="319"/>
      <c r="TC16" s="319"/>
      <c r="TD16" s="319"/>
      <c r="TE16" s="319"/>
      <c r="TF16" s="319"/>
      <c r="TG16" s="319"/>
      <c r="TH16" s="319"/>
      <c r="TI16" s="319"/>
      <c r="TJ16" s="319"/>
      <c r="TK16" s="319"/>
      <c r="TL16" s="319"/>
      <c r="TM16" s="319"/>
      <c r="TN16" s="319"/>
      <c r="TO16" s="319"/>
      <c r="TP16" s="319"/>
      <c r="TQ16" s="319"/>
      <c r="TR16" s="319"/>
      <c r="TS16" s="319"/>
      <c r="TT16" s="319"/>
      <c r="TU16" s="319"/>
      <c r="TV16" s="319"/>
      <c r="TW16" s="319"/>
      <c r="TX16" s="319"/>
      <c r="TY16" s="319"/>
      <c r="TZ16" s="319"/>
      <c r="UA16" s="319"/>
      <c r="UB16" s="319"/>
      <c r="UC16" s="319"/>
      <c r="UD16" s="319"/>
      <c r="UE16" s="319"/>
      <c r="UF16" s="319"/>
      <c r="UG16" s="319"/>
      <c r="UH16" s="319"/>
      <c r="UI16" s="50"/>
      <c r="UJ16" s="50"/>
      <c r="UK16" s="50"/>
      <c r="UL16" s="50"/>
      <c r="UM16" s="15"/>
      <c r="UN16" s="15"/>
      <c r="UO16" s="15"/>
      <c r="UP16" s="15"/>
      <c r="UQ16" s="50"/>
      <c r="UR16" s="15"/>
      <c r="US16" s="15"/>
      <c r="UT16" s="15"/>
      <c r="UU16" s="15"/>
      <c r="UV16" s="15"/>
      <c r="UW16" s="15"/>
      <c r="UX16" s="50"/>
      <c r="UY16" s="15"/>
      <c r="UZ16" s="50"/>
      <c r="VA16" s="15"/>
      <c r="VB16" s="50"/>
      <c r="VC16" s="50"/>
      <c r="VD16" s="15"/>
      <c r="VE16" s="15"/>
      <c r="VF16" s="50"/>
      <c r="VG16" s="50"/>
      <c r="VH16" s="15"/>
      <c r="VI16" s="15"/>
      <c r="VJ16" s="15"/>
      <c r="VK16" s="15"/>
      <c r="VL16" s="50"/>
      <c r="VM16" s="50"/>
      <c r="VN16" s="50"/>
      <c r="VO16" s="50"/>
      <c r="VP16" s="15"/>
      <c r="VQ16" s="50"/>
      <c r="VR16" s="15"/>
      <c r="VS16" s="15"/>
      <c r="VT16" s="15"/>
      <c r="VU16" s="15"/>
      <c r="VV16" s="50"/>
      <c r="VW16" s="50"/>
      <c r="VX16" s="50"/>
      <c r="VY16" s="50"/>
      <c r="VZ16" s="50"/>
      <c r="WA16" s="50"/>
      <c r="WB16" s="15"/>
      <c r="WC16" s="15"/>
      <c r="WD16" s="15"/>
      <c r="WE16" s="15"/>
      <c r="WF16" s="15"/>
      <c r="WG16" s="15"/>
      <c r="WH16" s="15"/>
      <c r="WI16" s="50"/>
      <c r="WJ16" s="15"/>
      <c r="WK16" s="15"/>
      <c r="WL16" s="15"/>
      <c r="WM16" s="50"/>
      <c r="WN16" s="50"/>
      <c r="WO16" s="50"/>
      <c r="WP16" s="50"/>
      <c r="WQ16" s="15"/>
      <c r="WR16" s="15"/>
      <c r="WS16" s="15"/>
      <c r="WT16" s="15"/>
      <c r="WU16" s="15"/>
      <c r="WV16" s="15"/>
      <c r="WW16" s="15"/>
      <c r="WX16" s="167"/>
      <c r="WY16" s="167"/>
      <c r="WZ16" s="167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50"/>
      <c r="XQ16" s="50"/>
      <c r="XR16" s="50"/>
      <c r="XS16" s="50"/>
      <c r="XT16" s="50"/>
      <c r="XU16" s="15"/>
      <c r="XV16" s="50"/>
      <c r="XW16" s="15"/>
      <c r="XX16" s="167"/>
      <c r="XY16" s="15"/>
      <c r="XZ16" s="167"/>
      <c r="YA16" s="167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50"/>
      <c r="YO16" s="50"/>
      <c r="YP16" s="50"/>
      <c r="YQ16" s="50"/>
      <c r="YR16" s="50"/>
      <c r="YS16" s="15"/>
      <c r="YT16" s="50"/>
      <c r="YU16" s="50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50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50"/>
      <c r="ABC16" s="50"/>
      <c r="ABD16" s="50"/>
      <c r="ABE16" s="15"/>
      <c r="ABF16" s="15"/>
      <c r="ABG16" s="20"/>
      <c r="ABH16" s="20"/>
      <c r="ABI16" s="20"/>
      <c r="ABJ16" s="20"/>
      <c r="ABK16" s="20"/>
      <c r="ABL16" s="52"/>
      <c r="ABM16" s="20"/>
      <c r="ABN16" s="20"/>
      <c r="ABO16" s="20"/>
      <c r="ABP16" s="20"/>
      <c r="ABQ16" s="20"/>
      <c r="ABR16" s="52"/>
      <c r="ABS16" s="52"/>
      <c r="ABT16" s="52"/>
      <c r="ABU16" s="20"/>
      <c r="ABV16" s="20"/>
      <c r="ABW16" s="20"/>
      <c r="ABX16" s="20"/>
      <c r="ABY16" s="20"/>
      <c r="ABZ16" s="20"/>
      <c r="ACA16" s="171"/>
      <c r="ACB16" s="171">
        <v>49.8</v>
      </c>
      <c r="ACC16" s="171">
        <v>49.3</v>
      </c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52"/>
      <c r="ACT16" s="52"/>
      <c r="ACU16" s="52"/>
      <c r="ACV16" s="52"/>
      <c r="ACW16" s="52"/>
      <c r="ACX16" s="20"/>
      <c r="ACY16" s="52"/>
      <c r="ACZ16" s="20"/>
      <c r="ADA16" s="171"/>
      <c r="ADB16" s="20"/>
      <c r="ADC16" s="171"/>
      <c r="ADD16" s="171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52"/>
      <c r="ADR16" s="52"/>
      <c r="ADS16" s="52"/>
      <c r="ADT16" s="52"/>
      <c r="ADU16" s="52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52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50"/>
      <c r="AHE16" s="50"/>
      <c r="AHF16" s="50"/>
      <c r="AHG16" s="50"/>
      <c r="AHH16" s="15"/>
      <c r="AHI16" s="20"/>
      <c r="AHJ16" s="20"/>
      <c r="AHK16" s="20"/>
      <c r="AHL16" s="20"/>
      <c r="AHM16" s="20"/>
      <c r="AHN16" s="52"/>
      <c r="AHO16" s="20"/>
      <c r="AHP16" s="20"/>
      <c r="AHQ16" s="20"/>
      <c r="AHR16" s="20"/>
      <c r="AHS16" s="20"/>
      <c r="AHT16" s="52"/>
      <c r="AHU16" s="52"/>
      <c r="AHV16" s="52"/>
      <c r="AHW16" s="20"/>
      <c r="AHX16" s="20"/>
      <c r="AHY16" s="20"/>
      <c r="AHZ16" s="20"/>
      <c r="AIA16" s="20"/>
      <c r="AIB16" s="20"/>
      <c r="AIC16" s="171"/>
      <c r="AID16" s="171">
        <v>47.3</v>
      </c>
      <c r="AIE16" s="171">
        <v>46.8</v>
      </c>
      <c r="AIF16" s="20">
        <v>46.8</v>
      </c>
      <c r="AIG16" s="20">
        <v>46.8</v>
      </c>
      <c r="AIH16" s="20">
        <v>46.8</v>
      </c>
      <c r="AII16" s="20">
        <v>46.8</v>
      </c>
      <c r="AIJ16" s="20">
        <v>46.8</v>
      </c>
      <c r="AIK16" s="20">
        <v>46.8</v>
      </c>
      <c r="AIL16" s="20">
        <v>46.8</v>
      </c>
      <c r="AIM16" s="20">
        <v>46.8</v>
      </c>
      <c r="AIN16" s="20">
        <v>46.8</v>
      </c>
      <c r="AIO16" s="20">
        <v>46.8</v>
      </c>
      <c r="AIP16" s="20">
        <v>46.8</v>
      </c>
      <c r="AIQ16" s="20">
        <v>46.8</v>
      </c>
      <c r="AIR16" s="20">
        <v>46.8</v>
      </c>
      <c r="AIS16" s="20">
        <v>46.8</v>
      </c>
      <c r="AIT16" s="20">
        <v>46.8</v>
      </c>
      <c r="AIU16" s="20">
        <v>46.8</v>
      </c>
      <c r="AIV16" s="52">
        <v>46.8</v>
      </c>
      <c r="AIW16" s="52">
        <v>46.8</v>
      </c>
      <c r="AIX16" s="52">
        <v>46.8</v>
      </c>
      <c r="AIY16" s="52">
        <v>46.8</v>
      </c>
      <c r="AIZ16" s="52">
        <v>46.8</v>
      </c>
      <c r="AJA16" s="20">
        <v>46.8</v>
      </c>
      <c r="AJB16" s="52">
        <v>46.8</v>
      </c>
      <c r="AJC16" s="20"/>
      <c r="AJD16" s="20"/>
      <c r="AJE16" s="20"/>
      <c r="AJF16" s="20"/>
      <c r="AJG16" s="20"/>
      <c r="AJH16" s="20"/>
      <c r="AJI16" s="20"/>
      <c r="AJJ16" s="52"/>
      <c r="AJK16" s="52"/>
      <c r="AJL16" s="52"/>
      <c r="AJM16" s="52"/>
      <c r="AJN16" s="52"/>
      <c r="AJO16" s="20"/>
      <c r="AJP16" s="20"/>
      <c r="AJQ16" s="52"/>
      <c r="AJR16" s="20"/>
      <c r="AJS16" s="20"/>
      <c r="AJT16" s="52">
        <v>46.8</v>
      </c>
      <c r="AJU16" s="52">
        <v>46.8</v>
      </c>
      <c r="AJV16" s="309">
        <v>46.8</v>
      </c>
      <c r="AJW16" s="309">
        <v>46.8</v>
      </c>
      <c r="AJX16" s="309">
        <v>46.8</v>
      </c>
      <c r="AJY16" s="290">
        <v>46.8</v>
      </c>
      <c r="AJZ16" s="309">
        <v>46.8</v>
      </c>
      <c r="AKA16" s="290">
        <v>46.8</v>
      </c>
      <c r="AKB16" s="355">
        <v>46.8</v>
      </c>
      <c r="AKC16" s="290">
        <v>46.8</v>
      </c>
      <c r="AKD16" s="290">
        <v>46.8</v>
      </c>
      <c r="AKE16" s="290">
        <v>46.8</v>
      </c>
      <c r="AKF16" s="430"/>
      <c r="AKG16" s="290"/>
      <c r="AKH16" s="349"/>
      <c r="AKI16" s="4"/>
      <c r="AKJ16" s="186"/>
      <c r="AKK16" s="6"/>
      <c r="AKL16" s="6"/>
      <c r="AKM16" s="6"/>
      <c r="AKN16" s="6"/>
      <c r="AKO16" s="6"/>
      <c r="AKP16" s="187"/>
      <c r="AKQ16" s="187"/>
      <c r="AKR16" s="187"/>
      <c r="AKS16" s="187"/>
      <c r="AKT16" s="187"/>
      <c r="AKU16" s="187"/>
      <c r="AKV16" s="187"/>
      <c r="AKW16" s="187"/>
      <c r="AKX16" s="187"/>
      <c r="AKY16" s="187"/>
      <c r="AKZ16" s="187"/>
      <c r="ALA16" s="187"/>
      <c r="ALB16" s="187"/>
      <c r="ALC16" s="198"/>
      <c r="ALD16" s="198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349"/>
      <c r="AML16" s="349"/>
      <c r="AMM16" s="349"/>
    </row>
    <row r="17" spans="1:1027" ht="29.1" hidden="1" customHeight="1" x14ac:dyDescent="0.3">
      <c r="A17" s="105" t="s">
        <v>11</v>
      </c>
      <c r="B17" s="106" t="s">
        <v>60</v>
      </c>
      <c r="C17" s="107" t="s">
        <v>2</v>
      </c>
      <c r="D17" s="107">
        <v>600</v>
      </c>
      <c r="E17" s="154"/>
      <c r="F17" s="155"/>
      <c r="G17" s="156"/>
      <c r="H17" s="161">
        <v>30</v>
      </c>
      <c r="I17" s="99">
        <v>38.5</v>
      </c>
      <c r="J17" s="215">
        <v>15000</v>
      </c>
      <c r="K17" s="285"/>
      <c r="L17" s="41"/>
      <c r="M17" s="42"/>
      <c r="N17" s="43"/>
      <c r="O17" s="43"/>
      <c r="P17" s="42"/>
      <c r="Q17" s="43"/>
      <c r="R17" s="10"/>
      <c r="S17" s="10"/>
      <c r="T17" s="10"/>
      <c r="U17" s="10"/>
      <c r="V17" s="10"/>
      <c r="W17" s="10"/>
      <c r="X17" s="43"/>
      <c r="Y17" s="10"/>
      <c r="Z17" s="10"/>
      <c r="AA17" s="10"/>
      <c r="AB17" s="10"/>
      <c r="AC17" s="10"/>
      <c r="AD17" s="43"/>
      <c r="AE17" s="43"/>
      <c r="AF17" s="43"/>
      <c r="AG17" s="10"/>
      <c r="AH17" s="10"/>
      <c r="AI17" s="10"/>
      <c r="AJ17" s="10"/>
      <c r="AK17" s="10"/>
      <c r="AL17" s="10"/>
      <c r="AM17" s="169"/>
      <c r="AN17" s="169"/>
      <c r="AO17" s="169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43"/>
      <c r="BF17" s="43"/>
      <c r="BG17" s="43"/>
      <c r="BH17" s="43"/>
      <c r="BI17" s="43"/>
      <c r="BJ17" s="10"/>
      <c r="BK17" s="43"/>
      <c r="BL17" s="43"/>
      <c r="BM17" s="43"/>
      <c r="BN17" s="169"/>
      <c r="BO17" s="169"/>
      <c r="BP17" s="169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43"/>
      <c r="CD17" s="43"/>
      <c r="CE17" s="43"/>
      <c r="CF17" s="43"/>
      <c r="CG17" s="43"/>
      <c r="CH17" s="10"/>
      <c r="CI17" s="43"/>
      <c r="CJ17" s="43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43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41"/>
      <c r="ER17" s="41"/>
      <c r="ES17" s="41"/>
      <c r="ET17" s="41"/>
      <c r="EU17" s="41"/>
      <c r="EV17" s="41"/>
      <c r="EW17" s="13"/>
      <c r="EX17" s="13"/>
      <c r="EY17" s="13"/>
      <c r="EZ17" s="13"/>
      <c r="FA17" s="13"/>
      <c r="FB17" s="13"/>
      <c r="FC17" s="13"/>
      <c r="FD17" s="41"/>
      <c r="FE17" s="13"/>
      <c r="FF17" s="13"/>
      <c r="FG17" s="13"/>
      <c r="FH17" s="13"/>
      <c r="FI17" s="13"/>
      <c r="FJ17" s="41"/>
      <c r="FK17" s="41"/>
      <c r="FL17" s="41"/>
      <c r="FM17" s="13"/>
      <c r="FN17" s="13"/>
      <c r="FO17" s="13"/>
      <c r="FP17" s="13"/>
      <c r="FQ17" s="13"/>
      <c r="FR17" s="13"/>
      <c r="FS17" s="165"/>
      <c r="FT17" s="165"/>
      <c r="FU17" s="165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41"/>
      <c r="GL17" s="41"/>
      <c r="GM17" s="41"/>
      <c r="GN17" s="41"/>
      <c r="GO17" s="41"/>
      <c r="GP17" s="13"/>
      <c r="GQ17" s="41"/>
      <c r="GR17" s="41"/>
      <c r="GS17" s="41"/>
      <c r="GT17" s="165"/>
      <c r="GU17" s="165"/>
      <c r="GV17" s="165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41"/>
      <c r="HJ17" s="41"/>
      <c r="HK17" s="41"/>
      <c r="HL17" s="41"/>
      <c r="HM17" s="41"/>
      <c r="HN17" s="13"/>
      <c r="HO17" s="41"/>
      <c r="HP17" s="41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41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41"/>
      <c r="JX17" s="41"/>
      <c r="JY17" s="41"/>
      <c r="JZ17" s="42"/>
      <c r="KA17" s="43"/>
      <c r="KB17" s="43"/>
      <c r="KC17" s="43"/>
      <c r="KD17" s="44"/>
      <c r="KE17" s="44"/>
      <c r="KF17" s="10"/>
      <c r="KG17" s="10"/>
      <c r="KH17" s="10"/>
      <c r="KI17" s="10"/>
      <c r="KJ17" s="43"/>
      <c r="KK17" s="10"/>
      <c r="KL17" s="10"/>
      <c r="KM17" s="10"/>
      <c r="KN17" s="10"/>
      <c r="KO17" s="10"/>
      <c r="KP17" s="43"/>
      <c r="KQ17" s="43"/>
      <c r="KR17" s="43"/>
      <c r="KS17" s="10"/>
      <c r="KT17" s="10"/>
      <c r="KU17" s="10"/>
      <c r="KV17" s="10">
        <v>44.5</v>
      </c>
      <c r="KW17" s="10"/>
      <c r="KX17" s="10"/>
      <c r="KY17" s="169"/>
      <c r="KZ17" s="169"/>
      <c r="LA17" s="169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43"/>
      <c r="LR17" s="43"/>
      <c r="LS17" s="43"/>
      <c r="LT17" s="43"/>
      <c r="LU17" s="43"/>
      <c r="LV17" s="10"/>
      <c r="LW17" s="43"/>
      <c r="LX17" s="43"/>
      <c r="LY17" s="43"/>
      <c r="LZ17" s="10"/>
      <c r="MA17" s="169"/>
      <c r="MB17" s="169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43"/>
      <c r="MP17" s="43"/>
      <c r="MQ17" s="43"/>
      <c r="MR17" s="43"/>
      <c r="MS17" s="43"/>
      <c r="MT17" s="10"/>
      <c r="MU17" s="43"/>
      <c r="MV17" s="43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43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41"/>
      <c r="PD17" s="41"/>
      <c r="PE17" s="41"/>
      <c r="PF17" s="41"/>
      <c r="PG17" s="42"/>
      <c r="PH17" s="42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43"/>
      <c r="PW17" s="43"/>
      <c r="PX17" s="43"/>
      <c r="PY17" s="10"/>
      <c r="PZ17" s="10"/>
      <c r="QA17" s="10"/>
      <c r="QB17" s="10">
        <v>52.9</v>
      </c>
      <c r="QC17" s="10"/>
      <c r="QD17" s="10"/>
      <c r="QE17" s="169"/>
      <c r="QF17" s="169"/>
      <c r="QG17" s="169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43"/>
      <c r="QX17" s="43"/>
      <c r="QY17" s="43"/>
      <c r="QZ17" s="43"/>
      <c r="RA17" s="43"/>
      <c r="RB17" s="320"/>
      <c r="RC17" s="339"/>
      <c r="RD17" s="339"/>
      <c r="RE17" s="339"/>
      <c r="RF17" s="320"/>
      <c r="RG17" s="380"/>
      <c r="RH17" s="380"/>
      <c r="RI17" s="320"/>
      <c r="RJ17" s="320"/>
      <c r="RK17" s="320"/>
      <c r="RL17" s="320"/>
      <c r="RM17" s="320"/>
      <c r="RN17" s="320"/>
      <c r="RO17" s="320"/>
      <c r="RP17" s="320"/>
      <c r="RQ17" s="320"/>
      <c r="RR17" s="320"/>
      <c r="RS17" s="320"/>
      <c r="RT17" s="320"/>
      <c r="RU17" s="339"/>
      <c r="RV17" s="339"/>
      <c r="RW17" s="339"/>
      <c r="RX17" s="339"/>
      <c r="RY17" s="339"/>
      <c r="RZ17" s="320"/>
      <c r="SA17" s="339"/>
      <c r="SB17" s="339"/>
      <c r="SC17" s="320"/>
      <c r="SD17" s="320"/>
      <c r="SE17" s="320"/>
      <c r="SF17" s="320"/>
      <c r="SG17" s="320"/>
      <c r="SH17" s="320"/>
      <c r="SI17" s="320"/>
      <c r="SJ17" s="320"/>
      <c r="SK17" s="320"/>
      <c r="SL17" s="320"/>
      <c r="SM17" s="320"/>
      <c r="SN17" s="320"/>
      <c r="SO17" s="320"/>
      <c r="SP17" s="320"/>
      <c r="SQ17" s="320"/>
      <c r="SR17" s="339"/>
      <c r="SS17" s="320"/>
      <c r="ST17" s="320"/>
      <c r="SU17" s="320"/>
      <c r="SV17" s="320"/>
      <c r="SW17" s="320"/>
      <c r="SX17" s="320"/>
      <c r="SY17" s="320"/>
      <c r="SZ17" s="320"/>
      <c r="TA17" s="320"/>
      <c r="TB17" s="320"/>
      <c r="TC17" s="320"/>
      <c r="TD17" s="320"/>
      <c r="TE17" s="320"/>
      <c r="TF17" s="320"/>
      <c r="TG17" s="320"/>
      <c r="TH17" s="320"/>
      <c r="TI17" s="320"/>
      <c r="TJ17" s="320"/>
      <c r="TK17" s="320"/>
      <c r="TL17" s="320"/>
      <c r="TM17" s="320"/>
      <c r="TN17" s="320"/>
      <c r="TO17" s="320"/>
      <c r="TP17" s="320"/>
      <c r="TQ17" s="320"/>
      <c r="TR17" s="320"/>
      <c r="TS17" s="320"/>
      <c r="TT17" s="320"/>
      <c r="TU17" s="320"/>
      <c r="TV17" s="320"/>
      <c r="TW17" s="320"/>
      <c r="TX17" s="320"/>
      <c r="TY17" s="320"/>
      <c r="TZ17" s="320"/>
      <c r="UA17" s="320"/>
      <c r="UB17" s="320"/>
      <c r="UC17" s="320"/>
      <c r="UD17" s="320"/>
      <c r="UE17" s="320"/>
      <c r="UF17" s="320"/>
      <c r="UG17" s="320"/>
      <c r="UH17" s="320"/>
      <c r="UI17" s="41"/>
      <c r="UJ17" s="41"/>
      <c r="UK17" s="41"/>
      <c r="UL17" s="41"/>
      <c r="UM17" s="13"/>
      <c r="UN17" s="13"/>
      <c r="UO17" s="13"/>
      <c r="UP17" s="13"/>
      <c r="UQ17" s="41"/>
      <c r="UR17" s="13"/>
      <c r="US17" s="13"/>
      <c r="UT17" s="13"/>
      <c r="UU17" s="13"/>
      <c r="UV17" s="13"/>
      <c r="UW17" s="13"/>
      <c r="UX17" s="41"/>
      <c r="UY17" s="13"/>
      <c r="UZ17" s="41"/>
      <c r="VA17" s="13"/>
      <c r="VB17" s="41"/>
      <c r="VC17" s="41"/>
      <c r="VD17" s="13"/>
      <c r="VE17" s="13"/>
      <c r="VF17" s="41"/>
      <c r="VG17" s="41"/>
      <c r="VH17" s="13"/>
      <c r="VI17" s="13"/>
      <c r="VJ17" s="13"/>
      <c r="VK17" s="13"/>
      <c r="VL17" s="41"/>
      <c r="VM17" s="41"/>
      <c r="VN17" s="41"/>
      <c r="VO17" s="41"/>
      <c r="VP17" s="13"/>
      <c r="VQ17" s="41"/>
      <c r="VR17" s="13"/>
      <c r="VS17" s="13"/>
      <c r="VT17" s="13"/>
      <c r="VU17" s="13"/>
      <c r="VV17" s="41"/>
      <c r="VW17" s="41"/>
      <c r="VX17" s="41"/>
      <c r="VY17" s="41"/>
      <c r="VZ17" s="41"/>
      <c r="WA17" s="41"/>
      <c r="WB17" s="13"/>
      <c r="WC17" s="13"/>
      <c r="WD17" s="13"/>
      <c r="WE17" s="13"/>
      <c r="WF17" s="13"/>
      <c r="WG17" s="13"/>
      <c r="WH17" s="13"/>
      <c r="WI17" s="41"/>
      <c r="WJ17" s="13"/>
      <c r="WK17" s="13"/>
      <c r="WL17" s="13"/>
      <c r="WM17" s="41"/>
      <c r="WN17" s="41"/>
      <c r="WO17" s="41"/>
      <c r="WP17" s="41"/>
      <c r="WQ17" s="41"/>
      <c r="WR17" s="13"/>
      <c r="WS17" s="13"/>
      <c r="WT17" s="13">
        <v>38.5</v>
      </c>
      <c r="WU17" s="13">
        <v>38.5</v>
      </c>
      <c r="WV17" s="13">
        <v>38.5</v>
      </c>
      <c r="WW17" s="13">
        <v>38.5</v>
      </c>
      <c r="WX17" s="165">
        <v>38.5</v>
      </c>
      <c r="WY17" s="165">
        <v>38.5</v>
      </c>
      <c r="WZ17" s="165">
        <v>38.5</v>
      </c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41">
        <v>38</v>
      </c>
      <c r="XQ17" s="41">
        <v>38</v>
      </c>
      <c r="XR17" s="41">
        <v>38</v>
      </c>
      <c r="XS17" s="41">
        <v>38</v>
      </c>
      <c r="XT17" s="41">
        <v>38</v>
      </c>
      <c r="XU17" s="13">
        <v>38</v>
      </c>
      <c r="XV17" s="41">
        <v>37</v>
      </c>
      <c r="XW17" s="13">
        <v>37</v>
      </c>
      <c r="XX17" s="165">
        <v>37</v>
      </c>
      <c r="XY17" s="13">
        <v>37</v>
      </c>
      <c r="XZ17" s="165">
        <v>37</v>
      </c>
      <c r="YA17" s="165">
        <v>37</v>
      </c>
      <c r="YB17" s="13">
        <v>37</v>
      </c>
      <c r="YC17" s="13">
        <v>37</v>
      </c>
      <c r="YD17" s="13">
        <v>37</v>
      </c>
      <c r="YE17" s="13">
        <v>37</v>
      </c>
      <c r="YF17" s="13">
        <v>37</v>
      </c>
      <c r="YG17" s="13">
        <v>37</v>
      </c>
      <c r="YH17" s="13">
        <v>37</v>
      </c>
      <c r="YI17" s="13">
        <v>37</v>
      </c>
      <c r="YJ17" s="13">
        <v>37</v>
      </c>
      <c r="YK17" s="13">
        <v>37</v>
      </c>
      <c r="YL17" s="13">
        <v>37</v>
      </c>
      <c r="YM17" s="13">
        <v>37</v>
      </c>
      <c r="YN17" s="41">
        <v>37</v>
      </c>
      <c r="YO17" s="41">
        <v>37</v>
      </c>
      <c r="YP17" s="41">
        <v>37</v>
      </c>
      <c r="YQ17" s="41"/>
      <c r="YR17" s="41"/>
      <c r="YS17" s="13"/>
      <c r="YT17" s="41"/>
      <c r="YU17" s="41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41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41"/>
      <c r="ABC17" s="41"/>
      <c r="ABD17" s="41"/>
      <c r="ABE17" s="13"/>
      <c r="ABF17" s="13"/>
      <c r="ABG17" s="10"/>
      <c r="ABH17" s="10"/>
      <c r="ABI17" s="10"/>
      <c r="ABJ17" s="10"/>
      <c r="ABK17" s="10"/>
      <c r="ABL17" s="43"/>
      <c r="ABM17" s="10"/>
      <c r="ABN17" s="10"/>
      <c r="ABO17" s="10"/>
      <c r="ABP17" s="10"/>
      <c r="ABQ17" s="10"/>
      <c r="ABR17" s="43"/>
      <c r="ABS17" s="43"/>
      <c r="ABT17" s="43"/>
      <c r="ABU17" s="10"/>
      <c r="ABV17" s="10"/>
      <c r="ABW17" s="10"/>
      <c r="ABX17" s="10"/>
      <c r="ABY17" s="10"/>
      <c r="ABZ17" s="10"/>
      <c r="ACA17" s="169"/>
      <c r="ACB17" s="169"/>
      <c r="ACC17" s="169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43"/>
      <c r="ACT17" s="43"/>
      <c r="ACU17" s="43"/>
      <c r="ACV17" s="43"/>
      <c r="ACW17" s="43"/>
      <c r="ACX17" s="10"/>
      <c r="ACY17" s="43"/>
      <c r="ACZ17" s="10"/>
      <c r="ADA17" s="169"/>
      <c r="ADB17" s="10"/>
      <c r="ADC17" s="169"/>
      <c r="ADD17" s="169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43"/>
      <c r="ADR17" s="43"/>
      <c r="ADS17" s="43"/>
      <c r="ADT17" s="43"/>
      <c r="ADU17" s="43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43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41"/>
      <c r="AHE17" s="41"/>
      <c r="AHF17" s="41"/>
      <c r="AHG17" s="41"/>
      <c r="AHH17" s="13"/>
      <c r="AHI17" s="10"/>
      <c r="AHJ17" s="10"/>
      <c r="AHK17" s="10"/>
      <c r="AHL17" s="10"/>
      <c r="AHM17" s="10"/>
      <c r="AHN17" s="43"/>
      <c r="AHO17" s="10"/>
      <c r="AHP17" s="10"/>
      <c r="AHQ17" s="10"/>
      <c r="AHR17" s="10"/>
      <c r="AHS17" s="10"/>
      <c r="AHT17" s="43"/>
      <c r="AHU17" s="43"/>
      <c r="AHV17" s="43"/>
      <c r="AHW17" s="10"/>
      <c r="AHX17" s="10"/>
      <c r="AHY17" s="10"/>
      <c r="AHZ17" s="10"/>
      <c r="AIA17" s="10"/>
      <c r="AIB17" s="10"/>
      <c r="AIC17" s="169"/>
      <c r="AID17" s="169"/>
      <c r="AIE17" s="169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43"/>
      <c r="AIW17" s="43"/>
      <c r="AIX17" s="43"/>
      <c r="AIY17" s="43"/>
      <c r="AIZ17" s="43"/>
      <c r="AJA17" s="10"/>
      <c r="AJB17" s="43"/>
      <c r="AJC17" s="10"/>
      <c r="AJD17" s="10"/>
      <c r="AJE17" s="10"/>
      <c r="AJF17" s="10"/>
      <c r="AJG17" s="10"/>
      <c r="AJH17" s="10"/>
      <c r="AJI17" s="10"/>
      <c r="AJJ17" s="43"/>
      <c r="AJK17" s="43"/>
      <c r="AJL17" s="43"/>
      <c r="AJM17" s="43"/>
      <c r="AJN17" s="43"/>
      <c r="AJO17" s="10"/>
      <c r="AJP17" s="10"/>
      <c r="AJQ17" s="43"/>
      <c r="AJR17" s="10"/>
      <c r="AJS17" s="10"/>
      <c r="AJT17" s="43"/>
      <c r="AJU17" s="43"/>
      <c r="AJV17" s="307"/>
      <c r="AJW17" s="307"/>
      <c r="AJX17" s="307"/>
      <c r="AJY17" s="286"/>
      <c r="AJZ17" s="307"/>
      <c r="AKA17" s="286"/>
      <c r="AKB17" s="353"/>
      <c r="AKC17" s="286"/>
      <c r="AKD17" s="286"/>
      <c r="AKE17" s="286"/>
      <c r="AKF17" s="431"/>
      <c r="AKG17" s="286"/>
      <c r="AKH17" s="349"/>
      <c r="AKI17" s="282">
        <f>AVERAGE(WX17)</f>
        <v>38.5</v>
      </c>
      <c r="AKJ17" s="187">
        <f>AVERAGE(WY17)</f>
        <v>38.5</v>
      </c>
      <c r="AKK17" s="187" t="e">
        <f>AVERAGE(ABA17)</f>
        <v>#DIV/0!</v>
      </c>
      <c r="AKL17" s="187" t="e">
        <f>AVERAGE(ABA17)</f>
        <v>#DIV/0!</v>
      </c>
      <c r="AKM17" s="187"/>
      <c r="AKN17" s="187"/>
      <c r="AKO17" s="187"/>
      <c r="AKP17" s="187"/>
      <c r="AKQ17" s="187"/>
      <c r="AKR17" s="187"/>
      <c r="AKS17" s="187"/>
      <c r="AKT17" s="187"/>
      <c r="AKU17" s="187"/>
      <c r="AKV17" s="187"/>
      <c r="AKW17" s="187"/>
      <c r="AKX17" s="187"/>
      <c r="AKY17" s="187"/>
      <c r="AKZ17" s="187"/>
      <c r="ALA17" s="187"/>
      <c r="ALB17" s="187"/>
      <c r="ALC17" s="187"/>
      <c r="ALD17" s="187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349"/>
      <c r="AML17" s="349"/>
      <c r="AMM17" s="349"/>
    </row>
    <row r="18" spans="1:1027" ht="29.1" hidden="1" customHeight="1" x14ac:dyDescent="0.3">
      <c r="A18" s="35" t="s">
        <v>13</v>
      </c>
      <c r="B18" s="30" t="s">
        <v>58</v>
      </c>
      <c r="C18" s="29" t="s">
        <v>3</v>
      </c>
      <c r="D18" s="29">
        <v>600</v>
      </c>
      <c r="E18" s="154"/>
      <c r="F18" s="155"/>
      <c r="G18" s="156"/>
      <c r="H18" s="159"/>
      <c r="I18" s="222"/>
      <c r="J18" s="216"/>
      <c r="K18" s="287"/>
      <c r="L18" s="46"/>
      <c r="M18" s="47"/>
      <c r="N18" s="48"/>
      <c r="O18" s="48"/>
      <c r="P18" s="48"/>
      <c r="Q18" s="48"/>
      <c r="R18" s="16"/>
      <c r="S18" s="16"/>
      <c r="T18" s="16"/>
      <c r="U18" s="16"/>
      <c r="V18" s="16"/>
      <c r="W18" s="16"/>
      <c r="X18" s="48"/>
      <c r="Y18" s="16"/>
      <c r="Z18" s="16"/>
      <c r="AA18" s="16"/>
      <c r="AB18" s="16"/>
      <c r="AC18" s="16"/>
      <c r="AD18" s="48"/>
      <c r="AE18" s="48"/>
      <c r="AF18" s="48"/>
      <c r="AG18" s="16"/>
      <c r="AH18" s="16"/>
      <c r="AI18" s="16"/>
      <c r="AJ18" s="16"/>
      <c r="AK18" s="16"/>
      <c r="AL18" s="16"/>
      <c r="AM18" s="170"/>
      <c r="AN18" s="170"/>
      <c r="AO18" s="170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48"/>
      <c r="BF18" s="48"/>
      <c r="BG18" s="48"/>
      <c r="BH18" s="48"/>
      <c r="BI18" s="48"/>
      <c r="BJ18" s="16"/>
      <c r="BK18" s="48"/>
      <c r="BL18" s="48"/>
      <c r="BM18" s="48"/>
      <c r="BN18" s="170"/>
      <c r="BO18" s="170"/>
      <c r="BP18" s="170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48"/>
      <c r="CD18" s="48"/>
      <c r="CE18" s="48"/>
      <c r="CF18" s="48"/>
      <c r="CG18" s="48"/>
      <c r="CH18" s="16"/>
      <c r="CI18" s="48"/>
      <c r="CJ18" s="48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48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46"/>
      <c r="ER18" s="46"/>
      <c r="ES18" s="46"/>
      <c r="ET18" s="46"/>
      <c r="EU18" s="46"/>
      <c r="EV18" s="46"/>
      <c r="EW18" s="14"/>
      <c r="EX18" s="14"/>
      <c r="EY18" s="14"/>
      <c r="EZ18" s="14"/>
      <c r="FA18" s="14"/>
      <c r="FB18" s="14"/>
      <c r="FC18" s="14"/>
      <c r="FD18" s="46"/>
      <c r="FE18" s="14"/>
      <c r="FF18" s="14"/>
      <c r="FG18" s="14"/>
      <c r="FH18" s="14"/>
      <c r="FI18" s="14"/>
      <c r="FJ18" s="46"/>
      <c r="FK18" s="46"/>
      <c r="FL18" s="46"/>
      <c r="FM18" s="14"/>
      <c r="FN18" s="14"/>
      <c r="FO18" s="14"/>
      <c r="FP18" s="14"/>
      <c r="FQ18" s="14"/>
      <c r="FR18" s="14"/>
      <c r="FS18" s="166"/>
      <c r="FT18" s="166"/>
      <c r="FU18" s="166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46"/>
      <c r="GL18" s="46"/>
      <c r="GM18" s="46"/>
      <c r="GN18" s="46"/>
      <c r="GO18" s="46"/>
      <c r="GP18" s="14"/>
      <c r="GQ18" s="46"/>
      <c r="GR18" s="46"/>
      <c r="GS18" s="46"/>
      <c r="GT18" s="166"/>
      <c r="GU18" s="166"/>
      <c r="GV18" s="166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46"/>
      <c r="HJ18" s="46"/>
      <c r="HK18" s="46"/>
      <c r="HL18" s="46"/>
      <c r="HM18" s="46"/>
      <c r="HN18" s="14"/>
      <c r="HO18" s="46"/>
      <c r="HP18" s="46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46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46"/>
      <c r="JX18" s="46"/>
      <c r="JY18" s="46"/>
      <c r="JZ18" s="48"/>
      <c r="KA18" s="47"/>
      <c r="KB18" s="48"/>
      <c r="KC18" s="48"/>
      <c r="KD18" s="49"/>
      <c r="KE18" s="16"/>
      <c r="KF18" s="16"/>
      <c r="KG18" s="16"/>
      <c r="KH18" s="16"/>
      <c r="KI18" s="16"/>
      <c r="KJ18" s="48"/>
      <c r="KK18" s="16"/>
      <c r="KL18" s="16"/>
      <c r="KM18" s="16"/>
      <c r="KN18" s="16"/>
      <c r="KO18" s="16"/>
      <c r="KP18" s="48"/>
      <c r="KQ18" s="48"/>
      <c r="KR18" s="48"/>
      <c r="KS18" s="16"/>
      <c r="KT18" s="16"/>
      <c r="KU18" s="16"/>
      <c r="KV18" s="16"/>
      <c r="KW18" s="16"/>
      <c r="KX18" s="16"/>
      <c r="KY18" s="170"/>
      <c r="KZ18" s="170"/>
      <c r="LA18" s="170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48"/>
      <c r="LR18" s="48"/>
      <c r="LS18" s="48"/>
      <c r="LT18" s="48"/>
      <c r="LU18" s="48"/>
      <c r="LV18" s="16"/>
      <c r="LW18" s="48"/>
      <c r="LX18" s="48"/>
      <c r="LY18" s="48"/>
      <c r="LZ18" s="16"/>
      <c r="MA18" s="170"/>
      <c r="MB18" s="170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48"/>
      <c r="MP18" s="48"/>
      <c r="MQ18" s="48"/>
      <c r="MR18" s="48"/>
      <c r="MS18" s="48"/>
      <c r="MT18" s="16"/>
      <c r="MU18" s="48"/>
      <c r="MV18" s="48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48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46"/>
      <c r="PD18" s="46"/>
      <c r="PE18" s="46"/>
      <c r="PF18" s="47"/>
      <c r="PG18" s="48"/>
      <c r="PH18" s="48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48"/>
      <c r="PW18" s="48"/>
      <c r="PX18" s="48"/>
      <c r="PY18" s="16"/>
      <c r="PZ18" s="16"/>
      <c r="QA18" s="16"/>
      <c r="QB18" s="16"/>
      <c r="QC18" s="16"/>
      <c r="QD18" s="16"/>
      <c r="QE18" s="170"/>
      <c r="QF18" s="170"/>
      <c r="QG18" s="170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48"/>
      <c r="QX18" s="48"/>
      <c r="QY18" s="48"/>
      <c r="QZ18" s="48"/>
      <c r="RA18" s="48"/>
      <c r="RB18" s="321"/>
      <c r="RC18" s="340"/>
      <c r="RD18" s="340"/>
      <c r="RE18" s="340"/>
      <c r="RF18" s="321"/>
      <c r="RG18" s="381"/>
      <c r="RH18" s="381"/>
      <c r="RI18" s="321"/>
      <c r="RJ18" s="321"/>
      <c r="RK18" s="321"/>
      <c r="RL18" s="321"/>
      <c r="RM18" s="321"/>
      <c r="RN18" s="321"/>
      <c r="RO18" s="321"/>
      <c r="RP18" s="321"/>
      <c r="RQ18" s="321"/>
      <c r="RR18" s="321"/>
      <c r="RS18" s="321"/>
      <c r="RT18" s="321"/>
      <c r="RU18" s="340"/>
      <c r="RV18" s="340"/>
      <c r="RW18" s="340"/>
      <c r="RX18" s="340"/>
      <c r="RY18" s="340"/>
      <c r="RZ18" s="321"/>
      <c r="SA18" s="340"/>
      <c r="SB18" s="340"/>
      <c r="SC18" s="321"/>
      <c r="SD18" s="321"/>
      <c r="SE18" s="321"/>
      <c r="SF18" s="321"/>
      <c r="SG18" s="321"/>
      <c r="SH18" s="321"/>
      <c r="SI18" s="321"/>
      <c r="SJ18" s="321"/>
      <c r="SK18" s="321"/>
      <c r="SL18" s="321"/>
      <c r="SM18" s="321"/>
      <c r="SN18" s="321"/>
      <c r="SO18" s="321"/>
      <c r="SP18" s="321"/>
      <c r="SQ18" s="321"/>
      <c r="SR18" s="340"/>
      <c r="SS18" s="321"/>
      <c r="ST18" s="321"/>
      <c r="SU18" s="321"/>
      <c r="SV18" s="321"/>
      <c r="SW18" s="321"/>
      <c r="SX18" s="321"/>
      <c r="SY18" s="321"/>
      <c r="SZ18" s="321"/>
      <c r="TA18" s="321"/>
      <c r="TB18" s="321"/>
      <c r="TC18" s="321"/>
      <c r="TD18" s="321"/>
      <c r="TE18" s="321"/>
      <c r="TF18" s="321"/>
      <c r="TG18" s="321"/>
      <c r="TH18" s="321"/>
      <c r="TI18" s="321"/>
      <c r="TJ18" s="321"/>
      <c r="TK18" s="321"/>
      <c r="TL18" s="321"/>
      <c r="TM18" s="321"/>
      <c r="TN18" s="321"/>
      <c r="TO18" s="321"/>
      <c r="TP18" s="321"/>
      <c r="TQ18" s="321"/>
      <c r="TR18" s="321"/>
      <c r="TS18" s="321"/>
      <c r="TT18" s="321"/>
      <c r="TU18" s="321"/>
      <c r="TV18" s="321"/>
      <c r="TW18" s="321"/>
      <c r="TX18" s="321"/>
      <c r="TY18" s="321"/>
      <c r="TZ18" s="321"/>
      <c r="UA18" s="321"/>
      <c r="UB18" s="321"/>
      <c r="UC18" s="321"/>
      <c r="UD18" s="321"/>
      <c r="UE18" s="321"/>
      <c r="UF18" s="321"/>
      <c r="UG18" s="321"/>
      <c r="UH18" s="321"/>
      <c r="UI18" s="46"/>
      <c r="UJ18" s="46"/>
      <c r="UK18" s="46"/>
      <c r="UL18" s="46"/>
      <c r="UM18" s="14"/>
      <c r="UN18" s="14"/>
      <c r="UO18" s="14"/>
      <c r="UP18" s="14"/>
      <c r="UQ18" s="46"/>
      <c r="UR18" s="14"/>
      <c r="US18" s="14"/>
      <c r="UT18" s="14"/>
      <c r="UU18" s="14"/>
      <c r="UV18" s="14"/>
      <c r="UW18" s="14"/>
      <c r="UX18" s="46"/>
      <c r="UY18" s="14"/>
      <c r="UZ18" s="46"/>
      <c r="VA18" s="14"/>
      <c r="VB18" s="46"/>
      <c r="VC18" s="46"/>
      <c r="VD18" s="14"/>
      <c r="VE18" s="14"/>
      <c r="VF18" s="46"/>
      <c r="VG18" s="46"/>
      <c r="VH18" s="14"/>
      <c r="VI18" s="14"/>
      <c r="VJ18" s="14"/>
      <c r="VK18" s="14"/>
      <c r="VL18" s="46"/>
      <c r="VM18" s="46"/>
      <c r="VN18" s="46"/>
      <c r="VO18" s="46"/>
      <c r="VP18" s="14"/>
      <c r="VQ18" s="46"/>
      <c r="VR18" s="14"/>
      <c r="VS18" s="14"/>
      <c r="VT18" s="14"/>
      <c r="VU18" s="14"/>
      <c r="VV18" s="46"/>
      <c r="VW18" s="46"/>
      <c r="VX18" s="46"/>
      <c r="VY18" s="46"/>
      <c r="VZ18" s="46"/>
      <c r="WA18" s="46"/>
      <c r="WB18" s="14"/>
      <c r="WC18" s="14"/>
      <c r="WD18" s="14"/>
      <c r="WE18" s="14"/>
      <c r="WF18" s="14"/>
      <c r="WG18" s="14"/>
      <c r="WH18" s="14"/>
      <c r="WI18" s="46"/>
      <c r="WJ18" s="14"/>
      <c r="WK18" s="14"/>
      <c r="WL18" s="14"/>
      <c r="WM18" s="46"/>
      <c r="WN18" s="46"/>
      <c r="WO18" s="46"/>
      <c r="WP18" s="46"/>
      <c r="WQ18" s="46"/>
      <c r="WR18" s="14"/>
      <c r="WS18" s="14"/>
      <c r="WT18" s="14"/>
      <c r="WU18" s="14"/>
      <c r="WV18" s="14"/>
      <c r="WW18" s="14"/>
      <c r="WX18" s="166"/>
      <c r="WY18" s="166"/>
      <c r="WZ18" s="166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46"/>
      <c r="XQ18" s="46"/>
      <c r="XR18" s="46"/>
      <c r="XS18" s="46"/>
      <c r="XT18" s="46"/>
      <c r="XU18" s="14"/>
      <c r="XV18" s="46"/>
      <c r="XW18" s="14"/>
      <c r="XX18" s="166"/>
      <c r="XY18" s="14"/>
      <c r="XZ18" s="166"/>
      <c r="YA18" s="166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46"/>
      <c r="YO18" s="46"/>
      <c r="YP18" s="46"/>
      <c r="YQ18" s="46"/>
      <c r="YR18" s="46"/>
      <c r="YS18" s="14"/>
      <c r="YT18" s="46"/>
      <c r="YU18" s="46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46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46"/>
      <c r="ABC18" s="46"/>
      <c r="ABD18" s="46"/>
      <c r="ABE18" s="14"/>
      <c r="ABF18" s="14"/>
      <c r="ABG18" s="16"/>
      <c r="ABH18" s="16"/>
      <c r="ABI18" s="16"/>
      <c r="ABJ18" s="16"/>
      <c r="ABK18" s="16"/>
      <c r="ABL18" s="48"/>
      <c r="ABM18" s="16"/>
      <c r="ABN18" s="16"/>
      <c r="ABO18" s="16"/>
      <c r="ABP18" s="16"/>
      <c r="ABQ18" s="16"/>
      <c r="ABR18" s="48"/>
      <c r="ABS18" s="48"/>
      <c r="ABT18" s="48"/>
      <c r="ABU18" s="16"/>
      <c r="ABV18" s="16"/>
      <c r="ABW18" s="16"/>
      <c r="ABX18" s="16"/>
      <c r="ABY18" s="16"/>
      <c r="ABZ18" s="16"/>
      <c r="ACA18" s="170"/>
      <c r="ACB18" s="170"/>
      <c r="ACC18" s="170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65"/>
      <c r="ACT18" s="65"/>
      <c r="ACU18" s="65"/>
      <c r="ACV18" s="65"/>
      <c r="ACW18" s="65"/>
      <c r="ACX18" s="11"/>
      <c r="ACY18" s="65"/>
      <c r="ACZ18" s="11"/>
      <c r="ADA18" s="180"/>
      <c r="ADB18" s="11"/>
      <c r="ADC18" s="180"/>
      <c r="ADD18" s="180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65"/>
      <c r="ADR18" s="65"/>
      <c r="ADS18" s="65"/>
      <c r="ADT18" s="65"/>
      <c r="ADU18" s="65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65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46"/>
      <c r="AHE18" s="46"/>
      <c r="AHF18" s="46"/>
      <c r="AHG18" s="46"/>
      <c r="AHH18" s="14"/>
      <c r="AHI18" s="16"/>
      <c r="AHJ18" s="16"/>
      <c r="AHK18" s="16"/>
      <c r="AHL18" s="16"/>
      <c r="AHM18" s="16"/>
      <c r="AHN18" s="48"/>
      <c r="AHO18" s="16"/>
      <c r="AHP18" s="16"/>
      <c r="AHQ18" s="16"/>
      <c r="AHR18" s="16"/>
      <c r="AHS18" s="16"/>
      <c r="AHT18" s="48"/>
      <c r="AHU18" s="48"/>
      <c r="AHV18" s="48"/>
      <c r="AHW18" s="16"/>
      <c r="AHX18" s="16"/>
      <c r="AHY18" s="16"/>
      <c r="AHZ18" s="16"/>
      <c r="AIA18" s="16"/>
      <c r="AIB18" s="16"/>
      <c r="AIC18" s="170"/>
      <c r="AID18" s="170"/>
      <c r="AIE18" s="170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48"/>
      <c r="AIW18" s="48"/>
      <c r="AIX18" s="48"/>
      <c r="AIY18" s="48"/>
      <c r="AIZ18" s="48"/>
      <c r="AJA18" s="16"/>
      <c r="AJB18" s="48"/>
      <c r="AJC18" s="16"/>
      <c r="AJD18" s="16"/>
      <c r="AJE18" s="16"/>
      <c r="AJF18" s="16"/>
      <c r="AJG18" s="16"/>
      <c r="AJH18" s="16"/>
      <c r="AJI18" s="16"/>
      <c r="AJJ18" s="48"/>
      <c r="AJK18" s="48"/>
      <c r="AJL18" s="48"/>
      <c r="AJM18" s="48"/>
      <c r="AJN18" s="48"/>
      <c r="AJO18" s="16"/>
      <c r="AJP18" s="16"/>
      <c r="AJQ18" s="48"/>
      <c r="AJR18" s="16"/>
      <c r="AJS18" s="16"/>
      <c r="AJT18" s="48"/>
      <c r="AJU18" s="48"/>
      <c r="AJV18" s="308"/>
      <c r="AJW18" s="308"/>
      <c r="AJX18" s="308"/>
      <c r="AJY18" s="288"/>
      <c r="AJZ18" s="308"/>
      <c r="AKA18" s="288"/>
      <c r="AKB18" s="354"/>
      <c r="AKC18" s="288"/>
      <c r="AKD18" s="288"/>
      <c r="AKE18" s="288"/>
      <c r="AKF18" s="429"/>
      <c r="AKG18" s="288"/>
      <c r="AKH18" s="349"/>
      <c r="AKI18" s="4"/>
      <c r="AKJ18" s="186"/>
      <c r="AKK18" s="6"/>
      <c r="AKL18" s="187" t="e">
        <f>AVERAGE(ABA18)</f>
        <v>#DIV/0!</v>
      </c>
      <c r="AKM18" s="187"/>
      <c r="AKN18" s="187"/>
      <c r="AKO18" s="187"/>
      <c r="AKP18" s="187"/>
      <c r="AKQ18" s="187"/>
      <c r="AKR18" s="187"/>
      <c r="AKS18" s="187"/>
      <c r="AKT18" s="187"/>
      <c r="AKU18" s="187"/>
      <c r="AKV18" s="187"/>
      <c r="AKW18" s="187"/>
      <c r="AKX18" s="187"/>
      <c r="AKY18" s="187"/>
      <c r="AKZ18" s="187"/>
      <c r="ALA18" s="187"/>
      <c r="ALB18" s="187"/>
      <c r="ALC18" s="187"/>
      <c r="ALD18" s="187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349"/>
      <c r="AML18" s="349"/>
      <c r="AMM18" s="349"/>
    </row>
    <row r="19" spans="1:1027" ht="29.1" hidden="1" customHeight="1" thickBot="1" x14ac:dyDescent="0.35">
      <c r="A19" s="108" t="s">
        <v>11</v>
      </c>
      <c r="B19" s="109" t="s">
        <v>58</v>
      </c>
      <c r="C19" s="110" t="s">
        <v>4</v>
      </c>
      <c r="D19" s="110">
        <v>600</v>
      </c>
      <c r="E19" s="154"/>
      <c r="F19" s="155"/>
      <c r="G19" s="156"/>
      <c r="H19" s="162"/>
      <c r="I19" s="102"/>
      <c r="J19" s="217"/>
      <c r="K19" s="289"/>
      <c r="L19" s="50"/>
      <c r="M19" s="51"/>
      <c r="N19" s="52"/>
      <c r="O19" s="52"/>
      <c r="P19" s="52"/>
      <c r="Q19" s="52"/>
      <c r="R19" s="20"/>
      <c r="S19" s="20"/>
      <c r="T19" s="20"/>
      <c r="U19" s="20"/>
      <c r="V19" s="20"/>
      <c r="W19" s="20"/>
      <c r="X19" s="52"/>
      <c r="Y19" s="20"/>
      <c r="Z19" s="20"/>
      <c r="AA19" s="20"/>
      <c r="AB19" s="20"/>
      <c r="AC19" s="20"/>
      <c r="AD19" s="52"/>
      <c r="AE19" s="52"/>
      <c r="AF19" s="52"/>
      <c r="AG19" s="20"/>
      <c r="AH19" s="20"/>
      <c r="AI19" s="20"/>
      <c r="AJ19" s="20"/>
      <c r="AK19" s="20"/>
      <c r="AL19" s="20"/>
      <c r="AM19" s="171"/>
      <c r="AN19" s="171"/>
      <c r="AO19" s="171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52"/>
      <c r="BF19" s="52"/>
      <c r="BG19" s="52"/>
      <c r="BH19" s="52"/>
      <c r="BI19" s="52"/>
      <c r="BJ19" s="20"/>
      <c r="BK19" s="52"/>
      <c r="BL19" s="52"/>
      <c r="BM19" s="52"/>
      <c r="BN19" s="171"/>
      <c r="BO19" s="171"/>
      <c r="BP19" s="171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52"/>
      <c r="CD19" s="52"/>
      <c r="CE19" s="52"/>
      <c r="CF19" s="52"/>
      <c r="CG19" s="52"/>
      <c r="CH19" s="20"/>
      <c r="CI19" s="52"/>
      <c r="CJ19" s="52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52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50"/>
      <c r="ER19" s="50"/>
      <c r="ES19" s="50"/>
      <c r="ET19" s="50"/>
      <c r="EU19" s="50"/>
      <c r="EV19" s="50"/>
      <c r="EW19" s="15"/>
      <c r="EX19" s="15"/>
      <c r="EY19" s="15"/>
      <c r="EZ19" s="15"/>
      <c r="FA19" s="15"/>
      <c r="FB19" s="15"/>
      <c r="FC19" s="15"/>
      <c r="FD19" s="50"/>
      <c r="FE19" s="15"/>
      <c r="FF19" s="15"/>
      <c r="FG19" s="15"/>
      <c r="FH19" s="15"/>
      <c r="FI19" s="15"/>
      <c r="FJ19" s="50"/>
      <c r="FK19" s="50"/>
      <c r="FL19" s="50"/>
      <c r="FM19" s="15"/>
      <c r="FN19" s="15"/>
      <c r="FO19" s="15"/>
      <c r="FP19" s="15"/>
      <c r="FQ19" s="15"/>
      <c r="FR19" s="15"/>
      <c r="FS19" s="167"/>
      <c r="FT19" s="167"/>
      <c r="FU19" s="167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50"/>
      <c r="GL19" s="50"/>
      <c r="GM19" s="50"/>
      <c r="GN19" s="50"/>
      <c r="GO19" s="50"/>
      <c r="GP19" s="15"/>
      <c r="GQ19" s="50"/>
      <c r="GR19" s="50"/>
      <c r="GS19" s="50"/>
      <c r="GT19" s="167"/>
      <c r="GU19" s="167"/>
      <c r="GV19" s="167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50"/>
      <c r="HJ19" s="50"/>
      <c r="HK19" s="50"/>
      <c r="HL19" s="50"/>
      <c r="HM19" s="50"/>
      <c r="HN19" s="15"/>
      <c r="HO19" s="50"/>
      <c r="HP19" s="50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50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50"/>
      <c r="JX19" s="50"/>
      <c r="JY19" s="51"/>
      <c r="JZ19" s="51"/>
      <c r="KA19" s="51"/>
      <c r="KB19" s="52"/>
      <c r="KC19" s="52"/>
      <c r="KD19" s="53"/>
      <c r="KE19" s="20"/>
      <c r="KF19" s="20"/>
      <c r="KG19" s="20"/>
      <c r="KH19" s="20"/>
      <c r="KI19" s="20"/>
      <c r="KJ19" s="52"/>
      <c r="KK19" s="20"/>
      <c r="KL19" s="20"/>
      <c r="KM19" s="20"/>
      <c r="KN19" s="20"/>
      <c r="KO19" s="20"/>
      <c r="KP19" s="52"/>
      <c r="KQ19" s="52"/>
      <c r="KR19" s="52"/>
      <c r="KS19" s="20"/>
      <c r="KT19" s="20"/>
      <c r="KU19" s="20"/>
      <c r="KV19" s="20"/>
      <c r="KW19" s="20"/>
      <c r="KX19" s="20"/>
      <c r="KY19" s="171"/>
      <c r="KZ19" s="171"/>
      <c r="LA19" s="171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52"/>
      <c r="LR19" s="52"/>
      <c r="LS19" s="52"/>
      <c r="LT19" s="52"/>
      <c r="LU19" s="52"/>
      <c r="LV19" s="20"/>
      <c r="LW19" s="52"/>
      <c r="LX19" s="52"/>
      <c r="LY19" s="52"/>
      <c r="LZ19" s="20"/>
      <c r="MA19" s="171"/>
      <c r="MB19" s="171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52"/>
      <c r="MP19" s="52"/>
      <c r="MQ19" s="52"/>
      <c r="MR19" s="52"/>
      <c r="MS19" s="52"/>
      <c r="MT19" s="20"/>
      <c r="MU19" s="52"/>
      <c r="MV19" s="52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52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50"/>
      <c r="PD19" s="50"/>
      <c r="PE19" s="50"/>
      <c r="PF19" s="50"/>
      <c r="PG19" s="52"/>
      <c r="PH19" s="52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52"/>
      <c r="PW19" s="52"/>
      <c r="PX19" s="52"/>
      <c r="PY19" s="20"/>
      <c r="PZ19" s="20"/>
      <c r="QA19" s="20"/>
      <c r="QB19" s="20"/>
      <c r="QC19" s="20"/>
      <c r="QD19" s="20"/>
      <c r="QE19" s="171"/>
      <c r="QF19" s="171"/>
      <c r="QG19" s="171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52"/>
      <c r="QX19" s="52"/>
      <c r="QY19" s="52"/>
      <c r="QZ19" s="52"/>
      <c r="RA19" s="52"/>
      <c r="RB19" s="319"/>
      <c r="RC19" s="338"/>
      <c r="RD19" s="338"/>
      <c r="RE19" s="338"/>
      <c r="RF19" s="319"/>
      <c r="RG19" s="379"/>
      <c r="RH19" s="379"/>
      <c r="RI19" s="319"/>
      <c r="RJ19" s="319"/>
      <c r="RK19" s="319"/>
      <c r="RL19" s="319"/>
      <c r="RM19" s="319"/>
      <c r="RN19" s="319"/>
      <c r="RO19" s="319"/>
      <c r="RP19" s="319"/>
      <c r="RQ19" s="319"/>
      <c r="RR19" s="319"/>
      <c r="RS19" s="319"/>
      <c r="RT19" s="319"/>
      <c r="RU19" s="338"/>
      <c r="RV19" s="338"/>
      <c r="RW19" s="338"/>
      <c r="RX19" s="338"/>
      <c r="RY19" s="338"/>
      <c r="RZ19" s="319"/>
      <c r="SA19" s="338"/>
      <c r="SB19" s="338"/>
      <c r="SC19" s="319"/>
      <c r="SD19" s="319"/>
      <c r="SE19" s="319"/>
      <c r="SF19" s="319"/>
      <c r="SG19" s="319"/>
      <c r="SH19" s="319"/>
      <c r="SI19" s="319"/>
      <c r="SJ19" s="319"/>
      <c r="SK19" s="319"/>
      <c r="SL19" s="319"/>
      <c r="SM19" s="319"/>
      <c r="SN19" s="319"/>
      <c r="SO19" s="319"/>
      <c r="SP19" s="319"/>
      <c r="SQ19" s="319"/>
      <c r="SR19" s="338"/>
      <c r="SS19" s="319"/>
      <c r="ST19" s="319"/>
      <c r="SU19" s="319"/>
      <c r="SV19" s="319"/>
      <c r="SW19" s="319"/>
      <c r="SX19" s="319"/>
      <c r="SY19" s="319"/>
      <c r="SZ19" s="319"/>
      <c r="TA19" s="319"/>
      <c r="TB19" s="319"/>
      <c r="TC19" s="319"/>
      <c r="TD19" s="319"/>
      <c r="TE19" s="319"/>
      <c r="TF19" s="319"/>
      <c r="TG19" s="319"/>
      <c r="TH19" s="319"/>
      <c r="TI19" s="319"/>
      <c r="TJ19" s="319"/>
      <c r="TK19" s="319"/>
      <c r="TL19" s="319"/>
      <c r="TM19" s="319"/>
      <c r="TN19" s="319"/>
      <c r="TO19" s="319"/>
      <c r="TP19" s="319"/>
      <c r="TQ19" s="319"/>
      <c r="TR19" s="319"/>
      <c r="TS19" s="319"/>
      <c r="TT19" s="319"/>
      <c r="TU19" s="319"/>
      <c r="TV19" s="319"/>
      <c r="TW19" s="319"/>
      <c r="TX19" s="319"/>
      <c r="TY19" s="319"/>
      <c r="TZ19" s="319"/>
      <c r="UA19" s="319"/>
      <c r="UB19" s="319"/>
      <c r="UC19" s="319"/>
      <c r="UD19" s="319"/>
      <c r="UE19" s="319"/>
      <c r="UF19" s="319"/>
      <c r="UG19" s="319"/>
      <c r="UH19" s="319"/>
      <c r="UI19" s="50"/>
      <c r="UJ19" s="50"/>
      <c r="UK19" s="50"/>
      <c r="UL19" s="50"/>
      <c r="UM19" s="15"/>
      <c r="UN19" s="15"/>
      <c r="UO19" s="15"/>
      <c r="UP19" s="15"/>
      <c r="UQ19" s="50"/>
      <c r="UR19" s="15"/>
      <c r="US19" s="15"/>
      <c r="UT19" s="15"/>
      <c r="UU19" s="15"/>
      <c r="UV19" s="15"/>
      <c r="UW19" s="15"/>
      <c r="UX19" s="50"/>
      <c r="UY19" s="15"/>
      <c r="UZ19" s="50"/>
      <c r="VA19" s="15"/>
      <c r="VB19" s="50"/>
      <c r="VC19" s="50"/>
      <c r="VD19" s="15"/>
      <c r="VE19" s="15"/>
      <c r="VF19" s="50"/>
      <c r="VG19" s="50"/>
      <c r="VH19" s="15"/>
      <c r="VI19" s="15"/>
      <c r="VJ19" s="15"/>
      <c r="VK19" s="15"/>
      <c r="VL19" s="50"/>
      <c r="VM19" s="50"/>
      <c r="VN19" s="50"/>
      <c r="VO19" s="50"/>
      <c r="VP19" s="15"/>
      <c r="VQ19" s="50"/>
      <c r="VR19" s="15"/>
      <c r="VS19" s="15"/>
      <c r="VT19" s="15"/>
      <c r="VU19" s="15"/>
      <c r="VV19" s="50"/>
      <c r="VW19" s="50"/>
      <c r="VX19" s="50"/>
      <c r="VY19" s="50"/>
      <c r="VZ19" s="50"/>
      <c r="WA19" s="50"/>
      <c r="WB19" s="15"/>
      <c r="WC19" s="15"/>
      <c r="WD19" s="15"/>
      <c r="WE19" s="15"/>
      <c r="WF19" s="15"/>
      <c r="WG19" s="15"/>
      <c r="WH19" s="15"/>
      <c r="WI19" s="50"/>
      <c r="WJ19" s="15"/>
      <c r="WK19" s="15"/>
      <c r="WL19" s="15"/>
      <c r="WM19" s="50"/>
      <c r="WN19" s="50"/>
      <c r="WO19" s="50"/>
      <c r="WP19" s="50"/>
      <c r="WQ19" s="15"/>
      <c r="WR19" s="15"/>
      <c r="WS19" s="15"/>
      <c r="WT19" s="15"/>
      <c r="WU19" s="15"/>
      <c r="WV19" s="15"/>
      <c r="WW19" s="15"/>
      <c r="WX19" s="167"/>
      <c r="WY19" s="167"/>
      <c r="WZ19" s="167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50"/>
      <c r="XQ19" s="50"/>
      <c r="XR19" s="50"/>
      <c r="XS19" s="50"/>
      <c r="XT19" s="50"/>
      <c r="XU19" s="15"/>
      <c r="XV19" s="50"/>
      <c r="XW19" s="15"/>
      <c r="XX19" s="167"/>
      <c r="XY19" s="15"/>
      <c r="XZ19" s="167"/>
      <c r="YA19" s="167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50"/>
      <c r="YO19" s="50"/>
      <c r="YP19" s="50"/>
      <c r="YQ19" s="50"/>
      <c r="YR19" s="50"/>
      <c r="YS19" s="15"/>
      <c r="YT19" s="50"/>
      <c r="YU19" s="50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50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50"/>
      <c r="ABC19" s="50"/>
      <c r="ABD19" s="50"/>
      <c r="ABE19" s="15"/>
      <c r="ABF19" s="15"/>
      <c r="ABG19" s="20"/>
      <c r="ABH19" s="20"/>
      <c r="ABI19" s="20"/>
      <c r="ABJ19" s="20"/>
      <c r="ABK19" s="20"/>
      <c r="ABL19" s="52"/>
      <c r="ABM19" s="20"/>
      <c r="ABN19" s="20"/>
      <c r="ABO19" s="20"/>
      <c r="ABP19" s="20"/>
      <c r="ABQ19" s="20"/>
      <c r="ABR19" s="52"/>
      <c r="ABS19" s="52"/>
      <c r="ABT19" s="52"/>
      <c r="ABU19" s="20"/>
      <c r="ABV19" s="20"/>
      <c r="ABW19" s="20"/>
      <c r="ABX19" s="20"/>
      <c r="ABY19" s="20"/>
      <c r="ABZ19" s="20"/>
      <c r="ACA19" s="171"/>
      <c r="ACB19" s="171"/>
      <c r="ACC19" s="171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67"/>
      <c r="ACT19" s="67"/>
      <c r="ACU19" s="67"/>
      <c r="ACV19" s="67"/>
      <c r="ACW19" s="67"/>
      <c r="ACX19" s="12"/>
      <c r="ACY19" s="67"/>
      <c r="ACZ19" s="12"/>
      <c r="ADA19" s="179"/>
      <c r="ADB19" s="12"/>
      <c r="ADC19" s="179"/>
      <c r="ADD19" s="179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67"/>
      <c r="ADR19" s="67"/>
      <c r="ADS19" s="67"/>
      <c r="ADT19" s="67"/>
      <c r="ADU19" s="67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67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50"/>
      <c r="AHE19" s="50"/>
      <c r="AHF19" s="50"/>
      <c r="AHG19" s="50"/>
      <c r="AHH19" s="15"/>
      <c r="AHI19" s="20"/>
      <c r="AHJ19" s="20"/>
      <c r="AHK19" s="20"/>
      <c r="AHL19" s="20"/>
      <c r="AHM19" s="20"/>
      <c r="AHN19" s="52"/>
      <c r="AHO19" s="20"/>
      <c r="AHP19" s="20"/>
      <c r="AHQ19" s="20"/>
      <c r="AHR19" s="20"/>
      <c r="AHS19" s="20"/>
      <c r="AHT19" s="52"/>
      <c r="AHU19" s="52"/>
      <c r="AHV19" s="52"/>
      <c r="AHW19" s="20"/>
      <c r="AHX19" s="20"/>
      <c r="AHY19" s="20"/>
      <c r="AHZ19" s="20"/>
      <c r="AIA19" s="20"/>
      <c r="AIB19" s="20"/>
      <c r="AIC19" s="171"/>
      <c r="AID19" s="171"/>
      <c r="AIE19" s="171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52"/>
      <c r="AIW19" s="52"/>
      <c r="AIX19" s="52"/>
      <c r="AIY19" s="52"/>
      <c r="AIZ19" s="52"/>
      <c r="AJA19" s="20"/>
      <c r="AJB19" s="52"/>
      <c r="AJC19" s="20"/>
      <c r="AJD19" s="20"/>
      <c r="AJE19" s="20"/>
      <c r="AJF19" s="20"/>
      <c r="AJG19" s="20"/>
      <c r="AJH19" s="20"/>
      <c r="AJI19" s="20"/>
      <c r="AJJ19" s="52"/>
      <c r="AJK19" s="52"/>
      <c r="AJL19" s="52"/>
      <c r="AJM19" s="52"/>
      <c r="AJN19" s="52"/>
      <c r="AJO19" s="20"/>
      <c r="AJP19" s="20"/>
      <c r="AJQ19" s="52"/>
      <c r="AJR19" s="20"/>
      <c r="AJS19" s="20"/>
      <c r="AJT19" s="52"/>
      <c r="AJU19" s="52"/>
      <c r="AJV19" s="309"/>
      <c r="AJW19" s="309"/>
      <c r="AJX19" s="309"/>
      <c r="AJY19" s="290"/>
      <c r="AJZ19" s="309"/>
      <c r="AKA19" s="290"/>
      <c r="AKB19" s="355"/>
      <c r="AKC19" s="290"/>
      <c r="AKD19" s="290"/>
      <c r="AKE19" s="290"/>
      <c r="AKF19" s="430"/>
      <c r="AKG19" s="290"/>
      <c r="AKH19" s="349"/>
      <c r="AKI19" s="4"/>
      <c r="AKJ19" s="186"/>
      <c r="AKK19" s="6"/>
      <c r="AKL19" s="187" t="e">
        <f>AVERAGE(ABA19)</f>
        <v>#DIV/0!</v>
      </c>
      <c r="AKM19" s="187"/>
      <c r="AKN19" s="187"/>
      <c r="AKO19" s="187"/>
      <c r="AKP19" s="187"/>
      <c r="AKQ19" s="187"/>
      <c r="AKR19" s="187"/>
      <c r="AKS19" s="187"/>
      <c r="AKT19" s="187"/>
      <c r="AKU19" s="187"/>
      <c r="AKV19" s="187"/>
      <c r="AKW19" s="187"/>
      <c r="AKX19" s="187"/>
      <c r="AKY19" s="187"/>
      <c r="AKZ19" s="187"/>
      <c r="ALA19" s="187"/>
      <c r="ALB19" s="187"/>
      <c r="ALC19" s="187"/>
      <c r="ALD19" s="187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349"/>
      <c r="AML19" s="349"/>
      <c r="AMM19" s="349"/>
    </row>
    <row r="20" spans="1:1027" ht="29.1" hidden="1" customHeight="1" thickBot="1" x14ac:dyDescent="0.35">
      <c r="A20" s="111" t="s">
        <v>115</v>
      </c>
      <c r="B20" s="112" t="s">
        <v>118</v>
      </c>
      <c r="C20" s="113" t="s">
        <v>117</v>
      </c>
      <c r="D20" s="113">
        <v>800</v>
      </c>
      <c r="E20" s="96"/>
      <c r="F20" s="97"/>
      <c r="G20" s="98"/>
      <c r="H20" s="161"/>
      <c r="I20" s="99"/>
      <c r="J20" s="215"/>
      <c r="K20" s="299"/>
      <c r="L20" s="45"/>
      <c r="M20" s="45"/>
      <c r="N20" s="45"/>
      <c r="O20" s="45"/>
      <c r="P20" s="45"/>
      <c r="Q20" s="45"/>
      <c r="R20" s="21"/>
      <c r="S20" s="21"/>
      <c r="T20" s="21"/>
      <c r="U20" s="21"/>
      <c r="V20" s="21"/>
      <c r="W20" s="21"/>
      <c r="X20" s="45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172"/>
      <c r="AN20" s="172"/>
      <c r="AO20" s="172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45"/>
      <c r="BF20" s="271"/>
      <c r="BG20" s="271"/>
      <c r="BH20" s="271"/>
      <c r="BI20" s="334"/>
      <c r="BJ20" s="328"/>
      <c r="BK20" s="334"/>
      <c r="BL20" s="334"/>
      <c r="BM20" s="334"/>
      <c r="BN20" s="391"/>
      <c r="BO20" s="391"/>
      <c r="BP20" s="391">
        <v>145.9</v>
      </c>
      <c r="BQ20" s="328">
        <v>119</v>
      </c>
      <c r="BR20" s="328"/>
      <c r="BS20" s="328"/>
      <c r="BT20" s="328"/>
      <c r="BU20" s="328"/>
      <c r="BV20" s="328"/>
      <c r="BW20" s="328"/>
      <c r="BX20" s="328"/>
      <c r="BY20" s="328"/>
      <c r="BZ20" s="328"/>
      <c r="CA20" s="328"/>
      <c r="CB20" s="328"/>
      <c r="CC20" s="334"/>
      <c r="CD20" s="334"/>
      <c r="CE20" s="334"/>
      <c r="CF20" s="334"/>
      <c r="CG20" s="334"/>
      <c r="CH20" s="328"/>
      <c r="CI20" s="334"/>
      <c r="CJ20" s="334"/>
      <c r="CK20" s="328"/>
      <c r="CL20" s="328"/>
      <c r="CM20" s="328"/>
      <c r="CN20" s="328"/>
      <c r="CO20" s="328"/>
      <c r="CP20" s="328"/>
      <c r="CQ20" s="328"/>
      <c r="CR20" s="328"/>
      <c r="CS20" s="328"/>
      <c r="CT20" s="328"/>
      <c r="CU20" s="328"/>
      <c r="CV20" s="328"/>
      <c r="CW20" s="328"/>
      <c r="CX20" s="328"/>
      <c r="CY20" s="328"/>
      <c r="CZ20" s="334"/>
      <c r="DA20" s="328"/>
      <c r="DB20" s="328"/>
      <c r="DC20" s="328"/>
      <c r="DD20" s="328"/>
      <c r="DE20" s="328"/>
      <c r="DF20" s="328"/>
      <c r="DG20" s="328"/>
      <c r="DH20" s="328"/>
      <c r="DI20" s="328"/>
      <c r="DJ20" s="328"/>
      <c r="DK20" s="328"/>
      <c r="DL20" s="328"/>
      <c r="DM20" s="328"/>
      <c r="DN20" s="328"/>
      <c r="DO20" s="328"/>
      <c r="DP20" s="328"/>
      <c r="DQ20" s="328"/>
      <c r="DR20" s="328"/>
      <c r="DS20" s="328"/>
      <c r="DT20" s="328"/>
      <c r="DU20" s="328"/>
      <c r="DV20" s="328"/>
      <c r="DW20" s="328"/>
      <c r="DX20" s="328"/>
      <c r="DY20" s="328"/>
      <c r="DZ20" s="328"/>
      <c r="EA20" s="328"/>
      <c r="EB20" s="328"/>
      <c r="EC20" s="328"/>
      <c r="ED20" s="328"/>
      <c r="EE20" s="328"/>
      <c r="EF20" s="328"/>
      <c r="EG20" s="328"/>
      <c r="EH20" s="328"/>
      <c r="EI20" s="328"/>
      <c r="EJ20" s="328"/>
      <c r="EK20" s="328"/>
      <c r="EL20" s="328"/>
      <c r="EM20" s="328"/>
      <c r="EN20" s="328"/>
      <c r="EO20" s="328"/>
      <c r="EP20" s="328"/>
      <c r="EQ20" s="45"/>
      <c r="ER20" s="45"/>
      <c r="ES20" s="45"/>
      <c r="ET20" s="45"/>
      <c r="EU20" s="61"/>
      <c r="EV20" s="61"/>
      <c r="EW20" s="69"/>
      <c r="EX20" s="69"/>
      <c r="EY20" s="70"/>
      <c r="EZ20" s="70"/>
      <c r="FA20" s="70"/>
      <c r="FB20" s="70"/>
      <c r="FC20" s="70"/>
      <c r="FD20" s="6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177"/>
      <c r="FT20" s="177"/>
      <c r="FU20" s="177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60"/>
      <c r="GL20" s="273"/>
      <c r="GM20" s="273"/>
      <c r="GN20" s="273"/>
      <c r="GO20" s="333"/>
      <c r="GP20" s="330"/>
      <c r="GQ20" s="333"/>
      <c r="GR20" s="333"/>
      <c r="GS20" s="333"/>
      <c r="GT20" s="389"/>
      <c r="GU20" s="390" t="s">
        <v>154</v>
      </c>
      <c r="GV20" s="389">
        <v>108</v>
      </c>
      <c r="GW20" s="330">
        <v>108</v>
      </c>
      <c r="GX20" s="330">
        <v>108</v>
      </c>
      <c r="GY20" s="330"/>
      <c r="GZ20" s="330"/>
      <c r="HA20" s="330"/>
      <c r="HB20" s="330"/>
      <c r="HC20" s="330"/>
      <c r="HD20" s="330"/>
      <c r="HE20" s="330"/>
      <c r="HF20" s="330"/>
      <c r="HG20" s="330"/>
      <c r="HH20" s="330"/>
      <c r="HI20" s="333"/>
      <c r="HJ20" s="333"/>
      <c r="HK20" s="333"/>
      <c r="HL20" s="333"/>
      <c r="HM20" s="333"/>
      <c r="HN20" s="330"/>
      <c r="HO20" s="333"/>
      <c r="HP20" s="333"/>
      <c r="HQ20" s="330"/>
      <c r="HR20" s="330"/>
      <c r="HS20" s="330"/>
      <c r="HT20" s="330"/>
      <c r="HU20" s="330"/>
      <c r="HV20" s="330"/>
      <c r="HW20" s="330"/>
      <c r="HX20" s="330"/>
      <c r="HY20" s="330"/>
      <c r="HZ20" s="330"/>
      <c r="IA20" s="330"/>
      <c r="IB20" s="330"/>
      <c r="IC20" s="330"/>
      <c r="ID20" s="330"/>
      <c r="IE20" s="330"/>
      <c r="IF20" s="333"/>
      <c r="IG20" s="330"/>
      <c r="IH20" s="330"/>
      <c r="II20" s="330"/>
      <c r="IJ20" s="330"/>
      <c r="IK20" s="330"/>
      <c r="IL20" s="330"/>
      <c r="IM20" s="330"/>
      <c r="IN20" s="330"/>
      <c r="IO20" s="330"/>
      <c r="IP20" s="330"/>
      <c r="IQ20" s="330"/>
      <c r="IR20" s="330"/>
      <c r="IS20" s="330"/>
      <c r="IT20" s="330"/>
      <c r="IU20" s="330"/>
      <c r="IV20" s="330"/>
      <c r="IW20" s="330"/>
      <c r="IX20" s="330"/>
      <c r="IY20" s="330"/>
      <c r="IZ20" s="330"/>
      <c r="JA20" s="330"/>
      <c r="JB20" s="330"/>
      <c r="JC20" s="330"/>
      <c r="JD20" s="330"/>
      <c r="JE20" s="330"/>
      <c r="JF20" s="330"/>
      <c r="JG20" s="330"/>
      <c r="JH20" s="330"/>
      <c r="JI20" s="330"/>
      <c r="JJ20" s="330"/>
      <c r="JK20" s="330"/>
      <c r="JL20" s="330"/>
      <c r="JM20" s="330"/>
      <c r="JN20" s="330"/>
      <c r="JO20" s="330"/>
      <c r="JP20" s="330"/>
      <c r="JQ20" s="330"/>
      <c r="JR20" s="330"/>
      <c r="JS20" s="330"/>
      <c r="JT20" s="330"/>
      <c r="JU20" s="330"/>
      <c r="JV20" s="330"/>
      <c r="JW20" s="45"/>
      <c r="JX20" s="45"/>
      <c r="JY20" s="45"/>
      <c r="JZ20" s="45"/>
      <c r="KA20" s="45"/>
      <c r="KB20" s="45"/>
      <c r="KC20" s="45"/>
      <c r="KD20" s="21"/>
      <c r="KE20" s="21"/>
      <c r="KF20" s="21"/>
      <c r="KG20" s="21"/>
      <c r="KH20" s="21"/>
      <c r="KI20" s="21"/>
      <c r="KJ20" s="45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172"/>
      <c r="KZ20" s="172"/>
      <c r="LA20" s="172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45"/>
      <c r="LR20" s="271"/>
      <c r="LS20" s="271"/>
      <c r="LT20" s="271"/>
      <c r="LU20" s="271"/>
      <c r="LV20" s="268"/>
      <c r="LW20" s="271"/>
      <c r="LX20" s="271"/>
      <c r="LY20" s="271"/>
      <c r="LZ20" s="268"/>
      <c r="MA20" s="376"/>
      <c r="MB20" s="376"/>
      <c r="MC20" s="268"/>
      <c r="MD20" s="268"/>
      <c r="ME20" s="268"/>
      <c r="MF20" s="268"/>
      <c r="MG20" s="268"/>
      <c r="MH20" s="268"/>
      <c r="MI20" s="268"/>
      <c r="MJ20" s="268"/>
      <c r="MK20" s="268"/>
      <c r="ML20" s="268"/>
      <c r="MM20" s="268"/>
      <c r="MN20" s="268"/>
      <c r="MO20" s="271"/>
      <c r="MP20" s="271"/>
      <c r="MQ20" s="271"/>
      <c r="MR20" s="271"/>
      <c r="MS20" s="271"/>
      <c r="MT20" s="268"/>
      <c r="MU20" s="271"/>
      <c r="MV20" s="271"/>
      <c r="MW20" s="268"/>
      <c r="MX20" s="268"/>
      <c r="MY20" s="268"/>
      <c r="MZ20" s="268"/>
      <c r="NA20" s="268"/>
      <c r="NB20" s="268"/>
      <c r="NC20" s="268"/>
      <c r="ND20" s="268"/>
      <c r="NE20" s="268"/>
      <c r="NF20" s="268"/>
      <c r="NG20" s="268"/>
      <c r="NH20" s="268"/>
      <c r="NI20" s="268"/>
      <c r="NJ20" s="268"/>
      <c r="NK20" s="268"/>
      <c r="NL20" s="271"/>
      <c r="NM20" s="268"/>
      <c r="NN20" s="268"/>
      <c r="NO20" s="268"/>
      <c r="NP20" s="268"/>
      <c r="NQ20" s="268"/>
      <c r="NR20" s="268"/>
      <c r="NS20" s="268"/>
      <c r="NT20" s="268"/>
      <c r="NU20" s="268"/>
      <c r="NV20" s="268"/>
      <c r="NW20" s="268"/>
      <c r="NX20" s="268"/>
      <c r="NY20" s="268"/>
      <c r="NZ20" s="268"/>
      <c r="OA20" s="268"/>
      <c r="OB20" s="268"/>
      <c r="OC20" s="268"/>
      <c r="OD20" s="268"/>
      <c r="OE20" s="268"/>
      <c r="OF20" s="268"/>
      <c r="OG20" s="268"/>
      <c r="OH20" s="268"/>
      <c r="OI20" s="268"/>
      <c r="OJ20" s="268"/>
      <c r="OK20" s="268"/>
      <c r="OL20" s="268"/>
      <c r="OM20" s="268"/>
      <c r="ON20" s="268"/>
      <c r="OO20" s="268"/>
      <c r="OP20" s="268"/>
      <c r="OQ20" s="268"/>
      <c r="OR20" s="268"/>
      <c r="OS20" s="268"/>
      <c r="OT20" s="268"/>
      <c r="OU20" s="268"/>
      <c r="OV20" s="268"/>
      <c r="OW20" s="268"/>
      <c r="OX20" s="268"/>
      <c r="OY20" s="268"/>
      <c r="OZ20" s="268"/>
      <c r="PA20" s="268"/>
      <c r="PB20" s="268"/>
      <c r="PC20" s="45"/>
      <c r="PD20" s="45"/>
      <c r="PE20" s="45"/>
      <c r="PF20" s="45"/>
      <c r="PG20" s="45"/>
      <c r="PH20" s="45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172"/>
      <c r="QF20" s="172"/>
      <c r="QG20" s="172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45"/>
      <c r="QX20" s="45"/>
      <c r="QY20" s="45"/>
      <c r="QZ20" s="45"/>
      <c r="RA20" s="45"/>
      <c r="RB20" s="324"/>
      <c r="RC20" s="343"/>
      <c r="RD20" s="343"/>
      <c r="RE20" s="343"/>
      <c r="RF20" s="324"/>
      <c r="RG20" s="384"/>
      <c r="RH20" s="384"/>
      <c r="RI20" s="324"/>
      <c r="RJ20" s="324"/>
      <c r="RK20" s="324"/>
      <c r="RL20" s="324"/>
      <c r="RM20" s="324"/>
      <c r="RN20" s="324"/>
      <c r="RO20" s="324"/>
      <c r="RP20" s="324"/>
      <c r="RQ20" s="324"/>
      <c r="RR20" s="324"/>
      <c r="RS20" s="324"/>
      <c r="RT20" s="324"/>
      <c r="RU20" s="343"/>
      <c r="RV20" s="343"/>
      <c r="RW20" s="343"/>
      <c r="RX20" s="343"/>
      <c r="RY20" s="343"/>
      <c r="RZ20" s="324"/>
      <c r="SA20" s="343"/>
      <c r="SB20" s="343"/>
      <c r="SC20" s="324"/>
      <c r="SD20" s="324"/>
      <c r="SE20" s="324"/>
      <c r="SF20" s="324"/>
      <c r="SG20" s="324"/>
      <c r="SH20" s="324"/>
      <c r="SI20" s="324"/>
      <c r="SJ20" s="324"/>
      <c r="SK20" s="324"/>
      <c r="SL20" s="324"/>
      <c r="SM20" s="324"/>
      <c r="SN20" s="324"/>
      <c r="SO20" s="324"/>
      <c r="SP20" s="324"/>
      <c r="SQ20" s="324"/>
      <c r="SR20" s="343"/>
      <c r="SS20" s="324"/>
      <c r="ST20" s="324"/>
      <c r="SU20" s="324"/>
      <c r="SV20" s="324"/>
      <c r="SW20" s="324"/>
      <c r="SX20" s="324"/>
      <c r="SY20" s="324"/>
      <c r="SZ20" s="324"/>
      <c r="TA20" s="324"/>
      <c r="TB20" s="324"/>
      <c r="TC20" s="324"/>
      <c r="TD20" s="324"/>
      <c r="TE20" s="324"/>
      <c r="TF20" s="324"/>
      <c r="TG20" s="324"/>
      <c r="TH20" s="324"/>
      <c r="TI20" s="324"/>
      <c r="TJ20" s="324"/>
      <c r="TK20" s="324"/>
      <c r="TL20" s="324"/>
      <c r="TM20" s="324"/>
      <c r="TN20" s="324"/>
      <c r="TO20" s="324"/>
      <c r="TP20" s="324"/>
      <c r="TQ20" s="324"/>
      <c r="TR20" s="324"/>
      <c r="TS20" s="324"/>
      <c r="TT20" s="324"/>
      <c r="TU20" s="324"/>
      <c r="TV20" s="324"/>
      <c r="TW20" s="324"/>
      <c r="TX20" s="324"/>
      <c r="TY20" s="324"/>
      <c r="TZ20" s="324"/>
      <c r="UA20" s="324"/>
      <c r="UB20" s="324"/>
      <c r="UC20" s="324"/>
      <c r="UD20" s="324"/>
      <c r="UE20" s="324"/>
      <c r="UF20" s="324"/>
      <c r="UG20" s="324"/>
      <c r="UH20" s="324"/>
      <c r="UI20" s="45"/>
      <c r="UJ20" s="45"/>
      <c r="UK20" s="45"/>
      <c r="UL20" s="45"/>
      <c r="UM20" s="21"/>
      <c r="UN20" s="21"/>
      <c r="UO20" s="21"/>
      <c r="UP20" s="21"/>
      <c r="UQ20" s="45"/>
      <c r="UR20" s="21"/>
      <c r="US20" s="21"/>
      <c r="UT20" s="21"/>
      <c r="UU20" s="21"/>
      <c r="UV20" s="21"/>
      <c r="UW20" s="21"/>
      <c r="UX20" s="45"/>
      <c r="UY20" s="21"/>
      <c r="UZ20" s="45"/>
      <c r="VA20" s="21"/>
      <c r="VB20" s="45"/>
      <c r="VC20" s="45"/>
      <c r="VD20" s="21"/>
      <c r="VE20" s="21"/>
      <c r="VF20" s="45"/>
      <c r="VG20" s="45"/>
      <c r="VH20" s="21"/>
      <c r="VI20" s="21"/>
      <c r="VJ20" s="21"/>
      <c r="VK20" s="21"/>
      <c r="VL20" s="45"/>
      <c r="VM20" s="45"/>
      <c r="VN20" s="45"/>
      <c r="VO20" s="45"/>
      <c r="VP20" s="21"/>
      <c r="VQ20" s="45"/>
      <c r="VR20" s="21"/>
      <c r="VS20" s="21"/>
      <c r="VT20" s="21"/>
      <c r="VU20" s="21"/>
      <c r="VV20" s="45"/>
      <c r="VW20" s="45"/>
      <c r="VX20" s="45"/>
      <c r="VY20" s="45"/>
      <c r="VZ20" s="45"/>
      <c r="WA20" s="45"/>
      <c r="WB20" s="21"/>
      <c r="WC20" s="21"/>
      <c r="WD20" s="21"/>
      <c r="WE20" s="21"/>
      <c r="WF20" s="21"/>
      <c r="WG20" s="21"/>
      <c r="WH20" s="21"/>
      <c r="WI20" s="45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172"/>
      <c r="WY20" s="172"/>
      <c r="WZ20" s="172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45"/>
      <c r="XQ20" s="275"/>
      <c r="XR20" s="275"/>
      <c r="XS20" s="45"/>
      <c r="XT20" s="45"/>
      <c r="XU20" s="21"/>
      <c r="XV20" s="45"/>
      <c r="XW20" s="21"/>
      <c r="XX20" s="172"/>
      <c r="XY20" s="21"/>
      <c r="XZ20" s="172">
        <v>131.9</v>
      </c>
      <c r="YA20" s="172">
        <v>134.4</v>
      </c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45"/>
      <c r="YO20" s="45"/>
      <c r="YP20" s="45"/>
      <c r="YQ20" s="45"/>
      <c r="YR20" s="45"/>
      <c r="YS20" s="21"/>
      <c r="YT20" s="45"/>
      <c r="YU20" s="45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45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45"/>
      <c r="ABC20" s="45"/>
      <c r="ABD20" s="45"/>
      <c r="ABE20" s="21"/>
      <c r="ABF20" s="21"/>
      <c r="ABG20" s="70"/>
      <c r="ABH20" s="70"/>
      <c r="ABI20" s="70"/>
      <c r="ABJ20" s="70"/>
      <c r="ABK20" s="70"/>
      <c r="ABL20" s="60"/>
      <c r="ABM20" s="70"/>
      <c r="ABN20" s="70"/>
      <c r="ABO20" s="70"/>
      <c r="ABP20" s="70"/>
      <c r="ABQ20" s="70"/>
      <c r="ABR20" s="70"/>
      <c r="ABS20" s="70"/>
      <c r="ABT20" s="70"/>
      <c r="ABU20" s="70"/>
      <c r="ABV20" s="70"/>
      <c r="ABW20" s="70"/>
      <c r="ABX20" s="70"/>
      <c r="ABY20" s="70"/>
      <c r="ABZ20" s="70"/>
      <c r="ACA20" s="177"/>
      <c r="ACB20" s="177"/>
      <c r="ACC20" s="177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43"/>
      <c r="ACT20" s="274"/>
      <c r="ACU20" s="274"/>
      <c r="ACV20" s="274"/>
      <c r="ACW20" s="274"/>
      <c r="ACX20" s="267"/>
      <c r="ACY20" s="274"/>
      <c r="ACZ20" s="267"/>
      <c r="ADA20" s="352"/>
      <c r="ADB20" s="267"/>
      <c r="ADC20" s="352"/>
      <c r="ADD20" s="352">
        <v>140</v>
      </c>
      <c r="ADE20" s="267">
        <v>150</v>
      </c>
      <c r="ADF20" s="267"/>
      <c r="ADG20" s="267"/>
      <c r="ADH20" s="267"/>
      <c r="ADI20" s="267"/>
      <c r="ADJ20" s="267"/>
      <c r="ADK20" s="267"/>
      <c r="ADL20" s="267"/>
      <c r="ADM20" s="267"/>
      <c r="ADN20" s="267"/>
      <c r="ADO20" s="267"/>
      <c r="ADP20" s="267"/>
      <c r="ADQ20" s="274"/>
      <c r="ADR20" s="274"/>
      <c r="ADS20" s="274"/>
      <c r="ADT20" s="274"/>
      <c r="ADU20" s="274"/>
      <c r="ADV20" s="267"/>
      <c r="ADW20" s="267"/>
      <c r="ADX20" s="267"/>
      <c r="ADY20" s="267"/>
      <c r="ADZ20" s="267"/>
      <c r="AEA20" s="267"/>
      <c r="AEB20" s="267"/>
      <c r="AEC20" s="267"/>
      <c r="AED20" s="267"/>
      <c r="AEE20" s="267"/>
      <c r="AEF20" s="267"/>
      <c r="AEG20" s="267"/>
      <c r="AEH20" s="267"/>
      <c r="AEI20" s="267"/>
      <c r="AEJ20" s="267"/>
      <c r="AEK20" s="267"/>
      <c r="AEL20" s="267"/>
      <c r="AEM20" s="267"/>
      <c r="AEN20" s="274"/>
      <c r="AEO20" s="267"/>
      <c r="AEP20" s="267"/>
      <c r="AEQ20" s="267"/>
      <c r="AER20" s="267"/>
      <c r="AES20" s="267"/>
      <c r="AET20" s="267"/>
      <c r="AEU20" s="267"/>
      <c r="AEV20" s="267"/>
      <c r="AEW20" s="267"/>
      <c r="AEX20" s="267"/>
      <c r="AEY20" s="267"/>
      <c r="AEZ20" s="267"/>
      <c r="AFA20" s="267"/>
      <c r="AFB20" s="267"/>
      <c r="AFC20" s="267"/>
      <c r="AFD20" s="267"/>
      <c r="AFE20" s="267"/>
      <c r="AFF20" s="267"/>
      <c r="AFG20" s="267"/>
      <c r="AFH20" s="267"/>
      <c r="AFI20" s="267"/>
      <c r="AFJ20" s="267"/>
      <c r="AFK20" s="267"/>
      <c r="AFL20" s="267"/>
      <c r="AFM20" s="267"/>
      <c r="AFN20" s="267"/>
      <c r="AFO20" s="267"/>
      <c r="AFP20" s="267"/>
      <c r="AFQ20" s="267"/>
      <c r="AFR20" s="267"/>
      <c r="AFS20" s="267"/>
      <c r="AFT20" s="267"/>
      <c r="AFU20" s="267"/>
      <c r="AFV20" s="267"/>
      <c r="AFW20" s="267"/>
      <c r="AFX20" s="267"/>
      <c r="AFY20" s="267"/>
      <c r="AFZ20" s="267"/>
      <c r="AGA20" s="267"/>
      <c r="AGB20" s="267"/>
      <c r="AGC20" s="267"/>
      <c r="AGD20" s="267"/>
      <c r="AGE20" s="267"/>
      <c r="AGF20" s="267"/>
      <c r="AGG20" s="267"/>
      <c r="AGH20" s="267"/>
      <c r="AGI20" s="267"/>
      <c r="AGJ20" s="267"/>
      <c r="AGK20" s="267"/>
      <c r="AGL20" s="267"/>
      <c r="AGM20" s="267"/>
      <c r="AGN20" s="267"/>
      <c r="AGO20" s="267"/>
      <c r="AGP20" s="267"/>
      <c r="AGQ20" s="267"/>
      <c r="AGR20" s="267"/>
      <c r="AGS20" s="267"/>
      <c r="AGT20" s="267"/>
      <c r="AGU20" s="267"/>
      <c r="AGV20" s="267"/>
      <c r="AGW20" s="267"/>
      <c r="AGX20" s="267"/>
      <c r="AGY20" s="267"/>
      <c r="AGZ20" s="267"/>
      <c r="AHA20" s="267"/>
      <c r="AHB20" s="267"/>
      <c r="AHC20" s="267"/>
      <c r="AHD20" s="45"/>
      <c r="AHE20" s="45"/>
      <c r="AHF20" s="45"/>
      <c r="AHG20" s="45"/>
      <c r="AHH20" s="21"/>
      <c r="AHI20" s="70"/>
      <c r="AHJ20" s="70"/>
      <c r="AHK20" s="70"/>
      <c r="AHL20" s="70"/>
      <c r="AHM20" s="70"/>
      <c r="AHN20" s="60"/>
      <c r="AHO20" s="70"/>
      <c r="AHP20" s="70"/>
      <c r="AHQ20" s="70"/>
      <c r="AHR20" s="70"/>
      <c r="AHS20" s="70"/>
      <c r="AHT20" s="70"/>
      <c r="AHU20" s="70"/>
      <c r="AHV20" s="70"/>
      <c r="AHW20" s="70"/>
      <c r="AHX20" s="70"/>
      <c r="AHY20" s="70"/>
      <c r="AHZ20" s="70"/>
      <c r="AIA20" s="70"/>
      <c r="AIB20" s="70"/>
      <c r="AIC20" s="177"/>
      <c r="AID20" s="177"/>
      <c r="AIE20" s="177"/>
      <c r="AIF20" s="70"/>
      <c r="AIG20" s="70"/>
      <c r="AIH20" s="70"/>
      <c r="AII20" s="70"/>
      <c r="AIJ20" s="70"/>
      <c r="AIK20" s="70"/>
      <c r="AIL20" s="70"/>
      <c r="AIM20" s="70"/>
      <c r="AIN20" s="70"/>
      <c r="AIO20" s="70"/>
      <c r="AIP20" s="70"/>
      <c r="AIQ20" s="70"/>
      <c r="AIR20" s="70"/>
      <c r="AIS20" s="70"/>
      <c r="AIT20" s="70"/>
      <c r="AIU20" s="70"/>
      <c r="AIV20" s="60"/>
      <c r="AIW20" s="60"/>
      <c r="AIX20" s="60"/>
      <c r="AIY20" s="60"/>
      <c r="AIZ20" s="60"/>
      <c r="AJA20" s="70"/>
      <c r="AJB20" s="60"/>
      <c r="AJC20" s="70"/>
      <c r="AJD20" s="70"/>
      <c r="AJE20" s="70"/>
      <c r="AJF20" s="70"/>
      <c r="AJG20" s="70"/>
      <c r="AJH20" s="70"/>
      <c r="AJI20" s="70"/>
      <c r="AJJ20" s="60"/>
      <c r="AJK20" s="60"/>
      <c r="AJL20" s="60"/>
      <c r="AJM20" s="60"/>
      <c r="AJN20" s="60"/>
      <c r="AJO20" s="70"/>
      <c r="AJP20" s="70"/>
      <c r="AJQ20" s="60"/>
      <c r="AJR20" s="70"/>
      <c r="AJS20" s="70"/>
      <c r="AJT20" s="60"/>
      <c r="AJU20" s="60"/>
      <c r="AJV20" s="315"/>
      <c r="AJW20" s="315"/>
      <c r="AJX20" s="315"/>
      <c r="AJY20" s="300"/>
      <c r="AJZ20" s="315"/>
      <c r="AKA20" s="300"/>
      <c r="AKB20" s="361"/>
      <c r="AKC20" s="300"/>
      <c r="AKD20" s="300"/>
      <c r="AKE20" s="300">
        <v>115</v>
      </c>
      <c r="AKF20" s="436"/>
      <c r="AKG20" s="300"/>
      <c r="AKH20" s="349"/>
      <c r="AKI20" s="4"/>
      <c r="AKJ20" s="186"/>
      <c r="AKK20" s="6"/>
      <c r="AKL20" s="187"/>
      <c r="AKM20" s="187"/>
      <c r="AKN20" s="187"/>
      <c r="AKO20" s="187"/>
      <c r="AKP20" s="187"/>
      <c r="AKQ20" s="187"/>
      <c r="AKR20" s="187"/>
      <c r="AKS20" s="187"/>
      <c r="AKT20" s="187"/>
      <c r="AKU20" s="187"/>
      <c r="AKV20" s="187"/>
      <c r="AKW20" s="187"/>
      <c r="AKX20" s="187"/>
      <c r="AKY20" s="187"/>
      <c r="AKZ20" s="187"/>
      <c r="ALA20" s="187"/>
      <c r="ALB20" s="187"/>
      <c r="ALC20" s="187"/>
      <c r="ALD20" s="187"/>
      <c r="ALU20" s="267"/>
      <c r="ALV20" s="267"/>
      <c r="ALW20" s="267"/>
      <c r="ALX20" s="267"/>
      <c r="ALY20" s="267"/>
      <c r="ALZ20" s="267"/>
      <c r="AMA20" s="267"/>
      <c r="AMB20" s="267"/>
      <c r="AMC20" s="267"/>
      <c r="AMD20" s="267"/>
      <c r="AME20" s="267"/>
      <c r="AMF20" s="267"/>
      <c r="AMG20" s="267"/>
      <c r="AMH20" s="267"/>
      <c r="AMI20" s="267"/>
      <c r="AMJ20" s="267"/>
      <c r="AMK20" s="565"/>
      <c r="AML20" s="565"/>
      <c r="AMM20" s="565"/>
    </row>
    <row r="21" spans="1:1027" ht="29.1" hidden="1" customHeight="1" thickBot="1" x14ac:dyDescent="0.35">
      <c r="A21" s="111" t="s">
        <v>115</v>
      </c>
      <c r="B21" s="112" t="s">
        <v>118</v>
      </c>
      <c r="C21" s="113" t="s">
        <v>117</v>
      </c>
      <c r="D21" s="113">
        <v>750</v>
      </c>
      <c r="E21" s="96"/>
      <c r="F21" s="97"/>
      <c r="G21" s="98"/>
      <c r="H21" s="161"/>
      <c r="I21" s="99"/>
      <c r="J21" s="215"/>
      <c r="K21" s="299"/>
      <c r="L21" s="45"/>
      <c r="M21" s="45"/>
      <c r="N21" s="45"/>
      <c r="O21" s="45"/>
      <c r="P21" s="45"/>
      <c r="Q21" s="45"/>
      <c r="R21" s="21"/>
      <c r="S21" s="21"/>
      <c r="T21" s="21"/>
      <c r="U21" s="21"/>
      <c r="V21" s="21"/>
      <c r="W21" s="21"/>
      <c r="X21" s="45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172"/>
      <c r="AN21" s="172"/>
      <c r="AO21" s="172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45"/>
      <c r="BF21" s="271"/>
      <c r="BG21" s="271"/>
      <c r="BH21" s="271"/>
      <c r="BI21" s="334"/>
      <c r="BJ21" s="328"/>
      <c r="BK21" s="334"/>
      <c r="BL21" s="334"/>
      <c r="BM21" s="334"/>
      <c r="BN21" s="391"/>
      <c r="BO21" s="391"/>
      <c r="BP21" s="391">
        <v>128.9</v>
      </c>
      <c r="BQ21" s="328">
        <v>114</v>
      </c>
      <c r="BR21" s="328"/>
      <c r="BS21" s="328"/>
      <c r="BT21" s="328"/>
      <c r="BU21" s="328"/>
      <c r="BV21" s="328"/>
      <c r="BW21" s="328"/>
      <c r="BX21" s="328"/>
      <c r="BY21" s="328"/>
      <c r="BZ21" s="328"/>
      <c r="CA21" s="328"/>
      <c r="CB21" s="328"/>
      <c r="CC21" s="334"/>
      <c r="CD21" s="334"/>
      <c r="CE21" s="334"/>
      <c r="CF21" s="334"/>
      <c r="CG21" s="334"/>
      <c r="CH21" s="328"/>
      <c r="CI21" s="334"/>
      <c r="CJ21" s="334"/>
      <c r="CK21" s="328"/>
      <c r="CL21" s="328"/>
      <c r="CM21" s="328"/>
      <c r="CN21" s="328"/>
      <c r="CO21" s="328"/>
      <c r="CP21" s="328"/>
      <c r="CQ21" s="328"/>
      <c r="CR21" s="328"/>
      <c r="CS21" s="328"/>
      <c r="CT21" s="328"/>
      <c r="CU21" s="328"/>
      <c r="CV21" s="328"/>
      <c r="CW21" s="328"/>
      <c r="CX21" s="328"/>
      <c r="CY21" s="328"/>
      <c r="CZ21" s="334"/>
      <c r="DA21" s="328"/>
      <c r="DB21" s="328"/>
      <c r="DC21" s="328"/>
      <c r="DD21" s="328"/>
      <c r="DE21" s="328"/>
      <c r="DF21" s="328"/>
      <c r="DG21" s="328"/>
      <c r="DH21" s="328"/>
      <c r="DI21" s="328"/>
      <c r="DJ21" s="328"/>
      <c r="DK21" s="328"/>
      <c r="DL21" s="328"/>
      <c r="DM21" s="328"/>
      <c r="DN21" s="328"/>
      <c r="DO21" s="328"/>
      <c r="DP21" s="328"/>
      <c r="DQ21" s="328"/>
      <c r="DR21" s="328"/>
      <c r="DS21" s="328"/>
      <c r="DT21" s="328"/>
      <c r="DU21" s="328"/>
      <c r="DV21" s="328"/>
      <c r="DW21" s="328"/>
      <c r="DX21" s="328"/>
      <c r="DY21" s="328"/>
      <c r="DZ21" s="328"/>
      <c r="EA21" s="328"/>
      <c r="EB21" s="328"/>
      <c r="EC21" s="328"/>
      <c r="ED21" s="328"/>
      <c r="EE21" s="328"/>
      <c r="EF21" s="328"/>
      <c r="EG21" s="328"/>
      <c r="EH21" s="328"/>
      <c r="EI21" s="328"/>
      <c r="EJ21" s="328"/>
      <c r="EK21" s="328"/>
      <c r="EL21" s="328"/>
      <c r="EM21" s="328"/>
      <c r="EN21" s="328"/>
      <c r="EO21" s="328"/>
      <c r="EP21" s="328"/>
      <c r="EQ21" s="45"/>
      <c r="ER21" s="45"/>
      <c r="ES21" s="45"/>
      <c r="ET21" s="45"/>
      <c r="EU21" s="61"/>
      <c r="EV21" s="61"/>
      <c r="EW21" s="69"/>
      <c r="EX21" s="69"/>
      <c r="EY21" s="70"/>
      <c r="EZ21" s="70"/>
      <c r="FA21" s="70"/>
      <c r="FB21" s="70"/>
      <c r="FC21" s="70"/>
      <c r="FD21" s="6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177"/>
      <c r="FT21" s="177"/>
      <c r="FU21" s="177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60"/>
      <c r="GL21" s="273"/>
      <c r="GM21" s="273"/>
      <c r="GN21" s="273"/>
      <c r="GO21" s="333"/>
      <c r="GP21" s="330"/>
      <c r="GQ21" s="333"/>
      <c r="GR21" s="333"/>
      <c r="GS21" s="333"/>
      <c r="GT21" s="389"/>
      <c r="GU21" s="390" t="s">
        <v>153</v>
      </c>
      <c r="GV21" s="389">
        <v>106</v>
      </c>
      <c r="GW21" s="330">
        <v>106</v>
      </c>
      <c r="GX21" s="330">
        <v>106</v>
      </c>
      <c r="GY21" s="330"/>
      <c r="GZ21" s="330"/>
      <c r="HA21" s="330"/>
      <c r="HB21" s="330"/>
      <c r="HC21" s="330"/>
      <c r="HD21" s="330"/>
      <c r="HE21" s="330"/>
      <c r="HF21" s="330"/>
      <c r="HG21" s="330"/>
      <c r="HH21" s="330"/>
      <c r="HI21" s="333"/>
      <c r="HJ21" s="333"/>
      <c r="HK21" s="333"/>
      <c r="HL21" s="333"/>
      <c r="HM21" s="333"/>
      <c r="HN21" s="330"/>
      <c r="HO21" s="333"/>
      <c r="HP21" s="333"/>
      <c r="HQ21" s="330"/>
      <c r="HR21" s="330"/>
      <c r="HS21" s="330"/>
      <c r="HT21" s="330"/>
      <c r="HU21" s="330"/>
      <c r="HV21" s="330"/>
      <c r="HW21" s="330"/>
      <c r="HX21" s="330"/>
      <c r="HY21" s="330"/>
      <c r="HZ21" s="330"/>
      <c r="IA21" s="330"/>
      <c r="IB21" s="330"/>
      <c r="IC21" s="330"/>
      <c r="ID21" s="330"/>
      <c r="IE21" s="330"/>
      <c r="IF21" s="333"/>
      <c r="IG21" s="330"/>
      <c r="IH21" s="330"/>
      <c r="II21" s="330"/>
      <c r="IJ21" s="330"/>
      <c r="IK21" s="330"/>
      <c r="IL21" s="330"/>
      <c r="IM21" s="330"/>
      <c r="IN21" s="330"/>
      <c r="IO21" s="330"/>
      <c r="IP21" s="330"/>
      <c r="IQ21" s="330"/>
      <c r="IR21" s="330"/>
      <c r="IS21" s="330"/>
      <c r="IT21" s="330"/>
      <c r="IU21" s="330"/>
      <c r="IV21" s="330"/>
      <c r="IW21" s="330"/>
      <c r="IX21" s="330"/>
      <c r="IY21" s="330"/>
      <c r="IZ21" s="330"/>
      <c r="JA21" s="330"/>
      <c r="JB21" s="330"/>
      <c r="JC21" s="330"/>
      <c r="JD21" s="330"/>
      <c r="JE21" s="330"/>
      <c r="JF21" s="330"/>
      <c r="JG21" s="330"/>
      <c r="JH21" s="330"/>
      <c r="JI21" s="330"/>
      <c r="JJ21" s="330"/>
      <c r="JK21" s="330"/>
      <c r="JL21" s="330"/>
      <c r="JM21" s="330"/>
      <c r="JN21" s="330"/>
      <c r="JO21" s="330"/>
      <c r="JP21" s="330"/>
      <c r="JQ21" s="330"/>
      <c r="JR21" s="330"/>
      <c r="JS21" s="330"/>
      <c r="JT21" s="330"/>
      <c r="JU21" s="330"/>
      <c r="JV21" s="330"/>
      <c r="JW21" s="45"/>
      <c r="JX21" s="45"/>
      <c r="JY21" s="45"/>
      <c r="JZ21" s="45"/>
      <c r="KA21" s="45"/>
      <c r="KB21" s="45"/>
      <c r="KC21" s="45"/>
      <c r="KD21" s="21"/>
      <c r="KE21" s="21"/>
      <c r="KF21" s="21"/>
      <c r="KG21" s="21"/>
      <c r="KH21" s="21"/>
      <c r="KI21" s="21"/>
      <c r="KJ21" s="45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172"/>
      <c r="KZ21" s="172"/>
      <c r="LA21" s="172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45"/>
      <c r="LR21" s="271"/>
      <c r="LS21" s="271"/>
      <c r="LT21" s="271"/>
      <c r="LU21" s="271"/>
      <c r="LV21" s="268"/>
      <c r="LW21" s="271"/>
      <c r="LX21" s="271"/>
      <c r="LY21" s="271"/>
      <c r="LZ21" s="268"/>
      <c r="MA21" s="376"/>
      <c r="MB21" s="376"/>
      <c r="MC21" s="268"/>
      <c r="MD21" s="268"/>
      <c r="ME21" s="268"/>
      <c r="MF21" s="268"/>
      <c r="MG21" s="268"/>
      <c r="MH21" s="268"/>
      <c r="MI21" s="268"/>
      <c r="MJ21" s="268"/>
      <c r="MK21" s="268"/>
      <c r="ML21" s="268"/>
      <c r="MM21" s="268"/>
      <c r="MN21" s="268"/>
      <c r="MO21" s="271"/>
      <c r="MP21" s="271"/>
      <c r="MQ21" s="271"/>
      <c r="MR21" s="271"/>
      <c r="MS21" s="271"/>
      <c r="MT21" s="268"/>
      <c r="MU21" s="271"/>
      <c r="MV21" s="271"/>
      <c r="MW21" s="268"/>
      <c r="MX21" s="268"/>
      <c r="MY21" s="268"/>
      <c r="MZ21" s="268"/>
      <c r="NA21" s="268"/>
      <c r="NB21" s="268"/>
      <c r="NC21" s="268"/>
      <c r="ND21" s="268"/>
      <c r="NE21" s="268"/>
      <c r="NF21" s="268"/>
      <c r="NG21" s="268"/>
      <c r="NH21" s="268"/>
      <c r="NI21" s="268"/>
      <c r="NJ21" s="268"/>
      <c r="NK21" s="268"/>
      <c r="NL21" s="271"/>
      <c r="NM21" s="268"/>
      <c r="NN21" s="268"/>
      <c r="NO21" s="268"/>
      <c r="NP21" s="268"/>
      <c r="NQ21" s="268"/>
      <c r="NR21" s="268"/>
      <c r="NS21" s="268"/>
      <c r="NT21" s="268"/>
      <c r="NU21" s="268"/>
      <c r="NV21" s="268"/>
      <c r="NW21" s="268"/>
      <c r="NX21" s="268"/>
      <c r="NY21" s="268"/>
      <c r="NZ21" s="268"/>
      <c r="OA21" s="268"/>
      <c r="OB21" s="268"/>
      <c r="OC21" s="268"/>
      <c r="OD21" s="268"/>
      <c r="OE21" s="268"/>
      <c r="OF21" s="268"/>
      <c r="OG21" s="268"/>
      <c r="OH21" s="268"/>
      <c r="OI21" s="268"/>
      <c r="OJ21" s="268"/>
      <c r="OK21" s="268"/>
      <c r="OL21" s="268"/>
      <c r="OM21" s="268"/>
      <c r="ON21" s="268"/>
      <c r="OO21" s="268"/>
      <c r="OP21" s="268"/>
      <c r="OQ21" s="268"/>
      <c r="OR21" s="268"/>
      <c r="OS21" s="268"/>
      <c r="OT21" s="268"/>
      <c r="OU21" s="268"/>
      <c r="OV21" s="268"/>
      <c r="OW21" s="268"/>
      <c r="OX21" s="268"/>
      <c r="OY21" s="268"/>
      <c r="OZ21" s="268"/>
      <c r="PA21" s="268"/>
      <c r="PB21" s="268"/>
      <c r="PC21" s="45"/>
      <c r="PD21" s="45"/>
      <c r="PE21" s="45"/>
      <c r="PF21" s="45"/>
      <c r="PG21" s="45"/>
      <c r="PH21" s="45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172"/>
      <c r="QF21" s="172"/>
      <c r="QG21" s="172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45"/>
      <c r="QX21" s="45"/>
      <c r="QY21" s="45"/>
      <c r="QZ21" s="45"/>
      <c r="RA21" s="45"/>
      <c r="RB21" s="324"/>
      <c r="RC21" s="343"/>
      <c r="RD21" s="343"/>
      <c r="RE21" s="343"/>
      <c r="RF21" s="324"/>
      <c r="RG21" s="384"/>
      <c r="RH21" s="384"/>
      <c r="RI21" s="324"/>
      <c r="RJ21" s="324"/>
      <c r="RK21" s="324"/>
      <c r="RL21" s="324"/>
      <c r="RM21" s="324"/>
      <c r="RN21" s="324"/>
      <c r="RO21" s="324"/>
      <c r="RP21" s="324"/>
      <c r="RQ21" s="324"/>
      <c r="RR21" s="324"/>
      <c r="RS21" s="324"/>
      <c r="RT21" s="324"/>
      <c r="RU21" s="343"/>
      <c r="RV21" s="343"/>
      <c r="RW21" s="343"/>
      <c r="RX21" s="343"/>
      <c r="RY21" s="343"/>
      <c r="RZ21" s="324"/>
      <c r="SA21" s="343"/>
      <c r="SB21" s="343"/>
      <c r="SC21" s="324"/>
      <c r="SD21" s="324"/>
      <c r="SE21" s="324"/>
      <c r="SF21" s="324"/>
      <c r="SG21" s="324"/>
      <c r="SH21" s="324"/>
      <c r="SI21" s="324"/>
      <c r="SJ21" s="324"/>
      <c r="SK21" s="324"/>
      <c r="SL21" s="324"/>
      <c r="SM21" s="324"/>
      <c r="SN21" s="324"/>
      <c r="SO21" s="324"/>
      <c r="SP21" s="324"/>
      <c r="SQ21" s="324"/>
      <c r="SR21" s="343"/>
      <c r="SS21" s="324"/>
      <c r="ST21" s="324"/>
      <c r="SU21" s="324"/>
      <c r="SV21" s="324"/>
      <c r="SW21" s="324"/>
      <c r="SX21" s="324"/>
      <c r="SY21" s="324"/>
      <c r="SZ21" s="324"/>
      <c r="TA21" s="324"/>
      <c r="TB21" s="324"/>
      <c r="TC21" s="324"/>
      <c r="TD21" s="324"/>
      <c r="TE21" s="324"/>
      <c r="TF21" s="324"/>
      <c r="TG21" s="324"/>
      <c r="TH21" s="324"/>
      <c r="TI21" s="324"/>
      <c r="TJ21" s="324"/>
      <c r="TK21" s="324"/>
      <c r="TL21" s="324"/>
      <c r="TM21" s="324"/>
      <c r="TN21" s="324"/>
      <c r="TO21" s="324"/>
      <c r="TP21" s="324"/>
      <c r="TQ21" s="324"/>
      <c r="TR21" s="324"/>
      <c r="TS21" s="324"/>
      <c r="TT21" s="324"/>
      <c r="TU21" s="324"/>
      <c r="TV21" s="324"/>
      <c r="TW21" s="324"/>
      <c r="TX21" s="324"/>
      <c r="TY21" s="324"/>
      <c r="TZ21" s="324"/>
      <c r="UA21" s="324"/>
      <c r="UB21" s="324"/>
      <c r="UC21" s="324"/>
      <c r="UD21" s="324"/>
      <c r="UE21" s="324"/>
      <c r="UF21" s="324"/>
      <c r="UG21" s="324"/>
      <c r="UH21" s="324"/>
      <c r="UI21" s="45"/>
      <c r="UJ21" s="45"/>
      <c r="UK21" s="45"/>
      <c r="UL21" s="45"/>
      <c r="UM21" s="21"/>
      <c r="UN21" s="21"/>
      <c r="UO21" s="21"/>
      <c r="UP21" s="21"/>
      <c r="UQ21" s="45"/>
      <c r="UR21" s="21"/>
      <c r="US21" s="21"/>
      <c r="UT21" s="21"/>
      <c r="UU21" s="21"/>
      <c r="UV21" s="21"/>
      <c r="UW21" s="21"/>
      <c r="UX21" s="45"/>
      <c r="UY21" s="21"/>
      <c r="UZ21" s="45"/>
      <c r="VA21" s="21"/>
      <c r="VB21" s="45"/>
      <c r="VC21" s="45"/>
      <c r="VD21" s="21"/>
      <c r="VE21" s="21"/>
      <c r="VF21" s="45"/>
      <c r="VG21" s="45"/>
      <c r="VH21" s="21"/>
      <c r="VI21" s="21"/>
      <c r="VJ21" s="21"/>
      <c r="VK21" s="21"/>
      <c r="VL21" s="45"/>
      <c r="VM21" s="45"/>
      <c r="VN21" s="45"/>
      <c r="VO21" s="45"/>
      <c r="VP21" s="21"/>
      <c r="VQ21" s="45"/>
      <c r="VR21" s="21"/>
      <c r="VS21" s="21"/>
      <c r="VT21" s="21"/>
      <c r="VU21" s="21"/>
      <c r="VV21" s="45"/>
      <c r="VW21" s="45"/>
      <c r="VX21" s="45"/>
      <c r="VY21" s="45"/>
      <c r="VZ21" s="45"/>
      <c r="WA21" s="45"/>
      <c r="WB21" s="21"/>
      <c r="WC21" s="21"/>
      <c r="WD21" s="21"/>
      <c r="WE21" s="21"/>
      <c r="WF21" s="21"/>
      <c r="WG21" s="21"/>
      <c r="WH21" s="21"/>
      <c r="WI21" s="45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172"/>
      <c r="WY21" s="172"/>
      <c r="WZ21" s="172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45"/>
      <c r="XQ21" s="275"/>
      <c r="XR21" s="275"/>
      <c r="XS21" s="45"/>
      <c r="XT21" s="45"/>
      <c r="XU21" s="21"/>
      <c r="XV21" s="45"/>
      <c r="XW21" s="21"/>
      <c r="XX21" s="172"/>
      <c r="XY21" s="21"/>
      <c r="XZ21" s="172">
        <v>110.4</v>
      </c>
      <c r="YA21" s="172">
        <v>114</v>
      </c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45"/>
      <c r="YO21" s="45"/>
      <c r="YP21" s="45"/>
      <c r="YQ21" s="45"/>
      <c r="YR21" s="45"/>
      <c r="YS21" s="21"/>
      <c r="YT21" s="45"/>
      <c r="YU21" s="45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45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  <c r="AAY21" s="21"/>
      <c r="AAZ21" s="21"/>
      <c r="ABA21" s="21"/>
      <c r="ABB21" s="45"/>
      <c r="ABC21" s="45"/>
      <c r="ABD21" s="45"/>
      <c r="ABE21" s="21"/>
      <c r="ABF21" s="21"/>
      <c r="ABG21" s="70"/>
      <c r="ABH21" s="70"/>
      <c r="ABI21" s="70"/>
      <c r="ABJ21" s="70"/>
      <c r="ABK21" s="70"/>
      <c r="ABL21" s="60"/>
      <c r="ABM21" s="70"/>
      <c r="ABN21" s="70"/>
      <c r="ABO21" s="70"/>
      <c r="ABP21" s="70"/>
      <c r="ABQ21" s="70"/>
      <c r="ABR21" s="70"/>
      <c r="ABS21" s="70"/>
      <c r="ABT21" s="70"/>
      <c r="ABU21" s="70"/>
      <c r="ABV21" s="70"/>
      <c r="ABW21" s="70"/>
      <c r="ABX21" s="70"/>
      <c r="ABY21" s="70"/>
      <c r="ABZ21" s="70"/>
      <c r="ACA21" s="177"/>
      <c r="ACB21" s="177"/>
      <c r="ACC21" s="177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43"/>
      <c r="ACT21" s="274"/>
      <c r="ACU21" s="274"/>
      <c r="ACV21" s="274"/>
      <c r="ACW21" s="274"/>
      <c r="ACX21" s="267"/>
      <c r="ACY21" s="274"/>
      <c r="ACZ21" s="267"/>
      <c r="ADA21" s="352"/>
      <c r="ADB21" s="267"/>
      <c r="ADC21" s="352"/>
      <c r="ADD21" s="352"/>
      <c r="ADE21" s="267"/>
      <c r="ADF21" s="267"/>
      <c r="ADG21" s="267"/>
      <c r="ADH21" s="267"/>
      <c r="ADI21" s="267"/>
      <c r="ADJ21" s="267"/>
      <c r="ADK21" s="267"/>
      <c r="ADL21" s="267"/>
      <c r="ADM21" s="267"/>
      <c r="ADN21" s="267"/>
      <c r="ADO21" s="267"/>
      <c r="ADP21" s="267"/>
      <c r="ADQ21" s="274"/>
      <c r="ADR21" s="274"/>
      <c r="ADS21" s="274"/>
      <c r="ADT21" s="274"/>
      <c r="ADU21" s="274"/>
      <c r="ADV21" s="267"/>
      <c r="ADW21" s="267"/>
      <c r="ADX21" s="267"/>
      <c r="ADY21" s="267"/>
      <c r="ADZ21" s="267"/>
      <c r="AEA21" s="267"/>
      <c r="AEB21" s="267"/>
      <c r="AEC21" s="267"/>
      <c r="AED21" s="267"/>
      <c r="AEE21" s="267"/>
      <c r="AEF21" s="267"/>
      <c r="AEG21" s="267"/>
      <c r="AEH21" s="267"/>
      <c r="AEI21" s="267"/>
      <c r="AEJ21" s="267"/>
      <c r="AEK21" s="267"/>
      <c r="AEL21" s="267"/>
      <c r="AEM21" s="267"/>
      <c r="AEN21" s="274"/>
      <c r="AEO21" s="267"/>
      <c r="AEP21" s="267"/>
      <c r="AEQ21" s="267"/>
      <c r="AER21" s="267"/>
      <c r="AES21" s="267"/>
      <c r="AET21" s="267"/>
      <c r="AEU21" s="267"/>
      <c r="AEV21" s="267"/>
      <c r="AEW21" s="267"/>
      <c r="AEX21" s="267"/>
      <c r="AEY21" s="267"/>
      <c r="AEZ21" s="267"/>
      <c r="AFA21" s="267"/>
      <c r="AFB21" s="267"/>
      <c r="AFC21" s="267"/>
      <c r="AFD21" s="267"/>
      <c r="AFE21" s="267"/>
      <c r="AFF21" s="267"/>
      <c r="AFG21" s="267"/>
      <c r="AFH21" s="267"/>
      <c r="AFI21" s="267"/>
      <c r="AFJ21" s="267"/>
      <c r="AFK21" s="267"/>
      <c r="AFL21" s="267"/>
      <c r="AFM21" s="267"/>
      <c r="AFN21" s="267"/>
      <c r="AFO21" s="267"/>
      <c r="AFP21" s="267"/>
      <c r="AFQ21" s="267"/>
      <c r="AFR21" s="267"/>
      <c r="AFS21" s="267"/>
      <c r="AFT21" s="267"/>
      <c r="AFU21" s="267"/>
      <c r="AFV21" s="267"/>
      <c r="AFW21" s="267"/>
      <c r="AFX21" s="267"/>
      <c r="AFY21" s="267"/>
      <c r="AFZ21" s="267"/>
      <c r="AGA21" s="267"/>
      <c r="AGB21" s="267"/>
      <c r="AGC21" s="267"/>
      <c r="AGD21" s="267"/>
      <c r="AGE21" s="267"/>
      <c r="AGF21" s="267"/>
      <c r="AGG21" s="267"/>
      <c r="AGH21" s="267"/>
      <c r="AGI21" s="267"/>
      <c r="AGJ21" s="267"/>
      <c r="AGK21" s="267"/>
      <c r="AGL21" s="267"/>
      <c r="AGM21" s="267"/>
      <c r="AGN21" s="267"/>
      <c r="AGO21" s="267"/>
      <c r="AGP21" s="267"/>
      <c r="AGQ21" s="267"/>
      <c r="AGR21" s="267"/>
      <c r="AGS21" s="267"/>
      <c r="AGT21" s="267"/>
      <c r="AGU21" s="267"/>
      <c r="AGV21" s="267"/>
      <c r="AGW21" s="267"/>
      <c r="AGX21" s="267"/>
      <c r="AGY21" s="267"/>
      <c r="AGZ21" s="267"/>
      <c r="AHA21" s="267"/>
      <c r="AHB21" s="267"/>
      <c r="AHC21" s="267"/>
      <c r="AHD21" s="45"/>
      <c r="AHE21" s="45"/>
      <c r="AHF21" s="45"/>
      <c r="AHG21" s="45"/>
      <c r="AHH21" s="21"/>
      <c r="AHI21" s="70"/>
      <c r="AHJ21" s="70"/>
      <c r="AHK21" s="70"/>
      <c r="AHL21" s="70"/>
      <c r="AHM21" s="70"/>
      <c r="AHN21" s="60"/>
      <c r="AHO21" s="70"/>
      <c r="AHP21" s="70"/>
      <c r="AHQ21" s="70"/>
      <c r="AHR21" s="70"/>
      <c r="AHS21" s="70"/>
      <c r="AHT21" s="70"/>
      <c r="AHU21" s="70"/>
      <c r="AHV21" s="70"/>
      <c r="AHW21" s="70"/>
      <c r="AHX21" s="70"/>
      <c r="AHY21" s="70"/>
      <c r="AHZ21" s="70"/>
      <c r="AIA21" s="70"/>
      <c r="AIB21" s="70"/>
      <c r="AIC21" s="177"/>
      <c r="AID21" s="177"/>
      <c r="AIE21" s="177"/>
      <c r="AIF21" s="70"/>
      <c r="AIG21" s="70"/>
      <c r="AIH21" s="70"/>
      <c r="AII21" s="70"/>
      <c r="AIJ21" s="70"/>
      <c r="AIK21" s="70"/>
      <c r="AIL21" s="70"/>
      <c r="AIM21" s="70"/>
      <c r="AIN21" s="70"/>
      <c r="AIO21" s="70"/>
      <c r="AIP21" s="70"/>
      <c r="AIQ21" s="70"/>
      <c r="AIR21" s="70"/>
      <c r="AIS21" s="70"/>
      <c r="AIT21" s="70"/>
      <c r="AIU21" s="70"/>
      <c r="AIV21" s="60"/>
      <c r="AIW21" s="60"/>
      <c r="AIX21" s="60"/>
      <c r="AIY21" s="60"/>
      <c r="AIZ21" s="60"/>
      <c r="AJA21" s="70"/>
      <c r="AJB21" s="60"/>
      <c r="AJC21" s="70"/>
      <c r="AJD21" s="70"/>
      <c r="AJE21" s="70"/>
      <c r="AJF21" s="70"/>
      <c r="AJG21" s="70"/>
      <c r="AJH21" s="70"/>
      <c r="AJI21" s="70"/>
      <c r="AJJ21" s="60"/>
      <c r="AJK21" s="60"/>
      <c r="AJL21" s="60"/>
      <c r="AJM21" s="60"/>
      <c r="AJN21" s="60"/>
      <c r="AJO21" s="70"/>
      <c r="AJP21" s="70"/>
      <c r="AJQ21" s="60"/>
      <c r="AJR21" s="70"/>
      <c r="AJS21" s="70"/>
      <c r="AJT21" s="60"/>
      <c r="AJU21" s="60"/>
      <c r="AJV21" s="315"/>
      <c r="AJW21" s="315"/>
      <c r="AJX21" s="315"/>
      <c r="AJY21" s="300"/>
      <c r="AJZ21" s="315"/>
      <c r="AKA21" s="300"/>
      <c r="AKB21" s="361"/>
      <c r="AKC21" s="300"/>
      <c r="AKD21" s="300"/>
      <c r="AKE21" s="300">
        <v>106</v>
      </c>
      <c r="AKF21" s="436"/>
      <c r="AKG21" s="300"/>
      <c r="AKH21" s="349"/>
      <c r="AKI21" s="4"/>
      <c r="AKJ21" s="186"/>
      <c r="AKK21" s="6"/>
      <c r="AKL21" s="187"/>
      <c r="AKM21" s="187"/>
      <c r="AKN21" s="187"/>
      <c r="AKO21" s="187"/>
      <c r="AKP21" s="187"/>
      <c r="AKQ21" s="187"/>
      <c r="AKR21" s="187"/>
      <c r="AKS21" s="187"/>
      <c r="AKT21" s="187"/>
      <c r="AKU21" s="187"/>
      <c r="AKV21" s="187"/>
      <c r="AKW21" s="187"/>
      <c r="AKX21" s="187"/>
      <c r="AKY21" s="187"/>
      <c r="AKZ21" s="187"/>
      <c r="ALA21" s="187"/>
      <c r="ALB21" s="187"/>
      <c r="ALC21" s="187"/>
      <c r="ALD21" s="187"/>
      <c r="ALU21" s="267"/>
      <c r="ALV21" s="267"/>
      <c r="ALW21" s="267"/>
      <c r="ALX21" s="267"/>
      <c r="ALY21" s="267"/>
      <c r="ALZ21" s="267"/>
      <c r="AMA21" s="267"/>
      <c r="AMB21" s="267"/>
      <c r="AMC21" s="267"/>
      <c r="AMD21" s="267"/>
      <c r="AME21" s="267"/>
      <c r="AMF21" s="267"/>
      <c r="AMG21" s="267"/>
      <c r="AMH21" s="267"/>
      <c r="AMI21" s="267"/>
      <c r="AMJ21" s="267"/>
      <c r="AMK21" s="565"/>
      <c r="AML21" s="565"/>
      <c r="AMM21" s="565"/>
    </row>
    <row r="22" spans="1:1027" ht="29.1" hidden="1" customHeight="1" x14ac:dyDescent="0.3">
      <c r="A22" s="111" t="s">
        <v>115</v>
      </c>
      <c r="B22" s="112" t="s">
        <v>118</v>
      </c>
      <c r="C22" s="113" t="s">
        <v>117</v>
      </c>
      <c r="D22" s="113">
        <v>700</v>
      </c>
      <c r="E22" s="96"/>
      <c r="F22" s="97"/>
      <c r="G22" s="98"/>
      <c r="H22" s="161"/>
      <c r="I22" s="99"/>
      <c r="J22" s="215"/>
      <c r="K22" s="299"/>
      <c r="L22" s="45"/>
      <c r="M22" s="45"/>
      <c r="N22" s="45"/>
      <c r="O22" s="45"/>
      <c r="P22" s="45"/>
      <c r="Q22" s="45"/>
      <c r="R22" s="21"/>
      <c r="S22" s="21"/>
      <c r="T22" s="21"/>
      <c r="U22" s="21"/>
      <c r="V22" s="21"/>
      <c r="W22" s="21"/>
      <c r="X22" s="45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172"/>
      <c r="AN22" s="172"/>
      <c r="AO22" s="172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45"/>
      <c r="BF22" s="271" t="s">
        <v>132</v>
      </c>
      <c r="BG22" s="271" t="s">
        <v>134</v>
      </c>
      <c r="BH22" s="271" t="s">
        <v>134</v>
      </c>
      <c r="BI22" s="334">
        <v>95</v>
      </c>
      <c r="BJ22" s="328">
        <v>95</v>
      </c>
      <c r="BK22" s="334">
        <v>95</v>
      </c>
      <c r="BL22" s="334">
        <v>95</v>
      </c>
      <c r="BM22" s="334">
        <v>95</v>
      </c>
      <c r="BN22" s="391">
        <v>95</v>
      </c>
      <c r="BO22" s="391"/>
      <c r="BP22" s="391"/>
      <c r="BQ22" s="328"/>
      <c r="BR22" s="328"/>
      <c r="BS22" s="328"/>
      <c r="BT22" s="328"/>
      <c r="BU22" s="328"/>
      <c r="BV22" s="328"/>
      <c r="BW22" s="328"/>
      <c r="BX22" s="328"/>
      <c r="BY22" s="328"/>
      <c r="BZ22" s="328"/>
      <c r="CA22" s="328"/>
      <c r="CB22" s="328"/>
      <c r="CC22" s="334"/>
      <c r="CD22" s="334"/>
      <c r="CE22" s="334"/>
      <c r="CF22" s="334"/>
      <c r="CG22" s="334"/>
      <c r="CH22" s="328"/>
      <c r="CI22" s="334"/>
      <c r="CJ22" s="334"/>
      <c r="CK22" s="328"/>
      <c r="CL22" s="328"/>
      <c r="CM22" s="328"/>
      <c r="CN22" s="328"/>
      <c r="CO22" s="328"/>
      <c r="CP22" s="328"/>
      <c r="CQ22" s="328"/>
      <c r="CR22" s="328"/>
      <c r="CS22" s="328"/>
      <c r="CT22" s="328"/>
      <c r="CU22" s="328"/>
      <c r="CV22" s="328"/>
      <c r="CW22" s="328"/>
      <c r="CX22" s="328"/>
      <c r="CY22" s="328"/>
      <c r="CZ22" s="334"/>
      <c r="DA22" s="328"/>
      <c r="DB22" s="328"/>
      <c r="DC22" s="328"/>
      <c r="DD22" s="328"/>
      <c r="DE22" s="328"/>
      <c r="DF22" s="328"/>
      <c r="DG22" s="328"/>
      <c r="DH22" s="328"/>
      <c r="DI22" s="328"/>
      <c r="DJ22" s="328"/>
      <c r="DK22" s="328"/>
      <c r="DL22" s="328"/>
      <c r="DM22" s="328"/>
      <c r="DN22" s="328"/>
      <c r="DO22" s="328"/>
      <c r="DP22" s="328"/>
      <c r="DQ22" s="328"/>
      <c r="DR22" s="328"/>
      <c r="DS22" s="328"/>
      <c r="DT22" s="328"/>
      <c r="DU22" s="328"/>
      <c r="DV22" s="328"/>
      <c r="DW22" s="328"/>
      <c r="DX22" s="328"/>
      <c r="DY22" s="328"/>
      <c r="DZ22" s="328"/>
      <c r="EA22" s="328"/>
      <c r="EB22" s="328"/>
      <c r="EC22" s="328"/>
      <c r="ED22" s="328"/>
      <c r="EE22" s="328"/>
      <c r="EF22" s="328"/>
      <c r="EG22" s="328"/>
      <c r="EH22" s="328"/>
      <c r="EI22" s="328"/>
      <c r="EJ22" s="328"/>
      <c r="EK22" s="328"/>
      <c r="EL22" s="328"/>
      <c r="EM22" s="328"/>
      <c r="EN22" s="328"/>
      <c r="EO22" s="328"/>
      <c r="EP22" s="328"/>
      <c r="EQ22" s="45"/>
      <c r="ER22" s="45"/>
      <c r="ES22" s="45"/>
      <c r="ET22" s="45"/>
      <c r="EU22" s="61"/>
      <c r="EV22" s="61"/>
      <c r="EW22" s="69"/>
      <c r="EX22" s="69"/>
      <c r="EY22" s="70"/>
      <c r="EZ22" s="70"/>
      <c r="FA22" s="70"/>
      <c r="FB22" s="70"/>
      <c r="FC22" s="70"/>
      <c r="FD22" s="6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177"/>
      <c r="FT22" s="177"/>
      <c r="FU22" s="177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60"/>
      <c r="GL22" s="273" t="s">
        <v>130</v>
      </c>
      <c r="GM22" s="273" t="s">
        <v>130</v>
      </c>
      <c r="GN22" s="273" t="s">
        <v>130</v>
      </c>
      <c r="GO22" s="333">
        <v>98</v>
      </c>
      <c r="GP22" s="330">
        <v>98</v>
      </c>
      <c r="GQ22" s="333">
        <v>100</v>
      </c>
      <c r="GR22" s="333">
        <v>101</v>
      </c>
      <c r="GS22" s="333">
        <v>101</v>
      </c>
      <c r="GT22" s="389">
        <v>101</v>
      </c>
      <c r="GU22" s="389">
        <v>110</v>
      </c>
      <c r="GV22" s="389">
        <v>112</v>
      </c>
      <c r="GW22" s="330">
        <v>113</v>
      </c>
      <c r="GX22" s="330">
        <v>113</v>
      </c>
      <c r="GY22" s="330"/>
      <c r="GZ22" s="330"/>
      <c r="HA22" s="330"/>
      <c r="HB22" s="330"/>
      <c r="HC22" s="330"/>
      <c r="HD22" s="330"/>
      <c r="HE22" s="330"/>
      <c r="HF22" s="330"/>
      <c r="HG22" s="330"/>
      <c r="HH22" s="330"/>
      <c r="HI22" s="333"/>
      <c r="HJ22" s="333"/>
      <c r="HK22" s="333"/>
      <c r="HL22" s="333"/>
      <c r="HM22" s="333"/>
      <c r="HN22" s="330"/>
      <c r="HO22" s="333"/>
      <c r="HP22" s="333"/>
      <c r="HQ22" s="330"/>
      <c r="HR22" s="330"/>
      <c r="HS22" s="330"/>
      <c r="HT22" s="330"/>
      <c r="HU22" s="330"/>
      <c r="HV22" s="330"/>
      <c r="HW22" s="330"/>
      <c r="HX22" s="330"/>
      <c r="HY22" s="330"/>
      <c r="HZ22" s="330"/>
      <c r="IA22" s="330"/>
      <c r="IB22" s="330"/>
      <c r="IC22" s="330"/>
      <c r="ID22" s="330"/>
      <c r="IE22" s="330"/>
      <c r="IF22" s="333"/>
      <c r="IG22" s="330"/>
      <c r="IH22" s="330"/>
      <c r="II22" s="330"/>
      <c r="IJ22" s="330"/>
      <c r="IK22" s="330"/>
      <c r="IL22" s="330"/>
      <c r="IM22" s="330"/>
      <c r="IN22" s="330"/>
      <c r="IO22" s="330"/>
      <c r="IP22" s="330"/>
      <c r="IQ22" s="330"/>
      <c r="IR22" s="330"/>
      <c r="IS22" s="330"/>
      <c r="IT22" s="330"/>
      <c r="IU22" s="330"/>
      <c r="IV22" s="330"/>
      <c r="IW22" s="330"/>
      <c r="IX22" s="330"/>
      <c r="IY22" s="330"/>
      <c r="IZ22" s="330"/>
      <c r="JA22" s="330"/>
      <c r="JB22" s="330"/>
      <c r="JC22" s="330"/>
      <c r="JD22" s="330"/>
      <c r="JE22" s="330"/>
      <c r="JF22" s="330"/>
      <c r="JG22" s="330"/>
      <c r="JH22" s="330"/>
      <c r="JI22" s="330"/>
      <c r="JJ22" s="330"/>
      <c r="JK22" s="330"/>
      <c r="JL22" s="330"/>
      <c r="JM22" s="330"/>
      <c r="JN22" s="330"/>
      <c r="JO22" s="330"/>
      <c r="JP22" s="330"/>
      <c r="JQ22" s="330"/>
      <c r="JR22" s="330"/>
      <c r="JS22" s="330"/>
      <c r="JT22" s="330"/>
      <c r="JU22" s="330"/>
      <c r="JV22" s="330"/>
      <c r="JW22" s="45"/>
      <c r="JX22" s="45"/>
      <c r="JY22" s="45"/>
      <c r="JZ22" s="45"/>
      <c r="KA22" s="45"/>
      <c r="KB22" s="45"/>
      <c r="KC22" s="45"/>
      <c r="KD22" s="21"/>
      <c r="KE22" s="21"/>
      <c r="KF22" s="21"/>
      <c r="KG22" s="21"/>
      <c r="KH22" s="21"/>
      <c r="KI22" s="21"/>
      <c r="KJ22" s="45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172"/>
      <c r="KZ22" s="172"/>
      <c r="LA22" s="172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45"/>
      <c r="LR22" s="271" t="s">
        <v>127</v>
      </c>
      <c r="LS22" s="271" t="s">
        <v>136</v>
      </c>
      <c r="LT22" s="271" t="s">
        <v>146</v>
      </c>
      <c r="LU22" s="271">
        <v>100</v>
      </c>
      <c r="LV22" s="268">
        <v>100</v>
      </c>
      <c r="LW22" s="271">
        <v>100</v>
      </c>
      <c r="LX22" s="271">
        <v>100</v>
      </c>
      <c r="LY22" s="271">
        <v>100</v>
      </c>
      <c r="LZ22" s="268">
        <v>110</v>
      </c>
      <c r="MA22" s="376">
        <v>110</v>
      </c>
      <c r="MB22" s="376">
        <v>113</v>
      </c>
      <c r="MC22" s="268">
        <v>113</v>
      </c>
      <c r="MD22" s="268">
        <v>113</v>
      </c>
      <c r="ME22" s="268"/>
      <c r="MF22" s="268"/>
      <c r="MG22" s="268"/>
      <c r="MH22" s="268"/>
      <c r="MI22" s="268"/>
      <c r="MJ22" s="268"/>
      <c r="MK22" s="268"/>
      <c r="ML22" s="268"/>
      <c r="MM22" s="268"/>
      <c r="MN22" s="268"/>
      <c r="MO22" s="271"/>
      <c r="MP22" s="271"/>
      <c r="MQ22" s="271"/>
      <c r="MR22" s="271"/>
      <c r="MS22" s="271"/>
      <c r="MT22" s="268"/>
      <c r="MU22" s="271"/>
      <c r="MV22" s="271"/>
      <c r="MW22" s="268"/>
      <c r="MX22" s="268"/>
      <c r="MY22" s="268"/>
      <c r="MZ22" s="268"/>
      <c r="NA22" s="268"/>
      <c r="NB22" s="268"/>
      <c r="NC22" s="268"/>
      <c r="ND22" s="268"/>
      <c r="NE22" s="268"/>
      <c r="NF22" s="268"/>
      <c r="NG22" s="268"/>
      <c r="NH22" s="268"/>
      <c r="NI22" s="268"/>
      <c r="NJ22" s="268"/>
      <c r="NK22" s="268"/>
      <c r="NL22" s="271"/>
      <c r="NM22" s="268"/>
      <c r="NN22" s="268"/>
      <c r="NO22" s="268"/>
      <c r="NP22" s="268"/>
      <c r="NQ22" s="268"/>
      <c r="NR22" s="268"/>
      <c r="NS22" s="268"/>
      <c r="NT22" s="268"/>
      <c r="NU22" s="268"/>
      <c r="NV22" s="268"/>
      <c r="NW22" s="268"/>
      <c r="NX22" s="268"/>
      <c r="NY22" s="268"/>
      <c r="NZ22" s="268"/>
      <c r="OA22" s="268"/>
      <c r="OB22" s="268"/>
      <c r="OC22" s="268"/>
      <c r="OD22" s="268"/>
      <c r="OE22" s="268"/>
      <c r="OF22" s="268"/>
      <c r="OG22" s="268"/>
      <c r="OH22" s="268"/>
      <c r="OI22" s="268"/>
      <c r="OJ22" s="268"/>
      <c r="OK22" s="268"/>
      <c r="OL22" s="268"/>
      <c r="OM22" s="268"/>
      <c r="ON22" s="268"/>
      <c r="OO22" s="268"/>
      <c r="OP22" s="268"/>
      <c r="OQ22" s="268"/>
      <c r="OR22" s="268"/>
      <c r="OS22" s="268"/>
      <c r="OT22" s="268"/>
      <c r="OU22" s="268"/>
      <c r="OV22" s="268"/>
      <c r="OW22" s="268"/>
      <c r="OX22" s="268"/>
      <c r="OY22" s="268"/>
      <c r="OZ22" s="268"/>
      <c r="PA22" s="268"/>
      <c r="PB22" s="268"/>
      <c r="PC22" s="45"/>
      <c r="PD22" s="45"/>
      <c r="PE22" s="45"/>
      <c r="PF22" s="45"/>
      <c r="PG22" s="45"/>
      <c r="PH22" s="45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172"/>
      <c r="QF22" s="172"/>
      <c r="QG22" s="172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45"/>
      <c r="QX22" s="45"/>
      <c r="QY22" s="45">
        <v>92.1</v>
      </c>
      <c r="QZ22" s="45">
        <v>92.42</v>
      </c>
      <c r="RA22" s="45">
        <v>92.1</v>
      </c>
      <c r="RB22" s="324">
        <v>93.83</v>
      </c>
      <c r="RC22" s="343">
        <v>96.53</v>
      </c>
      <c r="RD22" s="343">
        <v>96.53</v>
      </c>
      <c r="RE22" s="343">
        <v>96.53</v>
      </c>
      <c r="RF22" s="324">
        <v>107.3</v>
      </c>
      <c r="RG22" s="384">
        <v>114.2</v>
      </c>
      <c r="RH22" s="384">
        <v>114.2</v>
      </c>
      <c r="RI22" s="324">
        <v>115.5</v>
      </c>
      <c r="RJ22" s="324"/>
      <c r="RK22" s="324"/>
      <c r="RL22" s="324"/>
      <c r="RM22" s="324"/>
      <c r="RN22" s="324"/>
      <c r="RO22" s="324"/>
      <c r="RP22" s="324"/>
      <c r="RQ22" s="324"/>
      <c r="RR22" s="324"/>
      <c r="RS22" s="324"/>
      <c r="RT22" s="324"/>
      <c r="RU22" s="343"/>
      <c r="RV22" s="343"/>
      <c r="RW22" s="343"/>
      <c r="RX22" s="343"/>
      <c r="RY22" s="343"/>
      <c r="RZ22" s="324"/>
      <c r="SA22" s="343"/>
      <c r="SB22" s="343"/>
      <c r="SC22" s="324"/>
      <c r="SD22" s="324"/>
      <c r="SE22" s="324"/>
      <c r="SF22" s="324"/>
      <c r="SG22" s="324"/>
      <c r="SH22" s="324"/>
      <c r="SI22" s="324"/>
      <c r="SJ22" s="324"/>
      <c r="SK22" s="324"/>
      <c r="SL22" s="324"/>
      <c r="SM22" s="324"/>
      <c r="SN22" s="324"/>
      <c r="SO22" s="324"/>
      <c r="SP22" s="324"/>
      <c r="SQ22" s="324"/>
      <c r="SR22" s="343"/>
      <c r="SS22" s="324"/>
      <c r="ST22" s="324"/>
      <c r="SU22" s="324"/>
      <c r="SV22" s="324"/>
      <c r="SW22" s="324"/>
      <c r="SX22" s="324"/>
      <c r="SY22" s="324"/>
      <c r="SZ22" s="324"/>
      <c r="TA22" s="324"/>
      <c r="TB22" s="324"/>
      <c r="TC22" s="324"/>
      <c r="TD22" s="324"/>
      <c r="TE22" s="324"/>
      <c r="TF22" s="324"/>
      <c r="TG22" s="324"/>
      <c r="TH22" s="324"/>
      <c r="TI22" s="324"/>
      <c r="TJ22" s="324"/>
      <c r="TK22" s="324"/>
      <c r="TL22" s="324"/>
      <c r="TM22" s="324"/>
      <c r="TN22" s="324"/>
      <c r="TO22" s="324"/>
      <c r="TP22" s="324"/>
      <c r="TQ22" s="324"/>
      <c r="TR22" s="324"/>
      <c r="TS22" s="324"/>
      <c r="TT22" s="324"/>
      <c r="TU22" s="324"/>
      <c r="TV22" s="324"/>
      <c r="TW22" s="324"/>
      <c r="TX22" s="324"/>
      <c r="TY22" s="324"/>
      <c r="TZ22" s="324"/>
      <c r="UA22" s="324"/>
      <c r="UB22" s="324"/>
      <c r="UC22" s="324"/>
      <c r="UD22" s="324"/>
      <c r="UE22" s="324"/>
      <c r="UF22" s="324"/>
      <c r="UG22" s="324"/>
      <c r="UH22" s="324"/>
      <c r="UI22" s="45"/>
      <c r="UJ22" s="45"/>
      <c r="UK22" s="45"/>
      <c r="UL22" s="45"/>
      <c r="UM22" s="21"/>
      <c r="UN22" s="21"/>
      <c r="UO22" s="21"/>
      <c r="UP22" s="21"/>
      <c r="UQ22" s="45"/>
      <c r="UR22" s="21"/>
      <c r="US22" s="21"/>
      <c r="UT22" s="21"/>
      <c r="UU22" s="21"/>
      <c r="UV22" s="21"/>
      <c r="UW22" s="21"/>
      <c r="UX22" s="45"/>
      <c r="UY22" s="21"/>
      <c r="UZ22" s="45"/>
      <c r="VA22" s="21"/>
      <c r="VB22" s="45"/>
      <c r="VC22" s="45"/>
      <c r="VD22" s="21"/>
      <c r="VE22" s="21"/>
      <c r="VF22" s="45"/>
      <c r="VG22" s="45"/>
      <c r="VH22" s="21"/>
      <c r="VI22" s="21"/>
      <c r="VJ22" s="21"/>
      <c r="VK22" s="21"/>
      <c r="VL22" s="45"/>
      <c r="VM22" s="45"/>
      <c r="VN22" s="45"/>
      <c r="VO22" s="45"/>
      <c r="VP22" s="21"/>
      <c r="VQ22" s="45"/>
      <c r="VR22" s="21"/>
      <c r="VS22" s="21"/>
      <c r="VT22" s="21"/>
      <c r="VU22" s="21"/>
      <c r="VV22" s="45"/>
      <c r="VW22" s="45"/>
      <c r="VX22" s="45"/>
      <c r="VY22" s="45"/>
      <c r="VZ22" s="45"/>
      <c r="WA22" s="45"/>
      <c r="WB22" s="21"/>
      <c r="WC22" s="21"/>
      <c r="WD22" s="21"/>
      <c r="WE22" s="21"/>
      <c r="WF22" s="21"/>
      <c r="WG22" s="21"/>
      <c r="WH22" s="21"/>
      <c r="WI22" s="45"/>
      <c r="WJ22" s="21"/>
      <c r="WK22" s="21"/>
      <c r="WL22" s="21"/>
      <c r="WM22" s="21"/>
      <c r="WN22" s="21"/>
      <c r="WO22" s="21"/>
      <c r="WP22" s="21"/>
      <c r="WQ22" s="21"/>
      <c r="WR22" s="21"/>
      <c r="WS22" s="21"/>
      <c r="WT22" s="21"/>
      <c r="WU22" s="21"/>
      <c r="WV22" s="21"/>
      <c r="WW22" s="21"/>
      <c r="WX22" s="172"/>
      <c r="WY22" s="172"/>
      <c r="WZ22" s="172"/>
      <c r="XA22" s="21"/>
      <c r="XB22" s="21"/>
      <c r="XC22" s="21"/>
      <c r="XD22" s="21"/>
      <c r="XE22" s="21"/>
      <c r="XF22" s="21"/>
      <c r="XG22" s="21"/>
      <c r="XH22" s="21"/>
      <c r="XI22" s="21"/>
      <c r="XJ22" s="21"/>
      <c r="XK22" s="21"/>
      <c r="XL22" s="21"/>
      <c r="XM22" s="21"/>
      <c r="XN22" s="21"/>
      <c r="XO22" s="21"/>
      <c r="XP22" s="45"/>
      <c r="XQ22" s="275">
        <v>101.4</v>
      </c>
      <c r="XR22" s="275">
        <v>101.4</v>
      </c>
      <c r="XS22" s="45">
        <v>101.4</v>
      </c>
      <c r="XT22" s="45">
        <v>98.9</v>
      </c>
      <c r="XU22" s="21">
        <v>98.9</v>
      </c>
      <c r="XV22" s="45">
        <v>98.9</v>
      </c>
      <c r="XW22" s="21">
        <v>100.1</v>
      </c>
      <c r="XX22" s="172">
        <v>100.1</v>
      </c>
      <c r="XY22" s="21">
        <v>98.3</v>
      </c>
      <c r="XZ22" s="172"/>
      <c r="YA22" s="172"/>
      <c r="YB22" s="21"/>
      <c r="YC22" s="21"/>
      <c r="YD22" s="21"/>
      <c r="YE22" s="21"/>
      <c r="YF22" s="21"/>
      <c r="YG22" s="21"/>
      <c r="YH22" s="21"/>
      <c r="YI22" s="21"/>
      <c r="YJ22" s="21"/>
      <c r="YK22" s="21"/>
      <c r="YL22" s="21"/>
      <c r="YM22" s="21"/>
      <c r="YN22" s="45"/>
      <c r="YO22" s="45"/>
      <c r="YP22" s="45"/>
      <c r="YQ22" s="45"/>
      <c r="YR22" s="45"/>
      <c r="YS22" s="21"/>
      <c r="YT22" s="45"/>
      <c r="YU22" s="45"/>
      <c r="YV22" s="21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45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  <c r="AAY22" s="21"/>
      <c r="AAZ22" s="21"/>
      <c r="ABA22" s="21"/>
      <c r="ABB22" s="45"/>
      <c r="ABC22" s="45"/>
      <c r="ABD22" s="45"/>
      <c r="ABE22" s="21"/>
      <c r="ABF22" s="21"/>
      <c r="ABG22" s="70"/>
      <c r="ABH22" s="70"/>
      <c r="ABI22" s="70"/>
      <c r="ABJ22" s="70"/>
      <c r="ABK22" s="70"/>
      <c r="ABL22" s="60"/>
      <c r="ABM22" s="70"/>
      <c r="ABN22" s="70"/>
      <c r="ABO22" s="70"/>
      <c r="ABP22" s="70"/>
      <c r="ABQ22" s="70"/>
      <c r="ABR22" s="70"/>
      <c r="ABS22" s="70"/>
      <c r="ABT22" s="70"/>
      <c r="ABU22" s="70"/>
      <c r="ABV22" s="70"/>
      <c r="ABW22" s="70"/>
      <c r="ABX22" s="70"/>
      <c r="ABY22" s="70"/>
      <c r="ABZ22" s="70"/>
      <c r="ACA22" s="177"/>
      <c r="ACB22" s="177"/>
      <c r="ACC22" s="177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43"/>
      <c r="ACT22" s="274" t="s">
        <v>125</v>
      </c>
      <c r="ACU22" s="274" t="s">
        <v>125</v>
      </c>
      <c r="ACV22" s="274" t="s">
        <v>125</v>
      </c>
      <c r="ACW22" s="274">
        <v>102</v>
      </c>
      <c r="ACX22" s="267">
        <v>102</v>
      </c>
      <c r="ACY22" s="274">
        <v>100</v>
      </c>
      <c r="ACZ22" s="267">
        <v>100</v>
      </c>
      <c r="ADA22" s="352">
        <v>100</v>
      </c>
      <c r="ADB22" s="267">
        <v>100</v>
      </c>
      <c r="ADC22" s="352">
        <v>105</v>
      </c>
      <c r="ADD22" s="352">
        <v>115</v>
      </c>
      <c r="ADE22" s="267">
        <v>120</v>
      </c>
      <c r="ADF22" s="267"/>
      <c r="ADG22" s="267"/>
      <c r="ADH22" s="267"/>
      <c r="ADI22" s="267"/>
      <c r="ADJ22" s="267"/>
      <c r="ADK22" s="267"/>
      <c r="ADL22" s="267"/>
      <c r="ADM22" s="267"/>
      <c r="ADN22" s="267"/>
      <c r="ADO22" s="267"/>
      <c r="ADP22" s="267"/>
      <c r="ADQ22" s="274"/>
      <c r="ADR22" s="274"/>
      <c r="ADS22" s="274"/>
      <c r="ADT22" s="274"/>
      <c r="ADU22" s="274"/>
      <c r="ADV22" s="267"/>
      <c r="ADW22" s="267"/>
      <c r="ADX22" s="267"/>
      <c r="ADY22" s="267"/>
      <c r="ADZ22" s="267"/>
      <c r="AEA22" s="267"/>
      <c r="AEB22" s="267"/>
      <c r="AEC22" s="267"/>
      <c r="AED22" s="267"/>
      <c r="AEE22" s="267"/>
      <c r="AEF22" s="267"/>
      <c r="AEG22" s="267"/>
      <c r="AEH22" s="267"/>
      <c r="AEI22" s="267"/>
      <c r="AEJ22" s="267"/>
      <c r="AEK22" s="267"/>
      <c r="AEL22" s="267"/>
      <c r="AEM22" s="267"/>
      <c r="AEN22" s="274"/>
      <c r="AEO22" s="267"/>
      <c r="AEP22" s="267"/>
      <c r="AEQ22" s="267"/>
      <c r="AER22" s="267"/>
      <c r="AES22" s="267"/>
      <c r="AET22" s="267"/>
      <c r="AEU22" s="267"/>
      <c r="AEV22" s="267"/>
      <c r="AEW22" s="267"/>
      <c r="AEX22" s="267"/>
      <c r="AEY22" s="267"/>
      <c r="AEZ22" s="267"/>
      <c r="AFA22" s="267"/>
      <c r="AFB22" s="267"/>
      <c r="AFC22" s="267"/>
      <c r="AFD22" s="267"/>
      <c r="AFE22" s="267"/>
      <c r="AFF22" s="267"/>
      <c r="AFG22" s="267"/>
      <c r="AFH22" s="267"/>
      <c r="AFI22" s="267"/>
      <c r="AFJ22" s="267"/>
      <c r="AFK22" s="267"/>
      <c r="AFL22" s="267"/>
      <c r="AFM22" s="267"/>
      <c r="AFN22" s="267"/>
      <c r="AFO22" s="267"/>
      <c r="AFP22" s="267"/>
      <c r="AFQ22" s="267"/>
      <c r="AFR22" s="267"/>
      <c r="AFS22" s="267"/>
      <c r="AFT22" s="267"/>
      <c r="AFU22" s="267"/>
      <c r="AFV22" s="267"/>
      <c r="AFW22" s="267"/>
      <c r="AFX22" s="267"/>
      <c r="AFY22" s="267"/>
      <c r="AFZ22" s="267"/>
      <c r="AGA22" s="267"/>
      <c r="AGB22" s="267"/>
      <c r="AGC22" s="267"/>
      <c r="AGD22" s="267"/>
      <c r="AGE22" s="267"/>
      <c r="AGF22" s="267"/>
      <c r="AGG22" s="267"/>
      <c r="AGH22" s="267"/>
      <c r="AGI22" s="267"/>
      <c r="AGJ22" s="267"/>
      <c r="AGK22" s="267"/>
      <c r="AGL22" s="267"/>
      <c r="AGM22" s="267"/>
      <c r="AGN22" s="267"/>
      <c r="AGO22" s="267"/>
      <c r="AGP22" s="267"/>
      <c r="AGQ22" s="267"/>
      <c r="AGR22" s="267"/>
      <c r="AGS22" s="267"/>
      <c r="AGT22" s="267"/>
      <c r="AGU22" s="267"/>
      <c r="AGV22" s="267"/>
      <c r="AGW22" s="267"/>
      <c r="AGX22" s="267"/>
      <c r="AGY22" s="267"/>
      <c r="AGZ22" s="267"/>
      <c r="AHA22" s="267"/>
      <c r="AHB22" s="267"/>
      <c r="AHC22" s="267"/>
      <c r="AHD22" s="45"/>
      <c r="AHE22" s="45"/>
      <c r="AHF22" s="45"/>
      <c r="AHG22" s="45"/>
      <c r="AHH22" s="21"/>
      <c r="AHI22" s="70"/>
      <c r="AHJ22" s="70"/>
      <c r="AHK22" s="70"/>
      <c r="AHL22" s="70"/>
      <c r="AHM22" s="70"/>
      <c r="AHN22" s="60"/>
      <c r="AHO22" s="70"/>
      <c r="AHP22" s="70"/>
      <c r="AHQ22" s="70"/>
      <c r="AHR22" s="70"/>
      <c r="AHS22" s="70"/>
      <c r="AHT22" s="70"/>
      <c r="AHU22" s="70"/>
      <c r="AHV22" s="70"/>
      <c r="AHW22" s="70"/>
      <c r="AHX22" s="70"/>
      <c r="AHY22" s="70"/>
      <c r="AHZ22" s="70"/>
      <c r="AIA22" s="70"/>
      <c r="AIB22" s="70"/>
      <c r="AIC22" s="177"/>
      <c r="AID22" s="177"/>
      <c r="AIE22" s="177"/>
      <c r="AIF22" s="70"/>
      <c r="AIG22" s="70"/>
      <c r="AIH22" s="70"/>
      <c r="AII22" s="70"/>
      <c r="AIJ22" s="70"/>
      <c r="AIK22" s="70"/>
      <c r="AIL22" s="70"/>
      <c r="AIM22" s="70"/>
      <c r="AIN22" s="70"/>
      <c r="AIO22" s="70"/>
      <c r="AIP22" s="70"/>
      <c r="AIQ22" s="70"/>
      <c r="AIR22" s="70"/>
      <c r="AIS22" s="70"/>
      <c r="AIT22" s="70"/>
      <c r="AIU22" s="70"/>
      <c r="AIV22" s="60"/>
      <c r="AIW22" s="60"/>
      <c r="AIX22" s="60"/>
      <c r="AIY22" s="60"/>
      <c r="AIZ22" s="60"/>
      <c r="AJA22" s="70"/>
      <c r="AJB22" s="60"/>
      <c r="AJC22" s="70"/>
      <c r="AJD22" s="70"/>
      <c r="AJE22" s="70"/>
      <c r="AJF22" s="70"/>
      <c r="AJG22" s="70"/>
      <c r="AJH22" s="70"/>
      <c r="AJI22" s="70"/>
      <c r="AJJ22" s="60"/>
      <c r="AJK22" s="60"/>
      <c r="AJL22" s="60"/>
      <c r="AJM22" s="60"/>
      <c r="AJN22" s="60"/>
      <c r="AJO22" s="70"/>
      <c r="AJP22" s="70"/>
      <c r="AJQ22" s="60"/>
      <c r="AJR22" s="70"/>
      <c r="AJS22" s="70"/>
      <c r="AJT22" s="60"/>
      <c r="AJU22" s="60"/>
      <c r="AJV22" s="315"/>
      <c r="AJW22" s="315"/>
      <c r="AJX22" s="315">
        <v>90</v>
      </c>
      <c r="AJY22" s="300">
        <v>90</v>
      </c>
      <c r="AJZ22" s="315">
        <v>90</v>
      </c>
      <c r="AKA22" s="300">
        <v>90</v>
      </c>
      <c r="AKB22" s="361">
        <v>91</v>
      </c>
      <c r="AKC22" s="300">
        <v>97.5</v>
      </c>
      <c r="AKD22" s="300">
        <v>97.5</v>
      </c>
      <c r="AKE22" s="300"/>
      <c r="AKF22" s="436"/>
      <c r="AKG22" s="300"/>
      <c r="AKH22" s="349"/>
      <c r="AKI22" s="4"/>
      <c r="AKJ22" s="186"/>
      <c r="AKK22" s="6"/>
      <c r="AKL22" s="187"/>
      <c r="AKM22" s="187"/>
      <c r="AKN22" s="187"/>
      <c r="AKO22" s="187"/>
      <c r="AKP22" s="187"/>
      <c r="AKQ22" s="187"/>
      <c r="AKR22" s="187"/>
      <c r="AKS22" s="187"/>
      <c r="AKT22" s="187"/>
      <c r="AKU22" s="187"/>
      <c r="AKV22" s="187"/>
      <c r="AKW22" s="187"/>
      <c r="AKX22" s="187"/>
      <c r="AKY22" s="187"/>
      <c r="AKZ22" s="187"/>
      <c r="ALA22" s="187"/>
      <c r="ALB22" s="187"/>
      <c r="ALC22" s="187"/>
      <c r="ALD22" s="187"/>
      <c r="ALU22" s="267"/>
      <c r="ALV22" s="267"/>
      <c r="ALW22" s="267"/>
      <c r="ALX22" s="267"/>
      <c r="ALY22" s="267"/>
      <c r="ALZ22" s="267"/>
      <c r="AMA22" s="267"/>
      <c r="AMB22" s="267"/>
      <c r="AMC22" s="267"/>
      <c r="AMD22" s="267"/>
      <c r="AME22" s="267"/>
      <c r="AMF22" s="267"/>
      <c r="AMG22" s="267"/>
      <c r="AMH22" s="267"/>
      <c r="AMI22" s="267"/>
      <c r="AMJ22" s="267"/>
      <c r="AMK22" s="565"/>
      <c r="AML22" s="565"/>
      <c r="AMM22" s="565"/>
    </row>
    <row r="23" spans="1:1027" ht="29.1" hidden="1" customHeight="1" x14ac:dyDescent="0.3">
      <c r="A23" s="36" t="s">
        <v>115</v>
      </c>
      <c r="B23" s="31" t="s">
        <v>118</v>
      </c>
      <c r="C23" s="32" t="s">
        <v>119</v>
      </c>
      <c r="D23" s="32">
        <v>700</v>
      </c>
      <c r="E23" s="25"/>
      <c r="F23" s="26"/>
      <c r="G23" s="27"/>
      <c r="H23" s="159"/>
      <c r="I23" s="28"/>
      <c r="J23" s="216"/>
      <c r="K23" s="301"/>
      <c r="L23" s="71"/>
      <c r="M23" s="71"/>
      <c r="N23" s="71"/>
      <c r="O23" s="71"/>
      <c r="P23" s="71"/>
      <c r="Q23" s="71"/>
      <c r="R23" s="22"/>
      <c r="S23" s="22"/>
      <c r="T23" s="22"/>
      <c r="U23" s="22"/>
      <c r="V23" s="22"/>
      <c r="W23" s="22"/>
      <c r="X23" s="71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173"/>
      <c r="AN23" s="173"/>
      <c r="AO23" s="17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71"/>
      <c r="BF23" s="71"/>
      <c r="BG23" s="71"/>
      <c r="BH23" s="71"/>
      <c r="BI23" s="71"/>
      <c r="BJ23" s="22"/>
      <c r="BK23" s="71"/>
      <c r="BL23" s="71"/>
      <c r="BM23" s="71"/>
      <c r="BN23" s="173"/>
      <c r="BO23" s="173"/>
      <c r="BP23" s="173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71"/>
      <c r="CD23" s="71"/>
      <c r="CE23" s="71"/>
      <c r="CF23" s="71"/>
      <c r="CG23" s="71"/>
      <c r="CH23" s="22"/>
      <c r="CI23" s="71"/>
      <c r="CJ23" s="71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71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71"/>
      <c r="ER23" s="71"/>
      <c r="ES23" s="71"/>
      <c r="ET23" s="71"/>
      <c r="EU23" s="72"/>
      <c r="EV23" s="73"/>
      <c r="EW23" s="74"/>
      <c r="EX23" s="74"/>
      <c r="EY23" s="75"/>
      <c r="EZ23" s="75"/>
      <c r="FA23" s="75"/>
      <c r="FB23" s="75"/>
      <c r="FC23" s="75"/>
      <c r="FD23" s="117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178"/>
      <c r="FT23" s="178"/>
      <c r="FU23" s="178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117"/>
      <c r="GL23" s="117"/>
      <c r="GM23" s="117"/>
      <c r="GN23" s="117"/>
      <c r="GO23" s="117"/>
      <c r="GP23" s="75"/>
      <c r="GQ23" s="117"/>
      <c r="GR23" s="117"/>
      <c r="GS23" s="117"/>
      <c r="GT23" s="178"/>
      <c r="GU23" s="178"/>
      <c r="GV23" s="178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117"/>
      <c r="HJ23" s="117"/>
      <c r="HK23" s="117"/>
      <c r="HL23" s="117"/>
      <c r="HM23" s="117"/>
      <c r="HN23" s="75"/>
      <c r="HO23" s="117"/>
      <c r="HP23" s="117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117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  <c r="IX23" s="75"/>
      <c r="IY23" s="75"/>
      <c r="IZ23" s="75"/>
      <c r="JA23" s="75"/>
      <c r="JB23" s="75"/>
      <c r="JC23" s="75"/>
      <c r="JD23" s="75"/>
      <c r="JE23" s="75"/>
      <c r="JF23" s="75"/>
      <c r="JG23" s="75"/>
      <c r="JH23" s="75"/>
      <c r="JI23" s="75"/>
      <c r="JJ23" s="75"/>
      <c r="JK23" s="75"/>
      <c r="JL23" s="75"/>
      <c r="JM23" s="75"/>
      <c r="JN23" s="75"/>
      <c r="JO23" s="75"/>
      <c r="JP23" s="75"/>
      <c r="JQ23" s="75"/>
      <c r="JR23" s="75"/>
      <c r="JS23" s="75"/>
      <c r="JT23" s="75"/>
      <c r="JU23" s="75"/>
      <c r="JV23" s="75"/>
      <c r="JW23" s="71"/>
      <c r="JX23" s="71"/>
      <c r="JY23" s="71"/>
      <c r="JZ23" s="71"/>
      <c r="KA23" s="71"/>
      <c r="KB23" s="71"/>
      <c r="KC23" s="71"/>
      <c r="KD23" s="22"/>
      <c r="KE23" s="74"/>
      <c r="KF23" s="74"/>
      <c r="KG23" s="74"/>
      <c r="KH23" s="74"/>
      <c r="KI23" s="74"/>
      <c r="KJ23" s="72"/>
      <c r="KK23" s="74"/>
      <c r="KL23" s="74"/>
      <c r="KM23" s="74"/>
      <c r="KN23" s="74"/>
      <c r="KO23" s="74"/>
      <c r="KP23" s="74"/>
      <c r="KQ23" s="74"/>
      <c r="KR23" s="74"/>
      <c r="KS23" s="74"/>
      <c r="KT23" s="74"/>
      <c r="KU23" s="74"/>
      <c r="KV23" s="74"/>
      <c r="KW23" s="74"/>
      <c r="KX23" s="74"/>
      <c r="KY23" s="182"/>
      <c r="KZ23" s="182"/>
      <c r="LA23" s="182"/>
      <c r="LB23" s="74"/>
      <c r="LC23" s="74"/>
      <c r="LD23" s="74"/>
      <c r="LE23" s="74"/>
      <c r="LF23" s="74"/>
      <c r="LG23" s="74"/>
      <c r="LH23" s="74"/>
      <c r="LI23" s="74"/>
      <c r="LJ23" s="74"/>
      <c r="LK23" s="74"/>
      <c r="LL23" s="74"/>
      <c r="LM23" s="74"/>
      <c r="LN23" s="74"/>
      <c r="LO23" s="74"/>
      <c r="LP23" s="74"/>
      <c r="LQ23" s="72"/>
      <c r="LR23" s="72"/>
      <c r="LS23" s="72"/>
      <c r="LT23" s="72"/>
      <c r="LU23" s="72"/>
      <c r="LV23" s="74"/>
      <c r="LW23" s="72"/>
      <c r="LX23" s="72"/>
      <c r="LY23" s="72"/>
      <c r="LZ23" s="74"/>
      <c r="MA23" s="182"/>
      <c r="MB23" s="182"/>
      <c r="MC23" s="74"/>
      <c r="MD23" s="74"/>
      <c r="ME23" s="74"/>
      <c r="MF23" s="74"/>
      <c r="MG23" s="74"/>
      <c r="MH23" s="74"/>
      <c r="MI23" s="74"/>
      <c r="MJ23" s="74"/>
      <c r="MK23" s="74"/>
      <c r="ML23" s="74"/>
      <c r="MM23" s="74"/>
      <c r="MN23" s="74"/>
      <c r="MO23" s="72"/>
      <c r="MP23" s="72"/>
      <c r="MQ23" s="72"/>
      <c r="MR23" s="72"/>
      <c r="MS23" s="72"/>
      <c r="MT23" s="74"/>
      <c r="MU23" s="72"/>
      <c r="MV23" s="72"/>
      <c r="MW23" s="74"/>
      <c r="MX23" s="74"/>
      <c r="MY23" s="74"/>
      <c r="MZ23" s="74"/>
      <c r="NA23" s="74"/>
      <c r="NB23" s="74"/>
      <c r="NC23" s="74"/>
      <c r="ND23" s="74"/>
      <c r="NE23" s="74"/>
      <c r="NF23" s="74"/>
      <c r="NG23" s="74"/>
      <c r="NH23" s="74"/>
      <c r="NI23" s="74"/>
      <c r="NJ23" s="74"/>
      <c r="NK23" s="74"/>
      <c r="NL23" s="72"/>
      <c r="NM23" s="74"/>
      <c r="NN23" s="74"/>
      <c r="NO23" s="74"/>
      <c r="NP23" s="74"/>
      <c r="NQ23" s="74"/>
      <c r="NR23" s="74"/>
      <c r="NS23" s="74"/>
      <c r="NT23" s="74"/>
      <c r="NU23" s="74"/>
      <c r="NV23" s="74"/>
      <c r="NW23" s="74"/>
      <c r="NX23" s="74"/>
      <c r="NY23" s="74"/>
      <c r="NZ23" s="74"/>
      <c r="OA23" s="74"/>
      <c r="OB23" s="74"/>
      <c r="OC23" s="74"/>
      <c r="OD23" s="74"/>
      <c r="OE23" s="74"/>
      <c r="OF23" s="74"/>
      <c r="OG23" s="74"/>
      <c r="OH23" s="74"/>
      <c r="OI23" s="74"/>
      <c r="OJ23" s="74"/>
      <c r="OK23" s="74"/>
      <c r="OL23" s="74"/>
      <c r="OM23" s="74"/>
      <c r="ON23" s="74"/>
      <c r="OO23" s="74"/>
      <c r="OP23" s="74"/>
      <c r="OQ23" s="74"/>
      <c r="OR23" s="74"/>
      <c r="OS23" s="74"/>
      <c r="OT23" s="74"/>
      <c r="OU23" s="74"/>
      <c r="OV23" s="74"/>
      <c r="OW23" s="74"/>
      <c r="OX23" s="74"/>
      <c r="OY23" s="74"/>
      <c r="OZ23" s="74"/>
      <c r="PA23" s="74"/>
      <c r="PB23" s="74"/>
      <c r="PC23" s="71"/>
      <c r="PD23" s="71"/>
      <c r="PE23" s="71"/>
      <c r="PF23" s="71"/>
      <c r="PG23" s="71"/>
      <c r="PH23" s="71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173"/>
      <c r="QF23" s="173"/>
      <c r="QG23" s="173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71"/>
      <c r="QX23" s="71"/>
      <c r="QY23" s="71"/>
      <c r="QZ23" s="71"/>
      <c r="RA23" s="71"/>
      <c r="RB23" s="325"/>
      <c r="RC23" s="344"/>
      <c r="RD23" s="344"/>
      <c r="RE23" s="344"/>
      <c r="RF23" s="325"/>
      <c r="RG23" s="385"/>
      <c r="RH23" s="385"/>
      <c r="RI23" s="325"/>
      <c r="RJ23" s="325"/>
      <c r="RK23" s="325"/>
      <c r="RL23" s="325"/>
      <c r="RM23" s="325"/>
      <c r="RN23" s="325"/>
      <c r="RO23" s="325"/>
      <c r="RP23" s="325"/>
      <c r="RQ23" s="325"/>
      <c r="RR23" s="325"/>
      <c r="RS23" s="325"/>
      <c r="RT23" s="325"/>
      <c r="RU23" s="344"/>
      <c r="RV23" s="344"/>
      <c r="RW23" s="344"/>
      <c r="RX23" s="344"/>
      <c r="RY23" s="344"/>
      <c r="RZ23" s="325"/>
      <c r="SA23" s="344"/>
      <c r="SB23" s="344"/>
      <c r="SC23" s="325"/>
      <c r="SD23" s="325"/>
      <c r="SE23" s="325"/>
      <c r="SF23" s="325"/>
      <c r="SG23" s="325"/>
      <c r="SH23" s="325"/>
      <c r="SI23" s="325"/>
      <c r="SJ23" s="325"/>
      <c r="SK23" s="325"/>
      <c r="SL23" s="325"/>
      <c r="SM23" s="325"/>
      <c r="SN23" s="325"/>
      <c r="SO23" s="325"/>
      <c r="SP23" s="325"/>
      <c r="SQ23" s="325"/>
      <c r="SR23" s="344"/>
      <c r="SS23" s="325"/>
      <c r="ST23" s="325"/>
      <c r="SU23" s="325"/>
      <c r="SV23" s="325"/>
      <c r="SW23" s="325"/>
      <c r="SX23" s="325"/>
      <c r="SY23" s="325"/>
      <c r="SZ23" s="325"/>
      <c r="TA23" s="325"/>
      <c r="TB23" s="325"/>
      <c r="TC23" s="325"/>
      <c r="TD23" s="325"/>
      <c r="TE23" s="325"/>
      <c r="TF23" s="325"/>
      <c r="TG23" s="325"/>
      <c r="TH23" s="325"/>
      <c r="TI23" s="325"/>
      <c r="TJ23" s="325"/>
      <c r="TK23" s="325"/>
      <c r="TL23" s="325"/>
      <c r="TM23" s="325"/>
      <c r="TN23" s="325"/>
      <c r="TO23" s="325"/>
      <c r="TP23" s="325"/>
      <c r="TQ23" s="325"/>
      <c r="TR23" s="325"/>
      <c r="TS23" s="325"/>
      <c r="TT23" s="325"/>
      <c r="TU23" s="325"/>
      <c r="TV23" s="325"/>
      <c r="TW23" s="325"/>
      <c r="TX23" s="325"/>
      <c r="TY23" s="325"/>
      <c r="TZ23" s="325"/>
      <c r="UA23" s="325"/>
      <c r="UB23" s="325"/>
      <c r="UC23" s="325"/>
      <c r="UD23" s="325"/>
      <c r="UE23" s="325"/>
      <c r="UF23" s="325"/>
      <c r="UG23" s="325"/>
      <c r="UH23" s="325"/>
      <c r="UI23" s="71"/>
      <c r="UJ23" s="71"/>
      <c r="UK23" s="71"/>
      <c r="UL23" s="71"/>
      <c r="UM23" s="22"/>
      <c r="UN23" s="22"/>
      <c r="UO23" s="22"/>
      <c r="UP23" s="22"/>
      <c r="UQ23" s="71"/>
      <c r="UR23" s="22"/>
      <c r="US23" s="22"/>
      <c r="UT23" s="22"/>
      <c r="UU23" s="22"/>
      <c r="UV23" s="22"/>
      <c r="UW23" s="22"/>
      <c r="UX23" s="71"/>
      <c r="UY23" s="22"/>
      <c r="UZ23" s="71"/>
      <c r="VA23" s="22"/>
      <c r="VB23" s="71"/>
      <c r="VC23" s="71"/>
      <c r="VD23" s="22"/>
      <c r="VE23" s="22"/>
      <c r="VF23" s="71"/>
      <c r="VG23" s="71"/>
      <c r="VH23" s="22"/>
      <c r="VI23" s="22"/>
      <c r="VJ23" s="22"/>
      <c r="VK23" s="22"/>
      <c r="VL23" s="71"/>
      <c r="VM23" s="71"/>
      <c r="VN23" s="71"/>
      <c r="VO23" s="71"/>
      <c r="VP23" s="22"/>
      <c r="VQ23" s="71"/>
      <c r="VR23" s="22"/>
      <c r="VS23" s="22"/>
      <c r="VT23" s="22"/>
      <c r="VU23" s="22"/>
      <c r="VV23" s="71"/>
      <c r="VW23" s="71"/>
      <c r="VX23" s="71"/>
      <c r="VY23" s="71"/>
      <c r="VZ23" s="71"/>
      <c r="WA23" s="71"/>
      <c r="WB23" s="22"/>
      <c r="WC23" s="22"/>
      <c r="WD23" s="22"/>
      <c r="WE23" s="22"/>
      <c r="WF23" s="22"/>
      <c r="WG23" s="22"/>
      <c r="WH23" s="22"/>
      <c r="WI23" s="71"/>
      <c r="WJ23" s="22"/>
      <c r="WK23" s="22"/>
      <c r="WL23" s="22"/>
      <c r="WM23" s="22"/>
      <c r="WN23" s="22"/>
      <c r="WO23" s="22"/>
      <c r="WP23" s="22"/>
      <c r="WQ23" s="22"/>
      <c r="WR23" s="22"/>
      <c r="WS23" s="22"/>
      <c r="WT23" s="22"/>
      <c r="WU23" s="22"/>
      <c r="WV23" s="22"/>
      <c r="WW23" s="22"/>
      <c r="WX23" s="173"/>
      <c r="WY23" s="173"/>
      <c r="WZ23" s="173"/>
      <c r="XA23" s="22"/>
      <c r="XB23" s="22"/>
      <c r="XC23" s="22"/>
      <c r="XD23" s="22"/>
      <c r="XE23" s="22"/>
      <c r="XF23" s="22"/>
      <c r="XG23" s="22"/>
      <c r="XH23" s="22"/>
      <c r="XI23" s="22"/>
      <c r="XJ23" s="22"/>
      <c r="XK23" s="22"/>
      <c r="XL23" s="22"/>
      <c r="XM23" s="22"/>
      <c r="XN23" s="22"/>
      <c r="XO23" s="22"/>
      <c r="XP23" s="71"/>
      <c r="XQ23" s="71"/>
      <c r="XR23" s="71"/>
      <c r="XS23" s="71"/>
      <c r="XT23" s="71"/>
      <c r="XU23" s="22"/>
      <c r="XV23" s="71"/>
      <c r="XW23" s="22"/>
      <c r="XX23" s="173"/>
      <c r="XY23" s="22"/>
      <c r="XZ23" s="173"/>
      <c r="YA23" s="173"/>
      <c r="YB23" s="22"/>
      <c r="YC23" s="22"/>
      <c r="YD23" s="22"/>
      <c r="YE23" s="22"/>
      <c r="YF23" s="22"/>
      <c r="YG23" s="22"/>
      <c r="YH23" s="22"/>
      <c r="YI23" s="22"/>
      <c r="YJ23" s="22"/>
      <c r="YK23" s="22"/>
      <c r="YL23" s="22"/>
      <c r="YM23" s="22"/>
      <c r="YN23" s="71"/>
      <c r="YO23" s="71"/>
      <c r="YP23" s="71"/>
      <c r="YQ23" s="71"/>
      <c r="YR23" s="71"/>
      <c r="YS23" s="22"/>
      <c r="YT23" s="71"/>
      <c r="YU23" s="71"/>
      <c r="YV23" s="22"/>
      <c r="YW23" s="22"/>
      <c r="YX23" s="22"/>
      <c r="YY23" s="22"/>
      <c r="YZ23" s="22"/>
      <c r="ZA23" s="22"/>
      <c r="ZB23" s="22"/>
      <c r="ZC23" s="22"/>
      <c r="ZD23" s="22"/>
      <c r="ZE23" s="22"/>
      <c r="ZF23" s="22"/>
      <c r="ZG23" s="22"/>
      <c r="ZH23" s="22"/>
      <c r="ZI23" s="22"/>
      <c r="ZJ23" s="22"/>
      <c r="ZK23" s="71"/>
      <c r="ZL23" s="22"/>
      <c r="ZM23" s="22"/>
      <c r="ZN23" s="22"/>
      <c r="ZO23" s="22"/>
      <c r="ZP23" s="22"/>
      <c r="ZQ23" s="22"/>
      <c r="ZR23" s="22"/>
      <c r="ZS23" s="22"/>
      <c r="ZT23" s="22"/>
      <c r="ZU23" s="22"/>
      <c r="ZV23" s="22"/>
      <c r="ZW23" s="22"/>
      <c r="ZX23" s="22"/>
      <c r="ZY23" s="22"/>
      <c r="ZZ23" s="22"/>
      <c r="AAA23" s="22"/>
      <c r="AAB23" s="22"/>
      <c r="AAC23" s="22"/>
      <c r="AAD23" s="22"/>
      <c r="AAE23" s="22"/>
      <c r="AAF23" s="22"/>
      <c r="AAG23" s="22"/>
      <c r="AAH23" s="22"/>
      <c r="AAI23" s="22"/>
      <c r="AAJ23" s="22"/>
      <c r="AAK23" s="22"/>
      <c r="AAL23" s="22"/>
      <c r="AAM23" s="22"/>
      <c r="AAN23" s="22"/>
      <c r="AAO23" s="22"/>
      <c r="AAP23" s="22"/>
      <c r="AAQ23" s="22"/>
      <c r="AAR23" s="22"/>
      <c r="AAS23" s="22"/>
      <c r="AAT23" s="22"/>
      <c r="AAU23" s="22"/>
      <c r="AAV23" s="22"/>
      <c r="AAW23" s="22"/>
      <c r="AAX23" s="22"/>
      <c r="AAY23" s="22"/>
      <c r="AAZ23" s="22"/>
      <c r="ABA23" s="22"/>
      <c r="ABB23" s="71"/>
      <c r="ABC23" s="71"/>
      <c r="ABD23" s="71"/>
      <c r="ABE23" s="22"/>
      <c r="ABF23" s="22"/>
      <c r="ABG23" s="75"/>
      <c r="ABH23" s="75"/>
      <c r="ABI23" s="75"/>
      <c r="ABJ23" s="75"/>
      <c r="ABK23" s="75"/>
      <c r="ABL23" s="117"/>
      <c r="ABM23" s="75"/>
      <c r="ABN23" s="75"/>
      <c r="ABO23" s="75"/>
      <c r="ABP23" s="75"/>
      <c r="ABQ23" s="75"/>
      <c r="ABR23" s="75"/>
      <c r="ABS23" s="75"/>
      <c r="ABT23" s="75"/>
      <c r="ABU23" s="75"/>
      <c r="ABV23" s="75"/>
      <c r="ABW23" s="75"/>
      <c r="ABX23" s="75"/>
      <c r="ABY23" s="75"/>
      <c r="ABZ23" s="75"/>
      <c r="ACA23" s="178"/>
      <c r="ACB23" s="178"/>
      <c r="ACC23" s="178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48"/>
      <c r="ACT23" s="48"/>
      <c r="ACU23" s="48"/>
      <c r="ACV23" s="48"/>
      <c r="ACW23" s="48"/>
      <c r="ACX23" s="16"/>
      <c r="ACY23" s="48"/>
      <c r="ACZ23" s="16"/>
      <c r="ADA23" s="170"/>
      <c r="ADB23" s="16"/>
      <c r="ADC23" s="170"/>
      <c r="ADD23" s="170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48"/>
      <c r="ADR23" s="48"/>
      <c r="ADS23" s="48"/>
      <c r="ADT23" s="48"/>
      <c r="ADU23" s="48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48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71"/>
      <c r="AHE23" s="71"/>
      <c r="AHF23" s="71"/>
      <c r="AHG23" s="71"/>
      <c r="AHH23" s="22"/>
      <c r="AHI23" s="75"/>
      <c r="AHJ23" s="75"/>
      <c r="AHK23" s="75"/>
      <c r="AHL23" s="75"/>
      <c r="AHM23" s="75"/>
      <c r="AHN23" s="117"/>
      <c r="AHO23" s="75"/>
      <c r="AHP23" s="75"/>
      <c r="AHQ23" s="75"/>
      <c r="AHR23" s="75"/>
      <c r="AHS23" s="75"/>
      <c r="AHT23" s="75"/>
      <c r="AHU23" s="75"/>
      <c r="AHV23" s="75"/>
      <c r="AHW23" s="75"/>
      <c r="AHX23" s="75"/>
      <c r="AHY23" s="75"/>
      <c r="AHZ23" s="75"/>
      <c r="AIA23" s="75"/>
      <c r="AIB23" s="75"/>
      <c r="AIC23" s="178"/>
      <c r="AID23" s="178"/>
      <c r="AIE23" s="178"/>
      <c r="AIF23" s="75"/>
      <c r="AIG23" s="75"/>
      <c r="AIH23" s="75"/>
      <c r="AII23" s="75"/>
      <c r="AIJ23" s="75"/>
      <c r="AIK23" s="75"/>
      <c r="AIL23" s="75"/>
      <c r="AIM23" s="75"/>
      <c r="AIN23" s="75"/>
      <c r="AIO23" s="75"/>
      <c r="AIP23" s="75"/>
      <c r="AIQ23" s="75"/>
      <c r="AIR23" s="75"/>
      <c r="AIS23" s="75"/>
      <c r="AIT23" s="75"/>
      <c r="AIU23" s="75"/>
      <c r="AIV23" s="117"/>
      <c r="AIW23" s="117"/>
      <c r="AIX23" s="117"/>
      <c r="AIY23" s="117"/>
      <c r="AIZ23" s="117"/>
      <c r="AJA23" s="75"/>
      <c r="AJB23" s="117"/>
      <c r="AJC23" s="75"/>
      <c r="AJD23" s="75"/>
      <c r="AJE23" s="75"/>
      <c r="AJF23" s="75"/>
      <c r="AJG23" s="75"/>
      <c r="AJH23" s="75"/>
      <c r="AJI23" s="75"/>
      <c r="AJJ23" s="117"/>
      <c r="AJK23" s="117"/>
      <c r="AJL23" s="117"/>
      <c r="AJM23" s="117"/>
      <c r="AJN23" s="117"/>
      <c r="AJO23" s="75"/>
      <c r="AJP23" s="75"/>
      <c r="AJQ23" s="117"/>
      <c r="AJR23" s="75"/>
      <c r="AJS23" s="75"/>
      <c r="AJT23" s="117"/>
      <c r="AJU23" s="117"/>
      <c r="AJV23" s="316"/>
      <c r="AJW23" s="316"/>
      <c r="AJX23" s="316"/>
      <c r="AJY23" s="302"/>
      <c r="AJZ23" s="316"/>
      <c r="AKA23" s="302"/>
      <c r="AKB23" s="362"/>
      <c r="AKC23" s="302"/>
      <c r="AKD23" s="302"/>
      <c r="AKE23" s="302"/>
      <c r="AKF23" s="437"/>
      <c r="AKG23" s="302"/>
      <c r="AKH23" s="349"/>
      <c r="AKI23" s="4"/>
      <c r="AKJ23" s="186"/>
      <c r="AKK23" s="6"/>
      <c r="AKL23" s="187"/>
      <c r="AKM23" s="187"/>
      <c r="AKN23" s="187"/>
      <c r="AKO23" s="187"/>
      <c r="AKP23" s="187"/>
      <c r="AKQ23" s="187"/>
      <c r="AKR23" s="187"/>
      <c r="AKS23" s="187"/>
      <c r="AKT23" s="187"/>
      <c r="AKU23" s="187"/>
      <c r="AKV23" s="187"/>
      <c r="AKW23" s="187"/>
      <c r="AKX23" s="187"/>
      <c r="AKY23" s="187"/>
      <c r="AKZ23" s="187"/>
      <c r="ALA23" s="187"/>
      <c r="ALB23" s="187"/>
      <c r="ALC23" s="187"/>
      <c r="ALD23" s="187"/>
      <c r="ALU23" s="16"/>
      <c r="ALV23" s="16"/>
      <c r="ALW23" s="16"/>
      <c r="ALX23" s="16"/>
      <c r="ALY23" s="16"/>
      <c r="ALZ23" s="16"/>
      <c r="AMA23" s="16"/>
      <c r="AMB23" s="16"/>
      <c r="AMC23" s="16"/>
      <c r="AMD23" s="16"/>
      <c r="AME23" s="16"/>
      <c r="AMF23" s="16"/>
      <c r="AMG23" s="16"/>
      <c r="AMH23" s="16"/>
      <c r="AMI23" s="16"/>
      <c r="AMJ23" s="16"/>
      <c r="AMK23" s="349"/>
      <c r="AML23" s="349"/>
      <c r="AMM23" s="349"/>
    </row>
    <row r="24" spans="1:1027" ht="29.1" hidden="1" customHeight="1" thickBot="1" x14ac:dyDescent="0.35">
      <c r="A24" s="114" t="s">
        <v>115</v>
      </c>
      <c r="B24" s="115" t="s">
        <v>116</v>
      </c>
      <c r="C24" s="116" t="s">
        <v>120</v>
      </c>
      <c r="D24" s="116">
        <v>700</v>
      </c>
      <c r="E24" s="5"/>
      <c r="F24" s="100"/>
      <c r="G24" s="101"/>
      <c r="H24" s="162"/>
      <c r="I24" s="102"/>
      <c r="J24" s="217"/>
      <c r="K24" s="296"/>
      <c r="L24" s="66"/>
      <c r="M24" s="66"/>
      <c r="N24" s="66"/>
      <c r="O24" s="66"/>
      <c r="P24" s="66"/>
      <c r="Q24" s="66"/>
      <c r="R24" s="23"/>
      <c r="S24" s="23"/>
      <c r="T24" s="23"/>
      <c r="U24" s="23"/>
      <c r="V24" s="23"/>
      <c r="W24" s="23"/>
      <c r="X24" s="66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74"/>
      <c r="AN24" s="174"/>
      <c r="AO24" s="174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66"/>
      <c r="BF24" s="66"/>
      <c r="BG24" s="66"/>
      <c r="BH24" s="66"/>
      <c r="BI24" s="66"/>
      <c r="BJ24" s="23"/>
      <c r="BK24" s="66"/>
      <c r="BL24" s="66"/>
      <c r="BM24" s="66"/>
      <c r="BN24" s="174"/>
      <c r="BO24" s="174"/>
      <c r="BP24" s="174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66"/>
      <c r="CD24" s="66"/>
      <c r="CE24" s="66"/>
      <c r="CF24" s="66"/>
      <c r="CG24" s="66"/>
      <c r="CH24" s="23"/>
      <c r="CI24" s="66"/>
      <c r="CJ24" s="66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66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66"/>
      <c r="ER24" s="66"/>
      <c r="ES24" s="66"/>
      <c r="ET24" s="66"/>
      <c r="EU24" s="66"/>
      <c r="EV24" s="66"/>
      <c r="EW24" s="23"/>
      <c r="EX24" s="23"/>
      <c r="EY24" s="12"/>
      <c r="EZ24" s="12"/>
      <c r="FA24" s="12"/>
      <c r="FB24" s="12"/>
      <c r="FC24" s="12"/>
      <c r="FD24" s="67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79"/>
      <c r="FT24" s="179"/>
      <c r="FU24" s="179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67"/>
      <c r="GL24" s="67"/>
      <c r="GM24" s="67"/>
      <c r="GN24" s="67"/>
      <c r="GO24" s="67"/>
      <c r="GP24" s="12"/>
      <c r="GQ24" s="67"/>
      <c r="GR24" s="67"/>
      <c r="GS24" s="67"/>
      <c r="GT24" s="179"/>
      <c r="GU24" s="179"/>
      <c r="GV24" s="179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67"/>
      <c r="HJ24" s="67"/>
      <c r="HK24" s="67"/>
      <c r="HL24" s="67"/>
      <c r="HM24" s="67"/>
      <c r="HN24" s="12"/>
      <c r="HO24" s="67"/>
      <c r="HP24" s="67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67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66"/>
      <c r="JX24" s="66"/>
      <c r="JY24" s="66"/>
      <c r="JZ24" s="66"/>
      <c r="KA24" s="66"/>
      <c r="KB24" s="66"/>
      <c r="KC24" s="66"/>
      <c r="KD24" s="23"/>
      <c r="KE24" s="23"/>
      <c r="KF24" s="23"/>
      <c r="KG24" s="23"/>
      <c r="KH24" s="23"/>
      <c r="KI24" s="23"/>
      <c r="KJ24" s="66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174"/>
      <c r="KZ24" s="174"/>
      <c r="LA24" s="174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66"/>
      <c r="LR24" s="66"/>
      <c r="LS24" s="66"/>
      <c r="LT24" s="66"/>
      <c r="LU24" s="66"/>
      <c r="LV24" s="23"/>
      <c r="LW24" s="66"/>
      <c r="LX24" s="66"/>
      <c r="LY24" s="66"/>
      <c r="LZ24" s="23"/>
      <c r="MA24" s="174"/>
      <c r="MB24" s="174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66"/>
      <c r="MP24" s="66"/>
      <c r="MQ24" s="66"/>
      <c r="MR24" s="66"/>
      <c r="MS24" s="66"/>
      <c r="MT24" s="23"/>
      <c r="MU24" s="66"/>
      <c r="MV24" s="66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66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66"/>
      <c r="PD24" s="66"/>
      <c r="PE24" s="66"/>
      <c r="PF24" s="66"/>
      <c r="PG24" s="66"/>
      <c r="PH24" s="66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174"/>
      <c r="QF24" s="174"/>
      <c r="QG24" s="174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66"/>
      <c r="QX24" s="66"/>
      <c r="QY24" s="66"/>
      <c r="QZ24" s="66"/>
      <c r="RA24" s="66"/>
      <c r="RB24" s="326"/>
      <c r="RC24" s="345"/>
      <c r="RD24" s="345"/>
      <c r="RE24" s="345"/>
      <c r="RF24" s="326"/>
      <c r="RG24" s="386"/>
      <c r="RH24" s="386"/>
      <c r="RI24" s="326"/>
      <c r="RJ24" s="326"/>
      <c r="RK24" s="326"/>
      <c r="RL24" s="326"/>
      <c r="RM24" s="326"/>
      <c r="RN24" s="326"/>
      <c r="RO24" s="326"/>
      <c r="RP24" s="326"/>
      <c r="RQ24" s="326"/>
      <c r="RR24" s="326"/>
      <c r="RS24" s="326"/>
      <c r="RT24" s="326"/>
      <c r="RU24" s="345"/>
      <c r="RV24" s="345"/>
      <c r="RW24" s="345"/>
      <c r="RX24" s="345"/>
      <c r="RY24" s="345"/>
      <c r="RZ24" s="326"/>
      <c r="SA24" s="345"/>
      <c r="SB24" s="345"/>
      <c r="SC24" s="326"/>
      <c r="SD24" s="326"/>
      <c r="SE24" s="326"/>
      <c r="SF24" s="326"/>
      <c r="SG24" s="326"/>
      <c r="SH24" s="326"/>
      <c r="SI24" s="326"/>
      <c r="SJ24" s="326"/>
      <c r="SK24" s="326"/>
      <c r="SL24" s="326"/>
      <c r="SM24" s="326"/>
      <c r="SN24" s="326"/>
      <c r="SO24" s="326"/>
      <c r="SP24" s="326"/>
      <c r="SQ24" s="326"/>
      <c r="SR24" s="345"/>
      <c r="SS24" s="326"/>
      <c r="ST24" s="326"/>
      <c r="SU24" s="326"/>
      <c r="SV24" s="326"/>
      <c r="SW24" s="326"/>
      <c r="SX24" s="326"/>
      <c r="SY24" s="326"/>
      <c r="SZ24" s="326"/>
      <c r="TA24" s="326"/>
      <c r="TB24" s="326"/>
      <c r="TC24" s="326"/>
      <c r="TD24" s="326"/>
      <c r="TE24" s="326"/>
      <c r="TF24" s="326"/>
      <c r="TG24" s="326"/>
      <c r="TH24" s="326"/>
      <c r="TI24" s="326"/>
      <c r="TJ24" s="326"/>
      <c r="TK24" s="326"/>
      <c r="TL24" s="326"/>
      <c r="TM24" s="326"/>
      <c r="TN24" s="326"/>
      <c r="TO24" s="326"/>
      <c r="TP24" s="326"/>
      <c r="TQ24" s="326"/>
      <c r="TR24" s="326"/>
      <c r="TS24" s="326"/>
      <c r="TT24" s="326"/>
      <c r="TU24" s="326"/>
      <c r="TV24" s="326"/>
      <c r="TW24" s="326"/>
      <c r="TX24" s="326"/>
      <c r="TY24" s="326"/>
      <c r="TZ24" s="326"/>
      <c r="UA24" s="326"/>
      <c r="UB24" s="326"/>
      <c r="UC24" s="326"/>
      <c r="UD24" s="326"/>
      <c r="UE24" s="326"/>
      <c r="UF24" s="326"/>
      <c r="UG24" s="326"/>
      <c r="UH24" s="326"/>
      <c r="UI24" s="66"/>
      <c r="UJ24" s="66"/>
      <c r="UK24" s="66"/>
      <c r="UL24" s="66"/>
      <c r="UM24" s="23"/>
      <c r="UN24" s="23"/>
      <c r="UO24" s="23"/>
      <c r="UP24" s="23"/>
      <c r="UQ24" s="66"/>
      <c r="UR24" s="23"/>
      <c r="US24" s="23"/>
      <c r="UT24" s="23"/>
      <c r="UU24" s="23"/>
      <c r="UV24" s="23"/>
      <c r="UW24" s="23"/>
      <c r="UX24" s="66"/>
      <c r="UY24" s="23"/>
      <c r="UZ24" s="66"/>
      <c r="VA24" s="23"/>
      <c r="VB24" s="66"/>
      <c r="VC24" s="66"/>
      <c r="VD24" s="23"/>
      <c r="VE24" s="23"/>
      <c r="VF24" s="66"/>
      <c r="VG24" s="66"/>
      <c r="VH24" s="23"/>
      <c r="VI24" s="23"/>
      <c r="VJ24" s="23"/>
      <c r="VK24" s="23"/>
      <c r="VL24" s="66"/>
      <c r="VM24" s="66"/>
      <c r="VN24" s="66"/>
      <c r="VO24" s="66"/>
      <c r="VP24" s="23"/>
      <c r="VQ24" s="66"/>
      <c r="VR24" s="23"/>
      <c r="VS24" s="23"/>
      <c r="VT24" s="23"/>
      <c r="VU24" s="23"/>
      <c r="VV24" s="66"/>
      <c r="VW24" s="66"/>
      <c r="VX24" s="66"/>
      <c r="VY24" s="66"/>
      <c r="VZ24" s="66"/>
      <c r="WA24" s="66"/>
      <c r="WB24" s="23"/>
      <c r="WC24" s="23"/>
      <c r="WD24" s="23"/>
      <c r="WE24" s="23"/>
      <c r="WF24" s="23"/>
      <c r="WG24" s="23"/>
      <c r="WH24" s="23"/>
      <c r="WI24" s="66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174"/>
      <c r="WY24" s="174"/>
      <c r="WZ24" s="174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66"/>
      <c r="XQ24" s="66"/>
      <c r="XR24" s="66"/>
      <c r="XS24" s="66"/>
      <c r="XT24" s="66"/>
      <c r="XU24" s="23"/>
      <c r="XV24" s="66"/>
      <c r="XW24" s="23"/>
      <c r="XX24" s="174"/>
      <c r="XY24" s="23"/>
      <c r="XZ24" s="174"/>
      <c r="YA24" s="174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66"/>
      <c r="YO24" s="66"/>
      <c r="YP24" s="66"/>
      <c r="YQ24" s="66"/>
      <c r="YR24" s="66"/>
      <c r="YS24" s="23"/>
      <c r="YT24" s="66"/>
      <c r="YU24" s="66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66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66"/>
      <c r="ABC24" s="66"/>
      <c r="ABD24" s="66"/>
      <c r="ABE24" s="23"/>
      <c r="ABF24" s="23"/>
      <c r="ABG24" s="12"/>
      <c r="ABH24" s="12"/>
      <c r="ABI24" s="12"/>
      <c r="ABJ24" s="12"/>
      <c r="ABK24" s="12"/>
      <c r="ABL24" s="67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79"/>
      <c r="ACB24" s="179"/>
      <c r="ACC24" s="179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52"/>
      <c r="ACT24" s="52"/>
      <c r="ACU24" s="52"/>
      <c r="ACV24" s="52"/>
      <c r="ACW24" s="52"/>
      <c r="ACX24" s="20"/>
      <c r="ACY24" s="52"/>
      <c r="ACZ24" s="20"/>
      <c r="ADA24" s="171"/>
      <c r="ADB24" s="20"/>
      <c r="ADC24" s="171"/>
      <c r="ADD24" s="171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52"/>
      <c r="ADR24" s="52"/>
      <c r="ADS24" s="52"/>
      <c r="ADT24" s="52"/>
      <c r="ADU24" s="52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52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66"/>
      <c r="AHE24" s="66"/>
      <c r="AHF24" s="66"/>
      <c r="AHG24" s="66"/>
      <c r="AHH24" s="23"/>
      <c r="AHI24" s="12"/>
      <c r="AHJ24" s="12"/>
      <c r="AHK24" s="12"/>
      <c r="AHL24" s="12"/>
      <c r="AHM24" s="12"/>
      <c r="AHN24" s="67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79"/>
      <c r="AID24" s="179"/>
      <c r="AIE24" s="179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67"/>
      <c r="AIW24" s="67"/>
      <c r="AIX24" s="67"/>
      <c r="AIY24" s="67"/>
      <c r="AIZ24" s="67"/>
      <c r="AJA24" s="12"/>
      <c r="AJB24" s="67"/>
      <c r="AJC24" s="12"/>
      <c r="AJD24" s="12"/>
      <c r="AJE24" s="12"/>
      <c r="AJF24" s="12"/>
      <c r="AJG24" s="12"/>
      <c r="AJH24" s="12"/>
      <c r="AJI24" s="12"/>
      <c r="AJJ24" s="67"/>
      <c r="AJK24" s="67"/>
      <c r="AJL24" s="67"/>
      <c r="AJM24" s="67"/>
      <c r="AJN24" s="67"/>
      <c r="AJO24" s="12"/>
      <c r="AJP24" s="12"/>
      <c r="AJQ24" s="67"/>
      <c r="AJR24" s="12"/>
      <c r="AJS24" s="12"/>
      <c r="AJT24" s="67"/>
      <c r="AJU24" s="67"/>
      <c r="AJV24" s="313"/>
      <c r="AJW24" s="313"/>
      <c r="AJX24" s="313"/>
      <c r="AJY24" s="297"/>
      <c r="AJZ24" s="313"/>
      <c r="AKA24" s="297"/>
      <c r="AKB24" s="359"/>
      <c r="AKC24" s="297"/>
      <c r="AKD24" s="297"/>
      <c r="AKE24" s="297"/>
      <c r="AKF24" s="433"/>
      <c r="AKG24" s="297"/>
      <c r="AKH24" s="349"/>
      <c r="AKI24" s="4"/>
      <c r="AKJ24" s="186"/>
      <c r="AKK24" s="6"/>
      <c r="AKL24" s="187"/>
      <c r="AKM24" s="187"/>
      <c r="AKN24" s="187"/>
      <c r="AKO24" s="187"/>
      <c r="AKP24" s="187"/>
      <c r="AKQ24" s="187"/>
      <c r="AKR24" s="187"/>
      <c r="AKS24" s="187"/>
      <c r="AKT24" s="187"/>
      <c r="AKU24" s="187"/>
      <c r="AKV24" s="187"/>
      <c r="AKW24" s="187"/>
      <c r="AKX24" s="187"/>
      <c r="AKY24" s="187"/>
      <c r="AKZ24" s="187"/>
      <c r="ALA24" s="187"/>
      <c r="ALB24" s="187"/>
      <c r="ALC24" s="187"/>
      <c r="ALD24" s="187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349"/>
      <c r="AML24" s="349"/>
      <c r="AMM24" s="349"/>
    </row>
    <row r="25" spans="1:1027" ht="29.1" hidden="1" customHeight="1" x14ac:dyDescent="0.3">
      <c r="A25" s="111" t="s">
        <v>115</v>
      </c>
      <c r="B25" s="112" t="s">
        <v>123</v>
      </c>
      <c r="C25" s="113" t="s">
        <v>117</v>
      </c>
      <c r="D25" s="113">
        <v>700</v>
      </c>
      <c r="E25" s="96"/>
      <c r="F25" s="97"/>
      <c r="G25" s="98"/>
      <c r="H25" s="161"/>
      <c r="I25" s="99"/>
      <c r="J25" s="215"/>
      <c r="K25" s="285"/>
      <c r="L25" s="41"/>
      <c r="M25" s="41"/>
      <c r="N25" s="41"/>
      <c r="O25" s="41"/>
      <c r="P25" s="41"/>
      <c r="Q25" s="41"/>
      <c r="R25" s="13"/>
      <c r="S25" s="13"/>
      <c r="T25" s="13"/>
      <c r="U25" s="13"/>
      <c r="V25" s="13"/>
      <c r="W25" s="13"/>
      <c r="X25" s="41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65"/>
      <c r="AN25" s="165"/>
      <c r="AO25" s="165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41"/>
      <c r="BF25" s="272" t="s">
        <v>133</v>
      </c>
      <c r="BG25" s="272" t="s">
        <v>135</v>
      </c>
      <c r="BH25" s="272" t="s">
        <v>135</v>
      </c>
      <c r="BI25" s="335">
        <v>83.5</v>
      </c>
      <c r="BJ25" s="329">
        <v>83.5</v>
      </c>
      <c r="BK25" s="335">
        <v>83.5</v>
      </c>
      <c r="BL25" s="335">
        <v>83.5</v>
      </c>
      <c r="BM25" s="335">
        <v>83.5</v>
      </c>
      <c r="BN25" s="392">
        <v>83.5</v>
      </c>
      <c r="BO25" s="392"/>
      <c r="BP25" s="392"/>
      <c r="BQ25" s="329"/>
      <c r="BR25" s="329"/>
      <c r="BS25" s="329"/>
      <c r="BT25" s="329"/>
      <c r="BU25" s="329"/>
      <c r="BV25" s="329"/>
      <c r="BW25" s="329"/>
      <c r="BX25" s="329"/>
      <c r="BY25" s="329"/>
      <c r="BZ25" s="329"/>
      <c r="CA25" s="329"/>
      <c r="CB25" s="329"/>
      <c r="CC25" s="335"/>
      <c r="CD25" s="335"/>
      <c r="CE25" s="335"/>
      <c r="CF25" s="335"/>
      <c r="CG25" s="335"/>
      <c r="CH25" s="329"/>
      <c r="CI25" s="335"/>
      <c r="CJ25" s="335"/>
      <c r="CK25" s="329"/>
      <c r="CL25" s="329"/>
      <c r="CM25" s="329"/>
      <c r="CN25" s="329"/>
      <c r="CO25" s="329"/>
      <c r="CP25" s="329"/>
      <c r="CQ25" s="329"/>
      <c r="CR25" s="329"/>
      <c r="CS25" s="329"/>
      <c r="CT25" s="329"/>
      <c r="CU25" s="329"/>
      <c r="CV25" s="329"/>
      <c r="CW25" s="329"/>
      <c r="CX25" s="329"/>
      <c r="CY25" s="329"/>
      <c r="CZ25" s="335"/>
      <c r="DA25" s="329"/>
      <c r="DB25" s="329"/>
      <c r="DC25" s="329"/>
      <c r="DD25" s="329"/>
      <c r="DE25" s="329"/>
      <c r="DF25" s="329"/>
      <c r="DG25" s="329"/>
      <c r="DH25" s="329"/>
      <c r="DI25" s="329"/>
      <c r="DJ25" s="329"/>
      <c r="DK25" s="329"/>
      <c r="DL25" s="329"/>
      <c r="DM25" s="329"/>
      <c r="DN25" s="329"/>
      <c r="DO25" s="329"/>
      <c r="DP25" s="329"/>
      <c r="DQ25" s="329"/>
      <c r="DR25" s="329"/>
      <c r="DS25" s="329"/>
      <c r="DT25" s="329"/>
      <c r="DU25" s="329"/>
      <c r="DV25" s="329"/>
      <c r="DW25" s="329"/>
      <c r="DX25" s="329"/>
      <c r="DY25" s="329"/>
      <c r="DZ25" s="329"/>
      <c r="EA25" s="329"/>
      <c r="EB25" s="329"/>
      <c r="EC25" s="329"/>
      <c r="ED25" s="329"/>
      <c r="EE25" s="329"/>
      <c r="EF25" s="329"/>
      <c r="EG25" s="329"/>
      <c r="EH25" s="329"/>
      <c r="EI25" s="329"/>
      <c r="EJ25" s="329"/>
      <c r="EK25" s="329"/>
      <c r="EL25" s="329"/>
      <c r="EM25" s="329"/>
      <c r="EN25" s="329"/>
      <c r="EO25" s="329"/>
      <c r="EP25" s="329"/>
      <c r="EQ25" s="41"/>
      <c r="ER25" s="41"/>
      <c r="ES25" s="41"/>
      <c r="ET25" s="41"/>
      <c r="EU25" s="41"/>
      <c r="EV25" s="42"/>
      <c r="EW25" s="44"/>
      <c r="EX25" s="44"/>
      <c r="EY25" s="10"/>
      <c r="EZ25" s="10"/>
      <c r="FA25" s="10"/>
      <c r="FB25" s="10"/>
      <c r="FC25" s="10"/>
      <c r="FD25" s="43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69"/>
      <c r="FT25" s="169"/>
      <c r="FU25" s="169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43"/>
      <c r="GL25" s="274" t="s">
        <v>131</v>
      </c>
      <c r="GM25" s="274" t="s">
        <v>131</v>
      </c>
      <c r="GN25" s="274" t="s">
        <v>131</v>
      </c>
      <c r="GO25" s="332">
        <v>84</v>
      </c>
      <c r="GP25" s="306">
        <v>84</v>
      </c>
      <c r="GQ25" s="332">
        <v>86</v>
      </c>
      <c r="GR25" s="332">
        <v>87</v>
      </c>
      <c r="GS25" s="332">
        <v>87</v>
      </c>
      <c r="GT25" s="388">
        <v>87</v>
      </c>
      <c r="GU25" s="388">
        <v>96</v>
      </c>
      <c r="GV25" s="388">
        <v>98</v>
      </c>
      <c r="GW25" s="306">
        <v>99</v>
      </c>
      <c r="GX25" s="306">
        <v>99</v>
      </c>
      <c r="GY25" s="306"/>
      <c r="GZ25" s="306"/>
      <c r="HA25" s="306"/>
      <c r="HB25" s="306"/>
      <c r="HC25" s="306"/>
      <c r="HD25" s="306"/>
      <c r="HE25" s="306"/>
      <c r="HF25" s="306"/>
      <c r="HG25" s="306"/>
      <c r="HH25" s="306"/>
      <c r="HI25" s="332"/>
      <c r="HJ25" s="332"/>
      <c r="HK25" s="332"/>
      <c r="HL25" s="332"/>
      <c r="HM25" s="332"/>
      <c r="HN25" s="306"/>
      <c r="HO25" s="332"/>
      <c r="HP25" s="332"/>
      <c r="HQ25" s="306"/>
      <c r="HR25" s="306"/>
      <c r="HS25" s="306"/>
      <c r="HT25" s="306"/>
      <c r="HU25" s="306"/>
      <c r="HV25" s="306"/>
      <c r="HW25" s="306"/>
      <c r="HX25" s="306"/>
      <c r="HY25" s="306"/>
      <c r="HZ25" s="306"/>
      <c r="IA25" s="306"/>
      <c r="IB25" s="306"/>
      <c r="IC25" s="306"/>
      <c r="ID25" s="306"/>
      <c r="IE25" s="306"/>
      <c r="IF25" s="332"/>
      <c r="IG25" s="306"/>
      <c r="IH25" s="306"/>
      <c r="II25" s="306"/>
      <c r="IJ25" s="306"/>
      <c r="IK25" s="306"/>
      <c r="IL25" s="306"/>
      <c r="IM25" s="306"/>
      <c r="IN25" s="306"/>
      <c r="IO25" s="306"/>
      <c r="IP25" s="306"/>
      <c r="IQ25" s="306"/>
      <c r="IR25" s="306"/>
      <c r="IS25" s="306"/>
      <c r="IT25" s="306"/>
      <c r="IU25" s="306"/>
      <c r="IV25" s="306"/>
      <c r="IW25" s="306"/>
      <c r="IX25" s="306"/>
      <c r="IY25" s="306"/>
      <c r="IZ25" s="306"/>
      <c r="JA25" s="306"/>
      <c r="JB25" s="306"/>
      <c r="JC25" s="306"/>
      <c r="JD25" s="306"/>
      <c r="JE25" s="306"/>
      <c r="JF25" s="306"/>
      <c r="JG25" s="306"/>
      <c r="JH25" s="306"/>
      <c r="JI25" s="306"/>
      <c r="JJ25" s="306"/>
      <c r="JK25" s="306"/>
      <c r="JL25" s="306"/>
      <c r="JM25" s="306"/>
      <c r="JN25" s="306"/>
      <c r="JO25" s="306"/>
      <c r="JP25" s="306"/>
      <c r="JQ25" s="306"/>
      <c r="JR25" s="306"/>
      <c r="JS25" s="306"/>
      <c r="JT25" s="306"/>
      <c r="JU25" s="306"/>
      <c r="JV25" s="306"/>
      <c r="JW25" s="41"/>
      <c r="JX25" s="41"/>
      <c r="JY25" s="41"/>
      <c r="JZ25" s="41"/>
      <c r="KA25" s="41"/>
      <c r="KB25" s="41"/>
      <c r="KC25" s="41"/>
      <c r="KD25" s="13"/>
      <c r="KE25" s="13"/>
      <c r="KF25" s="13"/>
      <c r="KG25" s="13"/>
      <c r="KH25" s="13"/>
      <c r="KI25" s="13"/>
      <c r="KJ25" s="41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65"/>
      <c r="KZ25" s="165"/>
      <c r="LA25" s="165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41"/>
      <c r="LR25" s="272" t="s">
        <v>128</v>
      </c>
      <c r="LS25" s="272" t="s">
        <v>137</v>
      </c>
      <c r="LT25" s="272" t="s">
        <v>137</v>
      </c>
      <c r="LU25" s="272">
        <v>93</v>
      </c>
      <c r="LV25" s="269">
        <v>93</v>
      </c>
      <c r="LW25" s="272">
        <v>93</v>
      </c>
      <c r="LX25" s="272">
        <v>93</v>
      </c>
      <c r="LY25" s="272">
        <v>93</v>
      </c>
      <c r="LZ25" s="269">
        <v>93</v>
      </c>
      <c r="MA25" s="377">
        <v>93</v>
      </c>
      <c r="MB25" s="377">
        <v>82</v>
      </c>
      <c r="MC25" s="269">
        <v>90</v>
      </c>
      <c r="MD25" s="269">
        <v>90</v>
      </c>
      <c r="ME25" s="269"/>
      <c r="MF25" s="269"/>
      <c r="MG25" s="269"/>
      <c r="MH25" s="269"/>
      <c r="MI25" s="269"/>
      <c r="MJ25" s="269"/>
      <c r="MK25" s="269"/>
      <c r="ML25" s="269"/>
      <c r="MM25" s="269"/>
      <c r="MN25" s="269"/>
      <c r="MO25" s="272"/>
      <c r="MP25" s="272"/>
      <c r="MQ25" s="272"/>
      <c r="MR25" s="272"/>
      <c r="MS25" s="272"/>
      <c r="MT25" s="269"/>
      <c r="MU25" s="272"/>
      <c r="MV25" s="272"/>
      <c r="MW25" s="269"/>
      <c r="MX25" s="269"/>
      <c r="MY25" s="269"/>
      <c r="MZ25" s="269"/>
      <c r="NA25" s="269"/>
      <c r="NB25" s="269"/>
      <c r="NC25" s="269"/>
      <c r="ND25" s="269"/>
      <c r="NE25" s="269"/>
      <c r="NF25" s="269"/>
      <c r="NG25" s="269"/>
      <c r="NH25" s="269"/>
      <c r="NI25" s="269"/>
      <c r="NJ25" s="269"/>
      <c r="NK25" s="269"/>
      <c r="NL25" s="272"/>
      <c r="NM25" s="269"/>
      <c r="NN25" s="269"/>
      <c r="NO25" s="269"/>
      <c r="NP25" s="269"/>
      <c r="NQ25" s="269"/>
      <c r="NR25" s="269"/>
      <c r="NS25" s="269"/>
      <c r="NT25" s="269"/>
      <c r="NU25" s="269"/>
      <c r="NV25" s="269"/>
      <c r="NW25" s="269"/>
      <c r="NX25" s="269"/>
      <c r="NY25" s="269"/>
      <c r="NZ25" s="269"/>
      <c r="OA25" s="269"/>
      <c r="OB25" s="269"/>
      <c r="OC25" s="269"/>
      <c r="OD25" s="269"/>
      <c r="OE25" s="269"/>
      <c r="OF25" s="269"/>
      <c r="OG25" s="269"/>
      <c r="OH25" s="269"/>
      <c r="OI25" s="269"/>
      <c r="OJ25" s="269"/>
      <c r="OK25" s="269"/>
      <c r="OL25" s="269"/>
      <c r="OM25" s="269"/>
      <c r="ON25" s="269"/>
      <c r="OO25" s="269"/>
      <c r="OP25" s="269"/>
      <c r="OQ25" s="269"/>
      <c r="OR25" s="269"/>
      <c r="OS25" s="269"/>
      <c r="OT25" s="269"/>
      <c r="OU25" s="269"/>
      <c r="OV25" s="269"/>
      <c r="OW25" s="269"/>
      <c r="OX25" s="269"/>
      <c r="OY25" s="269"/>
      <c r="OZ25" s="269"/>
      <c r="PA25" s="269"/>
      <c r="PB25" s="269"/>
      <c r="PC25" s="41"/>
      <c r="PD25" s="41"/>
      <c r="PE25" s="41"/>
      <c r="PF25" s="41"/>
      <c r="PG25" s="41"/>
      <c r="PH25" s="41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65"/>
      <c r="QF25" s="165"/>
      <c r="QG25" s="165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41"/>
      <c r="QX25" s="41"/>
      <c r="QY25" s="41">
        <v>82.5</v>
      </c>
      <c r="QZ25" s="41">
        <v>82.92</v>
      </c>
      <c r="RA25" s="41">
        <v>82.5</v>
      </c>
      <c r="RB25" s="327">
        <v>84.23</v>
      </c>
      <c r="RC25" s="346">
        <v>87.7</v>
      </c>
      <c r="RD25" s="346">
        <v>87.7</v>
      </c>
      <c r="RE25" s="346">
        <v>87.7</v>
      </c>
      <c r="RF25" s="327">
        <v>98.7</v>
      </c>
      <c r="RG25" s="387">
        <v>104.9</v>
      </c>
      <c r="RH25" s="387">
        <v>104.9</v>
      </c>
      <c r="RI25" s="327">
        <v>102.4</v>
      </c>
      <c r="RJ25" s="327"/>
      <c r="RK25" s="327"/>
      <c r="RL25" s="327"/>
      <c r="RM25" s="327"/>
      <c r="RN25" s="327"/>
      <c r="RO25" s="327"/>
      <c r="RP25" s="327"/>
      <c r="RQ25" s="327"/>
      <c r="RR25" s="327"/>
      <c r="RS25" s="327"/>
      <c r="RT25" s="327"/>
      <c r="RU25" s="346"/>
      <c r="RV25" s="346"/>
      <c r="RW25" s="346"/>
      <c r="RX25" s="346"/>
      <c r="RY25" s="346"/>
      <c r="RZ25" s="327"/>
      <c r="SA25" s="346"/>
      <c r="SB25" s="346"/>
      <c r="SC25" s="327"/>
      <c r="SD25" s="327"/>
      <c r="SE25" s="327"/>
      <c r="SF25" s="327"/>
      <c r="SG25" s="327"/>
      <c r="SH25" s="327"/>
      <c r="SI25" s="327"/>
      <c r="SJ25" s="327"/>
      <c r="SK25" s="327"/>
      <c r="SL25" s="327"/>
      <c r="SM25" s="327"/>
      <c r="SN25" s="327"/>
      <c r="SO25" s="327"/>
      <c r="SP25" s="327"/>
      <c r="SQ25" s="327"/>
      <c r="SR25" s="346"/>
      <c r="SS25" s="327"/>
      <c r="ST25" s="327"/>
      <c r="SU25" s="327"/>
      <c r="SV25" s="327"/>
      <c r="SW25" s="327"/>
      <c r="SX25" s="327"/>
      <c r="SY25" s="327"/>
      <c r="SZ25" s="327"/>
      <c r="TA25" s="327"/>
      <c r="TB25" s="327"/>
      <c r="TC25" s="327"/>
      <c r="TD25" s="327"/>
      <c r="TE25" s="327"/>
      <c r="TF25" s="327"/>
      <c r="TG25" s="327"/>
      <c r="TH25" s="327"/>
      <c r="TI25" s="327"/>
      <c r="TJ25" s="327"/>
      <c r="TK25" s="327"/>
      <c r="TL25" s="327"/>
      <c r="TM25" s="327"/>
      <c r="TN25" s="327"/>
      <c r="TO25" s="327"/>
      <c r="TP25" s="327"/>
      <c r="TQ25" s="327"/>
      <c r="TR25" s="327"/>
      <c r="TS25" s="327"/>
      <c r="TT25" s="327"/>
      <c r="TU25" s="327"/>
      <c r="TV25" s="327"/>
      <c r="TW25" s="327"/>
      <c r="TX25" s="327"/>
      <c r="TY25" s="327"/>
      <c r="TZ25" s="327"/>
      <c r="UA25" s="327"/>
      <c r="UB25" s="327"/>
      <c r="UC25" s="327"/>
      <c r="UD25" s="327"/>
      <c r="UE25" s="327"/>
      <c r="UF25" s="327"/>
      <c r="UG25" s="327"/>
      <c r="UH25" s="327"/>
      <c r="UI25" s="41"/>
      <c r="UJ25" s="41"/>
      <c r="UK25" s="41"/>
      <c r="UL25" s="41"/>
      <c r="UM25" s="13"/>
      <c r="UN25" s="13"/>
      <c r="UO25" s="13"/>
      <c r="UP25" s="13"/>
      <c r="UQ25" s="41"/>
      <c r="UR25" s="13"/>
      <c r="US25" s="13"/>
      <c r="UT25" s="13"/>
      <c r="UU25" s="13"/>
      <c r="UV25" s="13"/>
      <c r="UW25" s="13"/>
      <c r="UX25" s="41"/>
      <c r="UY25" s="13"/>
      <c r="UZ25" s="41"/>
      <c r="VA25" s="13"/>
      <c r="VB25" s="41"/>
      <c r="VC25" s="41"/>
      <c r="VD25" s="13"/>
      <c r="VE25" s="13"/>
      <c r="VF25" s="41"/>
      <c r="VG25" s="41"/>
      <c r="VH25" s="13"/>
      <c r="VI25" s="13"/>
      <c r="VJ25" s="13"/>
      <c r="VK25" s="13"/>
      <c r="VL25" s="41"/>
      <c r="VM25" s="41"/>
      <c r="VN25" s="41"/>
      <c r="VO25" s="41"/>
      <c r="VP25" s="13"/>
      <c r="VQ25" s="41"/>
      <c r="VR25" s="13"/>
      <c r="VS25" s="13"/>
      <c r="VT25" s="13"/>
      <c r="VU25" s="13"/>
      <c r="VV25" s="41"/>
      <c r="VW25" s="41"/>
      <c r="VX25" s="41"/>
      <c r="VY25" s="41"/>
      <c r="VZ25" s="41"/>
      <c r="WA25" s="41"/>
      <c r="WB25" s="13"/>
      <c r="WC25" s="13"/>
      <c r="WD25" s="13"/>
      <c r="WE25" s="13"/>
      <c r="WF25" s="13"/>
      <c r="WG25" s="13"/>
      <c r="WH25" s="13"/>
      <c r="WI25" s="41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65"/>
      <c r="WY25" s="165"/>
      <c r="WZ25" s="165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41"/>
      <c r="XQ25" s="276">
        <v>81.599999999999994</v>
      </c>
      <c r="XR25" s="276">
        <v>81.599999999999994</v>
      </c>
      <c r="XS25" s="41">
        <v>81.599999999999994</v>
      </c>
      <c r="XT25" s="41">
        <v>80.5</v>
      </c>
      <c r="XU25" s="13">
        <v>80.5</v>
      </c>
      <c r="XV25" s="41">
        <v>79.3</v>
      </c>
      <c r="XW25" s="13">
        <v>79.3</v>
      </c>
      <c r="XX25" s="165">
        <v>79.3</v>
      </c>
      <c r="XY25" s="13">
        <v>79.3</v>
      </c>
      <c r="XZ25" s="165">
        <v>79.3</v>
      </c>
      <c r="YA25" s="165">
        <v>81.599999999999994</v>
      </c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41"/>
      <c r="YO25" s="41"/>
      <c r="YP25" s="41"/>
      <c r="YQ25" s="41"/>
      <c r="YR25" s="41"/>
      <c r="YS25" s="13"/>
      <c r="YT25" s="41"/>
      <c r="YU25" s="41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41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41"/>
      <c r="ABC25" s="41"/>
      <c r="ABD25" s="41"/>
      <c r="ABE25" s="13"/>
      <c r="ABF25" s="13"/>
      <c r="ABG25" s="10"/>
      <c r="ABH25" s="10"/>
      <c r="ABI25" s="10"/>
      <c r="ABJ25" s="10"/>
      <c r="ABK25" s="10"/>
      <c r="ABL25" s="43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69"/>
      <c r="ACB25" s="169"/>
      <c r="ACC25" s="169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43"/>
      <c r="ACT25" s="274" t="s">
        <v>126</v>
      </c>
      <c r="ACU25" s="274" t="s">
        <v>126</v>
      </c>
      <c r="ACV25" s="274" t="s">
        <v>126</v>
      </c>
      <c r="ACW25" s="274">
        <v>89</v>
      </c>
      <c r="ACX25" s="267">
        <v>89</v>
      </c>
      <c r="ACY25" s="274">
        <v>88</v>
      </c>
      <c r="ACZ25" s="267">
        <v>88</v>
      </c>
      <c r="ADA25" s="352">
        <v>88</v>
      </c>
      <c r="ADB25" s="267">
        <v>88</v>
      </c>
      <c r="ADC25" s="352">
        <v>93</v>
      </c>
      <c r="ADD25" s="352">
        <v>98</v>
      </c>
      <c r="ADE25" s="267">
        <v>99</v>
      </c>
      <c r="ADF25" s="267"/>
      <c r="ADG25" s="267"/>
      <c r="ADH25" s="267"/>
      <c r="ADI25" s="267"/>
      <c r="ADJ25" s="267"/>
      <c r="ADK25" s="267"/>
      <c r="ADL25" s="267"/>
      <c r="ADM25" s="267"/>
      <c r="ADN25" s="267"/>
      <c r="ADO25" s="267"/>
      <c r="ADP25" s="267"/>
      <c r="ADQ25" s="274"/>
      <c r="ADR25" s="274"/>
      <c r="ADS25" s="274"/>
      <c r="ADT25" s="274"/>
      <c r="ADU25" s="274"/>
      <c r="ADV25" s="267"/>
      <c r="ADW25" s="267"/>
      <c r="ADX25" s="267"/>
      <c r="ADY25" s="267"/>
      <c r="ADZ25" s="267"/>
      <c r="AEA25" s="267"/>
      <c r="AEB25" s="267"/>
      <c r="AEC25" s="267"/>
      <c r="AED25" s="267"/>
      <c r="AEE25" s="267"/>
      <c r="AEF25" s="267"/>
      <c r="AEG25" s="267"/>
      <c r="AEH25" s="267"/>
      <c r="AEI25" s="267"/>
      <c r="AEJ25" s="267"/>
      <c r="AEK25" s="267"/>
      <c r="AEL25" s="267"/>
      <c r="AEM25" s="267"/>
      <c r="AEN25" s="274"/>
      <c r="AEO25" s="267"/>
      <c r="AEP25" s="267"/>
      <c r="AEQ25" s="267"/>
      <c r="AER25" s="267"/>
      <c r="AES25" s="267"/>
      <c r="AET25" s="267"/>
      <c r="AEU25" s="267"/>
      <c r="AEV25" s="267"/>
      <c r="AEW25" s="267"/>
      <c r="AEX25" s="267"/>
      <c r="AEY25" s="267"/>
      <c r="AEZ25" s="267"/>
      <c r="AFA25" s="267"/>
      <c r="AFB25" s="267"/>
      <c r="AFC25" s="267"/>
      <c r="AFD25" s="267"/>
      <c r="AFE25" s="267"/>
      <c r="AFF25" s="267"/>
      <c r="AFG25" s="267"/>
      <c r="AFH25" s="267"/>
      <c r="AFI25" s="267"/>
      <c r="AFJ25" s="267"/>
      <c r="AFK25" s="267"/>
      <c r="AFL25" s="267"/>
      <c r="AFM25" s="267"/>
      <c r="AFN25" s="267"/>
      <c r="AFO25" s="267"/>
      <c r="AFP25" s="267"/>
      <c r="AFQ25" s="267"/>
      <c r="AFR25" s="267"/>
      <c r="AFS25" s="267"/>
      <c r="AFT25" s="267"/>
      <c r="AFU25" s="267"/>
      <c r="AFV25" s="267"/>
      <c r="AFW25" s="267"/>
      <c r="AFX25" s="267"/>
      <c r="AFY25" s="267"/>
      <c r="AFZ25" s="267"/>
      <c r="AGA25" s="267"/>
      <c r="AGB25" s="267"/>
      <c r="AGC25" s="267"/>
      <c r="AGD25" s="267"/>
      <c r="AGE25" s="267"/>
      <c r="AGF25" s="267"/>
      <c r="AGG25" s="267"/>
      <c r="AGH25" s="267"/>
      <c r="AGI25" s="267"/>
      <c r="AGJ25" s="267"/>
      <c r="AGK25" s="267"/>
      <c r="AGL25" s="267"/>
      <c r="AGM25" s="267"/>
      <c r="AGN25" s="267"/>
      <c r="AGO25" s="267"/>
      <c r="AGP25" s="267"/>
      <c r="AGQ25" s="267"/>
      <c r="AGR25" s="267"/>
      <c r="AGS25" s="267"/>
      <c r="AGT25" s="267"/>
      <c r="AGU25" s="267"/>
      <c r="AGV25" s="267"/>
      <c r="AGW25" s="267"/>
      <c r="AGX25" s="267"/>
      <c r="AGY25" s="267"/>
      <c r="AGZ25" s="267"/>
      <c r="AHA25" s="267"/>
      <c r="AHB25" s="267"/>
      <c r="AHC25" s="267"/>
      <c r="AHD25" s="41"/>
      <c r="AHE25" s="41"/>
      <c r="AHF25" s="41"/>
      <c r="AHG25" s="41"/>
      <c r="AHH25" s="13"/>
      <c r="AHI25" s="10"/>
      <c r="AHJ25" s="10"/>
      <c r="AHK25" s="10"/>
      <c r="AHL25" s="10"/>
      <c r="AHM25" s="10"/>
      <c r="AHN25" s="43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69"/>
      <c r="AID25" s="169"/>
      <c r="AIE25" s="169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43"/>
      <c r="AIW25" s="43"/>
      <c r="AIX25" s="43"/>
      <c r="AIY25" s="43"/>
      <c r="AIZ25" s="43"/>
      <c r="AJA25" s="10"/>
      <c r="AJB25" s="43"/>
      <c r="AJC25" s="10"/>
      <c r="AJD25" s="10"/>
      <c r="AJE25" s="10"/>
      <c r="AJF25" s="10"/>
      <c r="AJG25" s="10"/>
      <c r="AJH25" s="10"/>
      <c r="AJI25" s="10"/>
      <c r="AJJ25" s="43"/>
      <c r="AJK25" s="43"/>
      <c r="AJL25" s="43"/>
      <c r="AJM25" s="43"/>
      <c r="AJN25" s="43"/>
      <c r="AJO25" s="10"/>
      <c r="AJP25" s="10"/>
      <c r="AJQ25" s="43"/>
      <c r="AJR25" s="10"/>
      <c r="AJS25" s="10"/>
      <c r="AJT25" s="43"/>
      <c r="AJU25" s="43"/>
      <c r="AJV25" s="307"/>
      <c r="AJW25" s="307"/>
      <c r="AJX25" s="307">
        <v>78</v>
      </c>
      <c r="AJY25" s="286">
        <v>78</v>
      </c>
      <c r="AJZ25" s="307">
        <v>78</v>
      </c>
      <c r="AKA25" s="286">
        <v>78</v>
      </c>
      <c r="AKB25" s="353">
        <v>78</v>
      </c>
      <c r="AKC25" s="286">
        <v>78.5</v>
      </c>
      <c r="AKD25" s="286">
        <v>78.5</v>
      </c>
      <c r="AKE25" s="286">
        <v>78</v>
      </c>
      <c r="AKF25" s="431"/>
      <c r="AKG25" s="286"/>
      <c r="AKH25" s="349"/>
      <c r="AKI25" s="4"/>
      <c r="AKJ25" s="186"/>
      <c r="AKK25" s="6"/>
      <c r="AKL25" s="187"/>
      <c r="AKM25" s="187"/>
      <c r="AKN25" s="187"/>
      <c r="AKO25" s="187"/>
      <c r="AKP25" s="187"/>
      <c r="AKQ25" s="187"/>
      <c r="AKR25" s="187"/>
      <c r="AKS25" s="187"/>
      <c r="AKT25" s="187"/>
      <c r="AKU25" s="187"/>
      <c r="AKV25" s="187"/>
      <c r="AKW25" s="187"/>
      <c r="AKX25" s="187"/>
      <c r="AKY25" s="187"/>
      <c r="AKZ25" s="187"/>
      <c r="ALA25" s="187"/>
      <c r="ALB25" s="187"/>
      <c r="ALC25" s="187"/>
      <c r="ALD25" s="187"/>
      <c r="ALU25" s="267"/>
      <c r="ALV25" s="267"/>
      <c r="ALW25" s="267"/>
      <c r="ALX25" s="267"/>
      <c r="ALY25" s="267"/>
      <c r="ALZ25" s="267"/>
      <c r="AMA25" s="267"/>
      <c r="AMB25" s="267"/>
      <c r="AMC25" s="267"/>
      <c r="AMD25" s="267"/>
      <c r="AME25" s="267"/>
      <c r="AMF25" s="267"/>
      <c r="AMG25" s="267"/>
      <c r="AMH25" s="267"/>
      <c r="AMI25" s="267"/>
      <c r="AMJ25" s="267"/>
      <c r="AMK25" s="565"/>
      <c r="AML25" s="565"/>
      <c r="AMM25" s="565"/>
    </row>
    <row r="26" spans="1:1027" ht="29.1" hidden="1" customHeight="1" x14ac:dyDescent="0.3">
      <c r="A26" s="36" t="s">
        <v>115</v>
      </c>
      <c r="B26" s="31" t="s">
        <v>121</v>
      </c>
      <c r="C26" s="32" t="s">
        <v>119</v>
      </c>
      <c r="D26" s="32">
        <v>700</v>
      </c>
      <c r="E26" s="25"/>
      <c r="F26" s="26"/>
      <c r="G26" s="27"/>
      <c r="H26" s="159"/>
      <c r="I26" s="28"/>
      <c r="J26" s="216"/>
      <c r="K26" s="294"/>
      <c r="L26" s="64"/>
      <c r="M26" s="64"/>
      <c r="N26" s="64"/>
      <c r="O26" s="64"/>
      <c r="P26" s="64"/>
      <c r="Q26" s="64"/>
      <c r="R26" s="24"/>
      <c r="S26" s="24"/>
      <c r="T26" s="24"/>
      <c r="U26" s="24"/>
      <c r="V26" s="24"/>
      <c r="W26" s="24"/>
      <c r="X26" s="6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175"/>
      <c r="AN26" s="175"/>
      <c r="AO26" s="175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64"/>
      <c r="BF26" s="64"/>
      <c r="BG26" s="64"/>
      <c r="BH26" s="64"/>
      <c r="BI26" s="64"/>
      <c r="BJ26" s="24"/>
      <c r="BK26" s="64"/>
      <c r="BL26" s="64"/>
      <c r="BM26" s="64"/>
      <c r="BN26" s="175"/>
      <c r="BO26" s="175"/>
      <c r="BP26" s="175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64"/>
      <c r="CD26" s="64"/>
      <c r="CE26" s="64"/>
      <c r="CF26" s="64"/>
      <c r="CG26" s="64"/>
      <c r="CH26" s="24"/>
      <c r="CI26" s="64"/>
      <c r="CJ26" s="6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6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64"/>
      <c r="ER26" s="64"/>
      <c r="ES26" s="64"/>
      <c r="ET26" s="64"/>
      <c r="EU26" s="64"/>
      <c r="EV26" s="68"/>
      <c r="EW26" s="76"/>
      <c r="EX26" s="76"/>
      <c r="EY26" s="11"/>
      <c r="EZ26" s="11"/>
      <c r="FA26" s="11"/>
      <c r="FB26" s="11"/>
      <c r="FC26" s="11"/>
      <c r="FD26" s="65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80"/>
      <c r="FT26" s="180"/>
      <c r="FU26" s="180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65"/>
      <c r="GL26" s="65"/>
      <c r="GM26" s="65"/>
      <c r="GN26" s="65"/>
      <c r="GO26" s="65"/>
      <c r="GP26" s="11"/>
      <c r="GQ26" s="65"/>
      <c r="GR26" s="65"/>
      <c r="GS26" s="65"/>
      <c r="GT26" s="180"/>
      <c r="GU26" s="180"/>
      <c r="GV26" s="180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65"/>
      <c r="HJ26" s="65"/>
      <c r="HK26" s="65"/>
      <c r="HL26" s="65"/>
      <c r="HM26" s="65"/>
      <c r="HN26" s="11"/>
      <c r="HO26" s="65"/>
      <c r="HP26" s="65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65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64"/>
      <c r="JX26" s="64"/>
      <c r="JY26" s="64"/>
      <c r="JZ26" s="64"/>
      <c r="KA26" s="64"/>
      <c r="KB26" s="64"/>
      <c r="KC26" s="64"/>
      <c r="KD26" s="24"/>
      <c r="KE26" s="24"/>
      <c r="KF26" s="24"/>
      <c r="KG26" s="24"/>
      <c r="KH26" s="24"/>
      <c r="KI26" s="24"/>
      <c r="KJ26" s="6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175"/>
      <c r="KZ26" s="175"/>
      <c r="LA26" s="175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64"/>
      <c r="LR26" s="64"/>
      <c r="LS26" s="64"/>
      <c r="LT26" s="64"/>
      <c r="LU26" s="64"/>
      <c r="LV26" s="24"/>
      <c r="LW26" s="64"/>
      <c r="LX26" s="64"/>
      <c r="LY26" s="64"/>
      <c r="LZ26" s="24"/>
      <c r="MA26" s="175"/>
      <c r="MB26" s="175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64"/>
      <c r="MP26" s="64"/>
      <c r="MQ26" s="64"/>
      <c r="MR26" s="64"/>
      <c r="MS26" s="64"/>
      <c r="MT26" s="24"/>
      <c r="MU26" s="64"/>
      <c r="MV26" s="6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6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64"/>
      <c r="PD26" s="64"/>
      <c r="PE26" s="64"/>
      <c r="PF26" s="64"/>
      <c r="PG26" s="64"/>
      <c r="PH26" s="6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175"/>
      <c r="QF26" s="175"/>
      <c r="QG26" s="175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64"/>
      <c r="QX26" s="64"/>
      <c r="QY26" s="64"/>
      <c r="QZ26" s="64"/>
      <c r="RA26" s="64"/>
      <c r="RB26" s="24"/>
      <c r="RC26" s="64"/>
      <c r="RD26" s="64"/>
      <c r="RE26" s="64"/>
      <c r="RF26" s="24"/>
      <c r="RG26" s="175"/>
      <c r="RH26" s="175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64"/>
      <c r="RV26" s="64"/>
      <c r="RW26" s="64"/>
      <c r="RX26" s="64"/>
      <c r="RY26" s="64"/>
      <c r="RZ26" s="24"/>
      <c r="SA26" s="64"/>
      <c r="SB26" s="64"/>
      <c r="SC26" s="24"/>
      <c r="SD26" s="24"/>
      <c r="SE26" s="24"/>
      <c r="SF26" s="24"/>
      <c r="SG26" s="24"/>
      <c r="SH26" s="24"/>
      <c r="SI26" s="24"/>
      <c r="SJ26" s="24"/>
      <c r="SK26" s="24"/>
      <c r="SL26" s="24"/>
      <c r="SM26" s="24"/>
      <c r="SN26" s="24"/>
      <c r="SO26" s="24"/>
      <c r="SP26" s="24"/>
      <c r="SQ26" s="24"/>
      <c r="SR26" s="64"/>
      <c r="SS26" s="24"/>
      <c r="ST26" s="24"/>
      <c r="SU26" s="24"/>
      <c r="SV26" s="24"/>
      <c r="SW26" s="24"/>
      <c r="SX26" s="24"/>
      <c r="SY26" s="24"/>
      <c r="SZ26" s="24"/>
      <c r="TA26" s="24"/>
      <c r="TB26" s="24"/>
      <c r="TC26" s="24"/>
      <c r="TD26" s="24"/>
      <c r="TE26" s="24"/>
      <c r="TF26" s="24"/>
      <c r="TG26" s="24"/>
      <c r="TH26" s="24"/>
      <c r="TI26" s="24"/>
      <c r="TJ26" s="24"/>
      <c r="TK26" s="24"/>
      <c r="TL26" s="24"/>
      <c r="TM26" s="24"/>
      <c r="TN26" s="24"/>
      <c r="TO26" s="24"/>
      <c r="TP26" s="24"/>
      <c r="TQ26" s="24"/>
      <c r="TR26" s="24"/>
      <c r="TS26" s="24"/>
      <c r="TT26" s="24"/>
      <c r="TU26" s="24"/>
      <c r="TV26" s="24"/>
      <c r="TW26" s="24"/>
      <c r="TX26" s="24"/>
      <c r="TY26" s="24"/>
      <c r="TZ26" s="24"/>
      <c r="UA26" s="24"/>
      <c r="UB26" s="24"/>
      <c r="UC26" s="24"/>
      <c r="UD26" s="24"/>
      <c r="UE26" s="24"/>
      <c r="UF26" s="24"/>
      <c r="UG26" s="24"/>
      <c r="UH26" s="24"/>
      <c r="UI26" s="64"/>
      <c r="UJ26" s="64"/>
      <c r="UK26" s="64"/>
      <c r="UL26" s="64"/>
      <c r="UM26" s="24"/>
      <c r="UN26" s="24"/>
      <c r="UO26" s="24"/>
      <c r="UP26" s="24"/>
      <c r="UQ26" s="64"/>
      <c r="UR26" s="24"/>
      <c r="US26" s="24"/>
      <c r="UT26" s="24"/>
      <c r="UU26" s="24"/>
      <c r="UV26" s="24"/>
      <c r="UW26" s="24"/>
      <c r="UX26" s="64"/>
      <c r="UY26" s="24"/>
      <c r="UZ26" s="64"/>
      <c r="VA26" s="24"/>
      <c r="VB26" s="64"/>
      <c r="VC26" s="64"/>
      <c r="VD26" s="24"/>
      <c r="VE26" s="24"/>
      <c r="VF26" s="64"/>
      <c r="VG26" s="64"/>
      <c r="VH26" s="24"/>
      <c r="VI26" s="24"/>
      <c r="VJ26" s="24"/>
      <c r="VK26" s="24"/>
      <c r="VL26" s="64"/>
      <c r="VM26" s="64"/>
      <c r="VN26" s="64"/>
      <c r="VO26" s="64"/>
      <c r="VP26" s="24"/>
      <c r="VQ26" s="64"/>
      <c r="VR26" s="24"/>
      <c r="VS26" s="24"/>
      <c r="VT26" s="24"/>
      <c r="VU26" s="24"/>
      <c r="VV26" s="64"/>
      <c r="VW26" s="64"/>
      <c r="VX26" s="64"/>
      <c r="VY26" s="64"/>
      <c r="VZ26" s="64"/>
      <c r="WA26" s="64"/>
      <c r="WB26" s="24"/>
      <c r="WC26" s="24"/>
      <c r="WD26" s="24"/>
      <c r="WE26" s="24"/>
      <c r="WF26" s="24"/>
      <c r="WG26" s="24"/>
      <c r="WH26" s="24"/>
      <c r="WI26" s="64"/>
      <c r="WJ26" s="24"/>
      <c r="WK26" s="24"/>
      <c r="WL26" s="24"/>
      <c r="WM26" s="24"/>
      <c r="WN26" s="24"/>
      <c r="WO26" s="24"/>
      <c r="WP26" s="24"/>
      <c r="WQ26" s="24"/>
      <c r="WR26" s="24"/>
      <c r="WS26" s="24"/>
      <c r="WT26" s="24"/>
      <c r="WU26" s="24"/>
      <c r="WV26" s="24"/>
      <c r="WW26" s="24"/>
      <c r="WX26" s="175"/>
      <c r="WY26" s="175"/>
      <c r="WZ26" s="175"/>
      <c r="XA26" s="24"/>
      <c r="XB26" s="24"/>
      <c r="XC26" s="24"/>
      <c r="XD26" s="24"/>
      <c r="XE26" s="24"/>
      <c r="XF26" s="24"/>
      <c r="XG26" s="24"/>
      <c r="XH26" s="24"/>
      <c r="XI26" s="24"/>
      <c r="XJ26" s="24"/>
      <c r="XK26" s="24"/>
      <c r="XL26" s="24"/>
      <c r="XM26" s="24"/>
      <c r="XN26" s="24"/>
      <c r="XO26" s="24"/>
      <c r="XP26" s="64"/>
      <c r="XQ26" s="64"/>
      <c r="XR26" s="64"/>
      <c r="XS26" s="64"/>
      <c r="XT26" s="64"/>
      <c r="XU26" s="24"/>
      <c r="XV26" s="64"/>
      <c r="XW26" s="24"/>
      <c r="XX26" s="175"/>
      <c r="XY26" s="24"/>
      <c r="XZ26" s="175"/>
      <c r="YA26" s="175"/>
      <c r="YB26" s="24"/>
      <c r="YC26" s="24"/>
      <c r="YD26" s="24"/>
      <c r="YE26" s="24"/>
      <c r="YF26" s="24"/>
      <c r="YG26" s="24"/>
      <c r="YH26" s="24"/>
      <c r="YI26" s="24"/>
      <c r="YJ26" s="24"/>
      <c r="YK26" s="24"/>
      <c r="YL26" s="24"/>
      <c r="YM26" s="24"/>
      <c r="YN26" s="64"/>
      <c r="YO26" s="64"/>
      <c r="YP26" s="64"/>
      <c r="YQ26" s="64"/>
      <c r="YR26" s="64"/>
      <c r="YS26" s="24"/>
      <c r="YT26" s="64"/>
      <c r="YU26" s="64"/>
      <c r="YV26" s="24"/>
      <c r="YW26" s="24"/>
      <c r="YX26" s="24"/>
      <c r="YY26" s="24"/>
      <c r="YZ26" s="24"/>
      <c r="ZA26" s="24"/>
      <c r="ZB26" s="24"/>
      <c r="ZC26" s="24"/>
      <c r="ZD26" s="24"/>
      <c r="ZE26" s="24"/>
      <c r="ZF26" s="24"/>
      <c r="ZG26" s="24"/>
      <c r="ZH26" s="24"/>
      <c r="ZI26" s="24"/>
      <c r="ZJ26" s="24"/>
      <c r="ZK26" s="64"/>
      <c r="ZL26" s="24"/>
      <c r="ZM26" s="24"/>
      <c r="ZN26" s="24"/>
      <c r="ZO26" s="24"/>
      <c r="ZP26" s="24"/>
      <c r="ZQ26" s="24"/>
      <c r="ZR26" s="24"/>
      <c r="ZS26" s="24"/>
      <c r="ZT26" s="24"/>
      <c r="ZU26" s="24"/>
      <c r="ZV26" s="24"/>
      <c r="ZW26" s="24"/>
      <c r="ZX26" s="24"/>
      <c r="ZY26" s="24"/>
      <c r="ZZ26" s="24"/>
      <c r="AAA26" s="24"/>
      <c r="AAB26" s="24"/>
      <c r="AAC26" s="24"/>
      <c r="AAD26" s="24"/>
      <c r="AAE26" s="24"/>
      <c r="AAF26" s="24"/>
      <c r="AAG26" s="24"/>
      <c r="AAH26" s="24"/>
      <c r="AAI26" s="24"/>
      <c r="AAJ26" s="24"/>
      <c r="AAK26" s="24"/>
      <c r="AAL26" s="24"/>
      <c r="AAM26" s="24"/>
      <c r="AAN26" s="24"/>
      <c r="AAO26" s="24"/>
      <c r="AAP26" s="24"/>
      <c r="AAQ26" s="24"/>
      <c r="AAR26" s="24"/>
      <c r="AAS26" s="24"/>
      <c r="AAT26" s="24"/>
      <c r="AAU26" s="24"/>
      <c r="AAV26" s="24"/>
      <c r="AAW26" s="24"/>
      <c r="AAX26" s="24"/>
      <c r="AAY26" s="24"/>
      <c r="AAZ26" s="24"/>
      <c r="ABA26" s="24"/>
      <c r="ABB26" s="64"/>
      <c r="ABC26" s="64"/>
      <c r="ABD26" s="64"/>
      <c r="ABE26" s="24"/>
      <c r="ABF26" s="24"/>
      <c r="ABG26" s="11"/>
      <c r="ABH26" s="11"/>
      <c r="ABI26" s="11"/>
      <c r="ABJ26" s="11"/>
      <c r="ABK26" s="11"/>
      <c r="ABL26" s="65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80"/>
      <c r="ACB26" s="180"/>
      <c r="ACC26" s="180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48"/>
      <c r="ACT26" s="48"/>
      <c r="ACU26" s="48"/>
      <c r="ACV26" s="48"/>
      <c r="ACW26" s="48"/>
      <c r="ACX26" s="16"/>
      <c r="ACY26" s="48"/>
      <c r="ACZ26" s="16"/>
      <c r="ADA26" s="170"/>
      <c r="ADB26" s="16"/>
      <c r="ADC26" s="170"/>
      <c r="ADD26" s="170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48"/>
      <c r="ADR26" s="48"/>
      <c r="ADS26" s="48"/>
      <c r="ADT26" s="48"/>
      <c r="ADU26" s="48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48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64"/>
      <c r="AHE26" s="64"/>
      <c r="AHF26" s="64"/>
      <c r="AHG26" s="64"/>
      <c r="AHH26" s="24"/>
      <c r="AHI26" s="11"/>
      <c r="AHJ26" s="11"/>
      <c r="AHK26" s="11"/>
      <c r="AHL26" s="11"/>
      <c r="AHM26" s="11"/>
      <c r="AHN26" s="65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80"/>
      <c r="AID26" s="180"/>
      <c r="AIE26" s="180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65"/>
      <c r="AIW26" s="65"/>
      <c r="AIX26" s="65"/>
      <c r="AIY26" s="65"/>
      <c r="AIZ26" s="65"/>
      <c r="AJA26" s="11"/>
      <c r="AJB26" s="65"/>
      <c r="AJC26" s="11"/>
      <c r="AJD26" s="11"/>
      <c r="AJE26" s="11"/>
      <c r="AJF26" s="11"/>
      <c r="AJG26" s="11"/>
      <c r="AJH26" s="11"/>
      <c r="AJI26" s="11"/>
      <c r="AJJ26" s="65"/>
      <c r="AJK26" s="65"/>
      <c r="AJL26" s="65"/>
      <c r="AJM26" s="65"/>
      <c r="AJN26" s="65"/>
      <c r="AJO26" s="11"/>
      <c r="AJP26" s="11"/>
      <c r="AJQ26" s="65"/>
      <c r="AJR26" s="11"/>
      <c r="AJS26" s="11"/>
      <c r="AJT26" s="65"/>
      <c r="AJU26" s="65"/>
      <c r="AJV26" s="312"/>
      <c r="AJW26" s="312"/>
      <c r="AJX26" s="312"/>
      <c r="AJY26" s="295"/>
      <c r="AJZ26" s="312"/>
      <c r="AKA26" s="295"/>
      <c r="AKB26" s="358"/>
      <c r="AKC26" s="295"/>
      <c r="AKD26" s="295"/>
      <c r="AKE26" s="295"/>
      <c r="AKF26" s="432"/>
      <c r="AKG26" s="295"/>
      <c r="AKH26" s="349"/>
      <c r="AKI26" s="4"/>
      <c r="AKJ26" s="186"/>
      <c r="AKK26" s="6"/>
      <c r="AKL26" s="187"/>
      <c r="AKM26" s="187"/>
      <c r="AKN26" s="187"/>
      <c r="AKO26" s="187"/>
      <c r="AKP26" s="187"/>
      <c r="AKQ26" s="187"/>
      <c r="AKR26" s="187"/>
      <c r="AKS26" s="187"/>
      <c r="AKT26" s="187"/>
      <c r="AKU26" s="187"/>
      <c r="AKV26" s="187"/>
      <c r="AKW26" s="187"/>
      <c r="AKX26" s="187"/>
      <c r="AKY26" s="187"/>
      <c r="AKZ26" s="187"/>
      <c r="ALA26" s="187"/>
      <c r="ALB26" s="187"/>
      <c r="ALC26" s="187"/>
      <c r="ALD26" s="187"/>
      <c r="ALU26" s="16"/>
      <c r="ALV26" s="16"/>
      <c r="ALW26" s="16"/>
      <c r="ALX26" s="16"/>
      <c r="ALY26" s="16"/>
      <c r="ALZ26" s="16"/>
      <c r="AMA26" s="16"/>
      <c r="AMB26" s="16"/>
      <c r="AMC26" s="16"/>
      <c r="AMD26" s="16"/>
      <c r="AME26" s="16"/>
      <c r="AMF26" s="16"/>
      <c r="AMG26" s="16"/>
      <c r="AMH26" s="16"/>
      <c r="AMI26" s="16"/>
      <c r="AMJ26" s="16"/>
      <c r="AMK26" s="349"/>
      <c r="AML26" s="349"/>
      <c r="AMM26" s="349"/>
    </row>
    <row r="27" spans="1:1027" ht="29.1" hidden="1" customHeight="1" thickBot="1" x14ac:dyDescent="0.35">
      <c r="A27" s="84" t="s">
        <v>115</v>
      </c>
      <c r="B27" s="85" t="s">
        <v>122</v>
      </c>
      <c r="C27" s="116" t="s">
        <v>120</v>
      </c>
      <c r="D27" s="86">
        <v>700</v>
      </c>
      <c r="E27" s="77"/>
      <c r="F27" s="78"/>
      <c r="G27" s="79"/>
      <c r="H27" s="160"/>
      <c r="I27" s="80"/>
      <c r="J27" s="219"/>
      <c r="K27" s="296"/>
      <c r="L27" s="66"/>
      <c r="M27" s="66"/>
      <c r="N27" s="66"/>
      <c r="O27" s="66"/>
      <c r="P27" s="66"/>
      <c r="Q27" s="66"/>
      <c r="R27" s="23"/>
      <c r="S27" s="23"/>
      <c r="T27" s="23"/>
      <c r="U27" s="23"/>
      <c r="V27" s="23"/>
      <c r="W27" s="23"/>
      <c r="X27" s="66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74"/>
      <c r="AN27" s="174"/>
      <c r="AO27" s="174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66"/>
      <c r="BF27" s="66"/>
      <c r="BG27" s="66"/>
      <c r="BH27" s="66"/>
      <c r="BI27" s="66"/>
      <c r="BJ27" s="23"/>
      <c r="BK27" s="66"/>
      <c r="BL27" s="66"/>
      <c r="BM27" s="66"/>
      <c r="BN27" s="174"/>
      <c r="BO27" s="174"/>
      <c r="BP27" s="174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66"/>
      <c r="CD27" s="66"/>
      <c r="CE27" s="66"/>
      <c r="CF27" s="66"/>
      <c r="CG27" s="66"/>
      <c r="CH27" s="23"/>
      <c r="CI27" s="66"/>
      <c r="CJ27" s="66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66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66"/>
      <c r="ER27" s="66"/>
      <c r="ES27" s="66"/>
      <c r="ET27" s="66"/>
      <c r="EU27" s="66"/>
      <c r="EV27" s="66"/>
      <c r="EW27" s="23"/>
      <c r="EX27" s="23"/>
      <c r="EY27" s="23"/>
      <c r="EZ27" s="23"/>
      <c r="FA27" s="23"/>
      <c r="FB27" s="23"/>
      <c r="FC27" s="23"/>
      <c r="FD27" s="66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174"/>
      <c r="FT27" s="174"/>
      <c r="FU27" s="174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66"/>
      <c r="GL27" s="66"/>
      <c r="GM27" s="66"/>
      <c r="GN27" s="66"/>
      <c r="GO27" s="66"/>
      <c r="GP27" s="23"/>
      <c r="GQ27" s="66"/>
      <c r="GR27" s="66"/>
      <c r="GS27" s="66"/>
      <c r="GT27" s="174"/>
      <c r="GU27" s="174"/>
      <c r="GV27" s="174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66"/>
      <c r="HJ27" s="66"/>
      <c r="HK27" s="66"/>
      <c r="HL27" s="66"/>
      <c r="HM27" s="66"/>
      <c r="HN27" s="23"/>
      <c r="HO27" s="66"/>
      <c r="HP27" s="66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66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66"/>
      <c r="JX27" s="66"/>
      <c r="JY27" s="66"/>
      <c r="JZ27" s="66"/>
      <c r="KA27" s="66"/>
      <c r="KB27" s="66"/>
      <c r="KC27" s="66"/>
      <c r="KD27" s="23"/>
      <c r="KE27" s="23"/>
      <c r="KF27" s="23"/>
      <c r="KG27" s="23"/>
      <c r="KH27" s="23"/>
      <c r="KI27" s="23"/>
      <c r="KJ27" s="66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174"/>
      <c r="KZ27" s="174"/>
      <c r="LA27" s="174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66"/>
      <c r="LR27" s="66"/>
      <c r="LS27" s="66"/>
      <c r="LT27" s="66"/>
      <c r="LU27" s="66"/>
      <c r="LV27" s="23"/>
      <c r="LW27" s="66"/>
      <c r="LX27" s="66"/>
      <c r="LY27" s="66"/>
      <c r="LZ27" s="23"/>
      <c r="MA27" s="174"/>
      <c r="MB27" s="174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66"/>
      <c r="MP27" s="66"/>
      <c r="MQ27" s="66"/>
      <c r="MR27" s="66"/>
      <c r="MS27" s="66"/>
      <c r="MT27" s="23"/>
      <c r="MU27" s="66"/>
      <c r="MV27" s="66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66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66"/>
      <c r="PD27" s="66"/>
      <c r="PE27" s="66"/>
      <c r="PF27" s="66"/>
      <c r="PG27" s="66"/>
      <c r="PH27" s="66"/>
      <c r="PI27" s="23"/>
      <c r="PJ27" s="23"/>
      <c r="PK27" s="23"/>
      <c r="PL27" s="23"/>
      <c r="PM27" s="23"/>
      <c r="PN27" s="23"/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174"/>
      <c r="QF27" s="174"/>
      <c r="QG27" s="174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/>
      <c r="QT27" s="23"/>
      <c r="QU27" s="23"/>
      <c r="QV27" s="23"/>
      <c r="QW27" s="66"/>
      <c r="QX27" s="66"/>
      <c r="QY27" s="66"/>
      <c r="QZ27" s="66"/>
      <c r="RA27" s="66"/>
      <c r="RB27" s="23"/>
      <c r="RC27" s="66"/>
      <c r="RD27" s="66"/>
      <c r="RE27" s="66"/>
      <c r="RF27" s="23"/>
      <c r="RG27" s="174"/>
      <c r="RH27" s="174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66"/>
      <c r="RV27" s="66"/>
      <c r="RW27" s="66"/>
      <c r="RX27" s="66"/>
      <c r="RY27" s="66"/>
      <c r="RZ27" s="23"/>
      <c r="SA27" s="66"/>
      <c r="SB27" s="66"/>
      <c r="SC27" s="23"/>
      <c r="SD27" s="23"/>
      <c r="SE27" s="23"/>
      <c r="SF27" s="23"/>
      <c r="SG27" s="23"/>
      <c r="SH27" s="23"/>
      <c r="SI27" s="23"/>
      <c r="SJ27" s="23"/>
      <c r="SK27" s="23"/>
      <c r="SL27" s="23"/>
      <c r="SM27" s="23"/>
      <c r="SN27" s="23"/>
      <c r="SO27" s="23"/>
      <c r="SP27" s="23"/>
      <c r="SQ27" s="23"/>
      <c r="SR27" s="66"/>
      <c r="SS27" s="23"/>
      <c r="ST27" s="23"/>
      <c r="SU27" s="23"/>
      <c r="SV27" s="23"/>
      <c r="SW27" s="23"/>
      <c r="SX27" s="23"/>
      <c r="SY27" s="23"/>
      <c r="SZ27" s="23"/>
      <c r="TA27" s="23"/>
      <c r="TB27" s="23"/>
      <c r="TC27" s="23"/>
      <c r="TD27" s="23"/>
      <c r="TE27" s="23"/>
      <c r="TF27" s="23"/>
      <c r="TG27" s="23"/>
      <c r="TH27" s="23"/>
      <c r="TI27" s="23"/>
      <c r="TJ27" s="23"/>
      <c r="TK27" s="23"/>
      <c r="TL27" s="23"/>
      <c r="TM27" s="23"/>
      <c r="TN27" s="23"/>
      <c r="TO27" s="23"/>
      <c r="TP27" s="23"/>
      <c r="TQ27" s="23"/>
      <c r="TR27" s="23"/>
      <c r="TS27" s="23"/>
      <c r="TT27" s="23"/>
      <c r="TU27" s="23"/>
      <c r="TV27" s="23"/>
      <c r="TW27" s="23"/>
      <c r="TX27" s="23"/>
      <c r="TY27" s="23"/>
      <c r="TZ27" s="23"/>
      <c r="UA27" s="23"/>
      <c r="UB27" s="23"/>
      <c r="UC27" s="23"/>
      <c r="UD27" s="23"/>
      <c r="UE27" s="23"/>
      <c r="UF27" s="23"/>
      <c r="UG27" s="23"/>
      <c r="UH27" s="23"/>
      <c r="UI27" s="66"/>
      <c r="UJ27" s="66"/>
      <c r="UK27" s="66"/>
      <c r="UL27" s="66"/>
      <c r="UM27" s="23"/>
      <c r="UN27" s="23"/>
      <c r="UO27" s="23"/>
      <c r="UP27" s="23"/>
      <c r="UQ27" s="66"/>
      <c r="UR27" s="23"/>
      <c r="US27" s="23"/>
      <c r="UT27" s="23"/>
      <c r="UU27" s="23"/>
      <c r="UV27" s="23"/>
      <c r="UW27" s="23"/>
      <c r="UX27" s="66"/>
      <c r="UY27" s="23"/>
      <c r="UZ27" s="66"/>
      <c r="VA27" s="23"/>
      <c r="VB27" s="66"/>
      <c r="VC27" s="66"/>
      <c r="VD27" s="23"/>
      <c r="VE27" s="23"/>
      <c r="VF27" s="66"/>
      <c r="VG27" s="66"/>
      <c r="VH27" s="23"/>
      <c r="VI27" s="23"/>
      <c r="VJ27" s="23"/>
      <c r="VK27" s="23"/>
      <c r="VL27" s="66"/>
      <c r="VM27" s="66"/>
      <c r="VN27" s="66"/>
      <c r="VO27" s="66"/>
      <c r="VP27" s="23"/>
      <c r="VQ27" s="66"/>
      <c r="VR27" s="23"/>
      <c r="VS27" s="23"/>
      <c r="VT27" s="23"/>
      <c r="VU27" s="23"/>
      <c r="VV27" s="66"/>
      <c r="VW27" s="66"/>
      <c r="VX27" s="66"/>
      <c r="VY27" s="66"/>
      <c r="VZ27" s="66"/>
      <c r="WA27" s="66"/>
      <c r="WB27" s="23"/>
      <c r="WC27" s="23"/>
      <c r="WD27" s="23"/>
      <c r="WE27" s="23"/>
      <c r="WF27" s="23"/>
      <c r="WG27" s="23"/>
      <c r="WH27" s="23"/>
      <c r="WI27" s="66"/>
      <c r="WJ27" s="23"/>
      <c r="WK27" s="23"/>
      <c r="WL27" s="23"/>
      <c r="WM27" s="23"/>
      <c r="WN27" s="23"/>
      <c r="WO27" s="23"/>
      <c r="WP27" s="23"/>
      <c r="WQ27" s="23"/>
      <c r="WR27" s="23"/>
      <c r="WS27" s="23"/>
      <c r="WT27" s="23"/>
      <c r="WU27" s="23"/>
      <c r="WV27" s="23"/>
      <c r="WW27" s="23"/>
      <c r="WX27" s="174"/>
      <c r="WY27" s="174"/>
      <c r="WZ27" s="174"/>
      <c r="XA27" s="23"/>
      <c r="XB27" s="23"/>
      <c r="XC27" s="23"/>
      <c r="XD27" s="23"/>
      <c r="XE27" s="23"/>
      <c r="XF27" s="23"/>
      <c r="XG27" s="23"/>
      <c r="XH27" s="23"/>
      <c r="XI27" s="23"/>
      <c r="XJ27" s="23"/>
      <c r="XK27" s="23"/>
      <c r="XL27" s="23"/>
      <c r="XM27" s="23"/>
      <c r="XN27" s="23"/>
      <c r="XO27" s="23"/>
      <c r="XP27" s="66"/>
      <c r="XQ27" s="66"/>
      <c r="XR27" s="66"/>
      <c r="XS27" s="66"/>
      <c r="XT27" s="66"/>
      <c r="XU27" s="23"/>
      <c r="XV27" s="66"/>
      <c r="XW27" s="23"/>
      <c r="XX27" s="174"/>
      <c r="XY27" s="23"/>
      <c r="XZ27" s="174"/>
      <c r="YA27" s="174"/>
      <c r="YB27" s="23"/>
      <c r="YC27" s="23"/>
      <c r="YD27" s="23"/>
      <c r="YE27" s="23"/>
      <c r="YF27" s="23"/>
      <c r="YG27" s="23"/>
      <c r="YH27" s="23"/>
      <c r="YI27" s="23"/>
      <c r="YJ27" s="23"/>
      <c r="YK27" s="23"/>
      <c r="YL27" s="23"/>
      <c r="YM27" s="23"/>
      <c r="YN27" s="66"/>
      <c r="YO27" s="66"/>
      <c r="YP27" s="66"/>
      <c r="YQ27" s="66"/>
      <c r="YR27" s="66"/>
      <c r="YS27" s="23"/>
      <c r="YT27" s="66"/>
      <c r="YU27" s="66"/>
      <c r="YV27" s="23"/>
      <c r="YW27" s="23"/>
      <c r="YX27" s="23"/>
      <c r="YY27" s="23"/>
      <c r="YZ27" s="23"/>
      <c r="ZA27" s="23"/>
      <c r="ZB27" s="23"/>
      <c r="ZC27" s="23"/>
      <c r="ZD27" s="23"/>
      <c r="ZE27" s="23"/>
      <c r="ZF27" s="23"/>
      <c r="ZG27" s="23"/>
      <c r="ZH27" s="23"/>
      <c r="ZI27" s="23"/>
      <c r="ZJ27" s="23"/>
      <c r="ZK27" s="66"/>
      <c r="ZL27" s="23"/>
      <c r="ZM27" s="23"/>
      <c r="ZN27" s="23"/>
      <c r="ZO27" s="23"/>
      <c r="ZP27" s="23"/>
      <c r="ZQ27" s="23"/>
      <c r="ZR27" s="23"/>
      <c r="ZS27" s="23"/>
      <c r="ZT27" s="23"/>
      <c r="ZU27" s="23"/>
      <c r="ZV27" s="23"/>
      <c r="ZW27" s="23"/>
      <c r="ZX27" s="23"/>
      <c r="ZY27" s="23"/>
      <c r="ZZ27" s="23"/>
      <c r="AAA27" s="23"/>
      <c r="AAB27" s="23"/>
      <c r="AAC27" s="23"/>
      <c r="AAD27" s="23"/>
      <c r="AAE27" s="23"/>
      <c r="AAF27" s="23"/>
      <c r="AAG27" s="23"/>
      <c r="AAH27" s="23"/>
      <c r="AAI27" s="23"/>
      <c r="AAJ27" s="23"/>
      <c r="AAK27" s="23"/>
      <c r="AAL27" s="23"/>
      <c r="AAM27" s="23"/>
      <c r="AAN27" s="23"/>
      <c r="AAO27" s="23"/>
      <c r="AAP27" s="23"/>
      <c r="AAQ27" s="23"/>
      <c r="AAR27" s="23"/>
      <c r="AAS27" s="23"/>
      <c r="AAT27" s="23"/>
      <c r="AAU27" s="23"/>
      <c r="AAV27" s="23"/>
      <c r="AAW27" s="23"/>
      <c r="AAX27" s="23"/>
      <c r="AAY27" s="23"/>
      <c r="AAZ27" s="23"/>
      <c r="ABA27" s="23"/>
      <c r="ABB27" s="66"/>
      <c r="ABC27" s="66"/>
      <c r="ABD27" s="66"/>
      <c r="ABE27" s="23"/>
      <c r="ABF27" s="23"/>
      <c r="ABG27" s="12"/>
      <c r="ABH27" s="12"/>
      <c r="ABI27" s="12"/>
      <c r="ABJ27" s="12"/>
      <c r="ABK27" s="12"/>
      <c r="ABL27" s="67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79"/>
      <c r="ACB27" s="179"/>
      <c r="ACC27" s="179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52"/>
      <c r="ACT27" s="52"/>
      <c r="ACU27" s="52"/>
      <c r="ACV27" s="52"/>
      <c r="ACW27" s="52"/>
      <c r="ACX27" s="20"/>
      <c r="ACY27" s="52"/>
      <c r="ACZ27" s="20"/>
      <c r="ADA27" s="171"/>
      <c r="ADB27" s="20"/>
      <c r="ADC27" s="171"/>
      <c r="ADD27" s="171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52"/>
      <c r="ADR27" s="52"/>
      <c r="ADS27" s="52"/>
      <c r="ADT27" s="52"/>
      <c r="ADU27" s="52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52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66"/>
      <c r="AHE27" s="66"/>
      <c r="AHF27" s="66"/>
      <c r="AHG27" s="66"/>
      <c r="AHH27" s="23"/>
      <c r="AHI27" s="12"/>
      <c r="AHJ27" s="12"/>
      <c r="AHK27" s="12"/>
      <c r="AHL27" s="12"/>
      <c r="AHM27" s="12"/>
      <c r="AHN27" s="67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79"/>
      <c r="AID27" s="179"/>
      <c r="AIE27" s="179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67"/>
      <c r="AIW27" s="67"/>
      <c r="AIX27" s="67"/>
      <c r="AIY27" s="67"/>
      <c r="AIZ27" s="67"/>
      <c r="AJA27" s="12"/>
      <c r="AJB27" s="67"/>
      <c r="AJC27" s="12"/>
      <c r="AJD27" s="12"/>
      <c r="AJE27" s="12"/>
      <c r="AJF27" s="12"/>
      <c r="AJG27" s="12"/>
      <c r="AJH27" s="12"/>
      <c r="AJI27" s="12"/>
      <c r="AJJ27" s="67"/>
      <c r="AJK27" s="67"/>
      <c r="AJL27" s="67"/>
      <c r="AJM27" s="67"/>
      <c r="AJN27" s="67"/>
      <c r="AJO27" s="12"/>
      <c r="AJP27" s="12"/>
      <c r="AJQ27" s="67"/>
      <c r="AJR27" s="12"/>
      <c r="AJS27" s="12"/>
      <c r="AJT27" s="67"/>
      <c r="AJU27" s="67"/>
      <c r="AJV27" s="313"/>
      <c r="AJW27" s="313"/>
      <c r="AJX27" s="313"/>
      <c r="AJY27" s="297"/>
      <c r="AJZ27" s="313"/>
      <c r="AKA27" s="297"/>
      <c r="AKB27" s="359"/>
      <c r="AKC27" s="297"/>
      <c r="AKD27" s="297"/>
      <c r="AKE27" s="297"/>
      <c r="AKF27" s="433"/>
      <c r="AKG27" s="297"/>
      <c r="AKH27" s="349"/>
      <c r="AKI27" s="4"/>
      <c r="AKJ27" s="186"/>
      <c r="AKK27" s="6"/>
      <c r="AKL27" s="187"/>
      <c r="AKM27" s="187"/>
      <c r="AKN27" s="187"/>
      <c r="AKO27" s="187"/>
      <c r="AKP27" s="187"/>
      <c r="AKQ27" s="187"/>
      <c r="AKR27" s="187"/>
      <c r="AKS27" s="187"/>
      <c r="AKT27" s="187"/>
      <c r="AKU27" s="187"/>
      <c r="AKV27" s="187"/>
      <c r="AKW27" s="187"/>
      <c r="AKX27" s="187"/>
      <c r="AKY27" s="187"/>
      <c r="AKZ27" s="187"/>
      <c r="ALA27" s="187"/>
      <c r="ALB27" s="187"/>
      <c r="ALC27" s="187"/>
      <c r="ALD27" s="187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  <c r="AMK27" s="349"/>
      <c r="AML27" s="349"/>
      <c r="AMM27" s="349"/>
    </row>
    <row r="28" spans="1:1027" ht="29.1" hidden="1" customHeight="1" thickBot="1" x14ac:dyDescent="0.35">
      <c r="A28" s="105" t="s">
        <v>11</v>
      </c>
      <c r="B28" s="106" t="s">
        <v>179</v>
      </c>
      <c r="C28" s="107" t="s">
        <v>2</v>
      </c>
      <c r="D28" s="107">
        <v>600</v>
      </c>
      <c r="E28" s="96" t="s">
        <v>6</v>
      </c>
      <c r="F28" s="98">
        <v>28</v>
      </c>
      <c r="G28" s="119">
        <f t="shared" ref="G28" si="2">F28+0.3</f>
        <v>28.3</v>
      </c>
      <c r="H28" s="161">
        <v>28.3</v>
      </c>
      <c r="I28" s="99">
        <v>39.299999999999997</v>
      </c>
      <c r="J28" s="215">
        <v>5000</v>
      </c>
      <c r="K28" s="285"/>
      <c r="L28" s="41">
        <v>27</v>
      </c>
      <c r="M28" s="42">
        <v>30</v>
      </c>
      <c r="N28" s="43">
        <v>34.5</v>
      </c>
      <c r="O28" s="43">
        <v>31.5</v>
      </c>
      <c r="P28" s="42">
        <v>27.2</v>
      </c>
      <c r="Q28" s="43">
        <v>28</v>
      </c>
      <c r="R28" s="10">
        <v>28</v>
      </c>
      <c r="S28" s="10">
        <v>30</v>
      </c>
      <c r="T28" s="10">
        <v>40.9</v>
      </c>
      <c r="U28" s="10">
        <v>45</v>
      </c>
      <c r="V28" s="10">
        <v>45</v>
      </c>
      <c r="W28" s="10">
        <v>46</v>
      </c>
      <c r="X28" s="43">
        <v>40</v>
      </c>
      <c r="Y28" s="10">
        <v>36</v>
      </c>
      <c r="Z28" s="10">
        <v>36.5</v>
      </c>
      <c r="AA28" s="10">
        <v>39</v>
      </c>
      <c r="AB28" s="10">
        <v>44</v>
      </c>
      <c r="AC28" s="10">
        <v>42</v>
      </c>
      <c r="AD28" s="43"/>
      <c r="AE28" s="43"/>
      <c r="AF28" s="43">
        <v>41</v>
      </c>
      <c r="AG28" s="10">
        <v>41</v>
      </c>
      <c r="AH28" s="10">
        <v>39.5</v>
      </c>
      <c r="AI28" s="10">
        <v>40</v>
      </c>
      <c r="AJ28" s="10">
        <v>41</v>
      </c>
      <c r="AK28" s="10">
        <v>43.5</v>
      </c>
      <c r="AL28" s="10">
        <v>43.5</v>
      </c>
      <c r="AM28" s="193">
        <v>47.3</v>
      </c>
      <c r="AN28" s="169">
        <v>41.5</v>
      </c>
      <c r="AO28" s="194">
        <v>40.5</v>
      </c>
      <c r="AP28" s="10">
        <v>40.5</v>
      </c>
      <c r="AQ28" s="10">
        <v>40.5</v>
      </c>
      <c r="AR28" s="10">
        <v>40.5</v>
      </c>
      <c r="AS28" s="10">
        <v>37.5</v>
      </c>
      <c r="AT28" s="10">
        <v>40</v>
      </c>
      <c r="AU28" s="10">
        <v>40</v>
      </c>
      <c r="AV28" s="10">
        <v>40</v>
      </c>
      <c r="AW28" s="10">
        <v>40</v>
      </c>
      <c r="AX28" s="10">
        <v>39</v>
      </c>
      <c r="AY28" s="10">
        <v>39</v>
      </c>
      <c r="AZ28" s="10">
        <v>38.5</v>
      </c>
      <c r="BA28" s="10">
        <v>41.5</v>
      </c>
      <c r="BB28" s="10">
        <v>41.5</v>
      </c>
      <c r="BC28" s="10">
        <v>41.5</v>
      </c>
      <c r="BD28" s="10">
        <v>41.5</v>
      </c>
      <c r="BE28" s="280">
        <v>39</v>
      </c>
      <c r="BF28" s="280">
        <v>38.5</v>
      </c>
      <c r="BG28" s="280">
        <v>37.5</v>
      </c>
      <c r="BH28" s="280">
        <v>36.9</v>
      </c>
      <c r="BI28" s="280">
        <v>35.5</v>
      </c>
      <c r="BJ28" s="281">
        <v>35.5</v>
      </c>
      <c r="BK28" s="280">
        <v>35.5</v>
      </c>
      <c r="BL28" s="280">
        <v>35.5</v>
      </c>
      <c r="BM28" s="259">
        <v>35.5</v>
      </c>
      <c r="BN28" s="261">
        <v>35.5</v>
      </c>
      <c r="BO28" s="261">
        <v>36.5</v>
      </c>
      <c r="BP28" s="261">
        <v>38.5</v>
      </c>
      <c r="BQ28" s="260">
        <v>37.5</v>
      </c>
      <c r="BR28" s="260">
        <v>35.5</v>
      </c>
      <c r="BS28" s="260">
        <v>35</v>
      </c>
      <c r="BT28" s="260">
        <v>34.5</v>
      </c>
      <c r="BU28" s="260">
        <v>34.5</v>
      </c>
      <c r="BV28" s="260">
        <v>34</v>
      </c>
      <c r="BW28" s="260">
        <v>34.5</v>
      </c>
      <c r="BX28" s="260">
        <v>34.5</v>
      </c>
      <c r="BY28" s="260">
        <v>34.5</v>
      </c>
      <c r="BZ28" s="260">
        <v>34</v>
      </c>
      <c r="CA28" s="260">
        <v>34</v>
      </c>
      <c r="CB28" s="260">
        <v>34</v>
      </c>
      <c r="CC28" s="259">
        <v>34</v>
      </c>
      <c r="CD28" s="259"/>
      <c r="CE28" s="259"/>
      <c r="CF28" s="259"/>
      <c r="CG28" s="259"/>
      <c r="CH28" s="260"/>
      <c r="CI28" s="259"/>
      <c r="CJ28" s="259"/>
      <c r="CK28" s="260"/>
      <c r="CL28" s="260"/>
      <c r="CM28" s="260"/>
      <c r="CN28" s="260"/>
      <c r="CO28" s="260"/>
      <c r="CP28" s="260"/>
      <c r="CQ28" s="260"/>
      <c r="CR28" s="260"/>
      <c r="CS28" s="260"/>
      <c r="CT28" s="260"/>
      <c r="CU28" s="260"/>
      <c r="CV28" s="260"/>
      <c r="CW28" s="260"/>
      <c r="CX28" s="260"/>
      <c r="CY28" s="260"/>
      <c r="CZ28" s="259"/>
      <c r="DA28" s="260"/>
      <c r="DB28" s="260"/>
      <c r="DC28" s="260"/>
      <c r="DD28" s="260"/>
      <c r="DE28" s="260"/>
      <c r="DF28" s="260"/>
      <c r="DG28" s="260"/>
      <c r="DH28" s="260"/>
      <c r="DI28" s="260"/>
      <c r="DJ28" s="260"/>
      <c r="DK28" s="260"/>
      <c r="DL28" s="260"/>
      <c r="DM28" s="260"/>
      <c r="DN28" s="260"/>
      <c r="DO28" s="260"/>
      <c r="DP28" s="260"/>
      <c r="DQ28" s="260"/>
      <c r="DR28" s="260"/>
      <c r="DS28" s="260"/>
      <c r="DT28" s="260"/>
      <c r="DU28" s="260"/>
      <c r="DV28" s="260"/>
      <c r="DW28" s="260"/>
      <c r="DX28" s="260"/>
      <c r="DY28" s="260"/>
      <c r="DZ28" s="260"/>
      <c r="EA28" s="260"/>
      <c r="EB28" s="260"/>
      <c r="EC28" s="260"/>
      <c r="ED28" s="260"/>
      <c r="EE28" s="260"/>
      <c r="EF28" s="260"/>
      <c r="EG28" s="260"/>
      <c r="EH28" s="260"/>
      <c r="EI28" s="260"/>
      <c r="EJ28" s="260"/>
      <c r="EK28" s="260"/>
      <c r="EL28" s="260"/>
      <c r="EM28" s="260"/>
      <c r="EN28" s="260"/>
      <c r="EO28" s="260"/>
      <c r="EP28" s="260"/>
      <c r="EQ28" s="257"/>
      <c r="ER28" s="257"/>
      <c r="ES28" s="257"/>
      <c r="ET28" s="257"/>
      <c r="EU28" s="257"/>
      <c r="EV28" s="257"/>
      <c r="EW28" s="256"/>
      <c r="EX28" s="256"/>
      <c r="EY28" s="256"/>
      <c r="EZ28" s="256"/>
      <c r="FA28" s="256"/>
      <c r="FB28" s="256"/>
      <c r="FC28" s="256"/>
      <c r="FD28" s="257"/>
      <c r="FE28" s="256"/>
      <c r="FF28" s="256"/>
      <c r="FG28" s="256"/>
      <c r="FH28" s="256"/>
      <c r="FI28" s="256"/>
      <c r="FJ28" s="257"/>
      <c r="FK28" s="257"/>
      <c r="FL28" s="257"/>
      <c r="FM28" s="256"/>
      <c r="FN28" s="256"/>
      <c r="FO28" s="256"/>
      <c r="FP28" s="256"/>
      <c r="FQ28" s="256"/>
      <c r="FR28" s="256"/>
      <c r="FS28" s="258"/>
      <c r="FT28" s="364"/>
      <c r="FU28" s="364"/>
      <c r="FV28" s="260"/>
      <c r="FW28" s="260"/>
      <c r="FX28" s="260"/>
      <c r="FY28" s="260"/>
      <c r="FZ28" s="260"/>
      <c r="GA28" s="260"/>
      <c r="GB28" s="260"/>
      <c r="GC28" s="260"/>
      <c r="GD28" s="260"/>
      <c r="GE28" s="260"/>
      <c r="GF28" s="260"/>
      <c r="GG28" s="260"/>
      <c r="GH28" s="260"/>
      <c r="GI28" s="260"/>
      <c r="GJ28" s="260"/>
      <c r="GK28" s="259"/>
      <c r="GL28" s="259"/>
      <c r="GM28" s="259"/>
      <c r="GN28" s="259"/>
      <c r="GO28" s="259"/>
      <c r="GP28" s="260"/>
      <c r="GQ28" s="259"/>
      <c r="GR28" s="259"/>
      <c r="GS28" s="259"/>
      <c r="GT28" s="261"/>
      <c r="GU28" s="261"/>
      <c r="GV28" s="261"/>
      <c r="GW28" s="260"/>
      <c r="GX28" s="260"/>
      <c r="GY28" s="260"/>
      <c r="GZ28" s="260"/>
      <c r="HA28" s="260"/>
      <c r="HB28" s="260"/>
      <c r="HC28" s="260"/>
      <c r="HD28" s="260"/>
      <c r="HE28" s="260"/>
      <c r="HF28" s="260"/>
      <c r="HG28" s="260"/>
      <c r="HH28" s="260"/>
      <c r="HI28" s="259"/>
      <c r="HJ28" s="259"/>
      <c r="HK28" s="259"/>
      <c r="HL28" s="259"/>
      <c r="HM28" s="259"/>
      <c r="HN28" s="260"/>
      <c r="HO28" s="259"/>
      <c r="HP28" s="259"/>
      <c r="HQ28" s="260"/>
      <c r="HR28" s="260"/>
      <c r="HS28" s="260"/>
      <c r="HT28" s="260"/>
      <c r="HU28" s="260"/>
      <c r="HV28" s="260"/>
      <c r="HW28" s="260"/>
      <c r="HX28" s="260"/>
      <c r="HY28" s="260"/>
      <c r="HZ28" s="260"/>
      <c r="IA28" s="260"/>
      <c r="IB28" s="260"/>
      <c r="IC28" s="260"/>
      <c r="ID28" s="260"/>
      <c r="IE28" s="260"/>
      <c r="IF28" s="259"/>
      <c r="IG28" s="260"/>
      <c r="IH28" s="260"/>
      <c r="II28" s="260"/>
      <c r="IJ28" s="260"/>
      <c r="IK28" s="260"/>
      <c r="IL28" s="260"/>
      <c r="IM28" s="260"/>
      <c r="IN28" s="260"/>
      <c r="IO28" s="260"/>
      <c r="IP28" s="260"/>
      <c r="IQ28" s="260"/>
      <c r="IR28" s="260"/>
      <c r="IS28" s="260"/>
      <c r="IT28" s="260"/>
      <c r="IU28" s="260"/>
      <c r="IV28" s="260"/>
      <c r="IW28" s="260"/>
      <c r="IX28" s="260"/>
      <c r="IY28" s="260"/>
      <c r="IZ28" s="260"/>
      <c r="JA28" s="260"/>
      <c r="JB28" s="260"/>
      <c r="JC28" s="260"/>
      <c r="JD28" s="260"/>
      <c r="JE28" s="260"/>
      <c r="JF28" s="260"/>
      <c r="JG28" s="260"/>
      <c r="JH28" s="260"/>
      <c r="JI28" s="260"/>
      <c r="JJ28" s="260"/>
      <c r="JK28" s="260"/>
      <c r="JL28" s="260"/>
      <c r="JM28" s="260"/>
      <c r="JN28" s="260"/>
      <c r="JO28" s="260"/>
      <c r="JP28" s="260"/>
      <c r="JQ28" s="260"/>
      <c r="JR28" s="260"/>
      <c r="JS28" s="260"/>
      <c r="JT28" s="260"/>
      <c r="JU28" s="260"/>
      <c r="JV28" s="260"/>
      <c r="JW28" s="257"/>
      <c r="JX28" s="257"/>
      <c r="JY28" s="257"/>
      <c r="JZ28" s="264"/>
      <c r="KA28" s="259"/>
      <c r="KB28" s="259"/>
      <c r="KC28" s="259"/>
      <c r="KD28" s="262"/>
      <c r="KE28" s="262"/>
      <c r="KF28" s="260"/>
      <c r="KG28" s="260"/>
      <c r="KH28" s="260"/>
      <c r="KI28" s="260"/>
      <c r="KJ28" s="259"/>
      <c r="KK28" s="260"/>
      <c r="KL28" s="260"/>
      <c r="KM28" s="260"/>
      <c r="KN28" s="260"/>
      <c r="KO28" s="260"/>
      <c r="KP28" s="259"/>
      <c r="KQ28" s="259"/>
      <c r="KR28" s="259"/>
      <c r="KS28" s="260"/>
      <c r="KT28" s="260"/>
      <c r="KU28" s="260"/>
      <c r="KV28" s="260"/>
      <c r="KW28" s="260"/>
      <c r="KX28" s="260"/>
      <c r="KY28" s="261"/>
      <c r="KZ28" s="261"/>
      <c r="LA28" s="261"/>
      <c r="LB28" s="365"/>
      <c r="LC28" s="260"/>
      <c r="LD28" s="260"/>
      <c r="LE28" s="260"/>
      <c r="LF28" s="260"/>
      <c r="LG28" s="260"/>
      <c r="LH28" s="260"/>
      <c r="LI28" s="260"/>
      <c r="LJ28" s="260"/>
      <c r="LK28" s="260"/>
      <c r="LL28" s="260"/>
      <c r="LM28" s="260"/>
      <c r="LN28" s="260"/>
      <c r="LO28" s="260"/>
      <c r="LP28" s="260"/>
      <c r="LQ28" s="259"/>
      <c r="LR28" s="259"/>
      <c r="LS28" s="259"/>
      <c r="LT28" s="259"/>
      <c r="LU28" s="259"/>
      <c r="LV28" s="260"/>
      <c r="LW28" s="259"/>
      <c r="LX28" s="259"/>
      <c r="LY28" s="259"/>
      <c r="LZ28" s="260"/>
      <c r="MA28" s="261"/>
      <c r="MB28" s="261"/>
      <c r="MC28" s="260"/>
      <c r="MD28" s="260"/>
      <c r="ME28" s="260"/>
      <c r="MF28" s="260"/>
      <c r="MG28" s="260"/>
      <c r="MH28" s="260"/>
      <c r="MI28" s="260"/>
      <c r="MJ28" s="260"/>
      <c r="MK28" s="260"/>
      <c r="ML28" s="260"/>
      <c r="MM28" s="260"/>
      <c r="MN28" s="260"/>
      <c r="MO28" s="259"/>
      <c r="MP28" s="259"/>
      <c r="MQ28" s="259"/>
      <c r="MR28" s="259"/>
      <c r="MS28" s="259"/>
      <c r="MT28" s="260"/>
      <c r="MU28" s="259"/>
      <c r="MV28" s="259"/>
      <c r="MW28" s="260"/>
      <c r="MX28" s="260"/>
      <c r="MY28" s="260"/>
      <c r="MZ28" s="260"/>
      <c r="NA28" s="260"/>
      <c r="NB28" s="260"/>
      <c r="NC28" s="260"/>
      <c r="ND28" s="260"/>
      <c r="NE28" s="260"/>
      <c r="NF28" s="260"/>
      <c r="NG28" s="260"/>
      <c r="NH28" s="260"/>
      <c r="NI28" s="260"/>
      <c r="NJ28" s="260"/>
      <c r="NK28" s="260"/>
      <c r="NL28" s="259"/>
      <c r="NM28" s="260"/>
      <c r="NN28" s="260"/>
      <c r="NO28" s="260"/>
      <c r="NP28" s="260"/>
      <c r="NQ28" s="260"/>
      <c r="NR28" s="260"/>
      <c r="NS28" s="260"/>
      <c r="NT28" s="260"/>
      <c r="NU28" s="260"/>
      <c r="NV28" s="260"/>
      <c r="NW28" s="260"/>
      <c r="NX28" s="260"/>
      <c r="NY28" s="260"/>
      <c r="NZ28" s="260"/>
      <c r="OA28" s="260"/>
      <c r="OB28" s="260"/>
      <c r="OC28" s="260"/>
      <c r="OD28" s="260"/>
      <c r="OE28" s="260"/>
      <c r="OF28" s="260"/>
      <c r="OG28" s="260"/>
      <c r="OH28" s="260"/>
      <c r="OI28" s="260"/>
      <c r="OJ28" s="260"/>
      <c r="OK28" s="260"/>
      <c r="OL28" s="260"/>
      <c r="OM28" s="260"/>
      <c r="ON28" s="260"/>
      <c r="OO28" s="260"/>
      <c r="OP28" s="260"/>
      <c r="OQ28" s="260"/>
      <c r="OR28" s="260"/>
      <c r="OS28" s="260"/>
      <c r="OT28" s="260"/>
      <c r="OU28" s="260"/>
      <c r="OV28" s="260"/>
      <c r="OW28" s="260"/>
      <c r="OX28" s="260"/>
      <c r="OY28" s="260"/>
      <c r="OZ28" s="260"/>
      <c r="PA28" s="260"/>
      <c r="PB28" s="260"/>
      <c r="PC28" s="257"/>
      <c r="PD28" s="257"/>
      <c r="PE28" s="257"/>
      <c r="PF28" s="257"/>
      <c r="PG28" s="264"/>
      <c r="PH28" s="264"/>
      <c r="PI28" s="260"/>
      <c r="PJ28" s="260"/>
      <c r="PK28" s="260"/>
      <c r="PL28" s="260"/>
      <c r="PM28" s="260"/>
      <c r="PN28" s="260"/>
      <c r="PO28" s="260"/>
      <c r="PP28" s="260"/>
      <c r="PQ28" s="260"/>
      <c r="PR28" s="260"/>
      <c r="PS28" s="260"/>
      <c r="PT28" s="260"/>
      <c r="PU28" s="260"/>
      <c r="PV28" s="259"/>
      <c r="PW28" s="259"/>
      <c r="PX28" s="259"/>
      <c r="PY28" s="260"/>
      <c r="PZ28" s="260"/>
      <c r="QA28" s="260"/>
      <c r="QB28" s="260"/>
      <c r="QC28" s="260"/>
      <c r="QD28" s="260"/>
      <c r="QE28" s="261"/>
      <c r="QF28" s="261"/>
      <c r="QG28" s="261"/>
      <c r="QH28" s="262"/>
      <c r="QI28" s="260"/>
      <c r="QJ28" s="260"/>
      <c r="QK28" s="260"/>
      <c r="QL28" s="260"/>
      <c r="QM28" s="260"/>
      <c r="QN28" s="260"/>
      <c r="QO28" s="260"/>
      <c r="QP28" s="260"/>
      <c r="QQ28" s="260"/>
      <c r="QR28" s="260"/>
      <c r="QS28" s="260"/>
      <c r="QT28" s="260"/>
      <c r="QU28" s="260"/>
      <c r="QV28" s="260"/>
      <c r="QW28" s="259"/>
      <c r="QX28" s="259"/>
      <c r="QY28" s="259"/>
      <c r="QZ28" s="259"/>
      <c r="RA28" s="259"/>
      <c r="RB28" s="323"/>
      <c r="RC28" s="342"/>
      <c r="RD28" s="342"/>
      <c r="RE28" s="342"/>
      <c r="RF28" s="366"/>
      <c r="RG28" s="383"/>
      <c r="RH28" s="383"/>
      <c r="RI28" s="323"/>
      <c r="RJ28" s="323"/>
      <c r="RK28" s="323"/>
      <c r="RL28" s="323"/>
      <c r="RM28" s="323"/>
      <c r="RN28" s="323"/>
      <c r="RO28" s="323"/>
      <c r="RP28" s="323"/>
      <c r="RQ28" s="323"/>
      <c r="RR28" s="323"/>
      <c r="RS28" s="323"/>
      <c r="RT28" s="260"/>
      <c r="RU28" s="259"/>
      <c r="RV28" s="259"/>
      <c r="RW28" s="259"/>
      <c r="RX28" s="259"/>
      <c r="RY28" s="259"/>
      <c r="RZ28" s="260"/>
      <c r="SA28" s="259"/>
      <c r="SB28" s="259"/>
      <c r="SC28" s="260"/>
      <c r="SD28" s="260"/>
      <c r="SE28" s="260"/>
      <c r="SF28" s="260"/>
      <c r="SG28" s="260"/>
      <c r="SH28" s="260"/>
      <c r="SI28" s="260"/>
      <c r="SJ28" s="260"/>
      <c r="SK28" s="260"/>
      <c r="SL28" s="260"/>
      <c r="SM28" s="260"/>
      <c r="SN28" s="260"/>
      <c r="SO28" s="260"/>
      <c r="SP28" s="260"/>
      <c r="SQ28" s="260"/>
      <c r="SR28" s="259"/>
      <c r="SS28" s="260"/>
      <c r="ST28" s="260"/>
      <c r="SU28" s="260"/>
      <c r="SV28" s="260"/>
      <c r="SW28" s="260"/>
      <c r="SX28" s="260"/>
      <c r="SY28" s="260"/>
      <c r="SZ28" s="260"/>
      <c r="TA28" s="260"/>
      <c r="TB28" s="260"/>
      <c r="TC28" s="260"/>
      <c r="TD28" s="260"/>
      <c r="TE28" s="260"/>
      <c r="TF28" s="260"/>
      <c r="TG28" s="260"/>
      <c r="TH28" s="260"/>
      <c r="TI28" s="260"/>
      <c r="TJ28" s="260"/>
      <c r="TK28" s="260"/>
      <c r="TL28" s="260"/>
      <c r="TM28" s="260"/>
      <c r="TN28" s="260"/>
      <c r="TO28" s="260"/>
      <c r="TP28" s="260"/>
      <c r="TQ28" s="260"/>
      <c r="TR28" s="260"/>
      <c r="TS28" s="260"/>
      <c r="TT28" s="260"/>
      <c r="TU28" s="260"/>
      <c r="TV28" s="260"/>
      <c r="TW28" s="260"/>
      <c r="TX28" s="260"/>
      <c r="TY28" s="260"/>
      <c r="TZ28" s="260"/>
      <c r="UA28" s="260"/>
      <c r="UB28" s="260"/>
      <c r="UC28" s="260"/>
      <c r="UD28" s="260"/>
      <c r="UE28" s="260"/>
      <c r="UF28" s="260"/>
      <c r="UG28" s="260"/>
      <c r="UH28" s="260"/>
      <c r="UI28" s="257"/>
      <c r="UJ28" s="257"/>
      <c r="UK28" s="257"/>
      <c r="UL28" s="257"/>
      <c r="UM28" s="256"/>
      <c r="UN28" s="256"/>
      <c r="UO28" s="256"/>
      <c r="UP28" s="256"/>
      <c r="UQ28" s="257"/>
      <c r="UR28" s="256"/>
      <c r="US28" s="256"/>
      <c r="UT28" s="256"/>
      <c r="UU28" s="256"/>
      <c r="UV28" s="256"/>
      <c r="UW28" s="256"/>
      <c r="UX28" s="257"/>
      <c r="UY28" s="256"/>
      <c r="UZ28" s="257"/>
      <c r="VA28" s="256"/>
      <c r="VB28" s="257"/>
      <c r="VC28" s="257"/>
      <c r="VD28" s="256"/>
      <c r="VE28" s="256"/>
      <c r="VF28" s="257"/>
      <c r="VG28" s="257"/>
      <c r="VH28" s="256"/>
      <c r="VI28" s="256"/>
      <c r="VJ28" s="256"/>
      <c r="VK28" s="256"/>
      <c r="VL28" s="257"/>
      <c r="VM28" s="257"/>
      <c r="VN28" s="257"/>
      <c r="VO28" s="257"/>
      <c r="VP28" s="256"/>
      <c r="VQ28" s="257"/>
      <c r="VR28" s="256"/>
      <c r="VS28" s="256"/>
      <c r="VT28" s="256"/>
      <c r="VU28" s="256"/>
      <c r="VV28" s="257"/>
      <c r="VW28" s="257"/>
      <c r="VX28" s="257"/>
      <c r="VY28" s="257"/>
      <c r="VZ28" s="257"/>
      <c r="WA28" s="257"/>
      <c r="WB28" s="256"/>
      <c r="WC28" s="256"/>
      <c r="WD28" s="256"/>
      <c r="WE28" s="256"/>
      <c r="WF28" s="256"/>
      <c r="WG28" s="256"/>
      <c r="WH28" s="256"/>
      <c r="WI28" s="257"/>
      <c r="WJ28" s="256"/>
      <c r="WK28" s="256"/>
      <c r="WL28" s="256"/>
      <c r="WM28" s="257"/>
      <c r="WN28" s="257"/>
      <c r="WO28" s="257"/>
      <c r="WP28" s="257"/>
      <c r="WQ28" s="257"/>
      <c r="WR28" s="256"/>
      <c r="WS28" s="256"/>
      <c r="WT28" s="256"/>
      <c r="WU28" s="256"/>
      <c r="WV28" s="256"/>
      <c r="WW28" s="256"/>
      <c r="WX28" s="367"/>
      <c r="WY28" s="367"/>
      <c r="WZ28" s="258"/>
      <c r="XA28" s="256"/>
      <c r="XB28" s="256"/>
      <c r="XC28" s="256"/>
      <c r="XD28" s="256"/>
      <c r="XE28" s="256"/>
      <c r="XF28" s="256"/>
      <c r="XG28" s="256"/>
      <c r="XH28" s="256"/>
      <c r="XI28" s="256"/>
      <c r="XJ28" s="256"/>
      <c r="XK28" s="256"/>
      <c r="XL28" s="256"/>
      <c r="XM28" s="256"/>
      <c r="XN28" s="256"/>
      <c r="XO28" s="256"/>
      <c r="XP28" s="257"/>
      <c r="XQ28" s="257"/>
      <c r="XR28" s="257"/>
      <c r="XS28" s="257"/>
      <c r="XT28" s="257"/>
      <c r="XU28" s="256"/>
      <c r="XV28" s="257"/>
      <c r="XW28" s="256"/>
      <c r="XX28" s="258"/>
      <c r="XY28" s="256"/>
      <c r="XZ28" s="258"/>
      <c r="YA28" s="258"/>
      <c r="YB28" s="256"/>
      <c r="YC28" s="256"/>
      <c r="YD28" s="256"/>
      <c r="YE28" s="256"/>
      <c r="YF28" s="256"/>
      <c r="YG28" s="256"/>
      <c r="YH28" s="256"/>
      <c r="YI28" s="256"/>
      <c r="YJ28" s="256"/>
      <c r="YK28" s="256"/>
      <c r="YL28" s="256"/>
      <c r="YM28" s="256"/>
      <c r="YN28" s="257"/>
      <c r="YO28" s="257">
        <v>37</v>
      </c>
      <c r="YP28" s="257">
        <v>37</v>
      </c>
      <c r="YQ28" s="257">
        <v>37</v>
      </c>
      <c r="YR28" s="257">
        <v>37</v>
      </c>
      <c r="YS28" s="256">
        <v>37</v>
      </c>
      <c r="YT28" s="257">
        <v>37</v>
      </c>
      <c r="YU28" s="257">
        <v>37</v>
      </c>
      <c r="YV28" s="256">
        <v>37</v>
      </c>
      <c r="YW28" s="256">
        <v>37</v>
      </c>
      <c r="YX28" s="256">
        <v>37</v>
      </c>
      <c r="YY28" s="256">
        <v>37</v>
      </c>
      <c r="YZ28" s="256">
        <v>37</v>
      </c>
      <c r="ZA28" s="256">
        <v>37</v>
      </c>
      <c r="ZB28" s="256">
        <v>37</v>
      </c>
      <c r="ZC28" s="256">
        <v>37</v>
      </c>
      <c r="ZD28" s="256">
        <v>37</v>
      </c>
      <c r="ZE28" s="256">
        <v>37</v>
      </c>
      <c r="ZF28" s="256">
        <v>37</v>
      </c>
      <c r="ZG28" s="256">
        <v>37</v>
      </c>
      <c r="ZH28" s="256">
        <v>37</v>
      </c>
      <c r="ZI28" s="256">
        <v>37</v>
      </c>
      <c r="ZJ28" s="256">
        <v>37</v>
      </c>
      <c r="ZK28" s="257">
        <v>37</v>
      </c>
      <c r="ZL28" s="256">
        <v>37</v>
      </c>
      <c r="ZM28" s="256">
        <v>37</v>
      </c>
      <c r="ZN28" s="256"/>
      <c r="ZO28" s="256"/>
      <c r="ZP28" s="256"/>
      <c r="ZQ28" s="256"/>
      <c r="ZR28" s="256"/>
      <c r="ZS28" s="256"/>
      <c r="ZT28" s="256"/>
      <c r="ZU28" s="256"/>
      <c r="ZV28" s="256"/>
      <c r="ZW28" s="256"/>
      <c r="ZX28" s="256"/>
      <c r="ZY28" s="256"/>
      <c r="ZZ28" s="256"/>
      <c r="AAA28" s="256"/>
      <c r="AAB28" s="256"/>
      <c r="AAC28" s="256"/>
      <c r="AAD28" s="256"/>
      <c r="AAE28" s="256"/>
      <c r="AAF28" s="256"/>
      <c r="AAG28" s="256"/>
      <c r="AAH28" s="256"/>
      <c r="AAI28" s="256"/>
      <c r="AAJ28" s="256"/>
      <c r="AAK28" s="256"/>
      <c r="AAL28" s="256"/>
      <c r="AAM28" s="256"/>
      <c r="AAN28" s="256"/>
      <c r="AAO28" s="256"/>
      <c r="AAP28" s="256"/>
      <c r="AAQ28" s="256"/>
      <c r="AAR28" s="256"/>
      <c r="AAS28" s="256"/>
      <c r="AAT28" s="256"/>
      <c r="AAU28" s="256"/>
      <c r="AAV28" s="256"/>
      <c r="AAW28" s="256"/>
      <c r="AAX28" s="256"/>
      <c r="AAY28" s="256"/>
      <c r="AAZ28" s="256"/>
      <c r="ABA28" s="256"/>
      <c r="ABB28" s="257"/>
      <c r="ABC28" s="257"/>
      <c r="ABD28" s="257"/>
      <c r="ABE28" s="256"/>
      <c r="ABF28" s="256"/>
      <c r="ABG28" s="260"/>
      <c r="ABH28" s="260"/>
      <c r="ABI28" s="260"/>
      <c r="ABJ28" s="260"/>
      <c r="ABK28" s="260"/>
      <c r="ABL28" s="259"/>
      <c r="ABM28" s="260"/>
      <c r="ABN28" s="260"/>
      <c r="ABO28" s="260"/>
      <c r="ABP28" s="260"/>
      <c r="ABQ28" s="260"/>
      <c r="ABR28" s="259"/>
      <c r="ABS28" s="259"/>
      <c r="ABT28" s="259"/>
      <c r="ABU28" s="260"/>
      <c r="ABV28" s="260"/>
      <c r="ABW28" s="260"/>
      <c r="ABX28" s="260"/>
      <c r="ABY28" s="260"/>
      <c r="ABZ28" s="260"/>
      <c r="ACA28" s="261"/>
      <c r="ACB28" s="261"/>
      <c r="ACC28" s="261"/>
      <c r="ACD28" s="260"/>
      <c r="ACE28" s="260"/>
      <c r="ACF28" s="260"/>
      <c r="ACG28" s="260"/>
      <c r="ACH28" s="260"/>
      <c r="ACI28" s="260"/>
      <c r="ACJ28" s="260"/>
      <c r="ACK28" s="260"/>
      <c r="ACL28" s="260"/>
      <c r="ACM28" s="260"/>
      <c r="ACN28" s="260"/>
      <c r="ACO28" s="260"/>
      <c r="ACP28" s="260"/>
      <c r="ACQ28" s="260"/>
      <c r="ACR28" s="260"/>
      <c r="ACS28" s="259"/>
      <c r="ACT28" s="259"/>
      <c r="ACU28" s="259"/>
      <c r="ACV28" s="259"/>
      <c r="ACW28" s="259"/>
      <c r="ACX28" s="260"/>
      <c r="ACY28" s="259"/>
      <c r="ACZ28" s="260"/>
      <c r="ADA28" s="261"/>
      <c r="ADB28" s="260"/>
      <c r="ADC28" s="261"/>
      <c r="ADD28" s="261"/>
      <c r="ADE28" s="260"/>
      <c r="ADF28" s="260"/>
      <c r="ADG28" s="260"/>
      <c r="ADH28" s="260"/>
      <c r="ADI28" s="260"/>
      <c r="ADJ28" s="260"/>
      <c r="ADK28" s="260"/>
      <c r="ADL28" s="260"/>
      <c r="ADM28" s="260"/>
      <c r="ADN28" s="260"/>
      <c r="ADO28" s="260"/>
      <c r="ADP28" s="260"/>
      <c r="ADQ28" s="259"/>
      <c r="ADR28" s="259"/>
      <c r="ADS28" s="259"/>
      <c r="ADT28" s="259"/>
      <c r="ADU28" s="259"/>
      <c r="ADV28" s="260"/>
      <c r="ADW28" s="260"/>
      <c r="ADX28" s="260"/>
      <c r="ADY28" s="260"/>
      <c r="ADZ28" s="260"/>
      <c r="AEA28" s="260"/>
      <c r="AEB28" s="260"/>
      <c r="AEC28" s="260"/>
      <c r="AED28" s="260"/>
      <c r="AEE28" s="260"/>
      <c r="AEF28" s="260"/>
      <c r="AEG28" s="260"/>
      <c r="AEH28" s="260"/>
      <c r="AEI28" s="260"/>
      <c r="AEJ28" s="260"/>
      <c r="AEK28" s="260"/>
      <c r="AEL28" s="260"/>
      <c r="AEM28" s="260"/>
      <c r="AEN28" s="259"/>
      <c r="AEO28" s="260"/>
      <c r="AEP28" s="260"/>
      <c r="AEQ28" s="260"/>
      <c r="AER28" s="260"/>
      <c r="AES28" s="260"/>
      <c r="AET28" s="260"/>
      <c r="AEU28" s="260"/>
      <c r="AEV28" s="260"/>
      <c r="AEW28" s="260"/>
      <c r="AEX28" s="260"/>
      <c r="AEY28" s="260"/>
      <c r="AEZ28" s="260"/>
      <c r="AFA28" s="260"/>
      <c r="AFB28" s="260"/>
      <c r="AFC28" s="260"/>
      <c r="AFD28" s="260"/>
      <c r="AFE28" s="260"/>
      <c r="AFF28" s="260"/>
      <c r="AFG28" s="260"/>
      <c r="AFH28" s="260"/>
      <c r="AFI28" s="260"/>
      <c r="AFJ28" s="260"/>
      <c r="AFK28" s="260"/>
      <c r="AFL28" s="260"/>
      <c r="AFM28" s="260"/>
      <c r="AFN28" s="260"/>
      <c r="AFO28" s="260"/>
      <c r="AFP28" s="260"/>
      <c r="AFQ28" s="260"/>
      <c r="AFR28" s="260"/>
      <c r="AFS28" s="260"/>
      <c r="AFT28" s="260"/>
      <c r="AFU28" s="260"/>
      <c r="AFV28" s="260"/>
      <c r="AFW28" s="260"/>
      <c r="AFX28" s="260"/>
      <c r="AFY28" s="260"/>
      <c r="AFZ28" s="260"/>
      <c r="AGA28" s="260"/>
      <c r="AGB28" s="260"/>
      <c r="AGC28" s="260"/>
      <c r="AGD28" s="260"/>
      <c r="AGE28" s="260"/>
      <c r="AGF28" s="260"/>
      <c r="AGG28" s="260"/>
      <c r="AGH28" s="260"/>
      <c r="AGI28" s="260"/>
      <c r="AGJ28" s="260"/>
      <c r="AGK28" s="260"/>
      <c r="AGL28" s="260"/>
      <c r="AGM28" s="260"/>
      <c r="AGN28" s="260"/>
      <c r="AGO28" s="260"/>
      <c r="AGP28" s="260"/>
      <c r="AGQ28" s="260"/>
      <c r="AGR28" s="260"/>
      <c r="AGS28" s="260"/>
      <c r="AGT28" s="260"/>
      <c r="AGU28" s="260"/>
      <c r="AGV28" s="260"/>
      <c r="AGW28" s="260"/>
      <c r="AGX28" s="260"/>
      <c r="AGY28" s="260"/>
      <c r="AGZ28" s="260"/>
      <c r="AHA28" s="260"/>
      <c r="AHB28" s="260"/>
      <c r="AHC28" s="260"/>
      <c r="AHD28" s="257"/>
      <c r="AHE28" s="257"/>
      <c r="AHF28" s="257"/>
      <c r="AHG28" s="257"/>
      <c r="AHH28" s="256"/>
      <c r="AHI28" s="260"/>
      <c r="AHJ28" s="260"/>
      <c r="AHK28" s="260"/>
      <c r="AHL28" s="260"/>
      <c r="AHM28" s="260"/>
      <c r="AHN28" s="259"/>
      <c r="AHO28" s="260"/>
      <c r="AHP28" s="260"/>
      <c r="AHQ28" s="260"/>
      <c r="AHR28" s="260"/>
      <c r="AHS28" s="260"/>
      <c r="AHT28" s="259"/>
      <c r="AHU28" s="259"/>
      <c r="AHV28" s="259"/>
      <c r="AHW28" s="260"/>
      <c r="AHX28" s="260"/>
      <c r="AHY28" s="260"/>
      <c r="AHZ28" s="260"/>
      <c r="AIA28" s="260"/>
      <c r="AIB28" s="260"/>
      <c r="AIC28" s="261"/>
      <c r="AID28" s="261"/>
      <c r="AIE28" s="261"/>
      <c r="AIF28" s="260"/>
      <c r="AIG28" s="260"/>
      <c r="AIH28" s="260"/>
      <c r="AII28" s="260"/>
      <c r="AIJ28" s="260"/>
      <c r="AIK28" s="260"/>
      <c r="AIL28" s="260"/>
      <c r="AIM28" s="260"/>
      <c r="AIN28" s="260"/>
      <c r="AIO28" s="260"/>
      <c r="AIP28" s="260"/>
      <c r="AIQ28" s="260"/>
      <c r="AIR28" s="260"/>
      <c r="AIS28" s="260"/>
      <c r="AIT28" s="260"/>
      <c r="AIU28" s="260"/>
      <c r="AIV28" s="259"/>
      <c r="AIW28" s="259"/>
      <c r="AIX28" s="368"/>
      <c r="AIY28" s="368"/>
      <c r="AIZ28" s="368"/>
      <c r="AJA28" s="369"/>
      <c r="AJB28" s="368"/>
      <c r="AJC28" s="369"/>
      <c r="AJD28" s="369"/>
      <c r="AJE28" s="369"/>
      <c r="AJF28" s="369"/>
      <c r="AJG28" s="369"/>
      <c r="AJH28" s="369"/>
      <c r="AJI28" s="369"/>
      <c r="AJJ28" s="368"/>
      <c r="AJK28" s="368"/>
      <c r="AJL28" s="368"/>
      <c r="AJM28" s="368"/>
      <c r="AJN28" s="368"/>
      <c r="AJO28" s="369"/>
      <c r="AJP28" s="369"/>
      <c r="AJQ28" s="368"/>
      <c r="AJR28" s="369"/>
      <c r="AJS28" s="369"/>
      <c r="AJT28" s="259">
        <v>37</v>
      </c>
      <c r="AJU28" s="259">
        <v>36</v>
      </c>
      <c r="AJV28" s="310">
        <v>35.5</v>
      </c>
      <c r="AJW28" s="310">
        <v>34</v>
      </c>
      <c r="AJX28" s="310">
        <v>33</v>
      </c>
      <c r="AJY28" s="291">
        <v>33</v>
      </c>
      <c r="AJZ28" s="310">
        <v>33</v>
      </c>
      <c r="AKA28" s="291">
        <v>33</v>
      </c>
      <c r="AKB28" s="356">
        <v>34</v>
      </c>
      <c r="AKC28" s="370">
        <v>34</v>
      </c>
      <c r="AKD28" s="370">
        <v>34</v>
      </c>
      <c r="AKE28" s="370">
        <v>34</v>
      </c>
      <c r="AKF28" s="435"/>
      <c r="AKG28" s="373" t="e">
        <f>AVERAGE(EP28,JV28,PB28,ABA28,#REF!)</f>
        <v>#REF!</v>
      </c>
      <c r="AKH28" s="349"/>
      <c r="AKI28" s="282" t="e">
        <f>AVERAGE(FS28,KY28,QE28,ACA28)</f>
        <v>#DIV/0!</v>
      </c>
      <c r="AKJ28" s="187">
        <f>AVERAGE(AN28,KZ28,QF28,ACB28)</f>
        <v>41.5</v>
      </c>
      <c r="AKK28" s="196" t="e">
        <f>AVERAGE(PB22,UH28,ABA28,#REF!)</f>
        <v>#REF!</v>
      </c>
      <c r="AKL28" s="196" t="e">
        <f>AVERAGE(EP28,JV28,ABA28)</f>
        <v>#DIV/0!</v>
      </c>
      <c r="AKM28" s="196"/>
      <c r="AKN28" s="196"/>
      <c r="AKO28" s="336">
        <f>AVERAGE(AJA28,ACX28,XU28,AKE28,LV28,BJ28)</f>
        <v>34.75</v>
      </c>
      <c r="AKP28" s="187"/>
      <c r="AKQ28" s="187"/>
      <c r="AKR28" s="187"/>
      <c r="AKS28" s="187"/>
      <c r="AKT28" s="187"/>
      <c r="AKU28" s="221" t="s">
        <v>95</v>
      </c>
      <c r="AKV28" s="221"/>
      <c r="AKW28" s="221" t="s">
        <v>107</v>
      </c>
      <c r="AKX28" s="187"/>
      <c r="AKY28" s="221"/>
      <c r="AKZ28" s="187"/>
      <c r="ALA28" s="187"/>
      <c r="ALB28" s="187"/>
      <c r="ALC28" s="187"/>
      <c r="ALD28" s="187"/>
      <c r="ALE28" s="196" t="e">
        <f>AVERAGE(EP28,JV28,PB28,UH28,ABA28,#REF!)</f>
        <v>#REF!</v>
      </c>
      <c r="ALF28" s="419" t="e">
        <f>AVERAGE(EP28,JV28,PB28,UH28,ABA28,#REF!)</f>
        <v>#REF!</v>
      </c>
      <c r="ALT28" s="422"/>
      <c r="ALU28" s="260"/>
      <c r="ALV28" s="260"/>
      <c r="ALW28" s="260"/>
      <c r="ALX28" s="260"/>
      <c r="ALY28" s="260"/>
      <c r="ALZ28" s="260"/>
      <c r="AMA28" s="260"/>
      <c r="AMB28" s="260"/>
      <c r="AMC28" s="260"/>
      <c r="AMD28" s="260"/>
      <c r="AME28" s="260"/>
      <c r="AMF28" s="260"/>
      <c r="AMG28" s="260"/>
      <c r="AMH28" s="260"/>
      <c r="AMI28" s="260"/>
      <c r="AMJ28" s="260"/>
      <c r="AMK28" s="349"/>
      <c r="AML28" s="349"/>
      <c r="AMM28" s="349"/>
    </row>
    <row r="29" spans="1:1027" ht="29.1" hidden="1" customHeight="1" thickTop="1" thickBot="1" x14ac:dyDescent="0.35">
      <c r="A29" s="423" t="s">
        <v>177</v>
      </c>
      <c r="B29" s="424" t="s">
        <v>178</v>
      </c>
      <c r="C29" s="425" t="s">
        <v>2</v>
      </c>
      <c r="D29" s="425">
        <v>900</v>
      </c>
      <c r="E29" s="96"/>
      <c r="F29" s="98"/>
      <c r="G29" s="98"/>
      <c r="H29" s="161">
        <v>55</v>
      </c>
      <c r="I29" s="99">
        <v>64</v>
      </c>
      <c r="J29" s="215">
        <v>15000</v>
      </c>
      <c r="K29" s="285"/>
      <c r="L29" s="41"/>
      <c r="M29" s="41"/>
      <c r="N29" s="41"/>
      <c r="O29" s="41"/>
      <c r="P29" s="41">
        <v>57</v>
      </c>
      <c r="Q29" s="41"/>
      <c r="R29" s="13"/>
      <c r="S29" s="13"/>
      <c r="T29" s="13"/>
      <c r="U29" s="13"/>
      <c r="V29" s="13"/>
      <c r="W29" s="13"/>
      <c r="X29" s="41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65"/>
      <c r="AN29" s="165"/>
      <c r="AO29" s="165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41"/>
      <c r="BF29" s="41"/>
      <c r="BG29" s="41"/>
      <c r="BH29" s="41"/>
      <c r="BI29" s="41"/>
      <c r="BJ29" s="13"/>
      <c r="BK29" s="41"/>
      <c r="BL29" s="41"/>
      <c r="BM29" s="41"/>
      <c r="BN29" s="165"/>
      <c r="BO29" s="165"/>
      <c r="BP29" s="165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41"/>
      <c r="CD29" s="41"/>
      <c r="CE29" s="41"/>
      <c r="CF29" s="41">
        <v>184</v>
      </c>
      <c r="CG29" s="41"/>
      <c r="CH29" s="13"/>
      <c r="CI29" s="41"/>
      <c r="CJ29" s="41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41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41"/>
      <c r="ER29" s="41"/>
      <c r="ES29" s="41"/>
      <c r="ET29" s="41"/>
      <c r="EU29" s="41"/>
      <c r="EV29" s="41"/>
      <c r="EW29" s="13"/>
      <c r="EX29" s="13"/>
      <c r="EY29" s="13"/>
      <c r="EZ29" s="13"/>
      <c r="FA29" s="13"/>
      <c r="FB29" s="13"/>
      <c r="FC29" s="13"/>
      <c r="FD29" s="41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65"/>
      <c r="FT29" s="165"/>
      <c r="FU29" s="165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41"/>
      <c r="GL29" s="41"/>
      <c r="GM29" s="41"/>
      <c r="GN29" s="41"/>
      <c r="GO29" s="41"/>
      <c r="GP29" s="13"/>
      <c r="GQ29" s="41"/>
      <c r="GR29" s="41"/>
      <c r="GS29" s="41"/>
      <c r="GT29" s="165"/>
      <c r="GU29" s="165"/>
      <c r="GV29" s="165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41"/>
      <c r="HJ29" s="41"/>
      <c r="HK29" s="41"/>
      <c r="HL29" s="41"/>
      <c r="HM29" s="41"/>
      <c r="HN29" s="13"/>
      <c r="HO29" s="41"/>
      <c r="HP29" s="41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41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41"/>
      <c r="JX29" s="41"/>
      <c r="JY29" s="41"/>
      <c r="JZ29" s="43"/>
      <c r="KA29" s="43"/>
      <c r="KB29" s="43"/>
      <c r="KC29" s="43"/>
      <c r="KD29" s="10">
        <v>69</v>
      </c>
      <c r="KE29" s="10"/>
      <c r="KF29" s="10"/>
      <c r="KG29" s="10"/>
      <c r="KH29" s="10"/>
      <c r="KI29" s="10"/>
      <c r="KJ29" s="43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69"/>
      <c r="KZ29" s="169"/>
      <c r="LA29" s="169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43"/>
      <c r="LR29" s="43"/>
      <c r="LS29" s="43"/>
      <c r="LT29" s="43"/>
      <c r="LU29" s="43"/>
      <c r="LV29" s="10"/>
      <c r="LW29" s="43"/>
      <c r="LX29" s="43"/>
      <c r="LY29" s="43"/>
      <c r="LZ29" s="10"/>
      <c r="MA29" s="169"/>
      <c r="MB29" s="169">
        <v>80</v>
      </c>
      <c r="MC29" s="10">
        <v>88</v>
      </c>
      <c r="MD29" s="10">
        <v>88</v>
      </c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43"/>
      <c r="MP29" s="43"/>
      <c r="MQ29" s="43"/>
      <c r="MR29" s="43"/>
      <c r="MS29" s="43"/>
      <c r="MT29" s="10"/>
      <c r="MU29" s="43"/>
      <c r="MV29" s="43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43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41"/>
      <c r="PD29" s="41"/>
      <c r="PE29" s="41"/>
      <c r="PF29" s="41"/>
      <c r="PG29" s="41"/>
      <c r="PH29" s="41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65"/>
      <c r="QF29" s="165"/>
      <c r="QG29" s="165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  <c r="QV29" s="13"/>
      <c r="QW29" s="41"/>
      <c r="QX29" s="41"/>
      <c r="QY29" s="41"/>
      <c r="QZ29" s="41"/>
      <c r="RA29" s="41"/>
      <c r="RB29" s="13"/>
      <c r="RC29" s="41">
        <v>79.069999999999993</v>
      </c>
      <c r="RD29" s="41">
        <v>79.069999999999993</v>
      </c>
      <c r="RE29" s="41"/>
      <c r="RF29" s="13"/>
      <c r="RG29" s="165"/>
      <c r="RH29" s="165"/>
      <c r="RI29" s="13"/>
      <c r="RJ29" s="13"/>
      <c r="RK29" s="13"/>
      <c r="RL29" s="13"/>
      <c r="RM29" s="13"/>
      <c r="RN29" s="13"/>
      <c r="RO29" s="13"/>
      <c r="RP29" s="13"/>
      <c r="RQ29" s="13"/>
      <c r="RR29" s="13"/>
      <c r="RS29" s="13"/>
      <c r="RT29" s="13"/>
      <c r="RU29" s="41"/>
      <c r="RV29" s="41"/>
      <c r="RW29" s="41"/>
      <c r="RX29" s="41"/>
      <c r="RY29" s="41"/>
      <c r="RZ29" s="13"/>
      <c r="SA29" s="41"/>
      <c r="SB29" s="41"/>
      <c r="SC29" s="13"/>
      <c r="SD29" s="13"/>
      <c r="SE29" s="13"/>
      <c r="SF29" s="13"/>
      <c r="SG29" s="13"/>
      <c r="SH29" s="13"/>
      <c r="SI29" s="13"/>
      <c r="SJ29" s="13"/>
      <c r="SK29" s="13"/>
      <c r="SL29" s="13"/>
      <c r="SM29" s="13"/>
      <c r="SN29" s="13"/>
      <c r="SO29" s="13"/>
      <c r="SP29" s="13"/>
      <c r="SQ29" s="13"/>
      <c r="SR29" s="41"/>
      <c r="SS29" s="13"/>
      <c r="ST29" s="13"/>
      <c r="SU29" s="13"/>
      <c r="SV29" s="13"/>
      <c r="SW29" s="13"/>
      <c r="SX29" s="13"/>
      <c r="SY29" s="13"/>
      <c r="SZ29" s="13"/>
      <c r="TA29" s="13"/>
      <c r="TB29" s="13"/>
      <c r="TC29" s="13"/>
      <c r="TD29" s="13"/>
      <c r="TE29" s="13"/>
      <c r="TF29" s="13"/>
      <c r="TG29" s="13"/>
      <c r="TH29" s="13"/>
      <c r="TI29" s="13"/>
      <c r="TJ29" s="13"/>
      <c r="TK29" s="13"/>
      <c r="TL29" s="13"/>
      <c r="TM29" s="13"/>
      <c r="TN29" s="13"/>
      <c r="TO29" s="13"/>
      <c r="TP29" s="13"/>
      <c r="TQ29" s="13"/>
      <c r="TR29" s="13"/>
      <c r="TS29" s="13"/>
      <c r="TT29" s="13"/>
      <c r="TU29" s="13"/>
      <c r="TV29" s="13"/>
      <c r="TW29" s="13"/>
      <c r="TX29" s="13"/>
      <c r="TY29" s="13"/>
      <c r="TZ29" s="13"/>
      <c r="UA29" s="13"/>
      <c r="UB29" s="13"/>
      <c r="UC29" s="13"/>
      <c r="UD29" s="13"/>
      <c r="UE29" s="13"/>
      <c r="UF29" s="13"/>
      <c r="UG29" s="13"/>
      <c r="UH29" s="13"/>
      <c r="UI29" s="41"/>
      <c r="UJ29" s="41"/>
      <c r="UK29" s="41"/>
      <c r="UL29" s="41"/>
      <c r="UM29" s="13"/>
      <c r="UN29" s="13"/>
      <c r="UO29" s="13"/>
      <c r="UP29" s="13"/>
      <c r="UQ29" s="41"/>
      <c r="UR29" s="13"/>
      <c r="US29" s="13"/>
      <c r="UT29" s="13"/>
      <c r="UU29" s="13"/>
      <c r="UV29" s="13"/>
      <c r="UW29" s="13"/>
      <c r="UX29" s="41"/>
      <c r="UY29" s="13"/>
      <c r="UZ29" s="41"/>
      <c r="VA29" s="13"/>
      <c r="VB29" s="41"/>
      <c r="VC29" s="41"/>
      <c r="VD29" s="13"/>
      <c r="VE29" s="13"/>
      <c r="VF29" s="41"/>
      <c r="VG29" s="41"/>
      <c r="VH29" s="13"/>
      <c r="VI29" s="13"/>
      <c r="VJ29" s="13"/>
      <c r="VK29" s="13"/>
      <c r="VL29" s="41"/>
      <c r="VM29" s="41"/>
      <c r="VN29" s="41"/>
      <c r="VO29" s="41"/>
      <c r="VP29" s="13"/>
      <c r="VQ29" s="41"/>
      <c r="VR29" s="13"/>
      <c r="VS29" s="13"/>
      <c r="VT29" s="13"/>
      <c r="VU29" s="13"/>
      <c r="VV29" s="41"/>
      <c r="VW29" s="41"/>
      <c r="VX29" s="41"/>
      <c r="VY29" s="41"/>
      <c r="VZ29" s="41"/>
      <c r="WA29" s="41"/>
      <c r="WB29" s="13">
        <v>59.5</v>
      </c>
      <c r="WC29" s="13">
        <v>59.5</v>
      </c>
      <c r="WD29" s="13">
        <v>59.5</v>
      </c>
      <c r="WE29" s="13">
        <v>60.5</v>
      </c>
      <c r="WF29" s="13">
        <v>60.5</v>
      </c>
      <c r="WG29" s="13"/>
      <c r="WH29" s="13"/>
      <c r="WI29" s="41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65"/>
      <c r="WY29" s="165"/>
      <c r="WZ29" s="165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41"/>
      <c r="XQ29" s="41"/>
      <c r="XR29" s="41"/>
      <c r="XS29" s="41"/>
      <c r="XT29" s="41"/>
      <c r="XU29" s="13">
        <v>75.900000000000006</v>
      </c>
      <c r="XV29" s="41">
        <v>75.900000000000006</v>
      </c>
      <c r="XW29" s="13">
        <v>75.900000000000006</v>
      </c>
      <c r="XX29" s="165">
        <v>75.900000000000006</v>
      </c>
      <c r="XY29" s="13">
        <v>72.599999999999994</v>
      </c>
      <c r="XZ29" s="165">
        <v>72.599999999999994</v>
      </c>
      <c r="YA29" s="165">
        <v>78.099999999999994</v>
      </c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41"/>
      <c r="YO29" s="41"/>
      <c r="YP29" s="41"/>
      <c r="YQ29" s="41"/>
      <c r="YR29" s="41"/>
      <c r="YS29" s="13"/>
      <c r="YT29" s="41"/>
      <c r="YU29" s="41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41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41"/>
      <c r="ABC29" s="41"/>
      <c r="ABD29" s="41"/>
      <c r="ABE29" s="13"/>
      <c r="ABF29" s="13"/>
      <c r="ABG29" s="10"/>
      <c r="ABH29" s="10"/>
      <c r="ABI29" s="10"/>
      <c r="ABJ29" s="10"/>
      <c r="ABK29" s="10"/>
      <c r="ABL29" s="43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69"/>
      <c r="ACB29" s="169"/>
      <c r="ACC29" s="169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43"/>
      <c r="ACT29" s="43"/>
      <c r="ACU29" s="43"/>
      <c r="ACV29" s="43"/>
      <c r="ACW29" s="43"/>
      <c r="ACX29" s="10"/>
      <c r="ACY29" s="43"/>
      <c r="ACZ29" s="10"/>
      <c r="ADA29" s="169"/>
      <c r="ADB29" s="10"/>
      <c r="ADC29" s="169"/>
      <c r="ADD29" s="169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43"/>
      <c r="ADR29" s="43"/>
      <c r="ADS29" s="43"/>
      <c r="ADT29" s="43"/>
      <c r="ADU29" s="43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43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41"/>
      <c r="AHE29" s="41"/>
      <c r="AHF29" s="41"/>
      <c r="AHG29" s="41"/>
      <c r="AHH29" s="13"/>
      <c r="AHI29" s="10"/>
      <c r="AHJ29" s="10"/>
      <c r="AHK29" s="10"/>
      <c r="AHL29" s="10"/>
      <c r="AHM29" s="10"/>
      <c r="AHN29" s="43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69"/>
      <c r="AID29" s="169"/>
      <c r="AIE29" s="169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43"/>
      <c r="AIW29" s="43"/>
      <c r="AIX29" s="43"/>
      <c r="AIY29" s="43"/>
      <c r="AIZ29" s="43"/>
      <c r="AJA29" s="10"/>
      <c r="AJB29" s="43"/>
      <c r="AJC29" s="10"/>
      <c r="AJD29" s="10"/>
      <c r="AJE29" s="10"/>
      <c r="AJF29" s="10"/>
      <c r="AJG29" s="10"/>
      <c r="AJH29" s="10"/>
      <c r="AJI29" s="10"/>
      <c r="AJJ29" s="43"/>
      <c r="AJK29" s="43"/>
      <c r="AJL29" s="43"/>
      <c r="AJM29" s="43"/>
      <c r="AJN29" s="43"/>
      <c r="AJO29" s="10"/>
      <c r="AJP29" s="10"/>
      <c r="AJQ29" s="43"/>
      <c r="AJR29" s="10"/>
      <c r="AJS29" s="10"/>
      <c r="AJT29" s="223"/>
      <c r="AJU29" s="223"/>
      <c r="AJV29" s="314"/>
      <c r="AJW29" s="314"/>
      <c r="AJX29" s="314"/>
      <c r="AJY29" s="298"/>
      <c r="AJZ29" s="314"/>
      <c r="AKA29" s="298"/>
      <c r="AKB29" s="360"/>
      <c r="AKC29" s="298"/>
      <c r="AKD29" s="298"/>
      <c r="AKE29" s="298"/>
      <c r="AKF29" s="434"/>
      <c r="AKG29" s="298"/>
      <c r="AKH29" s="349"/>
      <c r="AKI29" s="4"/>
      <c r="AKJ29" s="186"/>
      <c r="AKK29" s="6"/>
      <c r="AKL29" s="196"/>
      <c r="AKM29" s="196"/>
      <c r="AKN29" s="196"/>
      <c r="AKO29" s="196"/>
      <c r="AKP29" s="187"/>
      <c r="AKQ29" s="187"/>
      <c r="AKR29" s="187"/>
      <c r="AKS29" s="187"/>
      <c r="AKT29" s="187"/>
      <c r="AKU29" s="187"/>
      <c r="AKV29" s="187"/>
      <c r="AKW29" s="187"/>
      <c r="AKX29" s="187"/>
      <c r="AKY29" s="187"/>
      <c r="AKZ29" s="187"/>
      <c r="ALA29" s="187"/>
      <c r="ALB29" s="187"/>
      <c r="ALC29" s="187"/>
      <c r="ALD29" s="187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349"/>
      <c r="AML29" s="349"/>
      <c r="AMM29" s="349"/>
    </row>
    <row r="30" spans="1:1027" ht="29.1" hidden="1" customHeight="1" thickBot="1" x14ac:dyDescent="0.35">
      <c r="A30" s="423" t="s">
        <v>177</v>
      </c>
      <c r="B30" s="424" t="s">
        <v>178</v>
      </c>
      <c r="C30" s="425" t="s">
        <v>2</v>
      </c>
      <c r="D30" s="425">
        <v>800</v>
      </c>
      <c r="E30" s="96"/>
      <c r="F30" s="98"/>
      <c r="G30" s="98"/>
      <c r="H30" s="161">
        <v>55</v>
      </c>
      <c r="I30" s="99">
        <v>64</v>
      </c>
      <c r="J30" s="215">
        <v>15000</v>
      </c>
      <c r="K30" s="285"/>
      <c r="L30" s="41"/>
      <c r="M30" s="41"/>
      <c r="N30" s="41"/>
      <c r="O30" s="41"/>
      <c r="P30" s="41">
        <v>57</v>
      </c>
      <c r="Q30" s="41"/>
      <c r="R30" s="13"/>
      <c r="S30" s="13"/>
      <c r="T30" s="13"/>
      <c r="U30" s="13"/>
      <c r="V30" s="13"/>
      <c r="W30" s="13"/>
      <c r="X30" s="41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65"/>
      <c r="AN30" s="165"/>
      <c r="AO30" s="165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41"/>
      <c r="BF30" s="41"/>
      <c r="BG30" s="41"/>
      <c r="BH30" s="41"/>
      <c r="BI30" s="41"/>
      <c r="BJ30" s="13"/>
      <c r="BK30" s="41"/>
      <c r="BL30" s="41"/>
      <c r="BM30" s="41"/>
      <c r="BN30" s="165"/>
      <c r="BO30" s="165"/>
      <c r="BP30" s="165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41"/>
      <c r="CD30" s="41"/>
      <c r="CE30" s="41"/>
      <c r="CF30" s="41"/>
      <c r="CG30" s="41"/>
      <c r="CH30" s="13"/>
      <c r="CI30" s="41">
        <v>175</v>
      </c>
      <c r="CJ30" s="41">
        <v>175</v>
      </c>
      <c r="CK30" s="13">
        <v>175</v>
      </c>
      <c r="CL30" s="13">
        <v>175</v>
      </c>
      <c r="CM30" s="13">
        <v>175</v>
      </c>
      <c r="CN30" s="13">
        <v>175</v>
      </c>
      <c r="CO30" s="13">
        <v>175</v>
      </c>
      <c r="CP30" s="13">
        <v>175</v>
      </c>
      <c r="CQ30" s="13">
        <v>175</v>
      </c>
      <c r="CR30" s="13">
        <v>175</v>
      </c>
      <c r="CS30" s="13">
        <v>175</v>
      </c>
      <c r="CT30" s="13">
        <v>175</v>
      </c>
      <c r="CU30" s="13">
        <v>175</v>
      </c>
      <c r="CV30" s="13">
        <v>175</v>
      </c>
      <c r="CW30" s="13">
        <v>175</v>
      </c>
      <c r="CX30" s="13">
        <v>175</v>
      </c>
      <c r="CY30" s="13">
        <v>175</v>
      </c>
      <c r="CZ30" s="41">
        <v>175</v>
      </c>
      <c r="DA30" s="13">
        <v>175</v>
      </c>
      <c r="DB30" s="13">
        <v>175</v>
      </c>
      <c r="DC30" s="13">
        <v>175</v>
      </c>
      <c r="DD30" s="13">
        <v>175</v>
      </c>
      <c r="DE30" s="13">
        <v>175</v>
      </c>
      <c r="DF30" s="13">
        <v>175</v>
      </c>
      <c r="DG30" s="13">
        <v>175</v>
      </c>
      <c r="DH30" s="13">
        <v>175</v>
      </c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41"/>
      <c r="ER30" s="41"/>
      <c r="ES30" s="41"/>
      <c r="ET30" s="41"/>
      <c r="EU30" s="41"/>
      <c r="EV30" s="41"/>
      <c r="EW30" s="13"/>
      <c r="EX30" s="13"/>
      <c r="EY30" s="13"/>
      <c r="EZ30" s="13"/>
      <c r="FA30" s="13"/>
      <c r="FB30" s="13"/>
      <c r="FC30" s="13"/>
      <c r="FD30" s="41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65"/>
      <c r="FT30" s="165"/>
      <c r="FU30" s="165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41"/>
      <c r="GL30" s="41"/>
      <c r="GM30" s="41"/>
      <c r="GN30" s="41"/>
      <c r="GO30" s="41"/>
      <c r="GP30" s="13"/>
      <c r="GQ30" s="41"/>
      <c r="GR30" s="41"/>
      <c r="GS30" s="41"/>
      <c r="GT30" s="165"/>
      <c r="GU30" s="165"/>
      <c r="GV30" s="165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41"/>
      <c r="HJ30" s="41"/>
      <c r="HK30" s="41"/>
      <c r="HL30" s="41"/>
      <c r="HM30" s="41"/>
      <c r="HN30" s="13"/>
      <c r="HO30" s="335" t="s">
        <v>181</v>
      </c>
      <c r="HP30" s="335" t="s">
        <v>181</v>
      </c>
      <c r="HQ30" s="329" t="s">
        <v>181</v>
      </c>
      <c r="HR30" s="329" t="s">
        <v>181</v>
      </c>
      <c r="HS30" s="329" t="s">
        <v>181</v>
      </c>
      <c r="HT30" s="329" t="s">
        <v>181</v>
      </c>
      <c r="HU30" s="329" t="s">
        <v>181</v>
      </c>
      <c r="HV30" s="329" t="s">
        <v>181</v>
      </c>
      <c r="HW30" s="329" t="s">
        <v>181</v>
      </c>
      <c r="HX30" s="329" t="s">
        <v>181</v>
      </c>
      <c r="HY30" s="329" t="s">
        <v>181</v>
      </c>
      <c r="HZ30" s="329" t="s">
        <v>181</v>
      </c>
      <c r="IA30" s="329" t="s">
        <v>181</v>
      </c>
      <c r="IB30" s="329" t="s">
        <v>181</v>
      </c>
      <c r="IC30" s="329" t="s">
        <v>181</v>
      </c>
      <c r="ID30" s="329" t="s">
        <v>181</v>
      </c>
      <c r="IE30" s="329" t="s">
        <v>181</v>
      </c>
      <c r="IF30" s="335" t="s">
        <v>181</v>
      </c>
      <c r="IG30" s="329" t="s">
        <v>181</v>
      </c>
      <c r="IH30" s="329" t="s">
        <v>181</v>
      </c>
      <c r="II30" s="329" t="s">
        <v>181</v>
      </c>
      <c r="IJ30" s="329" t="s">
        <v>181</v>
      </c>
      <c r="IK30" s="329" t="s">
        <v>181</v>
      </c>
      <c r="IL30" s="329" t="s">
        <v>181</v>
      </c>
      <c r="IM30" s="329" t="s">
        <v>181</v>
      </c>
      <c r="IN30" s="329" t="s">
        <v>181</v>
      </c>
      <c r="IO30" s="329"/>
      <c r="IP30" s="329"/>
      <c r="IQ30" s="329"/>
      <c r="IR30" s="329"/>
      <c r="IS30" s="329"/>
      <c r="IT30" s="329"/>
      <c r="IU30" s="329"/>
      <c r="IV30" s="329"/>
      <c r="IW30" s="329"/>
      <c r="IX30" s="329"/>
      <c r="IY30" s="329"/>
      <c r="IZ30" s="329"/>
      <c r="JA30" s="329"/>
      <c r="JB30" s="329"/>
      <c r="JC30" s="329"/>
      <c r="JD30" s="329"/>
      <c r="JE30" s="329"/>
      <c r="JF30" s="329"/>
      <c r="JG30" s="329"/>
      <c r="JH30" s="329" t="s">
        <v>181</v>
      </c>
      <c r="JI30" s="329"/>
      <c r="JJ30" s="329"/>
      <c r="JK30" s="329"/>
      <c r="JL30" s="329"/>
      <c r="JM30" s="329"/>
      <c r="JN30" s="329"/>
      <c r="JO30" s="329"/>
      <c r="JP30" s="329"/>
      <c r="JQ30" s="329"/>
      <c r="JR30" s="329"/>
      <c r="JS30" s="329"/>
      <c r="JT30" s="329"/>
      <c r="JU30" s="329"/>
      <c r="JV30" s="329" t="s">
        <v>181</v>
      </c>
      <c r="JW30" s="41"/>
      <c r="JX30" s="41"/>
      <c r="JY30" s="41"/>
      <c r="JZ30" s="43"/>
      <c r="KA30" s="43"/>
      <c r="KB30" s="43"/>
      <c r="KC30" s="43"/>
      <c r="KD30" s="10">
        <v>69</v>
      </c>
      <c r="KE30" s="10"/>
      <c r="KF30" s="10"/>
      <c r="KG30" s="10"/>
      <c r="KH30" s="10"/>
      <c r="KI30" s="10"/>
      <c r="KJ30" s="43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69"/>
      <c r="KZ30" s="169"/>
      <c r="LA30" s="169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43"/>
      <c r="LR30" s="43"/>
      <c r="LS30" s="43"/>
      <c r="LT30" s="43"/>
      <c r="LU30" s="43"/>
      <c r="LV30" s="10"/>
      <c r="LW30" s="43"/>
      <c r="LX30" s="43"/>
      <c r="LY30" s="43"/>
      <c r="LZ30" s="10"/>
      <c r="MA30" s="169"/>
      <c r="MB30" s="169">
        <v>80</v>
      </c>
      <c r="MC30" s="10">
        <v>88</v>
      </c>
      <c r="MD30" s="10">
        <v>88</v>
      </c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43"/>
      <c r="MP30" s="43"/>
      <c r="MQ30" s="43"/>
      <c r="MR30" s="43"/>
      <c r="MS30" s="43"/>
      <c r="MT30" s="10"/>
      <c r="MU30" s="43"/>
      <c r="MV30" s="43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43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41"/>
      <c r="PD30" s="41"/>
      <c r="PE30" s="41"/>
      <c r="PF30" s="41"/>
      <c r="PG30" s="41"/>
      <c r="PH30" s="41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65"/>
      <c r="QF30" s="165"/>
      <c r="QG30" s="165"/>
      <c r="QH30" s="13"/>
      <c r="QI30" s="13"/>
      <c r="QJ30" s="13"/>
      <c r="QK30" s="13"/>
      <c r="QL30" s="13"/>
      <c r="QM30" s="13"/>
      <c r="QN30" s="13"/>
      <c r="QO30" s="13"/>
      <c r="QP30" s="13"/>
      <c r="QQ30" s="13"/>
      <c r="QR30" s="13"/>
      <c r="QS30" s="13"/>
      <c r="QT30" s="13"/>
      <c r="QU30" s="13"/>
      <c r="QV30" s="13"/>
      <c r="QW30" s="41"/>
      <c r="QX30" s="41"/>
      <c r="QY30" s="41"/>
      <c r="QZ30" s="41"/>
      <c r="RA30" s="41"/>
      <c r="RB30" s="13"/>
      <c r="RC30" s="41">
        <v>79.069999999999993</v>
      </c>
      <c r="RD30" s="41">
        <v>79.069999999999993</v>
      </c>
      <c r="RE30" s="41"/>
      <c r="RF30" s="13"/>
      <c r="RG30" s="165"/>
      <c r="RH30" s="165"/>
      <c r="RI30" s="13"/>
      <c r="RJ30" s="13"/>
      <c r="RK30" s="13"/>
      <c r="RL30" s="13"/>
      <c r="RM30" s="13"/>
      <c r="RN30" s="13"/>
      <c r="RO30" s="13"/>
      <c r="RP30" s="13"/>
      <c r="RQ30" s="13"/>
      <c r="RR30" s="13"/>
      <c r="RS30" s="13"/>
      <c r="RT30" s="13"/>
      <c r="RU30" s="41"/>
      <c r="RV30" s="41"/>
      <c r="RW30" s="41"/>
      <c r="RX30" s="41"/>
      <c r="RY30" s="41"/>
      <c r="RZ30" s="13"/>
      <c r="SA30" s="41"/>
      <c r="SB30" s="41"/>
      <c r="SC30" s="13"/>
      <c r="SD30" s="13"/>
      <c r="SE30" s="13"/>
      <c r="SF30" s="13"/>
      <c r="SG30" s="13"/>
      <c r="SH30" s="13"/>
      <c r="SI30" s="13"/>
      <c r="SJ30" s="13"/>
      <c r="SK30" s="13"/>
      <c r="SL30" s="13"/>
      <c r="SM30" s="13"/>
      <c r="SN30" s="13"/>
      <c r="SO30" s="13"/>
      <c r="SP30" s="13"/>
      <c r="SQ30" s="13"/>
      <c r="SR30" s="41"/>
      <c r="SS30" s="13"/>
      <c r="ST30" s="13"/>
      <c r="SU30" s="13"/>
      <c r="SV30" s="13"/>
      <c r="SW30" s="13"/>
      <c r="SX30" s="13"/>
      <c r="SY30" s="13"/>
      <c r="SZ30" s="13"/>
      <c r="TA30" s="13"/>
      <c r="TB30" s="13"/>
      <c r="TC30" s="13"/>
      <c r="TD30" s="13"/>
      <c r="TE30" s="13"/>
      <c r="TF30" s="13"/>
      <c r="TG30" s="13"/>
      <c r="TH30" s="13"/>
      <c r="TI30" s="13"/>
      <c r="TJ30" s="13"/>
      <c r="TK30" s="13"/>
      <c r="TL30" s="13"/>
      <c r="TM30" s="13"/>
      <c r="TN30" s="13"/>
      <c r="TO30" s="13"/>
      <c r="TP30" s="13"/>
      <c r="TQ30" s="13"/>
      <c r="TR30" s="13"/>
      <c r="TS30" s="13"/>
      <c r="TT30" s="13"/>
      <c r="TU30" s="13"/>
      <c r="TV30" s="13"/>
      <c r="TW30" s="13"/>
      <c r="TX30" s="13"/>
      <c r="TY30" s="13"/>
      <c r="TZ30" s="13"/>
      <c r="UA30" s="13"/>
      <c r="UB30" s="13"/>
      <c r="UC30" s="13"/>
      <c r="UD30" s="13"/>
      <c r="UE30" s="13"/>
      <c r="UF30" s="13"/>
      <c r="UG30" s="13"/>
      <c r="UH30" s="13"/>
      <c r="UI30" s="41"/>
      <c r="UJ30" s="41"/>
      <c r="UK30" s="41"/>
      <c r="UL30" s="41"/>
      <c r="UM30" s="13"/>
      <c r="UN30" s="13"/>
      <c r="UO30" s="13"/>
      <c r="UP30" s="13"/>
      <c r="UQ30" s="41"/>
      <c r="UR30" s="13"/>
      <c r="US30" s="13"/>
      <c r="UT30" s="13"/>
      <c r="UU30" s="13"/>
      <c r="UV30" s="13"/>
      <c r="UW30" s="13"/>
      <c r="UX30" s="41"/>
      <c r="UY30" s="13"/>
      <c r="UZ30" s="41"/>
      <c r="VA30" s="13"/>
      <c r="VB30" s="41"/>
      <c r="VC30" s="41"/>
      <c r="VD30" s="13"/>
      <c r="VE30" s="13"/>
      <c r="VF30" s="41"/>
      <c r="VG30" s="41"/>
      <c r="VH30" s="13"/>
      <c r="VI30" s="13"/>
      <c r="VJ30" s="13"/>
      <c r="VK30" s="13"/>
      <c r="VL30" s="41"/>
      <c r="VM30" s="41"/>
      <c r="VN30" s="41"/>
      <c r="VO30" s="41"/>
      <c r="VP30" s="13"/>
      <c r="VQ30" s="41"/>
      <c r="VR30" s="13"/>
      <c r="VS30" s="13"/>
      <c r="VT30" s="13"/>
      <c r="VU30" s="13"/>
      <c r="VV30" s="41"/>
      <c r="VW30" s="41"/>
      <c r="VX30" s="41"/>
      <c r="VY30" s="41"/>
      <c r="VZ30" s="41"/>
      <c r="WA30" s="41"/>
      <c r="WB30" s="13">
        <v>59.5</v>
      </c>
      <c r="WC30" s="13">
        <v>59.5</v>
      </c>
      <c r="WD30" s="13">
        <v>59.5</v>
      </c>
      <c r="WE30" s="13">
        <v>60.5</v>
      </c>
      <c r="WF30" s="13">
        <v>60.5</v>
      </c>
      <c r="WG30" s="13"/>
      <c r="WH30" s="13"/>
      <c r="WI30" s="41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65"/>
      <c r="WY30" s="165"/>
      <c r="WZ30" s="165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41"/>
      <c r="XQ30" s="41"/>
      <c r="XR30" s="41"/>
      <c r="XS30" s="41"/>
      <c r="XT30" s="41"/>
      <c r="XU30" s="13">
        <v>75.900000000000006</v>
      </c>
      <c r="XV30" s="41">
        <v>75.900000000000006</v>
      </c>
      <c r="XW30" s="13">
        <v>75.900000000000006</v>
      </c>
      <c r="XX30" s="165">
        <v>75.900000000000006</v>
      </c>
      <c r="XY30" s="13">
        <v>72.599999999999994</v>
      </c>
      <c r="XZ30" s="165">
        <v>72.599999999999994</v>
      </c>
      <c r="YA30" s="165">
        <v>78.099999999999994</v>
      </c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41"/>
      <c r="YO30" s="41"/>
      <c r="YP30" s="41"/>
      <c r="YQ30" s="41"/>
      <c r="YR30" s="41"/>
      <c r="YS30" s="13"/>
      <c r="YT30" s="41">
        <v>126.9</v>
      </c>
      <c r="YU30" s="41">
        <v>126.9</v>
      </c>
      <c r="YV30" s="13">
        <v>126.9</v>
      </c>
      <c r="YW30" s="13">
        <v>126.9</v>
      </c>
      <c r="YX30" s="13">
        <v>126.9</v>
      </c>
      <c r="YY30" s="13">
        <v>126.9</v>
      </c>
      <c r="YZ30" s="13">
        <v>126.9</v>
      </c>
      <c r="ZA30" s="13">
        <v>126.9</v>
      </c>
      <c r="ZB30" s="13">
        <v>126.9</v>
      </c>
      <c r="ZC30" s="13">
        <v>126.9</v>
      </c>
      <c r="ZD30" s="13">
        <v>126.9</v>
      </c>
      <c r="ZE30" s="13">
        <v>126.9</v>
      </c>
      <c r="ZF30" s="13">
        <v>126.9</v>
      </c>
      <c r="ZG30" s="13">
        <v>126.9</v>
      </c>
      <c r="ZH30" s="13">
        <v>126.9</v>
      </c>
      <c r="ZI30" s="13">
        <v>126.9</v>
      </c>
      <c r="ZJ30" s="13">
        <v>126.9</v>
      </c>
      <c r="ZK30" s="41">
        <v>126.9</v>
      </c>
      <c r="ZL30" s="13">
        <v>126.9</v>
      </c>
      <c r="ZM30" s="13">
        <v>126.9</v>
      </c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  <c r="AAM30" s="13"/>
      <c r="AAN30" s="13"/>
      <c r="AAO30" s="13"/>
      <c r="AAP30" s="13"/>
      <c r="AAQ30" s="13"/>
      <c r="AAR30" s="13"/>
      <c r="AAS30" s="13"/>
      <c r="AAT30" s="13"/>
      <c r="AAU30" s="13"/>
      <c r="AAV30" s="13"/>
      <c r="AAW30" s="13"/>
      <c r="AAX30" s="13"/>
      <c r="AAY30" s="13"/>
      <c r="AAZ30" s="13"/>
      <c r="ABA30" s="13"/>
      <c r="ABB30" s="41"/>
      <c r="ABC30" s="41"/>
      <c r="ABD30" s="41"/>
      <c r="ABE30" s="13"/>
      <c r="ABF30" s="13"/>
      <c r="ABG30" s="10"/>
      <c r="ABH30" s="10"/>
      <c r="ABI30" s="10"/>
      <c r="ABJ30" s="10"/>
      <c r="ABK30" s="10"/>
      <c r="ABL30" s="43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69"/>
      <c r="ACB30" s="169"/>
      <c r="ACC30" s="169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43"/>
      <c r="ACT30" s="43"/>
      <c r="ACU30" s="43"/>
      <c r="ACV30" s="43"/>
      <c r="ACW30" s="43"/>
      <c r="ACX30" s="10"/>
      <c r="ACY30" s="43"/>
      <c r="ACZ30" s="10"/>
      <c r="ADA30" s="169"/>
      <c r="ADB30" s="10"/>
      <c r="ADC30" s="169"/>
      <c r="ADD30" s="169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43"/>
      <c r="ADR30" s="43">
        <v>155</v>
      </c>
      <c r="ADS30" s="43">
        <v>140</v>
      </c>
      <c r="ADT30" s="43">
        <v>140</v>
      </c>
      <c r="ADU30" s="43">
        <v>145</v>
      </c>
      <c r="ADV30" s="10">
        <v>145</v>
      </c>
      <c r="ADW30" s="10">
        <v>159</v>
      </c>
      <c r="ADX30" s="10">
        <v>159</v>
      </c>
      <c r="ADY30" s="10">
        <v>159</v>
      </c>
      <c r="ADZ30" s="10">
        <v>159</v>
      </c>
      <c r="AEA30" s="10">
        <v>159</v>
      </c>
      <c r="AEB30" s="10">
        <v>159</v>
      </c>
      <c r="AEC30" s="10">
        <v>159</v>
      </c>
      <c r="AED30" s="10">
        <v>159</v>
      </c>
      <c r="AEE30" s="10">
        <v>159</v>
      </c>
      <c r="AEF30" s="10">
        <v>159</v>
      </c>
      <c r="AEG30" s="10">
        <v>159</v>
      </c>
      <c r="AEH30" s="10">
        <v>159</v>
      </c>
      <c r="AEI30" s="10">
        <v>159</v>
      </c>
      <c r="AEJ30" s="10">
        <v>159</v>
      </c>
      <c r="AEK30" s="10">
        <v>159</v>
      </c>
      <c r="AEL30" s="10">
        <v>159</v>
      </c>
      <c r="AEM30" s="10">
        <v>159</v>
      </c>
      <c r="AEN30" s="43">
        <v>159</v>
      </c>
      <c r="AEO30" s="10">
        <v>159</v>
      </c>
      <c r="AEP30" s="10">
        <v>159</v>
      </c>
      <c r="AEQ30" s="10">
        <v>159</v>
      </c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>
        <v>159</v>
      </c>
      <c r="AFR30" s="10">
        <v>159</v>
      </c>
      <c r="AFS30" s="10">
        <v>159</v>
      </c>
      <c r="AFT30" s="10">
        <v>159</v>
      </c>
      <c r="AFU30" s="10">
        <v>159</v>
      </c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41"/>
      <c r="AHE30" s="41"/>
      <c r="AHF30" s="41"/>
      <c r="AHG30" s="41"/>
      <c r="AHH30" s="13"/>
      <c r="AHI30" s="10"/>
      <c r="AHJ30" s="10"/>
      <c r="AHK30" s="10"/>
      <c r="AHL30" s="10"/>
      <c r="AHM30" s="10"/>
      <c r="AHN30" s="43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69"/>
      <c r="AID30" s="169"/>
      <c r="AIE30" s="169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43"/>
      <c r="AIW30" s="43"/>
      <c r="AIX30" s="43"/>
      <c r="AIY30" s="43"/>
      <c r="AIZ30" s="43"/>
      <c r="AJA30" s="10"/>
      <c r="AJB30" s="43"/>
      <c r="AJC30" s="10"/>
      <c r="AJD30" s="10"/>
      <c r="AJE30" s="10"/>
      <c r="AJF30" s="10"/>
      <c r="AJG30" s="10"/>
      <c r="AJH30" s="10"/>
      <c r="AJI30" s="10"/>
      <c r="AJJ30" s="43"/>
      <c r="AJK30" s="43"/>
      <c r="AJL30" s="43"/>
      <c r="AJM30" s="43"/>
      <c r="AJN30" s="43"/>
      <c r="AJO30" s="10"/>
      <c r="AJP30" s="10"/>
      <c r="AJQ30" s="43"/>
      <c r="AJR30" s="10"/>
      <c r="AJS30" s="10"/>
      <c r="AJT30" s="223"/>
      <c r="AJU30" s="223"/>
      <c r="AJV30" s="314"/>
      <c r="AJW30" s="314"/>
      <c r="AJX30" s="314"/>
      <c r="AJY30" s="298"/>
      <c r="AJZ30" s="314"/>
      <c r="AKA30" s="298"/>
      <c r="AKB30" s="360"/>
      <c r="AKC30" s="298"/>
      <c r="AKD30" s="298"/>
      <c r="AKE30" s="298"/>
      <c r="AKF30" s="434"/>
      <c r="AKG30" s="298"/>
      <c r="AKH30" s="349"/>
      <c r="AKI30" s="4"/>
      <c r="AKJ30" s="186"/>
      <c r="AKK30" s="6"/>
      <c r="AKL30" s="196"/>
      <c r="AKM30" s="196"/>
      <c r="AKN30" s="196"/>
      <c r="AKO30" s="196"/>
      <c r="AKP30" s="187"/>
      <c r="AKQ30" s="187"/>
      <c r="AKR30" s="187"/>
      <c r="AKS30" s="187"/>
      <c r="AKT30" s="187"/>
      <c r="AKU30" s="187"/>
      <c r="AKV30" s="187"/>
      <c r="AKW30" s="187"/>
      <c r="AKX30" s="187"/>
      <c r="AKY30" s="187"/>
      <c r="AKZ30" s="187"/>
      <c r="ALA30" s="187"/>
      <c r="ALB30" s="187"/>
      <c r="ALC30" s="187"/>
      <c r="ALD30" s="187"/>
      <c r="ALU30" s="10">
        <v>159</v>
      </c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349"/>
      <c r="AML30" s="349"/>
      <c r="AMM30" s="349"/>
    </row>
    <row r="31" spans="1:1027" ht="29.1" hidden="1" customHeight="1" thickBot="1" x14ac:dyDescent="0.35">
      <c r="A31" s="423" t="s">
        <v>177</v>
      </c>
      <c r="B31" s="424" t="s">
        <v>175</v>
      </c>
      <c r="C31" s="425" t="s">
        <v>2</v>
      </c>
      <c r="D31" s="425">
        <v>800</v>
      </c>
      <c r="E31" s="96"/>
      <c r="F31" s="98"/>
      <c r="G31" s="98"/>
      <c r="H31" s="161">
        <v>55</v>
      </c>
      <c r="I31" s="99">
        <v>64</v>
      </c>
      <c r="J31" s="215">
        <v>15000</v>
      </c>
      <c r="K31" s="285"/>
      <c r="L31" s="41"/>
      <c r="M31" s="41"/>
      <c r="N31" s="41"/>
      <c r="O31" s="41"/>
      <c r="P31" s="41">
        <v>57</v>
      </c>
      <c r="Q31" s="41"/>
      <c r="R31" s="13"/>
      <c r="S31" s="13"/>
      <c r="T31" s="13"/>
      <c r="U31" s="13"/>
      <c r="V31" s="13"/>
      <c r="W31" s="13"/>
      <c r="X31" s="41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65"/>
      <c r="AN31" s="165"/>
      <c r="AO31" s="165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41"/>
      <c r="BF31" s="41"/>
      <c r="BG31" s="41"/>
      <c r="BH31" s="41"/>
      <c r="BI31" s="41"/>
      <c r="BJ31" s="13"/>
      <c r="BK31" s="41"/>
      <c r="BL31" s="41"/>
      <c r="BM31" s="41"/>
      <c r="BN31" s="165"/>
      <c r="BO31" s="165"/>
      <c r="BP31" s="165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41"/>
      <c r="CD31" s="41"/>
      <c r="CE31" s="41"/>
      <c r="CF31" s="41">
        <v>159</v>
      </c>
      <c r="CG31" s="41"/>
      <c r="CH31" s="13"/>
      <c r="CI31" s="41"/>
      <c r="CJ31" s="41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41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41"/>
      <c r="ER31" s="41"/>
      <c r="ES31" s="41"/>
      <c r="ET31" s="41"/>
      <c r="EU31" s="41"/>
      <c r="EV31" s="41"/>
      <c r="EW31" s="13"/>
      <c r="EX31" s="13"/>
      <c r="EY31" s="13"/>
      <c r="EZ31" s="13"/>
      <c r="FA31" s="13"/>
      <c r="FB31" s="13"/>
      <c r="FC31" s="13"/>
      <c r="FD31" s="41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65"/>
      <c r="FT31" s="165"/>
      <c r="FU31" s="165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41"/>
      <c r="GL31" s="41"/>
      <c r="GM31" s="41"/>
      <c r="GN31" s="41"/>
      <c r="GO31" s="41"/>
      <c r="GP31" s="13"/>
      <c r="GQ31" s="41"/>
      <c r="GR31" s="41"/>
      <c r="GS31" s="41"/>
      <c r="GT31" s="165"/>
      <c r="GU31" s="165"/>
      <c r="GV31" s="165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41"/>
      <c r="HJ31" s="41"/>
      <c r="HK31" s="41"/>
      <c r="HL31" s="41"/>
      <c r="HM31" s="41"/>
      <c r="HN31" s="13"/>
      <c r="HO31" s="41"/>
      <c r="HP31" s="41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41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41"/>
      <c r="JX31" s="41"/>
      <c r="JY31" s="41"/>
      <c r="JZ31" s="43"/>
      <c r="KA31" s="43"/>
      <c r="KB31" s="43"/>
      <c r="KC31" s="43"/>
      <c r="KD31" s="10">
        <v>69</v>
      </c>
      <c r="KE31" s="10"/>
      <c r="KF31" s="10"/>
      <c r="KG31" s="10"/>
      <c r="KH31" s="10"/>
      <c r="KI31" s="10"/>
      <c r="KJ31" s="43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69"/>
      <c r="KZ31" s="169"/>
      <c r="LA31" s="169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43"/>
      <c r="LR31" s="43"/>
      <c r="LS31" s="43"/>
      <c r="LT31" s="43"/>
      <c r="LU31" s="43"/>
      <c r="LV31" s="10"/>
      <c r="LW31" s="43"/>
      <c r="LX31" s="43"/>
      <c r="LY31" s="43"/>
      <c r="LZ31" s="10"/>
      <c r="MA31" s="169"/>
      <c r="MB31" s="169">
        <v>80</v>
      </c>
      <c r="MC31" s="10">
        <v>88</v>
      </c>
      <c r="MD31" s="10">
        <v>88</v>
      </c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43"/>
      <c r="MP31" s="43"/>
      <c r="MQ31" s="43"/>
      <c r="MR31" s="43"/>
      <c r="MS31" s="43"/>
      <c r="MT31" s="10"/>
      <c r="MU31" s="43"/>
      <c r="MV31" s="43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43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41"/>
      <c r="PD31" s="41"/>
      <c r="PE31" s="41"/>
      <c r="PF31" s="41"/>
      <c r="PG31" s="41"/>
      <c r="PH31" s="41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65"/>
      <c r="QF31" s="165"/>
      <c r="QG31" s="165"/>
      <c r="QH31" s="13"/>
      <c r="QI31" s="13"/>
      <c r="QJ31" s="13"/>
      <c r="QK31" s="13"/>
      <c r="QL31" s="13"/>
      <c r="QM31" s="13"/>
      <c r="QN31" s="13"/>
      <c r="QO31" s="13"/>
      <c r="QP31" s="13"/>
      <c r="QQ31" s="13"/>
      <c r="QR31" s="13"/>
      <c r="QS31" s="13"/>
      <c r="QT31" s="13"/>
      <c r="QU31" s="13"/>
      <c r="QV31" s="13"/>
      <c r="QW31" s="41"/>
      <c r="QX31" s="41"/>
      <c r="QY31" s="41"/>
      <c r="QZ31" s="41"/>
      <c r="RA31" s="41"/>
      <c r="RB31" s="13"/>
      <c r="RC31" s="41">
        <v>79.069999999999993</v>
      </c>
      <c r="RD31" s="41">
        <v>79.069999999999993</v>
      </c>
      <c r="RE31" s="41"/>
      <c r="RF31" s="13"/>
      <c r="RG31" s="165"/>
      <c r="RH31" s="165"/>
      <c r="RI31" s="13"/>
      <c r="RJ31" s="13"/>
      <c r="RK31" s="13"/>
      <c r="RL31" s="13"/>
      <c r="RM31" s="13"/>
      <c r="RN31" s="13"/>
      <c r="RO31" s="13"/>
      <c r="RP31" s="13"/>
      <c r="RQ31" s="13"/>
      <c r="RR31" s="13"/>
      <c r="RS31" s="13"/>
      <c r="RT31" s="13"/>
      <c r="RU31" s="41"/>
      <c r="RV31" s="41"/>
      <c r="RW31" s="41"/>
      <c r="RX31" s="41"/>
      <c r="RY31" s="41"/>
      <c r="RZ31" s="13"/>
      <c r="SA31" s="41"/>
      <c r="SB31" s="41"/>
      <c r="SC31" s="13"/>
      <c r="SD31" s="13"/>
      <c r="SE31" s="13"/>
      <c r="SF31" s="13"/>
      <c r="SG31" s="13"/>
      <c r="SH31" s="13"/>
      <c r="SI31" s="13"/>
      <c r="SJ31" s="13"/>
      <c r="SK31" s="13"/>
      <c r="SL31" s="13"/>
      <c r="SM31" s="13"/>
      <c r="SN31" s="13"/>
      <c r="SO31" s="13"/>
      <c r="SP31" s="13"/>
      <c r="SQ31" s="13"/>
      <c r="SR31" s="41"/>
      <c r="SS31" s="13"/>
      <c r="ST31" s="13"/>
      <c r="SU31" s="13"/>
      <c r="SV31" s="13"/>
      <c r="SW31" s="13"/>
      <c r="SX31" s="13"/>
      <c r="SY31" s="13"/>
      <c r="SZ31" s="13"/>
      <c r="TA31" s="13"/>
      <c r="TB31" s="13"/>
      <c r="TC31" s="13"/>
      <c r="TD31" s="13"/>
      <c r="TE31" s="13"/>
      <c r="TF31" s="13"/>
      <c r="TG31" s="13"/>
      <c r="TH31" s="13"/>
      <c r="TI31" s="13"/>
      <c r="TJ31" s="13"/>
      <c r="TK31" s="13"/>
      <c r="TL31" s="13"/>
      <c r="TM31" s="13"/>
      <c r="TN31" s="13"/>
      <c r="TO31" s="13"/>
      <c r="TP31" s="13"/>
      <c r="TQ31" s="13"/>
      <c r="TR31" s="13"/>
      <c r="TS31" s="13"/>
      <c r="TT31" s="13"/>
      <c r="TU31" s="13"/>
      <c r="TV31" s="13"/>
      <c r="TW31" s="13"/>
      <c r="TX31" s="13"/>
      <c r="TY31" s="13"/>
      <c r="TZ31" s="13"/>
      <c r="UA31" s="13"/>
      <c r="UB31" s="13"/>
      <c r="UC31" s="13"/>
      <c r="UD31" s="13"/>
      <c r="UE31" s="13"/>
      <c r="UF31" s="13"/>
      <c r="UG31" s="13"/>
      <c r="UH31" s="13"/>
      <c r="UI31" s="41"/>
      <c r="UJ31" s="41"/>
      <c r="UK31" s="41"/>
      <c r="UL31" s="41"/>
      <c r="UM31" s="13"/>
      <c r="UN31" s="13"/>
      <c r="UO31" s="13"/>
      <c r="UP31" s="13"/>
      <c r="UQ31" s="41"/>
      <c r="UR31" s="13"/>
      <c r="US31" s="13"/>
      <c r="UT31" s="13"/>
      <c r="UU31" s="13"/>
      <c r="UV31" s="13"/>
      <c r="UW31" s="13"/>
      <c r="UX31" s="41"/>
      <c r="UY31" s="13"/>
      <c r="UZ31" s="41"/>
      <c r="VA31" s="13"/>
      <c r="VB31" s="41"/>
      <c r="VC31" s="41"/>
      <c r="VD31" s="13"/>
      <c r="VE31" s="13"/>
      <c r="VF31" s="41"/>
      <c r="VG31" s="41"/>
      <c r="VH31" s="13"/>
      <c r="VI31" s="13"/>
      <c r="VJ31" s="13"/>
      <c r="VK31" s="13"/>
      <c r="VL31" s="41"/>
      <c r="VM31" s="41"/>
      <c r="VN31" s="41"/>
      <c r="VO31" s="41"/>
      <c r="VP31" s="13"/>
      <c r="VQ31" s="41"/>
      <c r="VR31" s="13"/>
      <c r="VS31" s="13"/>
      <c r="VT31" s="13"/>
      <c r="VU31" s="13"/>
      <c r="VV31" s="41"/>
      <c r="VW31" s="41"/>
      <c r="VX31" s="41"/>
      <c r="VY31" s="41"/>
      <c r="VZ31" s="41"/>
      <c r="WA31" s="41"/>
      <c r="WB31" s="13">
        <v>59.5</v>
      </c>
      <c r="WC31" s="13">
        <v>59.5</v>
      </c>
      <c r="WD31" s="13">
        <v>59.5</v>
      </c>
      <c r="WE31" s="13">
        <v>60.5</v>
      </c>
      <c r="WF31" s="13">
        <v>60.5</v>
      </c>
      <c r="WG31" s="13"/>
      <c r="WH31" s="13"/>
      <c r="WI31" s="41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65"/>
      <c r="WY31" s="165"/>
      <c r="WZ31" s="165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41"/>
      <c r="XQ31" s="41"/>
      <c r="XR31" s="41"/>
      <c r="XS31" s="41"/>
      <c r="XT31" s="41"/>
      <c r="XU31" s="13">
        <v>75.900000000000006</v>
      </c>
      <c r="XV31" s="41">
        <v>75.900000000000006</v>
      </c>
      <c r="XW31" s="13">
        <v>75.900000000000006</v>
      </c>
      <c r="XX31" s="165">
        <v>75.900000000000006</v>
      </c>
      <c r="XY31" s="13">
        <v>72.599999999999994</v>
      </c>
      <c r="XZ31" s="165">
        <v>72.599999999999994</v>
      </c>
      <c r="YA31" s="165">
        <v>78.099999999999994</v>
      </c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41"/>
      <c r="YO31" s="41"/>
      <c r="YP31" s="41"/>
      <c r="YQ31" s="41"/>
      <c r="YR31" s="41"/>
      <c r="YS31" s="13"/>
      <c r="YT31" s="41"/>
      <c r="YU31" s="41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41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  <c r="AAM31" s="13"/>
      <c r="AAN31" s="13"/>
      <c r="AAO31" s="13"/>
      <c r="AAP31" s="13"/>
      <c r="AAQ31" s="13"/>
      <c r="AAR31" s="13"/>
      <c r="AAS31" s="13"/>
      <c r="AAT31" s="13"/>
      <c r="AAU31" s="13"/>
      <c r="AAV31" s="13"/>
      <c r="AAW31" s="13"/>
      <c r="AAX31" s="13"/>
      <c r="AAY31" s="13"/>
      <c r="AAZ31" s="13"/>
      <c r="ABA31" s="13"/>
      <c r="ABB31" s="41"/>
      <c r="ABC31" s="41"/>
      <c r="ABD31" s="41"/>
      <c r="ABE31" s="13"/>
      <c r="ABF31" s="13"/>
      <c r="ABG31" s="10"/>
      <c r="ABH31" s="10"/>
      <c r="ABI31" s="10"/>
      <c r="ABJ31" s="10"/>
      <c r="ABK31" s="10"/>
      <c r="ABL31" s="43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69"/>
      <c r="ACB31" s="169"/>
      <c r="ACC31" s="169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43"/>
      <c r="ACT31" s="43"/>
      <c r="ACU31" s="43"/>
      <c r="ACV31" s="43"/>
      <c r="ACW31" s="43"/>
      <c r="ACX31" s="10"/>
      <c r="ACY31" s="43"/>
      <c r="ACZ31" s="10"/>
      <c r="ADA31" s="169"/>
      <c r="ADB31" s="10"/>
      <c r="ADC31" s="169"/>
      <c r="ADD31" s="169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43"/>
      <c r="ADR31" s="43"/>
      <c r="ADS31" s="43"/>
      <c r="ADT31" s="43"/>
      <c r="ADU31" s="43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43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41"/>
      <c r="AHE31" s="41"/>
      <c r="AHF31" s="41"/>
      <c r="AHG31" s="41"/>
      <c r="AHH31" s="13"/>
      <c r="AHI31" s="10"/>
      <c r="AHJ31" s="10"/>
      <c r="AHK31" s="10"/>
      <c r="AHL31" s="10"/>
      <c r="AHM31" s="10"/>
      <c r="AHN31" s="43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69"/>
      <c r="AID31" s="169"/>
      <c r="AIE31" s="169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43"/>
      <c r="AIW31" s="43"/>
      <c r="AIX31" s="43"/>
      <c r="AIY31" s="43"/>
      <c r="AIZ31" s="43"/>
      <c r="AJA31" s="10"/>
      <c r="AJB31" s="43"/>
      <c r="AJC31" s="10"/>
      <c r="AJD31" s="10"/>
      <c r="AJE31" s="10"/>
      <c r="AJF31" s="10"/>
      <c r="AJG31" s="10"/>
      <c r="AJH31" s="10"/>
      <c r="AJI31" s="10"/>
      <c r="AJJ31" s="43"/>
      <c r="AJK31" s="43"/>
      <c r="AJL31" s="43"/>
      <c r="AJM31" s="43"/>
      <c r="AJN31" s="43"/>
      <c r="AJO31" s="10"/>
      <c r="AJP31" s="10"/>
      <c r="AJQ31" s="43"/>
      <c r="AJR31" s="10"/>
      <c r="AJS31" s="10"/>
      <c r="AJT31" s="223"/>
      <c r="AJU31" s="223"/>
      <c r="AJV31" s="314"/>
      <c r="AJW31" s="314"/>
      <c r="AJX31" s="314"/>
      <c r="AJY31" s="298"/>
      <c r="AJZ31" s="314"/>
      <c r="AKA31" s="298"/>
      <c r="AKB31" s="360"/>
      <c r="AKC31" s="298"/>
      <c r="AKD31" s="298"/>
      <c r="AKE31" s="298"/>
      <c r="AKF31" s="434"/>
      <c r="AKG31" s="298"/>
      <c r="AKH31" s="349"/>
      <c r="AKI31" s="4"/>
      <c r="AKJ31" s="186"/>
      <c r="AKK31" s="6"/>
      <c r="AKL31" s="196"/>
      <c r="AKM31" s="196"/>
      <c r="AKN31" s="196"/>
      <c r="AKO31" s="196"/>
      <c r="AKP31" s="187"/>
      <c r="AKQ31" s="187"/>
      <c r="AKR31" s="187"/>
      <c r="AKS31" s="187"/>
      <c r="AKT31" s="187"/>
      <c r="AKU31" s="187"/>
      <c r="AKV31" s="187"/>
      <c r="AKW31" s="187"/>
      <c r="AKX31" s="187"/>
      <c r="AKY31" s="187"/>
      <c r="AKZ31" s="187"/>
      <c r="ALA31" s="187"/>
      <c r="ALB31" s="187"/>
      <c r="ALC31" s="187"/>
      <c r="ALD31" s="187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349"/>
      <c r="AML31" s="349"/>
      <c r="AMM31" s="349"/>
    </row>
    <row r="32" spans="1:1027" ht="29.1" hidden="1" customHeight="1" thickBot="1" x14ac:dyDescent="0.35">
      <c r="A32" s="423" t="s">
        <v>21</v>
      </c>
      <c r="B32" s="424" t="s">
        <v>30</v>
      </c>
      <c r="C32" s="425" t="s">
        <v>2</v>
      </c>
      <c r="D32" s="425">
        <v>700</v>
      </c>
      <c r="E32" s="96"/>
      <c r="F32" s="98"/>
      <c r="G32" s="98"/>
      <c r="H32" s="161"/>
      <c r="I32" s="99"/>
      <c r="J32" s="215"/>
      <c r="K32" s="285"/>
      <c r="L32" s="41"/>
      <c r="M32" s="41"/>
      <c r="N32" s="41"/>
      <c r="O32" s="41"/>
      <c r="P32" s="41"/>
      <c r="Q32" s="41"/>
      <c r="R32" s="13"/>
      <c r="S32" s="13"/>
      <c r="T32" s="13"/>
      <c r="U32" s="13"/>
      <c r="V32" s="13"/>
      <c r="W32" s="13"/>
      <c r="X32" s="41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65"/>
      <c r="AN32" s="165"/>
      <c r="AO32" s="165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41"/>
      <c r="BF32" s="41"/>
      <c r="BG32" s="41"/>
      <c r="BH32" s="41"/>
      <c r="BI32" s="41"/>
      <c r="BJ32" s="13"/>
      <c r="BK32" s="41"/>
      <c r="BL32" s="41"/>
      <c r="BM32" s="41"/>
      <c r="BN32" s="165"/>
      <c r="BO32" s="165"/>
      <c r="BP32" s="165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41"/>
      <c r="CD32" s="41"/>
      <c r="CE32" s="41"/>
      <c r="CF32" s="41"/>
      <c r="CG32" s="41"/>
      <c r="CH32" s="13"/>
      <c r="CI32" s="41">
        <v>123</v>
      </c>
      <c r="CJ32" s="41">
        <v>149</v>
      </c>
      <c r="CK32" s="13">
        <v>149</v>
      </c>
      <c r="CL32" s="13">
        <v>149</v>
      </c>
      <c r="CM32" s="13">
        <v>149</v>
      </c>
      <c r="CN32" s="13">
        <v>149</v>
      </c>
      <c r="CO32" s="13">
        <v>149</v>
      </c>
      <c r="CP32" s="13">
        <v>149</v>
      </c>
      <c r="CQ32" s="13">
        <v>149</v>
      </c>
      <c r="CR32" s="13">
        <v>149</v>
      </c>
      <c r="CS32" s="13">
        <v>149</v>
      </c>
      <c r="CT32" s="13">
        <v>149</v>
      </c>
      <c r="CU32" s="13">
        <v>149</v>
      </c>
      <c r="CV32" s="13">
        <v>149</v>
      </c>
      <c r="CW32" s="13">
        <v>149</v>
      </c>
      <c r="CX32" s="13">
        <v>149</v>
      </c>
      <c r="CY32" s="13">
        <v>149</v>
      </c>
      <c r="CZ32" s="41">
        <v>149</v>
      </c>
      <c r="DA32" s="13">
        <v>149</v>
      </c>
      <c r="DB32" s="13">
        <v>149</v>
      </c>
      <c r="DC32" s="13">
        <v>149</v>
      </c>
      <c r="DD32" s="13">
        <v>149</v>
      </c>
      <c r="DE32" s="13">
        <v>149</v>
      </c>
      <c r="DF32" s="13">
        <v>149</v>
      </c>
      <c r="DG32" s="13">
        <v>149</v>
      </c>
      <c r="DH32" s="13">
        <v>149</v>
      </c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41"/>
      <c r="ER32" s="41"/>
      <c r="ES32" s="41"/>
      <c r="ET32" s="41"/>
      <c r="EU32" s="41"/>
      <c r="EV32" s="41"/>
      <c r="EW32" s="13"/>
      <c r="EX32" s="13"/>
      <c r="EY32" s="13"/>
      <c r="EZ32" s="13"/>
      <c r="FA32" s="13"/>
      <c r="FB32" s="13"/>
      <c r="FC32" s="13"/>
      <c r="FD32" s="41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65"/>
      <c r="FT32" s="165"/>
      <c r="FU32" s="165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41"/>
      <c r="GL32" s="41"/>
      <c r="GM32" s="41"/>
      <c r="GN32" s="41"/>
      <c r="GO32" s="41"/>
      <c r="GP32" s="13"/>
      <c r="GQ32" s="41"/>
      <c r="GR32" s="41"/>
      <c r="GS32" s="41"/>
      <c r="GT32" s="165"/>
      <c r="GU32" s="165"/>
      <c r="GV32" s="165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41"/>
      <c r="HJ32" s="41"/>
      <c r="HK32" s="41"/>
      <c r="HL32" s="41"/>
      <c r="HM32" s="41"/>
      <c r="HN32" s="13"/>
      <c r="HO32" s="335" t="s">
        <v>182</v>
      </c>
      <c r="HP32" s="335" t="s">
        <v>182</v>
      </c>
      <c r="HQ32" s="329" t="s">
        <v>182</v>
      </c>
      <c r="HR32" s="329" t="s">
        <v>182</v>
      </c>
      <c r="HS32" s="329" t="s">
        <v>182</v>
      </c>
      <c r="HT32" s="329" t="s">
        <v>182</v>
      </c>
      <c r="HU32" s="329" t="s">
        <v>182</v>
      </c>
      <c r="HV32" s="329" t="s">
        <v>182</v>
      </c>
      <c r="HW32" s="329" t="s">
        <v>182</v>
      </c>
      <c r="HX32" s="329" t="s">
        <v>182</v>
      </c>
      <c r="HY32" s="329" t="s">
        <v>182</v>
      </c>
      <c r="HZ32" s="329" t="s">
        <v>182</v>
      </c>
      <c r="IA32" s="329" t="s">
        <v>182</v>
      </c>
      <c r="IB32" s="329" t="s">
        <v>182</v>
      </c>
      <c r="IC32" s="329" t="s">
        <v>182</v>
      </c>
      <c r="ID32" s="329" t="s">
        <v>182</v>
      </c>
      <c r="IE32" s="329" t="s">
        <v>182</v>
      </c>
      <c r="IF32" s="335" t="s">
        <v>182</v>
      </c>
      <c r="IG32" s="329" t="s">
        <v>182</v>
      </c>
      <c r="IH32" s="329" t="s">
        <v>182</v>
      </c>
      <c r="II32" s="329" t="s">
        <v>182</v>
      </c>
      <c r="IJ32" s="329" t="s">
        <v>182</v>
      </c>
      <c r="IK32" s="329" t="s">
        <v>182</v>
      </c>
      <c r="IL32" s="329" t="s">
        <v>182</v>
      </c>
      <c r="IM32" s="329" t="s">
        <v>182</v>
      </c>
      <c r="IN32" s="329" t="s">
        <v>182</v>
      </c>
      <c r="IO32" s="329"/>
      <c r="IP32" s="329"/>
      <c r="IQ32" s="329"/>
      <c r="IR32" s="329"/>
      <c r="IS32" s="329"/>
      <c r="IT32" s="329"/>
      <c r="IU32" s="329"/>
      <c r="IV32" s="329"/>
      <c r="IW32" s="329"/>
      <c r="IX32" s="329"/>
      <c r="IY32" s="329"/>
      <c r="IZ32" s="329"/>
      <c r="JA32" s="329"/>
      <c r="JB32" s="329"/>
      <c r="JC32" s="329"/>
      <c r="JD32" s="329"/>
      <c r="JE32" s="329"/>
      <c r="JF32" s="329"/>
      <c r="JG32" s="329"/>
      <c r="JH32" s="329" t="s">
        <v>182</v>
      </c>
      <c r="JI32" s="329"/>
      <c r="JJ32" s="329"/>
      <c r="JK32" s="329"/>
      <c r="JL32" s="329"/>
      <c r="JM32" s="329"/>
      <c r="JN32" s="329"/>
      <c r="JO32" s="329"/>
      <c r="JP32" s="329"/>
      <c r="JQ32" s="329"/>
      <c r="JR32" s="329"/>
      <c r="JS32" s="329"/>
      <c r="JT32" s="329"/>
      <c r="JU32" s="329"/>
      <c r="JV32" s="329" t="s">
        <v>182</v>
      </c>
      <c r="JW32" s="41"/>
      <c r="JX32" s="41"/>
      <c r="JY32" s="41"/>
      <c r="JZ32" s="43"/>
      <c r="KA32" s="43"/>
      <c r="KB32" s="43"/>
      <c r="KC32" s="43"/>
      <c r="KD32" s="10"/>
      <c r="KE32" s="10"/>
      <c r="KF32" s="10"/>
      <c r="KG32" s="10"/>
      <c r="KH32" s="10"/>
      <c r="KI32" s="10"/>
      <c r="KJ32" s="43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69"/>
      <c r="KZ32" s="169"/>
      <c r="LA32" s="169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43"/>
      <c r="LR32" s="43"/>
      <c r="LS32" s="43"/>
      <c r="LT32" s="43"/>
      <c r="LU32" s="43"/>
      <c r="LV32" s="10"/>
      <c r="LW32" s="43"/>
      <c r="LX32" s="43"/>
      <c r="LY32" s="43"/>
      <c r="LZ32" s="10"/>
      <c r="MA32" s="169"/>
      <c r="MB32" s="169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43"/>
      <c r="MP32" s="43"/>
      <c r="MQ32" s="43"/>
      <c r="MR32" s="43"/>
      <c r="MS32" s="43"/>
      <c r="MT32" s="10"/>
      <c r="MU32" s="43"/>
      <c r="MV32" s="43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43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41"/>
      <c r="PD32" s="41"/>
      <c r="PE32" s="41"/>
      <c r="PF32" s="41"/>
      <c r="PG32" s="41"/>
      <c r="PH32" s="41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65"/>
      <c r="QF32" s="165"/>
      <c r="QG32" s="165"/>
      <c r="QH32" s="13"/>
      <c r="QI32" s="13"/>
      <c r="QJ32" s="13"/>
      <c r="QK32" s="13"/>
      <c r="QL32" s="13"/>
      <c r="QM32" s="13"/>
      <c r="QN32" s="13"/>
      <c r="QO32" s="13"/>
      <c r="QP32" s="13"/>
      <c r="QQ32" s="13"/>
      <c r="QR32" s="13"/>
      <c r="QS32" s="13"/>
      <c r="QT32" s="13"/>
      <c r="QU32" s="13"/>
      <c r="QV32" s="13"/>
      <c r="QW32" s="41"/>
      <c r="QX32" s="41"/>
      <c r="QY32" s="41"/>
      <c r="QZ32" s="41"/>
      <c r="RA32" s="41"/>
      <c r="RB32" s="13"/>
      <c r="RC32" s="41"/>
      <c r="RD32" s="41"/>
      <c r="RE32" s="41"/>
      <c r="RF32" s="13"/>
      <c r="RG32" s="165"/>
      <c r="RH32" s="165"/>
      <c r="RI32" s="13"/>
      <c r="RJ32" s="13"/>
      <c r="RK32" s="13"/>
      <c r="RL32" s="13"/>
      <c r="RM32" s="13"/>
      <c r="RN32" s="13"/>
      <c r="RO32" s="13"/>
      <c r="RP32" s="13"/>
      <c r="RQ32" s="13"/>
      <c r="RR32" s="13"/>
      <c r="RS32" s="13"/>
      <c r="RT32" s="13"/>
      <c r="RU32" s="41"/>
      <c r="RV32" s="41"/>
      <c r="RW32" s="41"/>
      <c r="RX32" s="41"/>
      <c r="RY32" s="41"/>
      <c r="RZ32" s="13"/>
      <c r="SA32" s="41">
        <v>132.5</v>
      </c>
      <c r="SB32" s="41">
        <v>137.69999999999999</v>
      </c>
      <c r="SC32" s="13">
        <v>137.69999999999999</v>
      </c>
      <c r="SD32" s="13">
        <v>137.69999999999999</v>
      </c>
      <c r="SE32" s="13">
        <v>137.69999999999999</v>
      </c>
      <c r="SF32" s="13">
        <v>137.69999999999999</v>
      </c>
      <c r="SG32" s="13">
        <v>137.69999999999999</v>
      </c>
      <c r="SH32" s="13">
        <v>137.69999999999999</v>
      </c>
      <c r="SI32" s="13">
        <v>137.69999999999999</v>
      </c>
      <c r="SJ32" s="13">
        <v>137.69999999999999</v>
      </c>
      <c r="SK32" s="13">
        <v>137.69999999999999</v>
      </c>
      <c r="SL32" s="13">
        <v>137.69999999999999</v>
      </c>
      <c r="SM32" s="13">
        <v>137.69999999999999</v>
      </c>
      <c r="SN32" s="13">
        <v>137.69999999999999</v>
      </c>
      <c r="SO32" s="13">
        <v>137.69999999999999</v>
      </c>
      <c r="SP32" s="13"/>
      <c r="SQ32" s="13"/>
      <c r="SR32" s="41"/>
      <c r="SS32" s="13"/>
      <c r="ST32" s="13"/>
      <c r="SU32" s="13"/>
      <c r="SV32" s="13"/>
      <c r="SW32" s="13"/>
      <c r="SX32" s="13"/>
      <c r="SY32" s="13"/>
      <c r="SZ32" s="13"/>
      <c r="TA32" s="13"/>
      <c r="TB32" s="13"/>
      <c r="TC32" s="13"/>
      <c r="TD32" s="13"/>
      <c r="TE32" s="13"/>
      <c r="TF32" s="13"/>
      <c r="TG32" s="13"/>
      <c r="TH32" s="13"/>
      <c r="TI32" s="13"/>
      <c r="TJ32" s="13"/>
      <c r="TK32" s="13"/>
      <c r="TL32" s="13"/>
      <c r="TM32" s="13"/>
      <c r="TN32" s="13"/>
      <c r="TO32" s="13"/>
      <c r="TP32" s="13"/>
      <c r="TQ32" s="13"/>
      <c r="TR32" s="13"/>
      <c r="TS32" s="13"/>
      <c r="TT32" s="13"/>
      <c r="TU32" s="13"/>
      <c r="TV32" s="13"/>
      <c r="TW32" s="13"/>
      <c r="TX32" s="13"/>
      <c r="TY32" s="13"/>
      <c r="TZ32" s="13"/>
      <c r="UA32" s="13"/>
      <c r="UB32" s="13"/>
      <c r="UC32" s="13"/>
      <c r="UD32" s="13"/>
      <c r="UE32" s="13"/>
      <c r="UF32" s="13"/>
      <c r="UG32" s="13"/>
      <c r="UH32" s="13"/>
      <c r="UI32" s="41"/>
      <c r="UJ32" s="41"/>
      <c r="UK32" s="41"/>
      <c r="UL32" s="41"/>
      <c r="UM32" s="13"/>
      <c r="UN32" s="13"/>
      <c r="UO32" s="13"/>
      <c r="UP32" s="13"/>
      <c r="UQ32" s="41"/>
      <c r="UR32" s="13"/>
      <c r="US32" s="13"/>
      <c r="UT32" s="13"/>
      <c r="UU32" s="13"/>
      <c r="UV32" s="13"/>
      <c r="UW32" s="13"/>
      <c r="UX32" s="41"/>
      <c r="UY32" s="13"/>
      <c r="UZ32" s="41"/>
      <c r="VA32" s="13"/>
      <c r="VB32" s="41"/>
      <c r="VC32" s="41"/>
      <c r="VD32" s="13"/>
      <c r="VE32" s="13"/>
      <c r="VF32" s="41"/>
      <c r="VG32" s="41"/>
      <c r="VH32" s="13"/>
      <c r="VI32" s="13"/>
      <c r="VJ32" s="13"/>
      <c r="VK32" s="13"/>
      <c r="VL32" s="41"/>
      <c r="VM32" s="41"/>
      <c r="VN32" s="41"/>
      <c r="VO32" s="41"/>
      <c r="VP32" s="13"/>
      <c r="VQ32" s="41"/>
      <c r="VR32" s="13"/>
      <c r="VS32" s="13"/>
      <c r="VT32" s="13"/>
      <c r="VU32" s="13"/>
      <c r="VV32" s="41"/>
      <c r="VW32" s="41"/>
      <c r="VX32" s="41"/>
      <c r="VY32" s="41"/>
      <c r="VZ32" s="41"/>
      <c r="WA32" s="41"/>
      <c r="WB32" s="13"/>
      <c r="WC32" s="13"/>
      <c r="WD32" s="13"/>
      <c r="WE32" s="13"/>
      <c r="WF32" s="13"/>
      <c r="WG32" s="13"/>
      <c r="WH32" s="13"/>
      <c r="WI32" s="41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65"/>
      <c r="WY32" s="165"/>
      <c r="WZ32" s="165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41"/>
      <c r="XQ32" s="41"/>
      <c r="XR32" s="41"/>
      <c r="XS32" s="41"/>
      <c r="XT32" s="41"/>
      <c r="XU32" s="13"/>
      <c r="XV32" s="41"/>
      <c r="XW32" s="13"/>
      <c r="XX32" s="165"/>
      <c r="XY32" s="13"/>
      <c r="XZ32" s="165"/>
      <c r="YA32" s="165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41"/>
      <c r="YO32" s="41"/>
      <c r="YP32" s="41"/>
      <c r="YQ32" s="41"/>
      <c r="YR32" s="41"/>
      <c r="YS32" s="13"/>
      <c r="YT32" s="41">
        <v>81.2</v>
      </c>
      <c r="YU32" s="41">
        <v>89.6</v>
      </c>
      <c r="YV32" s="13">
        <v>89.6</v>
      </c>
      <c r="YW32" s="13">
        <v>89.6</v>
      </c>
      <c r="YX32" s="13">
        <v>89.6</v>
      </c>
      <c r="YY32" s="13">
        <v>89.6</v>
      </c>
      <c r="YZ32" s="13">
        <v>89.6</v>
      </c>
      <c r="ZA32" s="13">
        <v>89.6</v>
      </c>
      <c r="ZB32" s="13">
        <v>89.6</v>
      </c>
      <c r="ZC32" s="13">
        <v>89.6</v>
      </c>
      <c r="ZD32" s="13">
        <v>89.6</v>
      </c>
      <c r="ZE32" s="13">
        <v>89.6</v>
      </c>
      <c r="ZF32" s="13">
        <v>89.6</v>
      </c>
      <c r="ZG32" s="13">
        <v>89.6</v>
      </c>
      <c r="ZH32" s="13">
        <v>89.6</v>
      </c>
      <c r="ZI32" s="13">
        <v>89.6</v>
      </c>
      <c r="ZJ32" s="13">
        <v>89.6</v>
      </c>
      <c r="ZK32" s="41">
        <v>89.6</v>
      </c>
      <c r="ZL32" s="13">
        <v>89.6</v>
      </c>
      <c r="ZM32" s="13">
        <v>89.6</v>
      </c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  <c r="AAM32" s="13"/>
      <c r="AAN32" s="13"/>
      <c r="AAO32" s="13"/>
      <c r="AAP32" s="13"/>
      <c r="AAQ32" s="13"/>
      <c r="AAR32" s="13"/>
      <c r="AAS32" s="13"/>
      <c r="AAT32" s="13"/>
      <c r="AAU32" s="13"/>
      <c r="AAV32" s="13"/>
      <c r="AAW32" s="13"/>
      <c r="AAX32" s="13"/>
      <c r="AAY32" s="13"/>
      <c r="AAZ32" s="13"/>
      <c r="ABA32" s="13"/>
      <c r="ABB32" s="41"/>
      <c r="ABC32" s="41"/>
      <c r="ABD32" s="41"/>
      <c r="ABE32" s="13"/>
      <c r="ABF32" s="13"/>
      <c r="ABG32" s="10"/>
      <c r="ABH32" s="10"/>
      <c r="ABI32" s="10"/>
      <c r="ABJ32" s="10"/>
      <c r="ABK32" s="10"/>
      <c r="ABL32" s="43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69"/>
      <c r="ACB32" s="169"/>
      <c r="ACC32" s="169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43"/>
      <c r="ACT32" s="43"/>
      <c r="ACU32" s="43"/>
      <c r="ACV32" s="43"/>
      <c r="ACW32" s="43"/>
      <c r="ACX32" s="10"/>
      <c r="ACY32" s="43"/>
      <c r="ACZ32" s="10"/>
      <c r="ADA32" s="169"/>
      <c r="ADB32" s="10"/>
      <c r="ADC32" s="169"/>
      <c r="ADD32" s="169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43"/>
      <c r="ADR32" s="43"/>
      <c r="ADS32" s="43"/>
      <c r="ADT32" s="43"/>
      <c r="ADU32" s="43"/>
      <c r="ADV32" s="10"/>
      <c r="ADW32" s="10">
        <v>104</v>
      </c>
      <c r="ADX32" s="10">
        <v>104</v>
      </c>
      <c r="ADY32" s="10">
        <v>104</v>
      </c>
      <c r="ADZ32" s="10">
        <v>104</v>
      </c>
      <c r="AEA32" s="10">
        <v>104</v>
      </c>
      <c r="AEB32" s="10">
        <v>104</v>
      </c>
      <c r="AEC32" s="10">
        <v>104</v>
      </c>
      <c r="AED32" s="10">
        <v>104</v>
      </c>
      <c r="AEE32" s="10">
        <v>104</v>
      </c>
      <c r="AEF32" s="10">
        <v>104</v>
      </c>
      <c r="AEG32" s="10">
        <v>104</v>
      </c>
      <c r="AEH32" s="10">
        <v>104</v>
      </c>
      <c r="AEI32" s="10">
        <v>104</v>
      </c>
      <c r="AEJ32" s="10">
        <v>104</v>
      </c>
      <c r="AEK32" s="10">
        <v>104</v>
      </c>
      <c r="AEL32" s="10">
        <v>104</v>
      </c>
      <c r="AEM32" s="10">
        <v>104</v>
      </c>
      <c r="AEN32" s="43">
        <v>104</v>
      </c>
      <c r="AEO32" s="10">
        <v>104</v>
      </c>
      <c r="AEP32" s="10">
        <v>104</v>
      </c>
      <c r="AEQ32" s="10">
        <v>104</v>
      </c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>
        <v>104</v>
      </c>
      <c r="AFR32" s="10">
        <v>104</v>
      </c>
      <c r="AFS32" s="10">
        <v>104</v>
      </c>
      <c r="AFT32" s="10">
        <v>104</v>
      </c>
      <c r="AFU32" s="10">
        <v>104</v>
      </c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41"/>
      <c r="AHE32" s="41"/>
      <c r="AHF32" s="41"/>
      <c r="AHG32" s="41"/>
      <c r="AHH32" s="13"/>
      <c r="AHI32" s="10"/>
      <c r="AHJ32" s="10"/>
      <c r="AHK32" s="10"/>
      <c r="AHL32" s="10"/>
      <c r="AHM32" s="10"/>
      <c r="AHN32" s="43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69"/>
      <c r="AID32" s="169"/>
      <c r="AIE32" s="169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43"/>
      <c r="AIW32" s="43"/>
      <c r="AIX32" s="43"/>
      <c r="AIY32" s="43"/>
      <c r="AIZ32" s="43"/>
      <c r="AJA32" s="10"/>
      <c r="AJB32" s="43"/>
      <c r="AJC32" s="10"/>
      <c r="AJD32" s="10"/>
      <c r="AJE32" s="10"/>
      <c r="AJF32" s="10"/>
      <c r="AJG32" s="10"/>
      <c r="AJH32" s="10"/>
      <c r="AJI32" s="10"/>
      <c r="AJJ32" s="43"/>
      <c r="AJK32" s="43"/>
      <c r="AJL32" s="43"/>
      <c r="AJM32" s="43"/>
      <c r="AJN32" s="43"/>
      <c r="AJO32" s="10"/>
      <c r="AJP32" s="10"/>
      <c r="AJQ32" s="43"/>
      <c r="AJR32" s="10"/>
      <c r="AJS32" s="10"/>
      <c r="AJT32" s="223"/>
      <c r="AJU32" s="223"/>
      <c r="AJV32" s="314"/>
      <c r="AJW32" s="314"/>
      <c r="AJX32" s="314"/>
      <c r="AJY32" s="298"/>
      <c r="AJZ32" s="314"/>
      <c r="AKA32" s="298"/>
      <c r="AKB32" s="360"/>
      <c r="AKC32" s="298"/>
      <c r="AKD32" s="298"/>
      <c r="AKE32" s="298"/>
      <c r="AKF32" s="434"/>
      <c r="AKG32" s="298"/>
      <c r="AKH32" s="349"/>
      <c r="AKI32" s="4"/>
      <c r="AKJ32" s="186"/>
      <c r="AKK32" s="6"/>
      <c r="AKL32" s="196"/>
      <c r="AKM32" s="196"/>
      <c r="AKN32" s="196"/>
      <c r="AKO32" s="196"/>
      <c r="AKP32" s="187"/>
      <c r="AKQ32" s="187"/>
      <c r="AKR32" s="187"/>
      <c r="AKS32" s="187"/>
      <c r="AKT32" s="187"/>
      <c r="AKU32" s="187"/>
      <c r="AKV32" s="187"/>
      <c r="AKW32" s="187"/>
      <c r="AKX32" s="187"/>
      <c r="AKY32" s="187"/>
      <c r="AKZ32" s="187"/>
      <c r="ALA32" s="187"/>
      <c r="ALB32" s="187"/>
      <c r="ALC32" s="187"/>
      <c r="ALD32" s="187"/>
      <c r="ALU32" s="10">
        <v>104</v>
      </c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349"/>
      <c r="AML32" s="349"/>
      <c r="AMM32" s="349"/>
    </row>
    <row r="33" spans="1:1027" ht="29.1" hidden="1" customHeight="1" x14ac:dyDescent="0.3">
      <c r="A33" s="471" t="s">
        <v>115</v>
      </c>
      <c r="B33" s="472" t="s">
        <v>175</v>
      </c>
      <c r="C33" s="473" t="s">
        <v>2</v>
      </c>
      <c r="D33" s="473">
        <v>650</v>
      </c>
      <c r="E33" s="473"/>
      <c r="F33" s="474"/>
      <c r="G33" s="474"/>
      <c r="H33" s="474">
        <v>55</v>
      </c>
      <c r="I33" s="474">
        <v>64</v>
      </c>
      <c r="J33" s="475">
        <v>15000</v>
      </c>
      <c r="K33" s="476"/>
      <c r="L33" s="477"/>
      <c r="M33" s="477"/>
      <c r="N33" s="477"/>
      <c r="O33" s="477"/>
      <c r="P33" s="477">
        <v>57</v>
      </c>
      <c r="Q33" s="477"/>
      <c r="R33" s="477"/>
      <c r="S33" s="477"/>
      <c r="T33" s="477"/>
      <c r="U33" s="477"/>
      <c r="V33" s="477"/>
      <c r="W33" s="477"/>
      <c r="X33" s="477"/>
      <c r="Y33" s="477"/>
      <c r="Z33" s="477"/>
      <c r="AA33" s="477"/>
      <c r="AB33" s="477"/>
      <c r="AC33" s="477"/>
      <c r="AD33" s="477"/>
      <c r="AE33" s="477"/>
      <c r="AF33" s="477"/>
      <c r="AG33" s="477"/>
      <c r="AH33" s="477"/>
      <c r="AI33" s="477"/>
      <c r="AJ33" s="477"/>
      <c r="AK33" s="477"/>
      <c r="AL33" s="477"/>
      <c r="AM33" s="477"/>
      <c r="AN33" s="477"/>
      <c r="AO33" s="477"/>
      <c r="AP33" s="477"/>
      <c r="AQ33" s="477"/>
      <c r="AR33" s="477"/>
      <c r="AS33" s="477"/>
      <c r="AT33" s="477"/>
      <c r="AU33" s="477"/>
      <c r="AV33" s="477"/>
      <c r="AW33" s="477"/>
      <c r="AX33" s="477"/>
      <c r="AY33" s="477"/>
      <c r="AZ33" s="477"/>
      <c r="BA33" s="477"/>
      <c r="BB33" s="477"/>
      <c r="BC33" s="477"/>
      <c r="BD33" s="477"/>
      <c r="BE33" s="477"/>
      <c r="BF33" s="477"/>
      <c r="BG33" s="477"/>
      <c r="BH33" s="477"/>
      <c r="BI33" s="477"/>
      <c r="BJ33" s="477"/>
      <c r="BK33" s="477"/>
      <c r="BL33" s="477"/>
      <c r="BM33" s="477"/>
      <c r="BN33" s="477"/>
      <c r="BO33" s="477"/>
      <c r="BP33" s="477"/>
      <c r="BQ33" s="477"/>
      <c r="BR33" s="477"/>
      <c r="BS33" s="477"/>
      <c r="BT33" s="477"/>
      <c r="BU33" s="477"/>
      <c r="BV33" s="477"/>
      <c r="BW33" s="477"/>
      <c r="BX33" s="477"/>
      <c r="BY33" s="477"/>
      <c r="BZ33" s="477"/>
      <c r="CA33" s="477"/>
      <c r="CB33" s="477"/>
      <c r="CC33" s="477"/>
      <c r="CD33" s="477"/>
      <c r="CE33" s="477"/>
      <c r="CF33" s="477"/>
      <c r="CG33" s="477"/>
      <c r="CH33" s="477"/>
      <c r="CI33" s="477"/>
      <c r="CJ33" s="477"/>
      <c r="CK33" s="477"/>
      <c r="CL33" s="477"/>
      <c r="CM33" s="477"/>
      <c r="CN33" s="477"/>
      <c r="CO33" s="477"/>
      <c r="CP33" s="477"/>
      <c r="CQ33" s="477"/>
      <c r="CR33" s="477"/>
      <c r="CS33" s="477"/>
      <c r="CT33" s="477"/>
      <c r="CU33" s="477"/>
      <c r="CV33" s="477"/>
      <c r="CW33" s="477"/>
      <c r="CX33" s="477"/>
      <c r="CY33" s="477"/>
      <c r="CZ33" s="41"/>
      <c r="DA33" s="477"/>
      <c r="DB33" s="477">
        <v>113</v>
      </c>
      <c r="DC33" s="477">
        <v>112</v>
      </c>
      <c r="DD33" s="477">
        <v>112</v>
      </c>
      <c r="DE33" s="477">
        <v>112</v>
      </c>
      <c r="DF33" s="477">
        <v>112</v>
      </c>
      <c r="DG33" s="477">
        <v>112</v>
      </c>
      <c r="DH33" s="477">
        <v>112</v>
      </c>
      <c r="DI33" s="477"/>
      <c r="DJ33" s="477"/>
      <c r="DK33" s="477"/>
      <c r="DL33" s="477"/>
      <c r="DM33" s="477"/>
      <c r="DN33" s="477"/>
      <c r="DO33" s="477"/>
      <c r="DP33" s="477"/>
      <c r="DQ33" s="477"/>
      <c r="DR33" s="477"/>
      <c r="DS33" s="477"/>
      <c r="DT33" s="477"/>
      <c r="DU33" s="477"/>
      <c r="DV33" s="477"/>
      <c r="DW33" s="477"/>
      <c r="DX33" s="477"/>
      <c r="DY33" s="477"/>
      <c r="DZ33" s="477"/>
      <c r="EA33" s="477"/>
      <c r="EB33" s="477"/>
      <c r="EC33" s="477"/>
      <c r="ED33" s="477"/>
      <c r="EE33" s="477"/>
      <c r="EF33" s="477"/>
      <c r="EG33" s="477"/>
      <c r="EH33" s="477"/>
      <c r="EI33" s="477"/>
      <c r="EJ33" s="477"/>
      <c r="EK33" s="477"/>
      <c r="EL33" s="477"/>
      <c r="EM33" s="477"/>
      <c r="EN33" s="477"/>
      <c r="EO33" s="477"/>
      <c r="EP33" s="477"/>
      <c r="EQ33" s="477"/>
      <c r="ER33" s="477"/>
      <c r="ES33" s="477"/>
      <c r="ET33" s="477"/>
      <c r="EU33" s="477"/>
      <c r="EV33" s="477"/>
      <c r="EW33" s="477"/>
      <c r="EX33" s="477"/>
      <c r="EY33" s="477"/>
      <c r="EZ33" s="477"/>
      <c r="FA33" s="477"/>
      <c r="FB33" s="477"/>
      <c r="FC33" s="477"/>
      <c r="FD33" s="477"/>
      <c r="FE33" s="477"/>
      <c r="FF33" s="477"/>
      <c r="FG33" s="477"/>
      <c r="FH33" s="477"/>
      <c r="FI33" s="477"/>
      <c r="FJ33" s="477"/>
      <c r="FK33" s="477"/>
      <c r="FL33" s="477"/>
      <c r="FM33" s="477"/>
      <c r="FN33" s="477"/>
      <c r="FO33" s="477"/>
      <c r="FP33" s="477"/>
      <c r="FQ33" s="477"/>
      <c r="FR33" s="477"/>
      <c r="FS33" s="477"/>
      <c r="FT33" s="477"/>
      <c r="FU33" s="477"/>
      <c r="FV33" s="477"/>
      <c r="FW33" s="477"/>
      <c r="FX33" s="477"/>
      <c r="FY33" s="477"/>
      <c r="FZ33" s="477"/>
      <c r="GA33" s="477"/>
      <c r="GB33" s="477"/>
      <c r="GC33" s="477"/>
      <c r="GD33" s="477"/>
      <c r="GE33" s="477"/>
      <c r="GF33" s="477"/>
      <c r="GG33" s="477"/>
      <c r="GH33" s="477"/>
      <c r="GI33" s="477"/>
      <c r="GJ33" s="477"/>
      <c r="GK33" s="477"/>
      <c r="GL33" s="477"/>
      <c r="GM33" s="477"/>
      <c r="GN33" s="477"/>
      <c r="GO33" s="477"/>
      <c r="GP33" s="477"/>
      <c r="GQ33" s="477"/>
      <c r="GR33" s="477"/>
      <c r="GS33" s="477"/>
      <c r="GT33" s="477"/>
      <c r="GU33" s="477"/>
      <c r="GV33" s="477"/>
      <c r="GW33" s="477"/>
      <c r="GX33" s="477"/>
      <c r="GY33" s="477"/>
      <c r="GZ33" s="477"/>
      <c r="HA33" s="477"/>
      <c r="HB33" s="477"/>
      <c r="HC33" s="477"/>
      <c r="HD33" s="477"/>
      <c r="HE33" s="477"/>
      <c r="HF33" s="477"/>
      <c r="HG33" s="477"/>
      <c r="HH33" s="477"/>
      <c r="HI33" s="477"/>
      <c r="HJ33" s="477"/>
      <c r="HK33" s="477"/>
      <c r="HL33" s="477"/>
      <c r="HM33" s="477"/>
      <c r="HN33" s="477"/>
      <c r="HO33" s="477"/>
      <c r="HP33" s="477"/>
      <c r="HQ33" s="477"/>
      <c r="HR33" s="477"/>
      <c r="HS33" s="477"/>
      <c r="HT33" s="477"/>
      <c r="HU33" s="477"/>
      <c r="HV33" s="477"/>
      <c r="HW33" s="477"/>
      <c r="HX33" s="477"/>
      <c r="HY33" s="477"/>
      <c r="HZ33" s="477"/>
      <c r="IA33" s="477"/>
      <c r="IB33" s="477"/>
      <c r="IC33" s="477">
        <v>130</v>
      </c>
      <c r="ID33" s="477">
        <v>130</v>
      </c>
      <c r="IE33" s="477">
        <v>130</v>
      </c>
      <c r="IF33" s="41">
        <v>130</v>
      </c>
      <c r="IG33" s="477">
        <v>130</v>
      </c>
      <c r="IH33" s="477">
        <v>106.5</v>
      </c>
      <c r="II33" s="477">
        <v>102</v>
      </c>
      <c r="IJ33" s="477">
        <v>105</v>
      </c>
      <c r="IK33" s="477">
        <v>105</v>
      </c>
      <c r="IL33" s="477">
        <v>105</v>
      </c>
      <c r="IM33" s="477">
        <v>105</v>
      </c>
      <c r="IN33" s="477">
        <v>105</v>
      </c>
      <c r="IO33" s="477"/>
      <c r="IP33" s="477"/>
      <c r="IQ33" s="477"/>
      <c r="IR33" s="477"/>
      <c r="IS33" s="477"/>
      <c r="IT33" s="477"/>
      <c r="IU33" s="477"/>
      <c r="IV33" s="477"/>
      <c r="IW33" s="477"/>
      <c r="IX33" s="477"/>
      <c r="IY33" s="477"/>
      <c r="IZ33" s="477"/>
      <c r="JA33" s="477"/>
      <c r="JB33" s="477"/>
      <c r="JC33" s="477"/>
      <c r="JD33" s="477"/>
      <c r="JE33" s="477"/>
      <c r="JF33" s="477"/>
      <c r="JG33" s="477"/>
      <c r="JH33" s="477">
        <v>105</v>
      </c>
      <c r="JI33" s="477"/>
      <c r="JJ33" s="477"/>
      <c r="JK33" s="477"/>
      <c r="JL33" s="477"/>
      <c r="JM33" s="477"/>
      <c r="JN33" s="477"/>
      <c r="JO33" s="477"/>
      <c r="JP33" s="477"/>
      <c r="JQ33" s="477"/>
      <c r="JR33" s="477"/>
      <c r="JS33" s="477"/>
      <c r="JT33" s="477"/>
      <c r="JU33" s="477"/>
      <c r="JV33" s="477">
        <v>105</v>
      </c>
      <c r="JW33" s="477"/>
      <c r="JX33" s="477"/>
      <c r="JY33" s="477"/>
      <c r="JZ33" s="478"/>
      <c r="KA33" s="478"/>
      <c r="KB33" s="478"/>
      <c r="KC33" s="478"/>
      <c r="KD33" s="478">
        <v>69</v>
      </c>
      <c r="KE33" s="478"/>
      <c r="KF33" s="478"/>
      <c r="KG33" s="478"/>
      <c r="KH33" s="478"/>
      <c r="KI33" s="478"/>
      <c r="KJ33" s="478"/>
      <c r="KK33" s="478"/>
      <c r="KL33" s="478"/>
      <c r="KM33" s="478"/>
      <c r="KN33" s="478"/>
      <c r="KO33" s="478"/>
      <c r="KP33" s="478"/>
      <c r="KQ33" s="478"/>
      <c r="KR33" s="478"/>
      <c r="KS33" s="478"/>
      <c r="KT33" s="478"/>
      <c r="KU33" s="478"/>
      <c r="KV33" s="478"/>
      <c r="KW33" s="478"/>
      <c r="KX33" s="478"/>
      <c r="KY33" s="478"/>
      <c r="KZ33" s="478"/>
      <c r="LA33" s="478"/>
      <c r="LB33" s="478"/>
      <c r="LC33" s="478"/>
      <c r="LD33" s="478"/>
      <c r="LE33" s="478"/>
      <c r="LF33" s="478"/>
      <c r="LG33" s="478"/>
      <c r="LH33" s="478"/>
      <c r="LI33" s="478"/>
      <c r="LJ33" s="478"/>
      <c r="LK33" s="478"/>
      <c r="LL33" s="478"/>
      <c r="LM33" s="478"/>
      <c r="LN33" s="478"/>
      <c r="LO33" s="478"/>
      <c r="LP33" s="478"/>
      <c r="LQ33" s="478"/>
      <c r="LR33" s="478"/>
      <c r="LS33" s="478"/>
      <c r="LT33" s="478"/>
      <c r="LU33" s="478"/>
      <c r="LV33" s="478"/>
      <c r="LW33" s="478"/>
      <c r="LX33" s="478"/>
      <c r="LY33" s="478"/>
      <c r="LZ33" s="478"/>
      <c r="MA33" s="478"/>
      <c r="MB33" s="478">
        <v>80</v>
      </c>
      <c r="MC33" s="478">
        <v>88</v>
      </c>
      <c r="MD33" s="478">
        <v>88</v>
      </c>
      <c r="ME33" s="478"/>
      <c r="MF33" s="478"/>
      <c r="MG33" s="478"/>
      <c r="MH33" s="478"/>
      <c r="MI33" s="478"/>
      <c r="MJ33" s="478"/>
      <c r="MK33" s="478"/>
      <c r="ML33" s="478"/>
      <c r="MM33" s="478"/>
      <c r="MN33" s="478"/>
      <c r="MO33" s="478"/>
      <c r="MP33" s="478"/>
      <c r="MQ33" s="478"/>
      <c r="MR33" s="478"/>
      <c r="MS33" s="478"/>
      <c r="MT33" s="478"/>
      <c r="MU33" s="478"/>
      <c r="MV33" s="478"/>
      <c r="MW33" s="478"/>
      <c r="MX33" s="478"/>
      <c r="MY33" s="478"/>
      <c r="MZ33" s="478"/>
      <c r="NA33" s="478"/>
      <c r="NB33" s="478"/>
      <c r="NC33" s="478"/>
      <c r="ND33" s="478"/>
      <c r="NE33" s="478"/>
      <c r="NF33" s="478"/>
      <c r="NG33" s="478"/>
      <c r="NH33" s="478"/>
      <c r="NI33" s="478">
        <v>124</v>
      </c>
      <c r="NJ33" s="478">
        <v>124</v>
      </c>
      <c r="NK33" s="478">
        <v>124</v>
      </c>
      <c r="NL33" s="43">
        <v>119</v>
      </c>
      <c r="NM33" s="478">
        <v>115</v>
      </c>
      <c r="NN33" s="478">
        <v>107</v>
      </c>
      <c r="NO33" s="478">
        <v>99</v>
      </c>
      <c r="NP33" s="478">
        <v>115</v>
      </c>
      <c r="NQ33" s="478"/>
      <c r="NR33" s="478"/>
      <c r="NS33" s="478"/>
      <c r="NT33" s="478"/>
      <c r="NU33" s="478"/>
      <c r="NV33" s="478"/>
      <c r="NW33" s="478"/>
      <c r="NX33" s="478"/>
      <c r="NY33" s="478"/>
      <c r="NZ33" s="478"/>
      <c r="OA33" s="478"/>
      <c r="OB33" s="478"/>
      <c r="OC33" s="478"/>
      <c r="OD33" s="478"/>
      <c r="OE33" s="478"/>
      <c r="OF33" s="478"/>
      <c r="OG33" s="478"/>
      <c r="OH33" s="478"/>
      <c r="OI33" s="478"/>
      <c r="OJ33" s="478"/>
      <c r="OK33" s="478"/>
      <c r="OL33" s="478"/>
      <c r="OM33" s="478"/>
      <c r="ON33" s="478"/>
      <c r="OO33" s="478"/>
      <c r="OP33" s="478"/>
      <c r="OQ33" s="478"/>
      <c r="OR33" s="478"/>
      <c r="OS33" s="478"/>
      <c r="OT33" s="478"/>
      <c r="OU33" s="478"/>
      <c r="OV33" s="478"/>
      <c r="OW33" s="478"/>
      <c r="OX33" s="478"/>
      <c r="OY33" s="478"/>
      <c r="OZ33" s="478"/>
      <c r="PA33" s="478"/>
      <c r="PB33" s="478"/>
      <c r="PC33" s="477"/>
      <c r="PD33" s="477"/>
      <c r="PE33" s="477"/>
      <c r="PF33" s="477"/>
      <c r="PG33" s="477"/>
      <c r="PH33" s="477"/>
      <c r="PI33" s="477"/>
      <c r="PJ33" s="477"/>
      <c r="PK33" s="477"/>
      <c r="PL33" s="477"/>
      <c r="PM33" s="477"/>
      <c r="PN33" s="477"/>
      <c r="PO33" s="477"/>
      <c r="PP33" s="477"/>
      <c r="PQ33" s="477"/>
      <c r="PR33" s="477"/>
      <c r="PS33" s="477"/>
      <c r="PT33" s="477"/>
      <c r="PU33" s="477"/>
      <c r="PV33" s="477"/>
      <c r="PW33" s="477"/>
      <c r="PX33" s="477"/>
      <c r="PY33" s="477"/>
      <c r="PZ33" s="477"/>
      <c r="QA33" s="477"/>
      <c r="QB33" s="477"/>
      <c r="QC33" s="477"/>
      <c r="QD33" s="477"/>
      <c r="QE33" s="477"/>
      <c r="QF33" s="477"/>
      <c r="QG33" s="477"/>
      <c r="QH33" s="477"/>
      <c r="QI33" s="477"/>
      <c r="QJ33" s="477"/>
      <c r="QK33" s="477"/>
      <c r="QL33" s="477"/>
      <c r="QM33" s="477"/>
      <c r="QN33" s="477"/>
      <c r="QO33" s="477"/>
      <c r="QP33" s="477"/>
      <c r="QQ33" s="477"/>
      <c r="QR33" s="477"/>
      <c r="QS33" s="477"/>
      <c r="QT33" s="477"/>
      <c r="QU33" s="477"/>
      <c r="QV33" s="477"/>
      <c r="QW33" s="477"/>
      <c r="QX33" s="477"/>
      <c r="QY33" s="477"/>
      <c r="QZ33" s="477"/>
      <c r="RA33" s="477"/>
      <c r="RB33" s="477"/>
      <c r="RC33" s="477">
        <v>79.069999999999993</v>
      </c>
      <c r="RD33" s="477">
        <v>79.069999999999993</v>
      </c>
      <c r="RE33" s="477"/>
      <c r="RF33" s="477"/>
      <c r="RG33" s="477"/>
      <c r="RH33" s="477"/>
      <c r="RI33" s="477"/>
      <c r="RJ33" s="477"/>
      <c r="RK33" s="477"/>
      <c r="RL33" s="477"/>
      <c r="RM33" s="477"/>
      <c r="RN33" s="477"/>
      <c r="RO33" s="477"/>
      <c r="RP33" s="477"/>
      <c r="RQ33" s="477"/>
      <c r="RR33" s="477"/>
      <c r="RS33" s="477"/>
      <c r="RT33" s="477"/>
      <c r="RU33" s="477"/>
      <c r="RV33" s="477"/>
      <c r="RW33" s="477"/>
      <c r="RX33" s="477"/>
      <c r="RY33" s="477"/>
      <c r="RZ33" s="477"/>
      <c r="SA33" s="477"/>
      <c r="SB33" s="477"/>
      <c r="SC33" s="477"/>
      <c r="SD33" s="477"/>
      <c r="SE33" s="477"/>
      <c r="SF33" s="477"/>
      <c r="SG33" s="477"/>
      <c r="SH33" s="477"/>
      <c r="SI33" s="477"/>
      <c r="SJ33" s="477"/>
      <c r="SK33" s="477"/>
      <c r="SL33" s="477"/>
      <c r="SM33" s="477"/>
      <c r="SN33" s="477"/>
      <c r="SO33" s="477"/>
      <c r="SP33" s="477">
        <v>153.22999999999999</v>
      </c>
      <c r="SQ33" s="477">
        <v>138.69999999999999</v>
      </c>
      <c r="SR33" s="41">
        <v>138.69999999999999</v>
      </c>
      <c r="SS33" s="477">
        <v>102.08</v>
      </c>
      <c r="ST33" s="477">
        <v>126.07</v>
      </c>
      <c r="SU33" s="477"/>
      <c r="SV33" s="477"/>
      <c r="SW33" s="477"/>
      <c r="SX33" s="477"/>
      <c r="SY33" s="477"/>
      <c r="SZ33" s="477"/>
      <c r="TA33" s="477"/>
      <c r="TB33" s="477"/>
      <c r="TC33" s="477"/>
      <c r="TD33" s="477"/>
      <c r="TE33" s="477"/>
      <c r="TF33" s="477"/>
      <c r="TG33" s="477"/>
      <c r="TH33" s="477"/>
      <c r="TI33" s="477"/>
      <c r="TJ33" s="477"/>
      <c r="TK33" s="477"/>
      <c r="TL33" s="477"/>
      <c r="TM33" s="477"/>
      <c r="TN33" s="477"/>
      <c r="TO33" s="477"/>
      <c r="TP33" s="477"/>
      <c r="TQ33" s="477"/>
      <c r="TR33" s="477"/>
      <c r="TS33" s="477"/>
      <c r="TT33" s="477"/>
      <c r="TU33" s="477"/>
      <c r="TV33" s="477"/>
      <c r="TW33" s="477"/>
      <c r="TX33" s="477"/>
      <c r="TY33" s="477"/>
      <c r="TZ33" s="477"/>
      <c r="UA33" s="477"/>
      <c r="UB33" s="477"/>
      <c r="UC33" s="477"/>
      <c r="UD33" s="477"/>
      <c r="UE33" s="477"/>
      <c r="UF33" s="477"/>
      <c r="UG33" s="477"/>
      <c r="UH33" s="477"/>
      <c r="UI33" s="477"/>
      <c r="UJ33" s="477"/>
      <c r="UK33" s="477"/>
      <c r="UL33" s="477"/>
      <c r="UM33" s="477"/>
      <c r="UN33" s="477"/>
      <c r="UO33" s="477"/>
      <c r="UP33" s="477"/>
      <c r="UQ33" s="477"/>
      <c r="UR33" s="477"/>
      <c r="US33" s="477"/>
      <c r="UT33" s="477"/>
      <c r="UU33" s="477"/>
      <c r="UV33" s="477"/>
      <c r="UW33" s="477"/>
      <c r="UX33" s="477"/>
      <c r="UY33" s="477"/>
      <c r="UZ33" s="477"/>
      <c r="VA33" s="477"/>
      <c r="VB33" s="477"/>
      <c r="VC33" s="477"/>
      <c r="VD33" s="477"/>
      <c r="VE33" s="477"/>
      <c r="VF33" s="477"/>
      <c r="VG33" s="477"/>
      <c r="VH33" s="477"/>
      <c r="VI33" s="477"/>
      <c r="VJ33" s="477"/>
      <c r="VK33" s="477"/>
      <c r="VL33" s="477"/>
      <c r="VM33" s="477"/>
      <c r="VN33" s="477"/>
      <c r="VO33" s="477"/>
      <c r="VP33" s="477"/>
      <c r="VQ33" s="477"/>
      <c r="VR33" s="477"/>
      <c r="VS33" s="477"/>
      <c r="VT33" s="477"/>
      <c r="VU33" s="477"/>
      <c r="VV33" s="477"/>
      <c r="VW33" s="477"/>
      <c r="VX33" s="477"/>
      <c r="VY33" s="477"/>
      <c r="VZ33" s="477"/>
      <c r="WA33" s="477"/>
      <c r="WB33" s="477">
        <v>59.5</v>
      </c>
      <c r="WC33" s="477">
        <v>59.5</v>
      </c>
      <c r="WD33" s="477">
        <v>59.5</v>
      </c>
      <c r="WE33" s="477">
        <v>60.5</v>
      </c>
      <c r="WF33" s="477">
        <v>60.5</v>
      </c>
      <c r="WG33" s="477"/>
      <c r="WH33" s="477"/>
      <c r="WI33" s="477"/>
      <c r="WJ33" s="477"/>
      <c r="WK33" s="477"/>
      <c r="WL33" s="477"/>
      <c r="WM33" s="477"/>
      <c r="WN33" s="477"/>
      <c r="WO33" s="477"/>
      <c r="WP33" s="477"/>
      <c r="WQ33" s="477"/>
      <c r="WR33" s="477"/>
      <c r="WS33" s="477"/>
      <c r="WT33" s="477"/>
      <c r="WU33" s="477"/>
      <c r="WV33" s="477"/>
      <c r="WW33" s="477"/>
      <c r="WX33" s="477"/>
      <c r="WY33" s="477"/>
      <c r="WZ33" s="477"/>
      <c r="XA33" s="477"/>
      <c r="XB33" s="477"/>
      <c r="XC33" s="477"/>
      <c r="XD33" s="477"/>
      <c r="XE33" s="477"/>
      <c r="XF33" s="477"/>
      <c r="XG33" s="477"/>
      <c r="XH33" s="477"/>
      <c r="XI33" s="477"/>
      <c r="XJ33" s="477"/>
      <c r="XK33" s="477"/>
      <c r="XL33" s="477"/>
      <c r="XM33" s="477"/>
      <c r="XN33" s="477"/>
      <c r="XO33" s="477"/>
      <c r="XP33" s="477"/>
      <c r="XQ33" s="477"/>
      <c r="XR33" s="477"/>
      <c r="XS33" s="477"/>
      <c r="XT33" s="477"/>
      <c r="XU33" s="477">
        <v>75.900000000000006</v>
      </c>
      <c r="XV33" s="477">
        <v>75.900000000000006</v>
      </c>
      <c r="XW33" s="477">
        <v>75.900000000000006</v>
      </c>
      <c r="XX33" s="477">
        <v>75.900000000000006</v>
      </c>
      <c r="XY33" s="477">
        <v>72.599999999999994</v>
      </c>
      <c r="XZ33" s="477">
        <v>72.599999999999994</v>
      </c>
      <c r="YA33" s="477">
        <v>78.099999999999994</v>
      </c>
      <c r="YB33" s="477"/>
      <c r="YC33" s="477"/>
      <c r="YD33" s="477"/>
      <c r="YE33" s="477"/>
      <c r="YF33" s="477"/>
      <c r="YG33" s="477"/>
      <c r="YH33" s="477"/>
      <c r="YI33" s="477"/>
      <c r="YJ33" s="477"/>
      <c r="YK33" s="477"/>
      <c r="YL33" s="477"/>
      <c r="YM33" s="477"/>
      <c r="YN33" s="477"/>
      <c r="YO33" s="477"/>
      <c r="YP33" s="477"/>
      <c r="YQ33" s="477"/>
      <c r="YR33" s="477"/>
      <c r="YS33" s="477"/>
      <c r="YT33" s="477"/>
      <c r="YU33" s="477"/>
      <c r="YV33" s="477"/>
      <c r="YW33" s="477"/>
      <c r="YX33" s="477"/>
      <c r="YY33" s="477"/>
      <c r="YZ33" s="477"/>
      <c r="ZA33" s="477"/>
      <c r="ZB33" s="477"/>
      <c r="ZC33" s="477"/>
      <c r="ZD33" s="477"/>
      <c r="ZE33" s="477"/>
      <c r="ZF33" s="477"/>
      <c r="ZG33" s="477"/>
      <c r="ZH33" s="477">
        <v>152</v>
      </c>
      <c r="ZI33" s="477">
        <v>152</v>
      </c>
      <c r="ZJ33" s="477">
        <v>140.36000000000001</v>
      </c>
      <c r="ZK33" s="41">
        <v>140.36000000000001</v>
      </c>
      <c r="ZL33" s="477">
        <v>140.36000000000001</v>
      </c>
      <c r="ZM33" s="477">
        <v>118</v>
      </c>
      <c r="ZN33" s="477"/>
      <c r="ZO33" s="477"/>
      <c r="ZP33" s="477"/>
      <c r="ZQ33" s="477"/>
      <c r="ZR33" s="477"/>
      <c r="ZS33" s="477"/>
      <c r="ZT33" s="477"/>
      <c r="ZU33" s="477"/>
      <c r="ZV33" s="477"/>
      <c r="ZW33" s="477"/>
      <c r="ZX33" s="477"/>
      <c r="ZY33" s="477"/>
      <c r="ZZ33" s="477"/>
      <c r="AAA33" s="477"/>
      <c r="AAB33" s="477"/>
      <c r="AAC33" s="477"/>
      <c r="AAD33" s="477"/>
      <c r="AAE33" s="477"/>
      <c r="AAF33" s="477"/>
      <c r="AAG33" s="477"/>
      <c r="AAH33" s="477"/>
      <c r="AAI33" s="477"/>
      <c r="AAJ33" s="477"/>
      <c r="AAK33" s="477"/>
      <c r="AAL33" s="477"/>
      <c r="AAM33" s="477"/>
      <c r="AAN33" s="477"/>
      <c r="AAO33" s="477"/>
      <c r="AAP33" s="477"/>
      <c r="AAQ33" s="477"/>
      <c r="AAR33" s="477"/>
      <c r="AAS33" s="477"/>
      <c r="AAT33" s="477"/>
      <c r="AAU33" s="477"/>
      <c r="AAV33" s="477"/>
      <c r="AAW33" s="477"/>
      <c r="AAX33" s="477"/>
      <c r="AAY33" s="477"/>
      <c r="AAZ33" s="477"/>
      <c r="ABA33" s="477"/>
      <c r="ABB33" s="477"/>
      <c r="ABC33" s="477"/>
      <c r="ABD33" s="477"/>
      <c r="ABE33" s="477"/>
      <c r="ABF33" s="477"/>
      <c r="ABG33" s="478"/>
      <c r="ABH33" s="478"/>
      <c r="ABI33" s="478"/>
      <c r="ABJ33" s="478"/>
      <c r="ABK33" s="478"/>
      <c r="ABL33" s="478"/>
      <c r="ABM33" s="478"/>
      <c r="ABN33" s="478"/>
      <c r="ABO33" s="478"/>
      <c r="ABP33" s="478"/>
      <c r="ABQ33" s="478"/>
      <c r="ABR33" s="478"/>
      <c r="ABS33" s="478"/>
      <c r="ABT33" s="478"/>
      <c r="ABU33" s="478"/>
      <c r="ABV33" s="478"/>
      <c r="ABW33" s="478"/>
      <c r="ABX33" s="478"/>
      <c r="ABY33" s="478"/>
      <c r="ABZ33" s="478"/>
      <c r="ACA33" s="478"/>
      <c r="ACB33" s="478"/>
      <c r="ACC33" s="478"/>
      <c r="ACD33" s="478"/>
      <c r="ACE33" s="478"/>
      <c r="ACF33" s="478"/>
      <c r="ACG33" s="478"/>
      <c r="ACH33" s="478"/>
      <c r="ACI33" s="478"/>
      <c r="ACJ33" s="478"/>
      <c r="ACK33" s="478"/>
      <c r="ACL33" s="478"/>
      <c r="ACM33" s="478"/>
      <c r="ACN33" s="478"/>
      <c r="ACO33" s="478"/>
      <c r="ACP33" s="478"/>
      <c r="ACQ33" s="478"/>
      <c r="ACR33" s="478"/>
      <c r="ACS33" s="478"/>
      <c r="ACT33" s="478"/>
      <c r="ACU33" s="478"/>
      <c r="ACV33" s="478"/>
      <c r="ACW33" s="478"/>
      <c r="ACX33" s="478"/>
      <c r="ACY33" s="478"/>
      <c r="ACZ33" s="478"/>
      <c r="ADA33" s="478"/>
      <c r="ADB33" s="478"/>
      <c r="ADC33" s="478"/>
      <c r="ADD33" s="478"/>
      <c r="ADE33" s="478"/>
      <c r="ADF33" s="478"/>
      <c r="ADG33" s="478"/>
      <c r="ADH33" s="478"/>
      <c r="ADI33" s="478"/>
      <c r="ADJ33" s="478"/>
      <c r="ADK33" s="478"/>
      <c r="ADL33" s="478"/>
      <c r="ADM33" s="478"/>
      <c r="ADN33" s="478"/>
      <c r="ADO33" s="478"/>
      <c r="ADP33" s="478"/>
      <c r="ADQ33" s="478"/>
      <c r="ADR33" s="478"/>
      <c r="ADS33" s="478"/>
      <c r="ADT33" s="478"/>
      <c r="ADU33" s="478"/>
      <c r="ADV33" s="478"/>
      <c r="ADW33" s="478"/>
      <c r="ADX33" s="478"/>
      <c r="ADY33" s="478"/>
      <c r="ADZ33" s="478"/>
      <c r="AEA33" s="478"/>
      <c r="AEB33" s="478"/>
      <c r="AEC33" s="478"/>
      <c r="AED33" s="478"/>
      <c r="AEE33" s="478"/>
      <c r="AEF33" s="478"/>
      <c r="AEG33" s="478"/>
      <c r="AEH33" s="478"/>
      <c r="AEI33" s="478"/>
      <c r="AEJ33" s="478"/>
      <c r="AEK33" s="478">
        <v>131</v>
      </c>
      <c r="AEL33" s="478">
        <v>131</v>
      </c>
      <c r="AEM33" s="478">
        <v>131</v>
      </c>
      <c r="AEN33" s="43">
        <v>131</v>
      </c>
      <c r="AEO33" s="478">
        <v>128</v>
      </c>
      <c r="AEP33" s="478"/>
      <c r="AEQ33" s="478"/>
      <c r="AER33" s="478"/>
      <c r="AES33" s="478"/>
      <c r="AET33" s="478"/>
      <c r="AEU33" s="478"/>
      <c r="AEV33" s="478"/>
      <c r="AEW33" s="478"/>
      <c r="AEX33" s="478"/>
      <c r="AEY33" s="478"/>
      <c r="AEZ33" s="478"/>
      <c r="AFA33" s="478"/>
      <c r="AFB33" s="478"/>
      <c r="AFC33" s="478"/>
      <c r="AFD33" s="478"/>
      <c r="AFE33" s="478"/>
      <c r="AFF33" s="478"/>
      <c r="AFG33" s="478"/>
      <c r="AFH33" s="478"/>
      <c r="AFI33" s="478"/>
      <c r="AFJ33" s="478"/>
      <c r="AFK33" s="478"/>
      <c r="AFL33" s="478"/>
      <c r="AFM33" s="478"/>
      <c r="AFN33" s="478"/>
      <c r="AFO33" s="478"/>
      <c r="AFP33" s="478"/>
      <c r="AFQ33" s="478"/>
      <c r="AFR33" s="478"/>
      <c r="AFS33" s="478"/>
      <c r="AFT33" s="478"/>
      <c r="AFU33" s="478"/>
      <c r="AFV33" s="478"/>
      <c r="AFW33" s="478"/>
      <c r="AFX33" s="478"/>
      <c r="AFY33" s="478"/>
      <c r="AFZ33" s="478"/>
      <c r="AGA33" s="478"/>
      <c r="AGB33" s="478"/>
      <c r="AGC33" s="478"/>
      <c r="AGD33" s="478"/>
      <c r="AGE33" s="478"/>
      <c r="AGF33" s="478"/>
      <c r="AGG33" s="478"/>
      <c r="AGH33" s="478"/>
      <c r="AGI33" s="478"/>
      <c r="AGJ33" s="478"/>
      <c r="AGK33" s="478"/>
      <c r="AGL33" s="478"/>
      <c r="AGM33" s="478"/>
      <c r="AGN33" s="478"/>
      <c r="AGO33" s="478"/>
      <c r="AGP33" s="478"/>
      <c r="AGQ33" s="478"/>
      <c r="AGR33" s="478"/>
      <c r="AGS33" s="478"/>
      <c r="AGT33" s="478"/>
      <c r="AGU33" s="478"/>
      <c r="AGV33" s="478"/>
      <c r="AGW33" s="478"/>
      <c r="AGX33" s="478"/>
      <c r="AGY33" s="478"/>
      <c r="AGZ33" s="478"/>
      <c r="AHA33" s="478"/>
      <c r="AHB33" s="478"/>
      <c r="AHC33" s="478"/>
      <c r="AHD33" s="41"/>
      <c r="AHE33" s="41"/>
      <c r="AHF33" s="41"/>
      <c r="AHG33" s="41"/>
      <c r="AHH33" s="13"/>
      <c r="AHI33" s="10"/>
      <c r="AHJ33" s="10"/>
      <c r="AHK33" s="10"/>
      <c r="AHL33" s="10"/>
      <c r="AHM33" s="10"/>
      <c r="AHN33" s="43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69"/>
      <c r="AID33" s="169"/>
      <c r="AIE33" s="169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43"/>
      <c r="AIW33" s="43"/>
      <c r="AIX33" s="43"/>
      <c r="AIY33" s="43"/>
      <c r="AIZ33" s="43"/>
      <c r="AJA33" s="10"/>
      <c r="AJB33" s="43"/>
      <c r="AJC33" s="10"/>
      <c r="AJD33" s="10"/>
      <c r="AJE33" s="10"/>
      <c r="AJF33" s="10"/>
      <c r="AJG33" s="10"/>
      <c r="AJH33" s="10"/>
      <c r="AJI33" s="10"/>
      <c r="AJJ33" s="43"/>
      <c r="AJK33" s="43"/>
      <c r="AJL33" s="43"/>
      <c r="AJM33" s="43"/>
      <c r="AJN33" s="43"/>
      <c r="AJO33" s="10"/>
      <c r="AJP33" s="10"/>
      <c r="AJQ33" s="43"/>
      <c r="AJR33" s="478"/>
      <c r="AJS33" s="478"/>
      <c r="AJT33" s="43"/>
      <c r="AJU33" s="43"/>
      <c r="AJV33" s="307"/>
      <c r="AJW33" s="307"/>
      <c r="AJX33" s="307">
        <v>72</v>
      </c>
      <c r="AJY33" s="286">
        <v>72</v>
      </c>
      <c r="AJZ33" s="307">
        <v>72</v>
      </c>
      <c r="AKA33" s="286">
        <v>72</v>
      </c>
      <c r="AKB33" s="353">
        <v>72</v>
      </c>
      <c r="AKC33" s="286">
        <v>77.5</v>
      </c>
      <c r="AKD33" s="286">
        <v>77.5</v>
      </c>
      <c r="AKE33" s="286">
        <v>76</v>
      </c>
      <c r="AKF33" s="431"/>
      <c r="AKG33" s="286"/>
      <c r="AKH33" s="349"/>
      <c r="AKI33" s="282" t="e">
        <f>AVERAGE(#REF!)</f>
        <v>#REF!</v>
      </c>
      <c r="AKJ33" s="187" t="e">
        <f>AVERAGE(#REF!)</f>
        <v>#REF!</v>
      </c>
      <c r="AKK33" s="196" t="e">
        <f>AVERAGE(#REF!)</f>
        <v>#REF!</v>
      </c>
      <c r="AKL33" s="196" t="e">
        <f>AVERAGE(#REF!)</f>
        <v>#REF!</v>
      </c>
      <c r="AKM33" s="196"/>
      <c r="AKN33" s="196"/>
      <c r="AKO33" s="196"/>
      <c r="AKP33" s="187"/>
      <c r="AKQ33" s="187"/>
      <c r="AKR33" s="187"/>
      <c r="AKS33" s="187"/>
      <c r="AKT33" s="187"/>
      <c r="AKU33" s="187"/>
      <c r="AKV33" s="187"/>
      <c r="AKW33" s="187"/>
      <c r="AKX33" s="187"/>
      <c r="AKY33" s="187"/>
      <c r="AKZ33" s="187"/>
      <c r="ALA33" s="187"/>
      <c r="ALB33" s="187"/>
      <c r="ALC33" s="187"/>
      <c r="ALD33" s="220" t="s">
        <v>94</v>
      </c>
      <c r="ALU33" s="478"/>
      <c r="ALV33" s="478"/>
      <c r="ALW33" s="478"/>
      <c r="ALX33" s="478"/>
      <c r="ALY33" s="478"/>
      <c r="ALZ33" s="478"/>
      <c r="AMA33" s="478"/>
      <c r="AMB33" s="478"/>
      <c r="AMC33" s="478"/>
      <c r="AMD33" s="478"/>
      <c r="AME33" s="478"/>
      <c r="AMF33" s="478"/>
      <c r="AMG33" s="478"/>
      <c r="AMH33" s="478"/>
      <c r="AMI33" s="478"/>
      <c r="AMJ33" s="478"/>
      <c r="AMK33" s="566"/>
      <c r="AML33" s="566"/>
      <c r="AMM33" s="566"/>
    </row>
    <row r="34" spans="1:1027" ht="29.1" hidden="1" customHeight="1" x14ac:dyDescent="0.3">
      <c r="A34" s="36" t="s">
        <v>21</v>
      </c>
      <c r="B34" s="31" t="s">
        <v>28</v>
      </c>
      <c r="C34" s="32" t="s">
        <v>3</v>
      </c>
      <c r="D34" s="32">
        <v>650</v>
      </c>
      <c r="E34" s="25"/>
      <c r="F34" s="27"/>
      <c r="G34" s="27"/>
      <c r="H34" s="159"/>
      <c r="I34" s="222"/>
      <c r="J34" s="216"/>
      <c r="K34" s="287"/>
      <c r="L34" s="46"/>
      <c r="M34" s="46"/>
      <c r="N34" s="46"/>
      <c r="O34" s="46"/>
      <c r="P34" s="46">
        <v>72</v>
      </c>
      <c r="Q34" s="46"/>
      <c r="R34" s="14"/>
      <c r="S34" s="14"/>
      <c r="T34" s="14"/>
      <c r="U34" s="14"/>
      <c r="V34" s="14"/>
      <c r="W34" s="14"/>
      <c r="X34" s="46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66"/>
      <c r="AN34" s="166"/>
      <c r="AO34" s="166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46"/>
      <c r="BF34" s="46"/>
      <c r="BG34" s="46"/>
      <c r="BH34" s="46"/>
      <c r="BI34" s="46"/>
      <c r="BJ34" s="14"/>
      <c r="BK34" s="46"/>
      <c r="BL34" s="46"/>
      <c r="BM34" s="46"/>
      <c r="BN34" s="166"/>
      <c r="BO34" s="166"/>
      <c r="BP34" s="166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46"/>
      <c r="CD34" s="46"/>
      <c r="CE34" s="46"/>
      <c r="CF34" s="46"/>
      <c r="CG34" s="46"/>
      <c r="CH34" s="14"/>
      <c r="CI34" s="46"/>
      <c r="CJ34" s="46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46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46"/>
      <c r="ER34" s="46"/>
      <c r="ES34" s="46"/>
      <c r="ET34" s="46"/>
      <c r="EU34" s="46"/>
      <c r="EV34" s="46"/>
      <c r="EW34" s="14"/>
      <c r="EX34" s="14"/>
      <c r="EY34" s="14"/>
      <c r="EZ34" s="14"/>
      <c r="FA34" s="14"/>
      <c r="FB34" s="14"/>
      <c r="FC34" s="14"/>
      <c r="FD34" s="46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66"/>
      <c r="FT34" s="166"/>
      <c r="FU34" s="166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46"/>
      <c r="GL34" s="46"/>
      <c r="GM34" s="46"/>
      <c r="GN34" s="46"/>
      <c r="GO34" s="46"/>
      <c r="GP34" s="14"/>
      <c r="GQ34" s="46"/>
      <c r="GR34" s="46"/>
      <c r="GS34" s="46"/>
      <c r="GT34" s="166"/>
      <c r="GU34" s="166"/>
      <c r="GV34" s="166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46"/>
      <c r="HJ34" s="46"/>
      <c r="HK34" s="46"/>
      <c r="HL34" s="46"/>
      <c r="HM34" s="46"/>
      <c r="HN34" s="14"/>
      <c r="HO34" s="46"/>
      <c r="HP34" s="46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46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46"/>
      <c r="JX34" s="46"/>
      <c r="JY34" s="46"/>
      <c r="JZ34" s="46"/>
      <c r="KA34" s="46"/>
      <c r="KB34" s="46"/>
      <c r="KC34" s="46"/>
      <c r="KD34" s="14">
        <v>72</v>
      </c>
      <c r="KE34" s="14"/>
      <c r="KF34" s="14"/>
      <c r="KG34" s="14"/>
      <c r="KH34" s="14"/>
      <c r="KI34" s="14"/>
      <c r="KJ34" s="46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66"/>
      <c r="KZ34" s="166"/>
      <c r="LA34" s="166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46"/>
      <c r="LR34" s="46"/>
      <c r="LS34" s="46"/>
      <c r="LT34" s="46"/>
      <c r="LU34" s="46"/>
      <c r="LV34" s="14"/>
      <c r="LW34" s="46"/>
      <c r="LX34" s="46"/>
      <c r="LY34" s="46"/>
      <c r="LZ34" s="14"/>
      <c r="MA34" s="166"/>
      <c r="MB34" s="166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46"/>
      <c r="MP34" s="46"/>
      <c r="MQ34" s="46"/>
      <c r="MR34" s="14"/>
      <c r="MS34" s="46"/>
      <c r="MT34" s="14"/>
      <c r="MU34" s="46"/>
      <c r="MV34" s="46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46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46"/>
      <c r="PD34" s="46"/>
      <c r="PE34" s="46"/>
      <c r="PF34" s="46"/>
      <c r="PG34" s="46"/>
      <c r="PH34" s="46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66"/>
      <c r="QF34" s="166"/>
      <c r="QG34" s="166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46"/>
      <c r="QX34" s="46"/>
      <c r="QY34" s="46"/>
      <c r="QZ34" s="46"/>
      <c r="RA34" s="46"/>
      <c r="RB34" s="14"/>
      <c r="RC34" s="46"/>
      <c r="RD34" s="46"/>
      <c r="RE34" s="46"/>
      <c r="RF34" s="14"/>
      <c r="RG34" s="166"/>
      <c r="RH34" s="166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46"/>
      <c r="RV34" s="46"/>
      <c r="RW34" s="46"/>
      <c r="RX34" s="46"/>
      <c r="RY34" s="46"/>
      <c r="RZ34" s="14"/>
      <c r="SA34" s="46"/>
      <c r="SB34" s="46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46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46"/>
      <c r="UJ34" s="46"/>
      <c r="UK34" s="46"/>
      <c r="UL34" s="46"/>
      <c r="UM34" s="14"/>
      <c r="UN34" s="14"/>
      <c r="UO34" s="14"/>
      <c r="UP34" s="14"/>
      <c r="UQ34" s="46"/>
      <c r="UR34" s="14"/>
      <c r="US34" s="14"/>
      <c r="UT34" s="14"/>
      <c r="UU34" s="14"/>
      <c r="UV34" s="14"/>
      <c r="UW34" s="14"/>
      <c r="UX34" s="46"/>
      <c r="UY34" s="14"/>
      <c r="UZ34" s="46"/>
      <c r="VA34" s="46"/>
      <c r="VB34" s="46"/>
      <c r="VC34" s="46"/>
      <c r="VD34" s="14"/>
      <c r="VE34" s="14"/>
      <c r="VF34" s="46"/>
      <c r="VG34" s="46"/>
      <c r="VH34" s="14"/>
      <c r="VI34" s="14"/>
      <c r="VJ34" s="14"/>
      <c r="VK34" s="14"/>
      <c r="VL34" s="46"/>
      <c r="VM34" s="46"/>
      <c r="VN34" s="46"/>
      <c r="VO34" s="46"/>
      <c r="VP34" s="14"/>
      <c r="VQ34" s="46"/>
      <c r="VR34" s="14"/>
      <c r="VS34" s="14"/>
      <c r="VT34" s="14"/>
      <c r="VU34" s="14"/>
      <c r="VV34" s="46"/>
      <c r="VW34" s="46"/>
      <c r="VX34" s="46"/>
      <c r="VY34" s="46"/>
      <c r="VZ34" s="46"/>
      <c r="WA34" s="46"/>
      <c r="WB34" s="14">
        <v>69.5</v>
      </c>
      <c r="WC34" s="14">
        <v>69.5</v>
      </c>
      <c r="WD34" s="14">
        <v>69.5</v>
      </c>
      <c r="WE34" s="14">
        <v>70.5</v>
      </c>
      <c r="WF34" s="14">
        <v>70.5</v>
      </c>
      <c r="WG34" s="14"/>
      <c r="WH34" s="14"/>
      <c r="WI34" s="46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66"/>
      <c r="WY34" s="166"/>
      <c r="WZ34" s="166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46"/>
      <c r="XQ34" s="46"/>
      <c r="XR34" s="46"/>
      <c r="XS34" s="46"/>
      <c r="XT34" s="46"/>
      <c r="XU34" s="14"/>
      <c r="XV34" s="46"/>
      <c r="XW34" s="14"/>
      <c r="XX34" s="166"/>
      <c r="XY34" s="14"/>
      <c r="XZ34" s="166"/>
      <c r="YA34" s="166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46"/>
      <c r="YO34" s="46"/>
      <c r="YP34" s="46"/>
      <c r="YQ34" s="46"/>
      <c r="YR34" s="46"/>
      <c r="YS34" s="14"/>
      <c r="YT34" s="46"/>
      <c r="YU34" s="46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46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46"/>
      <c r="ABC34" s="46"/>
      <c r="ABD34" s="46"/>
      <c r="ABE34" s="14"/>
      <c r="ABF34" s="14"/>
      <c r="ABG34" s="16"/>
      <c r="ABH34" s="16"/>
      <c r="ABI34" s="16"/>
      <c r="ABJ34" s="16"/>
      <c r="ABK34" s="16"/>
      <c r="ABL34" s="48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70"/>
      <c r="ACB34" s="170"/>
      <c r="ACC34" s="170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48"/>
      <c r="ACT34" s="48"/>
      <c r="ACU34" s="48"/>
      <c r="ACV34" s="48"/>
      <c r="ACW34" s="48"/>
      <c r="ACX34" s="16"/>
      <c r="ACY34" s="48"/>
      <c r="ACZ34" s="16"/>
      <c r="ADA34" s="170"/>
      <c r="ADB34" s="16"/>
      <c r="ADC34" s="170"/>
      <c r="ADD34" s="170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48"/>
      <c r="ADR34" s="48"/>
      <c r="ADS34" s="48"/>
      <c r="ADT34" s="48"/>
      <c r="ADU34" s="48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48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46"/>
      <c r="AHE34" s="46"/>
      <c r="AHF34" s="46"/>
      <c r="AHG34" s="46"/>
      <c r="AHH34" s="14"/>
      <c r="AHI34" s="16"/>
      <c r="AHJ34" s="16"/>
      <c r="AHK34" s="16"/>
      <c r="AHL34" s="16"/>
      <c r="AHM34" s="16"/>
      <c r="AHN34" s="48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70"/>
      <c r="AID34" s="170"/>
      <c r="AIE34" s="170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48"/>
      <c r="AIW34" s="48"/>
      <c r="AIX34" s="48"/>
      <c r="AIY34" s="48"/>
      <c r="AIZ34" s="48"/>
      <c r="AJA34" s="16"/>
      <c r="AJB34" s="48"/>
      <c r="AJC34" s="16"/>
      <c r="AJD34" s="16"/>
      <c r="AJE34" s="16"/>
      <c r="AJF34" s="16"/>
      <c r="AJG34" s="16"/>
      <c r="AJH34" s="16"/>
      <c r="AJI34" s="16"/>
      <c r="AJJ34" s="48"/>
      <c r="AJK34" s="48"/>
      <c r="AJL34" s="48"/>
      <c r="AJM34" s="48"/>
      <c r="AJN34" s="48"/>
      <c r="AJO34" s="16"/>
      <c r="AJP34" s="16"/>
      <c r="AJQ34" s="48"/>
      <c r="AJR34" s="16"/>
      <c r="AJS34" s="16"/>
      <c r="AJT34" s="48"/>
      <c r="AJU34" s="48"/>
      <c r="AJV34" s="308"/>
      <c r="AJW34" s="308"/>
      <c r="AJX34" s="308"/>
      <c r="AJY34" s="288"/>
      <c r="AJZ34" s="308"/>
      <c r="AKA34" s="288"/>
      <c r="AKB34" s="354"/>
      <c r="AKC34" s="288"/>
      <c r="AKD34" s="288"/>
      <c r="AKE34" s="288"/>
      <c r="AKF34" s="429"/>
      <c r="AKG34" s="288"/>
      <c r="AKH34" s="349"/>
      <c r="AKI34" s="4"/>
      <c r="AKJ34" s="186"/>
      <c r="AKK34" s="6"/>
      <c r="AKL34" s="196" t="e">
        <f>AVERAGE(#REF!)</f>
        <v>#REF!</v>
      </c>
      <c r="AKM34" s="196"/>
      <c r="AKN34" s="196"/>
      <c r="AKO34" s="196"/>
      <c r="AKP34" s="187"/>
      <c r="AKQ34" s="187"/>
      <c r="AKR34" s="187"/>
      <c r="AKS34" s="187"/>
      <c r="AKT34" s="187"/>
      <c r="AKU34" s="187"/>
      <c r="AKV34" s="187"/>
      <c r="AKW34" s="187"/>
      <c r="AKX34" s="187"/>
      <c r="AKY34" s="187"/>
      <c r="AKZ34" s="187"/>
      <c r="ALA34" s="187"/>
      <c r="ALB34" s="187"/>
      <c r="ALC34" s="187"/>
      <c r="ALD34" s="187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349"/>
      <c r="AML34" s="349"/>
      <c r="AMM34" s="349"/>
    </row>
    <row r="35" spans="1:1027" ht="29.1" hidden="1" customHeight="1" thickBot="1" x14ac:dyDescent="0.35">
      <c r="A35" s="84" t="s">
        <v>21</v>
      </c>
      <c r="B35" s="85" t="s">
        <v>28</v>
      </c>
      <c r="C35" s="86" t="s">
        <v>4</v>
      </c>
      <c r="D35" s="86">
        <v>650</v>
      </c>
      <c r="E35" s="77"/>
      <c r="F35" s="79"/>
      <c r="G35" s="79"/>
      <c r="H35" s="160"/>
      <c r="I35" s="80"/>
      <c r="J35" s="219"/>
      <c r="K35" s="289"/>
      <c r="L35" s="50"/>
      <c r="M35" s="50"/>
      <c r="N35" s="50"/>
      <c r="O35" s="50"/>
      <c r="P35" s="50"/>
      <c r="Q35" s="50"/>
      <c r="R35" s="15"/>
      <c r="S35" s="15"/>
      <c r="T35" s="15"/>
      <c r="U35" s="15"/>
      <c r="V35" s="15"/>
      <c r="W35" s="15"/>
      <c r="X35" s="50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67"/>
      <c r="AN35" s="167"/>
      <c r="AO35" s="167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50"/>
      <c r="BF35" s="50"/>
      <c r="BG35" s="50"/>
      <c r="BH35" s="50"/>
      <c r="BI35" s="50"/>
      <c r="BJ35" s="15"/>
      <c r="BK35" s="50"/>
      <c r="BL35" s="50"/>
      <c r="BM35" s="50"/>
      <c r="BN35" s="167"/>
      <c r="BO35" s="167"/>
      <c r="BP35" s="167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50"/>
      <c r="CD35" s="50"/>
      <c r="CE35" s="50"/>
      <c r="CF35" s="50"/>
      <c r="CG35" s="50"/>
      <c r="CH35" s="15"/>
      <c r="CI35" s="50"/>
      <c r="CJ35" s="50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50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50"/>
      <c r="ER35" s="50"/>
      <c r="ES35" s="50"/>
      <c r="ET35" s="50"/>
      <c r="EU35" s="50"/>
      <c r="EV35" s="50"/>
      <c r="EW35" s="15"/>
      <c r="EX35" s="15"/>
      <c r="EY35" s="15"/>
      <c r="EZ35" s="15"/>
      <c r="FA35" s="15"/>
      <c r="FB35" s="15"/>
      <c r="FC35" s="15"/>
      <c r="FD35" s="50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67"/>
      <c r="FT35" s="167"/>
      <c r="FU35" s="167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50"/>
      <c r="GL35" s="50"/>
      <c r="GM35" s="50"/>
      <c r="GN35" s="50"/>
      <c r="GO35" s="50"/>
      <c r="GP35" s="15"/>
      <c r="GQ35" s="50"/>
      <c r="GR35" s="50"/>
      <c r="GS35" s="50"/>
      <c r="GT35" s="167"/>
      <c r="GU35" s="167"/>
      <c r="GV35" s="167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50"/>
      <c r="HJ35" s="50"/>
      <c r="HK35" s="50"/>
      <c r="HL35" s="50"/>
      <c r="HM35" s="50"/>
      <c r="HN35" s="15"/>
      <c r="HO35" s="50"/>
      <c r="HP35" s="50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50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50"/>
      <c r="JX35" s="50"/>
      <c r="JY35" s="50"/>
      <c r="JZ35" s="50"/>
      <c r="KA35" s="50"/>
      <c r="KB35" s="50"/>
      <c r="KC35" s="50"/>
      <c r="KD35" s="15">
        <v>75</v>
      </c>
      <c r="KE35" s="15"/>
      <c r="KF35" s="15"/>
      <c r="KG35" s="15"/>
      <c r="KH35" s="15"/>
      <c r="KI35" s="15"/>
      <c r="KJ35" s="50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67"/>
      <c r="KZ35" s="167"/>
      <c r="LA35" s="167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50"/>
      <c r="LR35" s="50"/>
      <c r="LS35" s="50"/>
      <c r="LT35" s="50"/>
      <c r="LU35" s="50"/>
      <c r="LV35" s="15"/>
      <c r="LW35" s="50"/>
      <c r="LX35" s="50"/>
      <c r="LY35" s="50"/>
      <c r="LZ35" s="15"/>
      <c r="MA35" s="167"/>
      <c r="MB35" s="167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50"/>
      <c r="MP35" s="50"/>
      <c r="MQ35" s="50"/>
      <c r="MR35" s="15"/>
      <c r="MS35" s="50"/>
      <c r="MT35" s="15"/>
      <c r="MU35" s="50"/>
      <c r="MV35" s="50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50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50"/>
      <c r="PD35" s="50"/>
      <c r="PE35" s="50"/>
      <c r="PF35" s="50"/>
      <c r="PG35" s="50"/>
      <c r="PH35" s="50"/>
      <c r="PI35" s="15"/>
      <c r="PJ35" s="15"/>
      <c r="PK35" s="15"/>
      <c r="PL35" s="15"/>
      <c r="PM35" s="15"/>
      <c r="PN35" s="15"/>
      <c r="PO35" s="15"/>
      <c r="PP35" s="15"/>
      <c r="PQ35" s="15"/>
      <c r="PR35" s="15"/>
      <c r="PS35" s="15"/>
      <c r="PT35" s="15"/>
      <c r="PU35" s="15"/>
      <c r="PV35" s="15"/>
      <c r="PW35" s="15"/>
      <c r="PX35" s="15"/>
      <c r="PY35" s="15"/>
      <c r="PZ35" s="15"/>
      <c r="QA35" s="15"/>
      <c r="QB35" s="15"/>
      <c r="QC35" s="15"/>
      <c r="QD35" s="15"/>
      <c r="QE35" s="167"/>
      <c r="QF35" s="167"/>
      <c r="QG35" s="167"/>
      <c r="QH35" s="15"/>
      <c r="QI35" s="15"/>
      <c r="QJ35" s="15"/>
      <c r="QK35" s="15"/>
      <c r="QL35" s="15"/>
      <c r="QM35" s="15"/>
      <c r="QN35" s="15"/>
      <c r="QO35" s="15"/>
      <c r="QP35" s="15"/>
      <c r="QQ35" s="15"/>
      <c r="QR35" s="15"/>
      <c r="QS35" s="15"/>
      <c r="QT35" s="15"/>
      <c r="QU35" s="15"/>
      <c r="QV35" s="15"/>
      <c r="QW35" s="50"/>
      <c r="QX35" s="50"/>
      <c r="QY35" s="50"/>
      <c r="QZ35" s="50"/>
      <c r="RA35" s="50"/>
      <c r="RB35" s="15"/>
      <c r="RC35" s="50"/>
      <c r="RD35" s="50"/>
      <c r="RE35" s="50"/>
      <c r="RF35" s="15"/>
      <c r="RG35" s="167"/>
      <c r="RH35" s="167"/>
      <c r="RI35" s="15"/>
      <c r="RJ35" s="15"/>
      <c r="RK35" s="15"/>
      <c r="RL35" s="15"/>
      <c r="RM35" s="15"/>
      <c r="RN35" s="15"/>
      <c r="RO35" s="15"/>
      <c r="RP35" s="15"/>
      <c r="RQ35" s="15"/>
      <c r="RR35" s="15"/>
      <c r="RS35" s="15"/>
      <c r="RT35" s="15"/>
      <c r="RU35" s="50"/>
      <c r="RV35" s="50"/>
      <c r="RW35" s="50"/>
      <c r="RX35" s="50"/>
      <c r="RY35" s="50"/>
      <c r="RZ35" s="15"/>
      <c r="SA35" s="50"/>
      <c r="SB35" s="50"/>
      <c r="SC35" s="15"/>
      <c r="SD35" s="15"/>
      <c r="SE35" s="15"/>
      <c r="SF35" s="15"/>
      <c r="SG35" s="15"/>
      <c r="SH35" s="15"/>
      <c r="SI35" s="15"/>
      <c r="SJ35" s="15"/>
      <c r="SK35" s="15"/>
      <c r="SL35" s="15"/>
      <c r="SM35" s="15"/>
      <c r="SN35" s="15"/>
      <c r="SO35" s="15"/>
      <c r="SP35" s="15"/>
      <c r="SQ35" s="15"/>
      <c r="SR35" s="50"/>
      <c r="SS35" s="15"/>
      <c r="ST35" s="15"/>
      <c r="SU35" s="15"/>
      <c r="SV35" s="15"/>
      <c r="SW35" s="15"/>
      <c r="SX35" s="15"/>
      <c r="SY35" s="15"/>
      <c r="SZ35" s="15"/>
      <c r="TA35" s="15"/>
      <c r="TB35" s="15"/>
      <c r="TC35" s="15"/>
      <c r="TD35" s="15"/>
      <c r="TE35" s="15"/>
      <c r="TF35" s="15"/>
      <c r="TG35" s="15"/>
      <c r="TH35" s="15"/>
      <c r="TI35" s="15"/>
      <c r="TJ35" s="15"/>
      <c r="TK35" s="15"/>
      <c r="TL35" s="15"/>
      <c r="TM35" s="15"/>
      <c r="TN35" s="15"/>
      <c r="TO35" s="15"/>
      <c r="TP35" s="15"/>
      <c r="TQ35" s="15"/>
      <c r="TR35" s="15"/>
      <c r="TS35" s="15"/>
      <c r="TT35" s="15"/>
      <c r="TU35" s="15"/>
      <c r="TV35" s="15"/>
      <c r="TW35" s="15"/>
      <c r="TX35" s="15"/>
      <c r="TY35" s="15"/>
      <c r="TZ35" s="15"/>
      <c r="UA35" s="15"/>
      <c r="UB35" s="15"/>
      <c r="UC35" s="15"/>
      <c r="UD35" s="15"/>
      <c r="UE35" s="15"/>
      <c r="UF35" s="15"/>
      <c r="UG35" s="15"/>
      <c r="UH35" s="15"/>
      <c r="UI35" s="50"/>
      <c r="UJ35" s="50"/>
      <c r="UK35" s="50"/>
      <c r="UL35" s="50"/>
      <c r="UM35" s="15"/>
      <c r="UN35" s="15"/>
      <c r="UO35" s="15"/>
      <c r="UP35" s="15"/>
      <c r="UQ35" s="50"/>
      <c r="UR35" s="15"/>
      <c r="US35" s="15"/>
      <c r="UT35" s="15"/>
      <c r="UU35" s="15"/>
      <c r="UV35" s="15"/>
      <c r="UW35" s="15"/>
      <c r="UX35" s="50"/>
      <c r="UY35" s="15"/>
      <c r="UZ35" s="50"/>
      <c r="VA35" s="50"/>
      <c r="VB35" s="50"/>
      <c r="VC35" s="50"/>
      <c r="VD35" s="15"/>
      <c r="VE35" s="15"/>
      <c r="VF35" s="50"/>
      <c r="VG35" s="50"/>
      <c r="VH35" s="15"/>
      <c r="VI35" s="15"/>
      <c r="VJ35" s="15"/>
      <c r="VK35" s="15"/>
      <c r="VL35" s="50"/>
      <c r="VM35" s="50"/>
      <c r="VN35" s="50"/>
      <c r="VO35" s="50"/>
      <c r="VP35" s="15"/>
      <c r="VQ35" s="50"/>
      <c r="VR35" s="15"/>
      <c r="VS35" s="15"/>
      <c r="VT35" s="15"/>
      <c r="VU35" s="15"/>
      <c r="VV35" s="50"/>
      <c r="VW35" s="50"/>
      <c r="VX35" s="50"/>
      <c r="VY35" s="50"/>
      <c r="VZ35" s="50"/>
      <c r="WA35" s="50"/>
      <c r="WB35" s="15">
        <v>79.5</v>
      </c>
      <c r="WC35" s="15">
        <v>79.5</v>
      </c>
      <c r="WD35" s="15">
        <v>79.5</v>
      </c>
      <c r="WE35" s="15">
        <v>80.5</v>
      </c>
      <c r="WF35" s="15">
        <v>80.5</v>
      </c>
      <c r="WG35" s="15"/>
      <c r="WH35" s="15"/>
      <c r="WI35" s="50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/>
      <c r="WW35" s="15"/>
      <c r="WX35" s="167"/>
      <c r="WY35" s="167"/>
      <c r="WZ35" s="167"/>
      <c r="XA35" s="15"/>
      <c r="XB35" s="15"/>
      <c r="XC35" s="15"/>
      <c r="XD35" s="15"/>
      <c r="XE35" s="15"/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50"/>
      <c r="XQ35" s="50"/>
      <c r="XR35" s="50"/>
      <c r="XS35" s="50"/>
      <c r="XT35" s="50"/>
      <c r="XU35" s="15"/>
      <c r="XV35" s="50"/>
      <c r="XW35" s="15"/>
      <c r="XX35" s="167"/>
      <c r="XY35" s="15"/>
      <c r="XZ35" s="167"/>
      <c r="YA35" s="167"/>
      <c r="YB35" s="15"/>
      <c r="YC35" s="15"/>
      <c r="YD35" s="15"/>
      <c r="YE35" s="15"/>
      <c r="YF35" s="15"/>
      <c r="YG35" s="15"/>
      <c r="YH35" s="15"/>
      <c r="YI35" s="15"/>
      <c r="YJ35" s="15"/>
      <c r="YK35" s="15"/>
      <c r="YL35" s="15"/>
      <c r="YM35" s="15"/>
      <c r="YN35" s="50"/>
      <c r="YO35" s="50"/>
      <c r="YP35" s="50"/>
      <c r="YQ35" s="50"/>
      <c r="YR35" s="50"/>
      <c r="YS35" s="15"/>
      <c r="YT35" s="50"/>
      <c r="YU35" s="50"/>
      <c r="YV35" s="15"/>
      <c r="YW35" s="15"/>
      <c r="YX35" s="15"/>
      <c r="YY35" s="15"/>
      <c r="YZ35" s="15"/>
      <c r="ZA35" s="15"/>
      <c r="ZB35" s="15"/>
      <c r="ZC35" s="15"/>
      <c r="ZD35" s="15"/>
      <c r="ZE35" s="15"/>
      <c r="ZF35" s="15"/>
      <c r="ZG35" s="15"/>
      <c r="ZH35" s="15"/>
      <c r="ZI35" s="15"/>
      <c r="ZJ35" s="15"/>
      <c r="ZK35" s="50"/>
      <c r="ZL35" s="15"/>
      <c r="ZM35" s="15"/>
      <c r="ZN35" s="15"/>
      <c r="ZO35" s="15"/>
      <c r="ZP35" s="15"/>
      <c r="ZQ35" s="15"/>
      <c r="ZR35" s="15"/>
      <c r="ZS35" s="15"/>
      <c r="ZT35" s="15"/>
      <c r="ZU35" s="15"/>
      <c r="ZV35" s="15"/>
      <c r="ZW35" s="15"/>
      <c r="ZX35" s="15"/>
      <c r="ZY35" s="15"/>
      <c r="ZZ35" s="15"/>
      <c r="AAA35" s="15"/>
      <c r="AAB35" s="15"/>
      <c r="AAC35" s="15"/>
      <c r="AAD35" s="15"/>
      <c r="AAE35" s="15"/>
      <c r="AAF35" s="15"/>
      <c r="AAG35" s="15"/>
      <c r="AAH35" s="15"/>
      <c r="AAI35" s="15"/>
      <c r="AAJ35" s="15"/>
      <c r="AAK35" s="15"/>
      <c r="AAL35" s="15"/>
      <c r="AAM35" s="15"/>
      <c r="AAN35" s="15"/>
      <c r="AAO35" s="15"/>
      <c r="AAP35" s="15"/>
      <c r="AAQ35" s="15"/>
      <c r="AAR35" s="15"/>
      <c r="AAS35" s="15"/>
      <c r="AAT35" s="15"/>
      <c r="AAU35" s="15"/>
      <c r="AAV35" s="15"/>
      <c r="AAW35" s="15"/>
      <c r="AAX35" s="15"/>
      <c r="AAY35" s="15"/>
      <c r="AAZ35" s="15"/>
      <c r="ABA35" s="15"/>
      <c r="ABB35" s="50"/>
      <c r="ABC35" s="50"/>
      <c r="ABD35" s="50"/>
      <c r="ABE35" s="15"/>
      <c r="ABF35" s="15"/>
      <c r="ABG35" s="20"/>
      <c r="ABH35" s="20"/>
      <c r="ABI35" s="20"/>
      <c r="ABJ35" s="20"/>
      <c r="ABK35" s="20"/>
      <c r="ABL35" s="52"/>
      <c r="ABM35" s="20"/>
      <c r="ABN35" s="20"/>
      <c r="ABO35" s="20"/>
      <c r="ABP35" s="20"/>
      <c r="ABQ35" s="20"/>
      <c r="ABR35" s="20"/>
      <c r="ABS35" s="20"/>
      <c r="ABT35" s="20"/>
      <c r="ABU35" s="20"/>
      <c r="ABV35" s="20"/>
      <c r="ABW35" s="20"/>
      <c r="ABX35" s="20"/>
      <c r="ABY35" s="20"/>
      <c r="ABZ35" s="20"/>
      <c r="ACA35" s="171"/>
      <c r="ACB35" s="171"/>
      <c r="ACC35" s="171"/>
      <c r="ACD35" s="20"/>
      <c r="ACE35" s="20"/>
      <c r="ACF35" s="20"/>
      <c r="ACG35" s="20"/>
      <c r="ACH35" s="20"/>
      <c r="ACI35" s="20"/>
      <c r="ACJ35" s="20"/>
      <c r="ACK35" s="20"/>
      <c r="ACL35" s="20"/>
      <c r="ACM35" s="20"/>
      <c r="ACN35" s="20"/>
      <c r="ACO35" s="20"/>
      <c r="ACP35" s="20"/>
      <c r="ACQ35" s="20"/>
      <c r="ACR35" s="20"/>
      <c r="ACS35" s="52"/>
      <c r="ACT35" s="52"/>
      <c r="ACU35" s="52"/>
      <c r="ACV35" s="52"/>
      <c r="ACW35" s="52"/>
      <c r="ACX35" s="20"/>
      <c r="ACY35" s="52"/>
      <c r="ACZ35" s="20"/>
      <c r="ADA35" s="171"/>
      <c r="ADB35" s="20"/>
      <c r="ADC35" s="171"/>
      <c r="ADD35" s="171"/>
      <c r="ADE35" s="20"/>
      <c r="ADF35" s="20"/>
      <c r="ADG35" s="20"/>
      <c r="ADH35" s="20"/>
      <c r="ADI35" s="20"/>
      <c r="ADJ35" s="20"/>
      <c r="ADK35" s="20"/>
      <c r="ADL35" s="20"/>
      <c r="ADM35" s="20"/>
      <c r="ADN35" s="20"/>
      <c r="ADO35" s="20"/>
      <c r="ADP35" s="20"/>
      <c r="ADQ35" s="52"/>
      <c r="ADR35" s="52"/>
      <c r="ADS35" s="52"/>
      <c r="ADT35" s="52"/>
      <c r="ADU35" s="52"/>
      <c r="ADV35" s="20"/>
      <c r="ADW35" s="20"/>
      <c r="ADX35" s="20"/>
      <c r="ADY35" s="20"/>
      <c r="ADZ35" s="20"/>
      <c r="AEA35" s="20"/>
      <c r="AEB35" s="20"/>
      <c r="AEC35" s="20"/>
      <c r="AED35" s="20"/>
      <c r="AEE35" s="20"/>
      <c r="AEF35" s="20"/>
      <c r="AEG35" s="20"/>
      <c r="AEH35" s="20"/>
      <c r="AEI35" s="20"/>
      <c r="AEJ35" s="20"/>
      <c r="AEK35" s="20"/>
      <c r="AEL35" s="20"/>
      <c r="AEM35" s="20"/>
      <c r="AEN35" s="52"/>
      <c r="AEO35" s="20"/>
      <c r="AEP35" s="20"/>
      <c r="AEQ35" s="20"/>
      <c r="AER35" s="20"/>
      <c r="AES35" s="20"/>
      <c r="AET35" s="20"/>
      <c r="AEU35" s="20"/>
      <c r="AEV35" s="20"/>
      <c r="AEW35" s="20"/>
      <c r="AEX35" s="20"/>
      <c r="AEY35" s="20"/>
      <c r="AEZ35" s="20"/>
      <c r="AFA35" s="20"/>
      <c r="AFB35" s="20"/>
      <c r="AFC35" s="20"/>
      <c r="AFD35" s="20"/>
      <c r="AFE35" s="20"/>
      <c r="AFF35" s="20"/>
      <c r="AFG35" s="20"/>
      <c r="AFH35" s="20"/>
      <c r="AFI35" s="20"/>
      <c r="AFJ35" s="20"/>
      <c r="AFK35" s="20"/>
      <c r="AFL35" s="20"/>
      <c r="AFM35" s="20"/>
      <c r="AFN35" s="20"/>
      <c r="AFO35" s="20"/>
      <c r="AFP35" s="20"/>
      <c r="AFQ35" s="20"/>
      <c r="AFR35" s="20"/>
      <c r="AFS35" s="20"/>
      <c r="AFT35" s="20"/>
      <c r="AFU35" s="20"/>
      <c r="AFV35" s="20"/>
      <c r="AFW35" s="20"/>
      <c r="AFX35" s="20"/>
      <c r="AFY35" s="20"/>
      <c r="AFZ35" s="20"/>
      <c r="AGA35" s="20"/>
      <c r="AGB35" s="20"/>
      <c r="AGC35" s="20"/>
      <c r="AGD35" s="20"/>
      <c r="AGE35" s="20"/>
      <c r="AGF35" s="20"/>
      <c r="AGG35" s="20"/>
      <c r="AGH35" s="20"/>
      <c r="AGI35" s="20"/>
      <c r="AGJ35" s="20"/>
      <c r="AGK35" s="20"/>
      <c r="AGL35" s="20"/>
      <c r="AGM35" s="20"/>
      <c r="AGN35" s="20"/>
      <c r="AGO35" s="20"/>
      <c r="AGP35" s="20"/>
      <c r="AGQ35" s="20"/>
      <c r="AGR35" s="20"/>
      <c r="AGS35" s="20"/>
      <c r="AGT35" s="20"/>
      <c r="AGU35" s="20"/>
      <c r="AGV35" s="20"/>
      <c r="AGW35" s="20"/>
      <c r="AGX35" s="20"/>
      <c r="AGY35" s="20"/>
      <c r="AGZ35" s="20"/>
      <c r="AHA35" s="20"/>
      <c r="AHB35" s="20"/>
      <c r="AHC35" s="20"/>
      <c r="AHD35" s="50"/>
      <c r="AHE35" s="50"/>
      <c r="AHF35" s="50"/>
      <c r="AHG35" s="50"/>
      <c r="AHH35" s="15"/>
      <c r="AHI35" s="20"/>
      <c r="AHJ35" s="20"/>
      <c r="AHK35" s="20"/>
      <c r="AHL35" s="20"/>
      <c r="AHM35" s="20"/>
      <c r="AHN35" s="52"/>
      <c r="AHO35" s="20"/>
      <c r="AHP35" s="20"/>
      <c r="AHQ35" s="20"/>
      <c r="AHR35" s="20"/>
      <c r="AHS35" s="20"/>
      <c r="AHT35" s="20"/>
      <c r="AHU35" s="20"/>
      <c r="AHV35" s="20"/>
      <c r="AHW35" s="20"/>
      <c r="AHX35" s="20"/>
      <c r="AHY35" s="20"/>
      <c r="AHZ35" s="20"/>
      <c r="AIA35" s="20"/>
      <c r="AIB35" s="20"/>
      <c r="AIC35" s="171"/>
      <c r="AID35" s="171"/>
      <c r="AIE35" s="171"/>
      <c r="AIF35" s="20"/>
      <c r="AIG35" s="20"/>
      <c r="AIH35" s="20"/>
      <c r="AII35" s="20"/>
      <c r="AIJ35" s="20"/>
      <c r="AIK35" s="20"/>
      <c r="AIL35" s="20"/>
      <c r="AIM35" s="20"/>
      <c r="AIN35" s="20"/>
      <c r="AIO35" s="20"/>
      <c r="AIP35" s="20"/>
      <c r="AIQ35" s="20"/>
      <c r="AIR35" s="20"/>
      <c r="AIS35" s="20"/>
      <c r="AIT35" s="20"/>
      <c r="AIU35" s="20"/>
      <c r="AIV35" s="52"/>
      <c r="AIW35" s="52"/>
      <c r="AIX35" s="52"/>
      <c r="AIY35" s="52"/>
      <c r="AIZ35" s="52"/>
      <c r="AJA35" s="20"/>
      <c r="AJB35" s="52"/>
      <c r="AJC35" s="20"/>
      <c r="AJD35" s="20"/>
      <c r="AJE35" s="20"/>
      <c r="AJF35" s="20"/>
      <c r="AJG35" s="20"/>
      <c r="AJH35" s="20"/>
      <c r="AJI35" s="20"/>
      <c r="AJJ35" s="52"/>
      <c r="AJK35" s="52"/>
      <c r="AJL35" s="52"/>
      <c r="AJM35" s="52"/>
      <c r="AJN35" s="52"/>
      <c r="AJO35" s="20"/>
      <c r="AJP35" s="20"/>
      <c r="AJQ35" s="52"/>
      <c r="AJR35" s="20"/>
      <c r="AJS35" s="20"/>
      <c r="AJT35" s="52"/>
      <c r="AJU35" s="52"/>
      <c r="AJV35" s="309"/>
      <c r="AJW35" s="309"/>
      <c r="AJX35" s="309"/>
      <c r="AJY35" s="290"/>
      <c r="AJZ35" s="309"/>
      <c r="AKA35" s="290"/>
      <c r="AKB35" s="355"/>
      <c r="AKC35" s="290"/>
      <c r="AKD35" s="290"/>
      <c r="AKE35" s="290"/>
      <c r="AKF35" s="430"/>
      <c r="AKG35" s="290"/>
      <c r="AKH35" s="349"/>
      <c r="AKI35" s="4"/>
      <c r="AKJ35" s="186"/>
      <c r="AKK35" s="6"/>
      <c r="AKL35" s="196" t="e">
        <f>AVERAGE(#REF!)</f>
        <v>#REF!</v>
      </c>
      <c r="AKM35" s="196"/>
      <c r="AKN35" s="196"/>
      <c r="AKO35" s="196"/>
      <c r="AKP35" s="187"/>
      <c r="AKQ35" s="187"/>
      <c r="AKR35" s="187"/>
      <c r="AKS35" s="187"/>
      <c r="AKT35" s="187"/>
      <c r="AKU35" s="187"/>
      <c r="AKV35" s="187"/>
      <c r="AKW35" s="187"/>
      <c r="AKX35" s="187"/>
      <c r="AKY35" s="187"/>
      <c r="AKZ35" s="187"/>
      <c r="ALA35" s="187"/>
      <c r="ALB35" s="187"/>
      <c r="ALC35" s="187"/>
      <c r="ALD35" s="187"/>
      <c r="ALU35" s="20"/>
      <c r="ALV35" s="20"/>
      <c r="ALW35" s="20"/>
      <c r="ALX35" s="20"/>
      <c r="ALY35" s="20"/>
      <c r="ALZ35" s="20"/>
      <c r="AMA35" s="20"/>
      <c r="AMB35" s="20"/>
      <c r="AMC35" s="20"/>
      <c r="AMD35" s="20"/>
      <c r="AME35" s="20"/>
      <c r="AMF35" s="20"/>
      <c r="AMG35" s="20"/>
      <c r="AMH35" s="20"/>
      <c r="AMI35" s="20"/>
      <c r="AMJ35" s="20"/>
      <c r="AMK35" s="349"/>
      <c r="AML35" s="349"/>
      <c r="AMM35" s="349"/>
    </row>
    <row r="36" spans="1:1027" ht="29.1" hidden="1" customHeight="1" thickBot="1" x14ac:dyDescent="0.35">
      <c r="A36" s="455" t="s">
        <v>195</v>
      </c>
      <c r="B36" s="456" t="s">
        <v>176</v>
      </c>
      <c r="C36" s="439" t="s">
        <v>2</v>
      </c>
      <c r="D36" s="439">
        <v>650</v>
      </c>
      <c r="E36" s="439"/>
      <c r="F36" s="440"/>
      <c r="G36" s="440"/>
      <c r="H36" s="441">
        <v>29.8</v>
      </c>
      <c r="I36" s="442">
        <v>42.5</v>
      </c>
      <c r="J36" s="443">
        <v>15000</v>
      </c>
      <c r="K36" s="444"/>
      <c r="L36" s="445"/>
      <c r="M36" s="445"/>
      <c r="N36" s="445"/>
      <c r="O36" s="445"/>
      <c r="P36" s="445"/>
      <c r="Q36" s="445"/>
      <c r="R36" s="446"/>
      <c r="S36" s="446"/>
      <c r="T36" s="446"/>
      <c r="U36" s="446"/>
      <c r="V36" s="446"/>
      <c r="W36" s="446"/>
      <c r="X36" s="445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7"/>
      <c r="AN36" s="447"/>
      <c r="AO36" s="447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5"/>
      <c r="BF36" s="445"/>
      <c r="BG36" s="445"/>
      <c r="BH36" s="445"/>
      <c r="BI36" s="445"/>
      <c r="BJ36" s="446"/>
      <c r="BK36" s="445"/>
      <c r="BL36" s="445"/>
      <c r="BM36" s="445"/>
      <c r="BN36" s="447"/>
      <c r="BO36" s="447"/>
      <c r="BP36" s="447"/>
      <c r="BQ36" s="446"/>
      <c r="BR36" s="446"/>
      <c r="BS36" s="446"/>
      <c r="BT36" s="446"/>
      <c r="BU36" s="446"/>
      <c r="BV36" s="446"/>
      <c r="BW36" s="446"/>
      <c r="BX36" s="446"/>
      <c r="BY36" s="446"/>
      <c r="BZ36" s="446"/>
      <c r="CA36" s="446"/>
      <c r="CB36" s="446"/>
      <c r="CC36" s="445"/>
      <c r="CD36" s="445"/>
      <c r="CE36" s="445"/>
      <c r="CF36" s="445"/>
      <c r="CG36" s="445"/>
      <c r="CH36" s="446"/>
      <c r="CI36" s="445"/>
      <c r="CJ36" s="445"/>
      <c r="CK36" s="446"/>
      <c r="CL36" s="446"/>
      <c r="CM36" s="446"/>
      <c r="CN36" s="446"/>
      <c r="CO36" s="446"/>
      <c r="CP36" s="446"/>
      <c r="CQ36" s="446"/>
      <c r="CR36" s="446"/>
      <c r="CS36" s="446"/>
      <c r="CT36" s="446"/>
      <c r="CU36" s="446"/>
      <c r="CV36" s="446"/>
      <c r="CW36" s="446">
        <v>59</v>
      </c>
      <c r="CX36" s="446">
        <v>62</v>
      </c>
      <c r="CY36" s="446">
        <v>64</v>
      </c>
      <c r="CZ36" s="445">
        <v>64</v>
      </c>
      <c r="DA36" s="446">
        <v>61</v>
      </c>
      <c r="DB36" s="446">
        <v>53</v>
      </c>
      <c r="DC36" s="446">
        <v>48</v>
      </c>
      <c r="DD36" s="446">
        <v>50</v>
      </c>
      <c r="DE36" s="446">
        <v>50</v>
      </c>
      <c r="DF36" s="446">
        <v>50</v>
      </c>
      <c r="DG36" s="446">
        <v>50</v>
      </c>
      <c r="DH36" s="446">
        <v>50</v>
      </c>
      <c r="DI36" s="446"/>
      <c r="DJ36" s="446"/>
      <c r="DK36" s="446"/>
      <c r="DL36" s="446"/>
      <c r="DM36" s="446"/>
      <c r="DN36" s="446"/>
      <c r="DO36" s="446"/>
      <c r="DP36" s="446"/>
      <c r="DQ36" s="446"/>
      <c r="DR36" s="446"/>
      <c r="DS36" s="446"/>
      <c r="DT36" s="446"/>
      <c r="DU36" s="446"/>
      <c r="DV36" s="446"/>
      <c r="DW36" s="446"/>
      <c r="DX36" s="446"/>
      <c r="DY36" s="446"/>
      <c r="DZ36" s="446"/>
      <c r="EA36" s="446"/>
      <c r="EB36" s="446"/>
      <c r="EC36" s="446"/>
      <c r="ED36" s="446"/>
      <c r="EE36" s="446"/>
      <c r="EF36" s="446"/>
      <c r="EG36" s="446"/>
      <c r="EH36" s="446"/>
      <c r="EI36" s="446"/>
      <c r="EJ36" s="446"/>
      <c r="EK36" s="446"/>
      <c r="EL36" s="446"/>
      <c r="EM36" s="446"/>
      <c r="EN36" s="446"/>
      <c r="EO36" s="446"/>
      <c r="EP36" s="446"/>
      <c r="EQ36" s="445"/>
      <c r="ER36" s="445"/>
      <c r="ES36" s="445"/>
      <c r="ET36" s="445"/>
      <c r="EU36" s="445"/>
      <c r="EV36" s="445"/>
      <c r="EW36" s="446"/>
      <c r="EX36" s="446"/>
      <c r="EY36" s="446"/>
      <c r="EZ36" s="446"/>
      <c r="FA36" s="446"/>
      <c r="FB36" s="446"/>
      <c r="FC36" s="446"/>
      <c r="FD36" s="445"/>
      <c r="FE36" s="446"/>
      <c r="FF36" s="446"/>
      <c r="FG36" s="446"/>
      <c r="FH36" s="446"/>
      <c r="FI36" s="446"/>
      <c r="FJ36" s="446"/>
      <c r="FK36" s="446"/>
      <c r="FL36" s="446"/>
      <c r="FM36" s="446"/>
      <c r="FN36" s="446"/>
      <c r="FO36" s="446"/>
      <c r="FP36" s="446"/>
      <c r="FQ36" s="446"/>
      <c r="FR36" s="446"/>
      <c r="FS36" s="447"/>
      <c r="FT36" s="447"/>
      <c r="FU36" s="447"/>
      <c r="FV36" s="446"/>
      <c r="FW36" s="446"/>
      <c r="FX36" s="446"/>
      <c r="FY36" s="446"/>
      <c r="FZ36" s="446"/>
      <c r="GA36" s="446"/>
      <c r="GB36" s="446"/>
      <c r="GC36" s="446"/>
      <c r="GD36" s="446"/>
      <c r="GE36" s="446"/>
      <c r="GF36" s="446"/>
      <c r="GG36" s="446"/>
      <c r="GH36" s="446"/>
      <c r="GI36" s="446"/>
      <c r="GJ36" s="446"/>
      <c r="GK36" s="445"/>
      <c r="GL36" s="445"/>
      <c r="GM36" s="445"/>
      <c r="GN36" s="445"/>
      <c r="GO36" s="445"/>
      <c r="GP36" s="446"/>
      <c r="GQ36" s="445"/>
      <c r="GR36" s="445"/>
      <c r="GS36" s="445"/>
      <c r="GT36" s="447"/>
      <c r="GU36" s="447"/>
      <c r="GV36" s="447"/>
      <c r="GW36" s="446"/>
      <c r="GX36" s="446"/>
      <c r="GY36" s="446"/>
      <c r="GZ36" s="446"/>
      <c r="HA36" s="446"/>
      <c r="HB36" s="446"/>
      <c r="HC36" s="446"/>
      <c r="HD36" s="446"/>
      <c r="HE36" s="446"/>
      <c r="HF36" s="446"/>
      <c r="HG36" s="446"/>
      <c r="HH36" s="446"/>
      <c r="HI36" s="445"/>
      <c r="HJ36" s="445"/>
      <c r="HK36" s="445"/>
      <c r="HL36" s="445"/>
      <c r="HM36" s="445"/>
      <c r="HN36" s="446"/>
      <c r="HO36" s="445"/>
      <c r="HP36" s="445"/>
      <c r="HQ36" s="446"/>
      <c r="HR36" s="446"/>
      <c r="HS36" s="446"/>
      <c r="HT36" s="446"/>
      <c r="HU36" s="446"/>
      <c r="HV36" s="446"/>
      <c r="HW36" s="446"/>
      <c r="HX36" s="446"/>
      <c r="HY36" s="446"/>
      <c r="HZ36" s="446"/>
      <c r="IA36" s="446"/>
      <c r="IB36" s="446"/>
      <c r="IC36" s="446">
        <v>61</v>
      </c>
      <c r="ID36" s="446">
        <v>61</v>
      </c>
      <c r="IE36" s="446">
        <v>61</v>
      </c>
      <c r="IF36" s="445">
        <v>61</v>
      </c>
      <c r="IG36" s="446">
        <v>61</v>
      </c>
      <c r="IH36" s="446">
        <v>58</v>
      </c>
      <c r="II36" s="446">
        <v>51.5</v>
      </c>
      <c r="IJ36" s="446">
        <v>52.5</v>
      </c>
      <c r="IK36" s="446">
        <v>52.5</v>
      </c>
      <c r="IL36" s="446">
        <v>52.5</v>
      </c>
      <c r="IM36" s="446">
        <v>52.5</v>
      </c>
      <c r="IN36" s="446">
        <v>52.5</v>
      </c>
      <c r="IO36" s="446"/>
      <c r="IP36" s="446"/>
      <c r="IQ36" s="446"/>
      <c r="IR36" s="446"/>
      <c r="IS36" s="446"/>
      <c r="IT36" s="446"/>
      <c r="IU36" s="446"/>
      <c r="IV36" s="446"/>
      <c r="IW36" s="446"/>
      <c r="IX36" s="446"/>
      <c r="IY36" s="446"/>
      <c r="IZ36" s="446"/>
      <c r="JA36" s="446"/>
      <c r="JB36" s="446"/>
      <c r="JC36" s="446"/>
      <c r="JD36" s="446"/>
      <c r="JE36" s="446"/>
      <c r="JF36" s="446"/>
      <c r="JG36" s="446"/>
      <c r="JH36" s="446">
        <v>52.5</v>
      </c>
      <c r="JI36" s="446"/>
      <c r="JJ36" s="446"/>
      <c r="JK36" s="446"/>
      <c r="JL36" s="446"/>
      <c r="JM36" s="446"/>
      <c r="JN36" s="446"/>
      <c r="JO36" s="446"/>
      <c r="JP36" s="446"/>
      <c r="JQ36" s="446"/>
      <c r="JR36" s="446"/>
      <c r="JS36" s="446"/>
      <c r="JT36" s="446"/>
      <c r="JU36" s="446"/>
      <c r="JV36" s="446">
        <v>52.5</v>
      </c>
      <c r="JW36" s="445"/>
      <c r="JX36" s="445"/>
      <c r="JY36" s="445"/>
      <c r="JZ36" s="448"/>
      <c r="KA36" s="448"/>
      <c r="KB36" s="448"/>
      <c r="KC36" s="448"/>
      <c r="KD36" s="449"/>
      <c r="KE36" s="449"/>
      <c r="KF36" s="449"/>
      <c r="KG36" s="449"/>
      <c r="KH36" s="449"/>
      <c r="KI36" s="449"/>
      <c r="KJ36" s="448"/>
      <c r="KK36" s="449"/>
      <c r="KL36" s="449"/>
      <c r="KM36" s="449"/>
      <c r="KN36" s="449"/>
      <c r="KO36" s="449"/>
      <c r="KP36" s="449"/>
      <c r="KQ36" s="449"/>
      <c r="KR36" s="449"/>
      <c r="KS36" s="449"/>
      <c r="KT36" s="449"/>
      <c r="KU36" s="449"/>
      <c r="KV36" s="449"/>
      <c r="KW36" s="449"/>
      <c r="KX36" s="449"/>
      <c r="KY36" s="450"/>
      <c r="KZ36" s="450"/>
      <c r="LA36" s="450"/>
      <c r="LB36" s="449"/>
      <c r="LC36" s="449"/>
      <c r="LD36" s="449"/>
      <c r="LE36" s="449"/>
      <c r="LF36" s="449"/>
      <c r="LG36" s="449"/>
      <c r="LH36" s="449"/>
      <c r="LI36" s="449"/>
      <c r="LJ36" s="449"/>
      <c r="LK36" s="449"/>
      <c r="LL36" s="449"/>
      <c r="LM36" s="449"/>
      <c r="LN36" s="449"/>
      <c r="LO36" s="449"/>
      <c r="LP36" s="449"/>
      <c r="LQ36" s="448"/>
      <c r="LR36" s="448"/>
      <c r="LS36" s="448"/>
      <c r="LT36" s="448"/>
      <c r="LU36" s="448"/>
      <c r="LV36" s="449"/>
      <c r="LW36" s="448"/>
      <c r="LX36" s="448"/>
      <c r="LY36" s="448"/>
      <c r="LZ36" s="449"/>
      <c r="MA36" s="450"/>
      <c r="MB36" s="450"/>
      <c r="MC36" s="449"/>
      <c r="MD36" s="449"/>
      <c r="ME36" s="449"/>
      <c r="MF36" s="449"/>
      <c r="MG36" s="449"/>
      <c r="MH36" s="449"/>
      <c r="MI36" s="449"/>
      <c r="MJ36" s="449"/>
      <c r="MK36" s="449"/>
      <c r="ML36" s="449"/>
      <c r="MM36" s="449"/>
      <c r="MN36" s="449"/>
      <c r="MO36" s="448"/>
      <c r="MP36" s="448"/>
      <c r="MQ36" s="448"/>
      <c r="MR36" s="448"/>
      <c r="MS36" s="448"/>
      <c r="MT36" s="449"/>
      <c r="MU36" s="448"/>
      <c r="MV36" s="448"/>
      <c r="MW36" s="449"/>
      <c r="MX36" s="449"/>
      <c r="MY36" s="449"/>
      <c r="MZ36" s="449"/>
      <c r="NA36" s="449"/>
      <c r="NB36" s="449"/>
      <c r="NC36" s="449"/>
      <c r="ND36" s="449"/>
      <c r="NE36" s="449"/>
      <c r="NF36" s="449"/>
      <c r="NG36" s="449"/>
      <c r="NH36" s="449"/>
      <c r="NI36" s="449">
        <v>60</v>
      </c>
      <c r="NJ36" s="449">
        <v>60</v>
      </c>
      <c r="NK36" s="449">
        <v>60</v>
      </c>
      <c r="NL36" s="448">
        <v>57</v>
      </c>
      <c r="NM36" s="449">
        <v>58</v>
      </c>
      <c r="NN36" s="449">
        <v>58</v>
      </c>
      <c r="NO36" s="449">
        <v>53</v>
      </c>
      <c r="NP36" s="449">
        <v>53</v>
      </c>
      <c r="NQ36" s="449">
        <v>50</v>
      </c>
      <c r="NR36" s="449">
        <v>50</v>
      </c>
      <c r="NS36" s="449">
        <v>50</v>
      </c>
      <c r="NT36" s="449">
        <v>50</v>
      </c>
      <c r="NU36" s="449"/>
      <c r="NV36" s="449"/>
      <c r="NW36" s="449"/>
      <c r="NX36" s="449"/>
      <c r="NY36" s="449"/>
      <c r="NZ36" s="449"/>
      <c r="OA36" s="449"/>
      <c r="OB36" s="449"/>
      <c r="OC36" s="449"/>
      <c r="OD36" s="449"/>
      <c r="OE36" s="449"/>
      <c r="OF36" s="449"/>
      <c r="OG36" s="449"/>
      <c r="OH36" s="449"/>
      <c r="OI36" s="449"/>
      <c r="OJ36" s="449"/>
      <c r="OK36" s="449"/>
      <c r="OL36" s="449"/>
      <c r="OM36" s="449"/>
      <c r="ON36" s="449">
        <v>50</v>
      </c>
      <c r="OO36" s="449"/>
      <c r="OP36" s="449"/>
      <c r="OQ36" s="449"/>
      <c r="OR36" s="449"/>
      <c r="OS36" s="449"/>
      <c r="OT36" s="449"/>
      <c r="OU36" s="449"/>
      <c r="OV36" s="449"/>
      <c r="OW36" s="449"/>
      <c r="OX36" s="449"/>
      <c r="OY36" s="449"/>
      <c r="OZ36" s="449"/>
      <c r="PA36" s="449"/>
      <c r="PB36" s="449">
        <v>50</v>
      </c>
      <c r="PC36" s="445"/>
      <c r="PD36" s="445"/>
      <c r="PE36" s="445"/>
      <c r="PF36" s="445"/>
      <c r="PG36" s="445"/>
      <c r="PH36" s="445"/>
      <c r="PI36" s="446"/>
      <c r="PJ36" s="446"/>
      <c r="PK36" s="446"/>
      <c r="PL36" s="446"/>
      <c r="PM36" s="446"/>
      <c r="PN36" s="446"/>
      <c r="PO36" s="446"/>
      <c r="PP36" s="446"/>
      <c r="PQ36" s="446"/>
      <c r="PR36" s="446"/>
      <c r="PS36" s="446"/>
      <c r="PT36" s="446"/>
      <c r="PU36" s="446"/>
      <c r="PV36" s="446"/>
      <c r="PW36" s="446"/>
      <c r="PX36" s="446"/>
      <c r="PY36" s="446"/>
      <c r="PZ36" s="446"/>
      <c r="QA36" s="446"/>
      <c r="QB36" s="446"/>
      <c r="QC36" s="446"/>
      <c r="QD36" s="446"/>
      <c r="QE36" s="447"/>
      <c r="QF36" s="447"/>
      <c r="QG36" s="447"/>
      <c r="QH36" s="446"/>
      <c r="QI36" s="446"/>
      <c r="QJ36" s="446"/>
      <c r="QK36" s="446"/>
      <c r="QL36" s="446"/>
      <c r="QM36" s="446"/>
      <c r="QN36" s="446"/>
      <c r="QO36" s="446"/>
      <c r="QP36" s="446"/>
      <c r="QQ36" s="446"/>
      <c r="QR36" s="446"/>
      <c r="QS36" s="446"/>
      <c r="QT36" s="446"/>
      <c r="QU36" s="446"/>
      <c r="QV36" s="446"/>
      <c r="QW36" s="445"/>
      <c r="QX36" s="445"/>
      <c r="QY36" s="445"/>
      <c r="QZ36" s="445"/>
      <c r="RA36" s="445"/>
      <c r="RB36" s="446"/>
      <c r="RC36" s="445"/>
      <c r="RD36" s="445"/>
      <c r="RE36" s="445"/>
      <c r="RF36" s="446"/>
      <c r="RG36" s="447"/>
      <c r="RH36" s="447"/>
      <c r="RI36" s="446"/>
      <c r="RJ36" s="446"/>
      <c r="RK36" s="446"/>
      <c r="RL36" s="446"/>
      <c r="RM36" s="446"/>
      <c r="RN36" s="446"/>
      <c r="RO36" s="446"/>
      <c r="RP36" s="446"/>
      <c r="RQ36" s="446"/>
      <c r="RR36" s="446"/>
      <c r="RS36" s="446"/>
      <c r="RT36" s="446"/>
      <c r="RU36" s="445"/>
      <c r="RV36" s="445"/>
      <c r="RW36" s="445"/>
      <c r="RX36" s="445"/>
      <c r="RY36" s="445"/>
      <c r="RZ36" s="446"/>
      <c r="SA36" s="445"/>
      <c r="SB36" s="445"/>
      <c r="SC36" s="446"/>
      <c r="SD36" s="446"/>
      <c r="SE36" s="446"/>
      <c r="SF36" s="446"/>
      <c r="SG36" s="446"/>
      <c r="SH36" s="446"/>
      <c r="SI36" s="446"/>
      <c r="SJ36" s="446"/>
      <c r="SK36" s="446"/>
      <c r="SL36" s="446"/>
      <c r="SM36" s="446"/>
      <c r="SN36" s="446"/>
      <c r="SO36" s="446"/>
      <c r="SP36" s="446"/>
      <c r="SQ36" s="446"/>
      <c r="SR36" s="445"/>
      <c r="SS36" s="446"/>
      <c r="ST36" s="446"/>
      <c r="SU36" s="446"/>
      <c r="SV36" s="446"/>
      <c r="SW36" s="446"/>
      <c r="SX36" s="446"/>
      <c r="SY36" s="446"/>
      <c r="SZ36" s="446"/>
      <c r="TA36" s="446"/>
      <c r="TB36" s="446"/>
      <c r="TC36" s="446"/>
      <c r="TD36" s="446"/>
      <c r="TE36" s="446"/>
      <c r="TF36" s="446"/>
      <c r="TG36" s="446"/>
      <c r="TH36" s="446"/>
      <c r="TI36" s="446"/>
      <c r="TJ36" s="446"/>
      <c r="TK36" s="446"/>
      <c r="TL36" s="446"/>
      <c r="TM36" s="446"/>
      <c r="TN36" s="446"/>
      <c r="TO36" s="446"/>
      <c r="TP36" s="446"/>
      <c r="TQ36" s="446"/>
      <c r="TR36" s="446"/>
      <c r="TS36" s="446"/>
      <c r="TT36" s="446"/>
      <c r="TU36" s="446"/>
      <c r="TV36" s="446"/>
      <c r="TW36" s="446"/>
      <c r="TX36" s="446"/>
      <c r="TY36" s="446"/>
      <c r="TZ36" s="446"/>
      <c r="UA36" s="446"/>
      <c r="UB36" s="446"/>
      <c r="UC36" s="446"/>
      <c r="UD36" s="446"/>
      <c r="UE36" s="446"/>
      <c r="UF36" s="446"/>
      <c r="UG36" s="446"/>
      <c r="UH36" s="446"/>
      <c r="UI36" s="445"/>
      <c r="UJ36" s="445"/>
      <c r="UK36" s="445"/>
      <c r="UL36" s="445"/>
      <c r="UM36" s="446"/>
      <c r="UN36" s="446"/>
      <c r="UO36" s="446"/>
      <c r="UP36" s="446"/>
      <c r="UQ36" s="445"/>
      <c r="UR36" s="446"/>
      <c r="US36" s="446"/>
      <c r="UT36" s="446"/>
      <c r="UU36" s="446"/>
      <c r="UV36" s="446"/>
      <c r="UW36" s="446"/>
      <c r="UX36" s="445"/>
      <c r="UY36" s="446"/>
      <c r="UZ36" s="445"/>
      <c r="VA36" s="445"/>
      <c r="VB36" s="445"/>
      <c r="VC36" s="445"/>
      <c r="VD36" s="446"/>
      <c r="VE36" s="446"/>
      <c r="VF36" s="445"/>
      <c r="VG36" s="445"/>
      <c r="VH36" s="446"/>
      <c r="VI36" s="446"/>
      <c r="VJ36" s="446"/>
      <c r="VK36" s="446"/>
      <c r="VL36" s="445"/>
      <c r="VM36" s="445"/>
      <c r="VN36" s="445"/>
      <c r="VO36" s="445"/>
      <c r="VP36" s="446"/>
      <c r="VQ36" s="445"/>
      <c r="VR36" s="446"/>
      <c r="VS36" s="446"/>
      <c r="VT36" s="446"/>
      <c r="VU36" s="446"/>
      <c r="VV36" s="445"/>
      <c r="VW36" s="445"/>
      <c r="VX36" s="445"/>
      <c r="VY36" s="445"/>
      <c r="VZ36" s="445"/>
      <c r="WA36" s="445"/>
      <c r="WB36" s="446">
        <v>35.5</v>
      </c>
      <c r="WC36" s="446">
        <v>35.5</v>
      </c>
      <c r="WD36" s="446">
        <v>35.5</v>
      </c>
      <c r="WE36" s="446">
        <v>35.5</v>
      </c>
      <c r="WF36" s="446">
        <v>35.5</v>
      </c>
      <c r="WG36" s="446"/>
      <c r="WH36" s="446"/>
      <c r="WI36" s="445"/>
      <c r="WJ36" s="446"/>
      <c r="WK36" s="446"/>
      <c r="WL36" s="446"/>
      <c r="WM36" s="446"/>
      <c r="WN36" s="446"/>
      <c r="WO36" s="446"/>
      <c r="WP36" s="446"/>
      <c r="WQ36" s="446"/>
      <c r="WR36" s="446"/>
      <c r="WS36" s="446"/>
      <c r="WT36" s="446"/>
      <c r="WU36" s="446"/>
      <c r="WV36" s="446"/>
      <c r="WW36" s="446"/>
      <c r="WX36" s="447"/>
      <c r="WY36" s="447"/>
      <c r="WZ36" s="447"/>
      <c r="XA36" s="446"/>
      <c r="XB36" s="446"/>
      <c r="XC36" s="446"/>
      <c r="XD36" s="446"/>
      <c r="XE36" s="446"/>
      <c r="XF36" s="446"/>
      <c r="XG36" s="446"/>
      <c r="XH36" s="446"/>
      <c r="XI36" s="446"/>
      <c r="XJ36" s="446"/>
      <c r="XK36" s="446"/>
      <c r="XL36" s="446"/>
      <c r="XM36" s="446"/>
      <c r="XN36" s="446"/>
      <c r="XO36" s="446"/>
      <c r="XP36" s="445"/>
      <c r="XQ36" s="445"/>
      <c r="XR36" s="445"/>
      <c r="XS36" s="445"/>
      <c r="XT36" s="445"/>
      <c r="XU36" s="446"/>
      <c r="XV36" s="445"/>
      <c r="XW36" s="446"/>
      <c r="XX36" s="447"/>
      <c r="XY36" s="446"/>
      <c r="XZ36" s="447"/>
      <c r="YA36" s="447"/>
      <c r="YB36" s="446"/>
      <c r="YC36" s="446"/>
      <c r="YD36" s="446"/>
      <c r="YE36" s="446"/>
      <c r="YF36" s="446"/>
      <c r="YG36" s="446"/>
      <c r="YH36" s="446"/>
      <c r="YI36" s="446"/>
      <c r="YJ36" s="446"/>
      <c r="YK36" s="446"/>
      <c r="YL36" s="446"/>
      <c r="YM36" s="446"/>
      <c r="YN36" s="445"/>
      <c r="YO36" s="445"/>
      <c r="YP36" s="445"/>
      <c r="YQ36" s="445"/>
      <c r="YR36" s="445"/>
      <c r="YS36" s="446"/>
      <c r="YT36" s="445"/>
      <c r="YU36" s="445"/>
      <c r="YV36" s="446"/>
      <c r="YW36" s="446"/>
      <c r="YX36" s="446"/>
      <c r="YY36" s="446"/>
      <c r="YZ36" s="446"/>
      <c r="ZA36" s="446"/>
      <c r="ZB36" s="446"/>
      <c r="ZC36" s="446"/>
      <c r="ZD36" s="446"/>
      <c r="ZE36" s="446"/>
      <c r="ZF36" s="446"/>
      <c r="ZG36" s="446"/>
      <c r="ZH36" s="446">
        <v>67</v>
      </c>
      <c r="ZI36" s="446">
        <v>67</v>
      </c>
      <c r="ZJ36" s="446">
        <v>70</v>
      </c>
      <c r="ZK36" s="445">
        <v>70</v>
      </c>
      <c r="ZL36" s="446">
        <v>70</v>
      </c>
      <c r="ZM36" s="446">
        <v>65</v>
      </c>
      <c r="ZN36" s="446"/>
      <c r="ZO36" s="446"/>
      <c r="ZP36" s="446"/>
      <c r="ZQ36" s="446"/>
      <c r="ZR36" s="446"/>
      <c r="ZS36" s="446"/>
      <c r="ZT36" s="446"/>
      <c r="ZU36" s="446"/>
      <c r="ZV36" s="446"/>
      <c r="ZW36" s="446"/>
      <c r="ZX36" s="446"/>
      <c r="ZY36" s="446"/>
      <c r="ZZ36" s="446"/>
      <c r="AAA36" s="446"/>
      <c r="AAB36" s="446"/>
      <c r="AAC36" s="446"/>
      <c r="AAD36" s="446"/>
      <c r="AAE36" s="446"/>
      <c r="AAF36" s="446"/>
      <c r="AAG36" s="446"/>
      <c r="AAH36" s="446"/>
      <c r="AAI36" s="446"/>
      <c r="AAJ36" s="446"/>
      <c r="AAK36" s="446"/>
      <c r="AAL36" s="446"/>
      <c r="AAM36" s="446"/>
      <c r="AAN36" s="446"/>
      <c r="AAO36" s="446"/>
      <c r="AAP36" s="446"/>
      <c r="AAQ36" s="446"/>
      <c r="AAR36" s="446"/>
      <c r="AAS36" s="446"/>
      <c r="AAT36" s="446"/>
      <c r="AAU36" s="446"/>
      <c r="AAV36" s="446"/>
      <c r="AAW36" s="446"/>
      <c r="AAX36" s="446"/>
      <c r="AAY36" s="446"/>
      <c r="AAZ36" s="446"/>
      <c r="ABA36" s="446"/>
      <c r="ABB36" s="445"/>
      <c r="ABC36" s="445"/>
      <c r="ABD36" s="445"/>
      <c r="ABE36" s="446"/>
      <c r="ABF36" s="446"/>
      <c r="ABG36" s="449"/>
      <c r="ABH36" s="449"/>
      <c r="ABI36" s="449"/>
      <c r="ABJ36" s="449"/>
      <c r="ABK36" s="449"/>
      <c r="ABL36" s="448"/>
      <c r="ABM36" s="449"/>
      <c r="ABN36" s="449"/>
      <c r="ABO36" s="449"/>
      <c r="ABP36" s="449"/>
      <c r="ABQ36" s="449"/>
      <c r="ABR36" s="449"/>
      <c r="ABS36" s="449"/>
      <c r="ABT36" s="449"/>
      <c r="ABU36" s="449"/>
      <c r="ABV36" s="449"/>
      <c r="ABW36" s="449"/>
      <c r="ABX36" s="449"/>
      <c r="ABY36" s="449"/>
      <c r="ABZ36" s="449"/>
      <c r="ACA36" s="450"/>
      <c r="ACB36" s="450"/>
      <c r="ACC36" s="450"/>
      <c r="ACD36" s="449"/>
      <c r="ACE36" s="449"/>
      <c r="ACF36" s="449"/>
      <c r="ACG36" s="449"/>
      <c r="ACH36" s="449"/>
      <c r="ACI36" s="449"/>
      <c r="ACJ36" s="449"/>
      <c r="ACK36" s="449"/>
      <c r="ACL36" s="449"/>
      <c r="ACM36" s="449"/>
      <c r="ACN36" s="449"/>
      <c r="ACO36" s="449"/>
      <c r="ACP36" s="449"/>
      <c r="ACQ36" s="449"/>
      <c r="ACR36" s="449"/>
      <c r="ACS36" s="448"/>
      <c r="ACT36" s="448"/>
      <c r="ACU36" s="448"/>
      <c r="ACV36" s="448"/>
      <c r="ACW36" s="448"/>
      <c r="ACX36" s="449"/>
      <c r="ACY36" s="448"/>
      <c r="ACZ36" s="449"/>
      <c r="ADA36" s="450"/>
      <c r="ADB36" s="449"/>
      <c r="ADC36" s="450"/>
      <c r="ADD36" s="450"/>
      <c r="ADE36" s="449"/>
      <c r="ADF36" s="449"/>
      <c r="ADG36" s="449"/>
      <c r="ADH36" s="449"/>
      <c r="ADI36" s="449"/>
      <c r="ADJ36" s="449"/>
      <c r="ADK36" s="449"/>
      <c r="ADL36" s="449"/>
      <c r="ADM36" s="449"/>
      <c r="ADN36" s="449"/>
      <c r="ADO36" s="449"/>
      <c r="ADP36" s="449"/>
      <c r="ADQ36" s="448"/>
      <c r="ADR36" s="448"/>
      <c r="ADS36" s="448"/>
      <c r="ADT36" s="448"/>
      <c r="ADU36" s="448"/>
      <c r="ADV36" s="449"/>
      <c r="ADW36" s="449"/>
      <c r="ADX36" s="449"/>
      <c r="ADY36" s="449"/>
      <c r="ADZ36" s="449"/>
      <c r="AEA36" s="449"/>
      <c r="AEB36" s="449"/>
      <c r="AEC36" s="449"/>
      <c r="AED36" s="449"/>
      <c r="AEE36" s="449"/>
      <c r="AEF36" s="449"/>
      <c r="AEG36" s="449"/>
      <c r="AEH36" s="449"/>
      <c r="AEI36" s="449"/>
      <c r="AEJ36" s="449"/>
      <c r="AEK36" s="449">
        <v>59.5</v>
      </c>
      <c r="AEL36" s="449">
        <v>61</v>
      </c>
      <c r="AEM36" s="449">
        <v>61</v>
      </c>
      <c r="AEN36" s="448">
        <v>61</v>
      </c>
      <c r="AEO36" s="449">
        <v>60</v>
      </c>
      <c r="AEP36" s="449"/>
      <c r="AEQ36" s="449"/>
      <c r="AER36" s="449"/>
      <c r="AES36" s="449"/>
      <c r="AET36" s="449"/>
      <c r="AEU36" s="449"/>
      <c r="AEV36" s="449"/>
      <c r="AEW36" s="449"/>
      <c r="AEX36" s="449"/>
      <c r="AEY36" s="449"/>
      <c r="AEZ36" s="449"/>
      <c r="AFA36" s="449"/>
      <c r="AFB36" s="449"/>
      <c r="AFC36" s="449"/>
      <c r="AFD36" s="449"/>
      <c r="AFE36" s="449"/>
      <c r="AFF36" s="449"/>
      <c r="AFG36" s="449"/>
      <c r="AFH36" s="449"/>
      <c r="AFI36" s="449"/>
      <c r="AFJ36" s="449"/>
      <c r="AFK36" s="449"/>
      <c r="AFL36" s="449"/>
      <c r="AFM36" s="449"/>
      <c r="AFN36" s="449"/>
      <c r="AFO36" s="449"/>
      <c r="AFP36" s="449"/>
      <c r="AFQ36" s="449"/>
      <c r="AFR36" s="449"/>
      <c r="AFS36" s="449"/>
      <c r="AFT36" s="449"/>
      <c r="AFU36" s="449"/>
      <c r="AFV36" s="449"/>
      <c r="AFW36" s="449"/>
      <c r="AFX36" s="449"/>
      <c r="AFY36" s="449"/>
      <c r="AFZ36" s="449"/>
      <c r="AGA36" s="449"/>
      <c r="AGB36" s="449"/>
      <c r="AGC36" s="449"/>
      <c r="AGD36" s="449"/>
      <c r="AGE36" s="449"/>
      <c r="AGF36" s="449"/>
      <c r="AGG36" s="449"/>
      <c r="AGH36" s="449"/>
      <c r="AGI36" s="449"/>
      <c r="AGJ36" s="449"/>
      <c r="AGK36" s="449"/>
      <c r="AGL36" s="449"/>
      <c r="AGM36" s="449"/>
      <c r="AGN36" s="449"/>
      <c r="AGO36" s="449"/>
      <c r="AGP36" s="449"/>
      <c r="AGQ36" s="449"/>
      <c r="AGR36" s="449"/>
      <c r="AGS36" s="449"/>
      <c r="AGT36" s="449"/>
      <c r="AGU36" s="449"/>
      <c r="AGV36" s="449"/>
      <c r="AGW36" s="449"/>
      <c r="AGX36" s="449"/>
      <c r="AGY36" s="449"/>
      <c r="AGZ36" s="449"/>
      <c r="AHA36" s="449"/>
      <c r="AHB36" s="449"/>
      <c r="AHC36" s="449"/>
      <c r="AHD36" s="445"/>
      <c r="AHE36" s="445"/>
      <c r="AHF36" s="445"/>
      <c r="AHG36" s="445"/>
      <c r="AHH36" s="446"/>
      <c r="AHI36" s="449"/>
      <c r="AHJ36" s="449"/>
      <c r="AHK36" s="449"/>
      <c r="AHL36" s="449"/>
      <c r="AHM36" s="449"/>
      <c r="AHN36" s="448"/>
      <c r="AHO36" s="449"/>
      <c r="AHP36" s="449"/>
      <c r="AHQ36" s="449"/>
      <c r="AHR36" s="449"/>
      <c r="AHS36" s="449"/>
      <c r="AHT36" s="449"/>
      <c r="AHU36" s="449"/>
      <c r="AHV36" s="449"/>
      <c r="AHW36" s="449"/>
      <c r="AHX36" s="449"/>
      <c r="AHY36" s="449"/>
      <c r="AHZ36" s="449"/>
      <c r="AIA36" s="449"/>
      <c r="AIB36" s="449"/>
      <c r="AIC36" s="450"/>
      <c r="AID36" s="450"/>
      <c r="AIE36" s="450"/>
      <c r="AIF36" s="449"/>
      <c r="AIG36" s="449"/>
      <c r="AIH36" s="449"/>
      <c r="AII36" s="449"/>
      <c r="AIJ36" s="449"/>
      <c r="AIK36" s="449"/>
      <c r="AIL36" s="449"/>
      <c r="AIM36" s="449"/>
      <c r="AIN36" s="449"/>
      <c r="AIO36" s="449"/>
      <c r="AIP36" s="449"/>
      <c r="AIQ36" s="449"/>
      <c r="AIR36" s="449"/>
      <c r="AIS36" s="449"/>
      <c r="AIT36" s="449"/>
      <c r="AIU36" s="449"/>
      <c r="AIV36" s="448"/>
      <c r="AIW36" s="448"/>
      <c r="AIX36" s="448"/>
      <c r="AIY36" s="448"/>
      <c r="AIZ36" s="448"/>
      <c r="AJA36" s="449"/>
      <c r="AJB36" s="448"/>
      <c r="AJC36" s="449"/>
      <c r="AJD36" s="449"/>
      <c r="AJE36" s="449"/>
      <c r="AJF36" s="449"/>
      <c r="AJG36" s="449"/>
      <c r="AJH36" s="449"/>
      <c r="AJI36" s="449"/>
      <c r="AJJ36" s="448"/>
      <c r="AJK36" s="448"/>
      <c r="AJL36" s="448"/>
      <c r="AJM36" s="448"/>
      <c r="AJN36" s="448"/>
      <c r="AJO36" s="449"/>
      <c r="AJP36" s="449"/>
      <c r="AJQ36" s="448"/>
      <c r="AJR36" s="449"/>
      <c r="AJS36" s="449"/>
      <c r="AJT36" s="448"/>
      <c r="AJU36" s="448"/>
      <c r="AJV36" s="451"/>
      <c r="AJW36" s="451"/>
      <c r="AJX36" s="451"/>
      <c r="AJY36" s="452"/>
      <c r="AJZ36" s="451"/>
      <c r="AKA36" s="452"/>
      <c r="AKB36" s="453"/>
      <c r="AKC36" s="452"/>
      <c r="AKD36" s="452"/>
      <c r="AKE36" s="452"/>
      <c r="AKF36" s="431"/>
      <c r="AKG36" s="286"/>
      <c r="AKH36" s="349"/>
      <c r="AKI36" s="282" t="e">
        <f>AVERAGE(#REF!)</f>
        <v>#REF!</v>
      </c>
      <c r="AKJ36" s="187" t="e">
        <f>AVERAGE(#REF!)</f>
        <v>#REF!</v>
      </c>
      <c r="AKK36" s="196" t="e">
        <f>AVERAGE(#REF!)</f>
        <v>#REF!</v>
      </c>
      <c r="AKL36" s="196" t="e">
        <f>AVERAGE(#REF!)</f>
        <v>#REF!</v>
      </c>
      <c r="AKM36" s="196"/>
      <c r="AKN36" s="196"/>
      <c r="AKO36" s="196"/>
      <c r="AKP36" s="187"/>
      <c r="AKQ36" s="187"/>
      <c r="AKR36" s="187"/>
      <c r="AKS36" s="187"/>
      <c r="AKT36" s="187"/>
      <c r="AKU36" s="187"/>
      <c r="AKV36" s="187"/>
      <c r="AKW36" s="187"/>
      <c r="AKX36" s="187"/>
      <c r="AKY36" s="187"/>
      <c r="AKZ36" s="187"/>
      <c r="ALA36" s="187"/>
      <c r="ALB36" s="187"/>
      <c r="ALC36" s="187"/>
      <c r="ALD36" s="187"/>
      <c r="ALU36" s="449"/>
      <c r="ALV36" s="449"/>
      <c r="ALW36" s="449"/>
      <c r="ALX36" s="449"/>
      <c r="ALY36" s="449"/>
      <c r="ALZ36" s="449"/>
      <c r="AMA36" s="449"/>
      <c r="AMB36" s="449"/>
      <c r="AMC36" s="449"/>
      <c r="AMD36" s="449"/>
      <c r="AME36" s="449"/>
      <c r="AMF36" s="449"/>
      <c r="AMG36" s="449"/>
      <c r="AMH36" s="449"/>
      <c r="AMI36" s="449"/>
      <c r="AMJ36" s="449"/>
      <c r="AMK36" s="349"/>
      <c r="AML36" s="349"/>
      <c r="AMM36" s="349"/>
    </row>
    <row r="37" spans="1:1027" ht="29.1" hidden="1" customHeight="1" thickTop="1" x14ac:dyDescent="0.3">
      <c r="A37" s="90" t="s">
        <v>21</v>
      </c>
      <c r="B37" s="91" t="s">
        <v>29</v>
      </c>
      <c r="C37" s="92" t="s">
        <v>3</v>
      </c>
      <c r="D37" s="92">
        <v>650</v>
      </c>
      <c r="E37" s="87"/>
      <c r="F37" s="88"/>
      <c r="G37" s="88"/>
      <c r="H37" s="163"/>
      <c r="I37" s="438"/>
      <c r="J37" s="218"/>
      <c r="K37" s="292"/>
      <c r="L37" s="54"/>
      <c r="M37" s="54"/>
      <c r="N37" s="54"/>
      <c r="O37" s="54"/>
      <c r="P37" s="54"/>
      <c r="Q37" s="54"/>
      <c r="R37" s="55"/>
      <c r="S37" s="55"/>
      <c r="T37" s="55"/>
      <c r="U37" s="55"/>
      <c r="V37" s="55"/>
      <c r="W37" s="55"/>
      <c r="X37" s="54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252"/>
      <c r="AN37" s="252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4"/>
      <c r="BF37" s="54"/>
      <c r="BG37" s="54"/>
      <c r="BH37" s="54"/>
      <c r="BI37" s="54"/>
      <c r="BJ37" s="55"/>
      <c r="BK37" s="54"/>
      <c r="BL37" s="54"/>
      <c r="BM37" s="54"/>
      <c r="BN37" s="252"/>
      <c r="BO37" s="252"/>
      <c r="BP37" s="252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4"/>
      <c r="CD37" s="54"/>
      <c r="CE37" s="54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4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4"/>
      <c r="ER37" s="54"/>
      <c r="ES37" s="54"/>
      <c r="ET37" s="54"/>
      <c r="EU37" s="54"/>
      <c r="EV37" s="54"/>
      <c r="EW37" s="55"/>
      <c r="EX37" s="55"/>
      <c r="EY37" s="55"/>
      <c r="EZ37" s="55"/>
      <c r="FA37" s="55"/>
      <c r="FB37" s="55"/>
      <c r="FC37" s="55"/>
      <c r="FD37" s="54"/>
      <c r="FE37" s="55"/>
      <c r="FF37" s="55"/>
      <c r="FG37" s="55"/>
      <c r="FH37" s="55"/>
      <c r="FI37" s="55"/>
      <c r="FJ37" s="55"/>
      <c r="FK37" s="55"/>
      <c r="FL37" s="55"/>
      <c r="FM37" s="55"/>
      <c r="FN37" s="55"/>
      <c r="FO37" s="55"/>
      <c r="FP37" s="55"/>
      <c r="FQ37" s="55"/>
      <c r="FR37" s="55"/>
      <c r="FS37" s="252"/>
      <c r="FT37" s="252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4"/>
      <c r="GL37" s="54"/>
      <c r="GM37" s="54"/>
      <c r="GN37" s="54"/>
      <c r="GO37" s="54"/>
      <c r="GP37" s="55"/>
      <c r="GQ37" s="54"/>
      <c r="GR37" s="54"/>
      <c r="GS37" s="54"/>
      <c r="GT37" s="252"/>
      <c r="GU37" s="252"/>
      <c r="GV37" s="252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4"/>
      <c r="HJ37" s="54"/>
      <c r="HK37" s="54"/>
      <c r="HL37" s="55"/>
      <c r="HM37" s="55"/>
      <c r="HN37" s="55"/>
      <c r="HO37" s="55"/>
      <c r="HP37" s="55"/>
      <c r="HQ37" s="55"/>
      <c r="HR37" s="55"/>
      <c r="HS37" s="55"/>
      <c r="HT37" s="55"/>
      <c r="HU37" s="55"/>
      <c r="HV37" s="55"/>
      <c r="HW37" s="55"/>
      <c r="HX37" s="55"/>
      <c r="HY37" s="55"/>
      <c r="HZ37" s="55"/>
      <c r="IA37" s="55"/>
      <c r="IB37" s="55"/>
      <c r="IC37" s="55"/>
      <c r="ID37" s="55"/>
      <c r="IE37" s="55"/>
      <c r="IF37" s="54"/>
      <c r="IG37" s="55"/>
      <c r="IH37" s="55"/>
      <c r="II37" s="55"/>
      <c r="IJ37" s="55"/>
      <c r="IK37" s="55"/>
      <c r="IL37" s="55"/>
      <c r="IM37" s="55"/>
      <c r="IN37" s="55"/>
      <c r="IO37" s="55"/>
      <c r="IP37" s="55"/>
      <c r="IQ37" s="55"/>
      <c r="IR37" s="55"/>
      <c r="IS37" s="55"/>
      <c r="IT37" s="55"/>
      <c r="IU37" s="55"/>
      <c r="IV37" s="55"/>
      <c r="IW37" s="55"/>
      <c r="IX37" s="55"/>
      <c r="IY37" s="55"/>
      <c r="IZ37" s="55"/>
      <c r="JA37" s="55"/>
      <c r="JB37" s="55"/>
      <c r="JC37" s="55"/>
      <c r="JD37" s="55"/>
      <c r="JE37" s="55"/>
      <c r="JF37" s="55"/>
      <c r="JG37" s="55"/>
      <c r="JH37" s="55"/>
      <c r="JI37" s="55"/>
      <c r="JJ37" s="55"/>
      <c r="JK37" s="55"/>
      <c r="JL37" s="55"/>
      <c r="JM37" s="55"/>
      <c r="JN37" s="55"/>
      <c r="JO37" s="55"/>
      <c r="JP37" s="55"/>
      <c r="JQ37" s="55"/>
      <c r="JR37" s="55"/>
      <c r="JS37" s="55"/>
      <c r="JT37" s="55"/>
      <c r="JU37" s="55"/>
      <c r="JV37" s="55"/>
      <c r="JW37" s="54"/>
      <c r="JX37" s="54"/>
      <c r="JY37" s="54"/>
      <c r="JZ37" s="54"/>
      <c r="KA37" s="54"/>
      <c r="KB37" s="54"/>
      <c r="KC37" s="54"/>
      <c r="KD37" s="55"/>
      <c r="KE37" s="55"/>
      <c r="KF37" s="55"/>
      <c r="KG37" s="55"/>
      <c r="KH37" s="55"/>
      <c r="KI37" s="55"/>
      <c r="KJ37" s="54"/>
      <c r="KK37" s="55"/>
      <c r="KL37" s="55"/>
      <c r="KM37" s="55"/>
      <c r="KN37" s="55"/>
      <c r="KO37" s="55"/>
      <c r="KP37" s="55"/>
      <c r="KQ37" s="55"/>
      <c r="KR37" s="55"/>
      <c r="KS37" s="55"/>
      <c r="KT37" s="55"/>
      <c r="KU37" s="55"/>
      <c r="KV37" s="55"/>
      <c r="KW37" s="55"/>
      <c r="KX37" s="55"/>
      <c r="KY37" s="252"/>
      <c r="KZ37" s="252"/>
      <c r="LA37" s="55"/>
      <c r="LB37" s="55"/>
      <c r="LC37" s="55"/>
      <c r="LD37" s="55"/>
      <c r="LE37" s="55"/>
      <c r="LF37" s="55"/>
      <c r="LG37" s="55"/>
      <c r="LH37" s="55"/>
      <c r="LI37" s="55"/>
      <c r="LJ37" s="55"/>
      <c r="LK37" s="55"/>
      <c r="LL37" s="55"/>
      <c r="LM37" s="55"/>
      <c r="LN37" s="55"/>
      <c r="LO37" s="55"/>
      <c r="LP37" s="55"/>
      <c r="LQ37" s="54"/>
      <c r="LR37" s="54"/>
      <c r="LS37" s="54"/>
      <c r="LT37" s="54"/>
      <c r="LU37" s="54"/>
      <c r="LV37" s="55"/>
      <c r="LW37" s="54"/>
      <c r="LX37" s="54"/>
      <c r="LY37" s="54"/>
      <c r="LZ37" s="55"/>
      <c r="MA37" s="252"/>
      <c r="MB37" s="252"/>
      <c r="MC37" s="55"/>
      <c r="MD37" s="55"/>
      <c r="ME37" s="55"/>
      <c r="MF37" s="55"/>
      <c r="MG37" s="55"/>
      <c r="MH37" s="55"/>
      <c r="MI37" s="55"/>
      <c r="MJ37" s="55"/>
      <c r="MK37" s="55"/>
      <c r="ML37" s="55"/>
      <c r="MM37" s="55"/>
      <c r="MN37" s="55"/>
      <c r="MO37" s="54"/>
      <c r="MP37" s="54"/>
      <c r="MQ37" s="54"/>
      <c r="MR37" s="55"/>
      <c r="MS37" s="55"/>
      <c r="MT37" s="55"/>
      <c r="MU37" s="55"/>
      <c r="MV37" s="55"/>
      <c r="MW37" s="55"/>
      <c r="MX37" s="55"/>
      <c r="MY37" s="55"/>
      <c r="MZ37" s="55"/>
      <c r="NA37" s="55"/>
      <c r="NB37" s="55"/>
      <c r="NC37" s="55"/>
      <c r="ND37" s="55"/>
      <c r="NE37" s="55"/>
      <c r="NF37" s="55"/>
      <c r="NG37" s="55"/>
      <c r="NH37" s="55"/>
      <c r="NI37" s="55"/>
      <c r="NJ37" s="55"/>
      <c r="NK37" s="55"/>
      <c r="NL37" s="54"/>
      <c r="NM37" s="55"/>
      <c r="NN37" s="55"/>
      <c r="NO37" s="55"/>
      <c r="NP37" s="55"/>
      <c r="NQ37" s="55"/>
      <c r="NR37" s="55"/>
      <c r="NS37" s="55"/>
      <c r="NT37" s="55"/>
      <c r="NU37" s="55"/>
      <c r="NV37" s="55"/>
      <c r="NW37" s="55"/>
      <c r="NX37" s="55"/>
      <c r="NY37" s="55"/>
      <c r="NZ37" s="55"/>
      <c r="OA37" s="55"/>
      <c r="OB37" s="55"/>
      <c r="OC37" s="55"/>
      <c r="OD37" s="55"/>
      <c r="OE37" s="55"/>
      <c r="OF37" s="55"/>
      <c r="OG37" s="55"/>
      <c r="OH37" s="55"/>
      <c r="OI37" s="55"/>
      <c r="OJ37" s="55"/>
      <c r="OK37" s="55"/>
      <c r="OL37" s="55"/>
      <c r="OM37" s="55"/>
      <c r="ON37" s="55"/>
      <c r="OO37" s="55"/>
      <c r="OP37" s="55"/>
      <c r="OQ37" s="55"/>
      <c r="OR37" s="55"/>
      <c r="OS37" s="55"/>
      <c r="OT37" s="55"/>
      <c r="OU37" s="55"/>
      <c r="OV37" s="55"/>
      <c r="OW37" s="55"/>
      <c r="OX37" s="55"/>
      <c r="OY37" s="55"/>
      <c r="OZ37" s="55"/>
      <c r="PA37" s="55"/>
      <c r="PB37" s="55"/>
      <c r="PC37" s="54"/>
      <c r="PD37" s="54"/>
      <c r="PE37" s="54"/>
      <c r="PF37" s="54"/>
      <c r="PG37" s="54"/>
      <c r="PH37" s="54"/>
      <c r="PI37" s="55"/>
      <c r="PJ37" s="55"/>
      <c r="PK37" s="55"/>
      <c r="PL37" s="55"/>
      <c r="PM37" s="55"/>
      <c r="PN37" s="55"/>
      <c r="PO37" s="55"/>
      <c r="PP37" s="55"/>
      <c r="PQ37" s="55"/>
      <c r="PR37" s="55"/>
      <c r="PS37" s="55"/>
      <c r="PT37" s="55"/>
      <c r="PU37" s="55"/>
      <c r="PV37" s="55"/>
      <c r="PW37" s="55"/>
      <c r="PX37" s="55"/>
      <c r="PY37" s="55"/>
      <c r="PZ37" s="55"/>
      <c r="QA37" s="55"/>
      <c r="QB37" s="55"/>
      <c r="QC37" s="55"/>
      <c r="QD37" s="55"/>
      <c r="QE37" s="252"/>
      <c r="QF37" s="252"/>
      <c r="QG37" s="55"/>
      <c r="QH37" s="55"/>
      <c r="QI37" s="55"/>
      <c r="QJ37" s="55"/>
      <c r="QK37" s="55"/>
      <c r="QL37" s="55"/>
      <c r="QM37" s="55"/>
      <c r="QN37" s="55"/>
      <c r="QO37" s="55"/>
      <c r="QP37" s="55"/>
      <c r="QQ37" s="55"/>
      <c r="QR37" s="55"/>
      <c r="QS37" s="55"/>
      <c r="QT37" s="55"/>
      <c r="QU37" s="55"/>
      <c r="QV37" s="55"/>
      <c r="QW37" s="54"/>
      <c r="QX37" s="54"/>
      <c r="QY37" s="54"/>
      <c r="QZ37" s="54"/>
      <c r="RA37" s="54"/>
      <c r="RB37" s="55"/>
      <c r="RC37" s="54"/>
      <c r="RD37" s="54"/>
      <c r="RE37" s="54"/>
      <c r="RF37" s="55"/>
      <c r="RG37" s="252"/>
      <c r="RH37" s="252"/>
      <c r="RI37" s="55"/>
      <c r="RJ37" s="55"/>
      <c r="RK37" s="55"/>
      <c r="RL37" s="55"/>
      <c r="RM37" s="55"/>
      <c r="RN37" s="55"/>
      <c r="RO37" s="55"/>
      <c r="RP37" s="55"/>
      <c r="RQ37" s="55"/>
      <c r="RR37" s="55"/>
      <c r="RS37" s="55"/>
      <c r="RT37" s="55"/>
      <c r="RU37" s="54"/>
      <c r="RV37" s="54"/>
      <c r="RW37" s="54"/>
      <c r="RX37" s="55"/>
      <c r="RY37" s="55"/>
      <c r="RZ37" s="55"/>
      <c r="SA37" s="55"/>
      <c r="SB37" s="55"/>
      <c r="SC37" s="55"/>
      <c r="SD37" s="55"/>
      <c r="SE37" s="55"/>
      <c r="SF37" s="55"/>
      <c r="SG37" s="55"/>
      <c r="SH37" s="55"/>
      <c r="SI37" s="55"/>
      <c r="SJ37" s="55"/>
      <c r="SK37" s="55"/>
      <c r="SL37" s="55"/>
      <c r="SM37" s="55"/>
      <c r="SN37" s="55"/>
      <c r="SO37" s="55"/>
      <c r="SP37" s="55"/>
      <c r="SQ37" s="55"/>
      <c r="SR37" s="54"/>
      <c r="SS37" s="55"/>
      <c r="ST37" s="55"/>
      <c r="SU37" s="55"/>
      <c r="SV37" s="55"/>
      <c r="SW37" s="55"/>
      <c r="SX37" s="55"/>
      <c r="SY37" s="55"/>
      <c r="SZ37" s="55"/>
      <c r="TA37" s="55"/>
      <c r="TB37" s="55"/>
      <c r="TC37" s="55"/>
      <c r="TD37" s="55"/>
      <c r="TE37" s="55"/>
      <c r="TF37" s="55"/>
      <c r="TG37" s="55"/>
      <c r="TH37" s="55"/>
      <c r="TI37" s="55"/>
      <c r="TJ37" s="55"/>
      <c r="TK37" s="55"/>
      <c r="TL37" s="55"/>
      <c r="TM37" s="55"/>
      <c r="TN37" s="55"/>
      <c r="TO37" s="55"/>
      <c r="TP37" s="55"/>
      <c r="TQ37" s="55"/>
      <c r="TR37" s="55"/>
      <c r="TS37" s="55"/>
      <c r="TT37" s="55"/>
      <c r="TU37" s="55"/>
      <c r="TV37" s="55"/>
      <c r="TW37" s="55"/>
      <c r="TX37" s="55"/>
      <c r="TY37" s="55"/>
      <c r="TZ37" s="55"/>
      <c r="UA37" s="55"/>
      <c r="UB37" s="55"/>
      <c r="UC37" s="55"/>
      <c r="UD37" s="55"/>
      <c r="UE37" s="55"/>
      <c r="UF37" s="55"/>
      <c r="UG37" s="55"/>
      <c r="UH37" s="55"/>
      <c r="UI37" s="54"/>
      <c r="UJ37" s="54"/>
      <c r="UK37" s="54"/>
      <c r="UL37" s="54"/>
      <c r="UM37" s="55"/>
      <c r="UN37" s="55"/>
      <c r="UO37" s="55"/>
      <c r="UP37" s="55"/>
      <c r="UQ37" s="54"/>
      <c r="UR37" s="55"/>
      <c r="US37" s="55"/>
      <c r="UT37" s="55"/>
      <c r="UU37" s="55"/>
      <c r="UV37" s="55"/>
      <c r="UW37" s="55"/>
      <c r="UX37" s="54"/>
      <c r="UY37" s="55"/>
      <c r="UZ37" s="55"/>
      <c r="VA37" s="55"/>
      <c r="VB37" s="54"/>
      <c r="VC37" s="54"/>
      <c r="VD37" s="55"/>
      <c r="VE37" s="55"/>
      <c r="VF37" s="54"/>
      <c r="VG37" s="54"/>
      <c r="VH37" s="55"/>
      <c r="VI37" s="55"/>
      <c r="VJ37" s="55"/>
      <c r="VK37" s="55"/>
      <c r="VL37" s="54"/>
      <c r="VM37" s="55"/>
      <c r="VN37" s="54"/>
      <c r="VO37" s="54"/>
      <c r="VP37" s="55"/>
      <c r="VQ37" s="54"/>
      <c r="VR37" s="55"/>
      <c r="VS37" s="55"/>
      <c r="VT37" s="55"/>
      <c r="VU37" s="55"/>
      <c r="VV37" s="55"/>
      <c r="VW37" s="55"/>
      <c r="VX37" s="55"/>
      <c r="VY37" s="54"/>
      <c r="VZ37" s="54"/>
      <c r="WA37" s="54"/>
      <c r="WB37" s="55">
        <v>48</v>
      </c>
      <c r="WC37" s="55">
        <v>48</v>
      </c>
      <c r="WD37" s="55">
        <v>48</v>
      </c>
      <c r="WE37" s="55">
        <v>48</v>
      </c>
      <c r="WF37" s="55">
        <v>48</v>
      </c>
      <c r="WG37" s="55"/>
      <c r="WH37" s="55"/>
      <c r="WI37" s="54"/>
      <c r="WJ37" s="55"/>
      <c r="WK37" s="55"/>
      <c r="WL37" s="55"/>
      <c r="WM37" s="55"/>
      <c r="WN37" s="55"/>
      <c r="WO37" s="55"/>
      <c r="WP37" s="55"/>
      <c r="WQ37" s="55"/>
      <c r="WR37" s="55"/>
      <c r="WS37" s="55"/>
      <c r="WT37" s="55"/>
      <c r="WU37" s="55"/>
      <c r="WV37" s="55"/>
      <c r="WW37" s="55"/>
      <c r="WX37" s="252"/>
      <c r="WY37" s="252"/>
      <c r="WZ37" s="55"/>
      <c r="XA37" s="55"/>
      <c r="XB37" s="55"/>
      <c r="XC37" s="55"/>
      <c r="XD37" s="55"/>
      <c r="XE37" s="55"/>
      <c r="XF37" s="55"/>
      <c r="XG37" s="55"/>
      <c r="XH37" s="55"/>
      <c r="XI37" s="55"/>
      <c r="XJ37" s="55"/>
      <c r="XK37" s="55"/>
      <c r="XL37" s="55"/>
      <c r="XM37" s="55"/>
      <c r="XN37" s="55"/>
      <c r="XO37" s="55"/>
      <c r="XP37" s="54"/>
      <c r="XQ37" s="54"/>
      <c r="XR37" s="54"/>
      <c r="XS37" s="54"/>
      <c r="XT37" s="54"/>
      <c r="XU37" s="55"/>
      <c r="XV37" s="54"/>
      <c r="XW37" s="55"/>
      <c r="XX37" s="252"/>
      <c r="XY37" s="55"/>
      <c r="XZ37" s="252"/>
      <c r="YA37" s="252"/>
      <c r="YB37" s="55"/>
      <c r="YC37" s="55"/>
      <c r="YD37" s="55"/>
      <c r="YE37" s="55"/>
      <c r="YF37" s="55"/>
      <c r="YG37" s="55"/>
      <c r="YH37" s="55"/>
      <c r="YI37" s="55"/>
      <c r="YJ37" s="55"/>
      <c r="YK37" s="55"/>
      <c r="YL37" s="55"/>
      <c r="YM37" s="55"/>
      <c r="YN37" s="54"/>
      <c r="YO37" s="54"/>
      <c r="YP37" s="54"/>
      <c r="YQ37" s="55"/>
      <c r="YR37" s="55"/>
      <c r="YS37" s="55"/>
      <c r="YT37" s="55"/>
      <c r="YU37" s="55"/>
      <c r="YV37" s="55"/>
      <c r="YW37" s="55"/>
      <c r="YX37" s="55"/>
      <c r="YY37" s="55"/>
      <c r="YZ37" s="55"/>
      <c r="ZA37" s="55"/>
      <c r="ZB37" s="55"/>
      <c r="ZC37" s="55"/>
      <c r="ZD37" s="55"/>
      <c r="ZE37" s="55"/>
      <c r="ZF37" s="55"/>
      <c r="ZG37" s="55"/>
      <c r="ZH37" s="55"/>
      <c r="ZI37" s="55"/>
      <c r="ZJ37" s="55"/>
      <c r="ZK37" s="54"/>
      <c r="ZL37" s="55"/>
      <c r="ZM37" s="55"/>
      <c r="ZN37" s="55"/>
      <c r="ZO37" s="55"/>
      <c r="ZP37" s="55"/>
      <c r="ZQ37" s="55"/>
      <c r="ZR37" s="55"/>
      <c r="ZS37" s="55"/>
      <c r="ZT37" s="55"/>
      <c r="ZU37" s="55"/>
      <c r="ZV37" s="55"/>
      <c r="ZW37" s="55"/>
      <c r="ZX37" s="55"/>
      <c r="ZY37" s="55"/>
      <c r="ZZ37" s="55"/>
      <c r="AAA37" s="55"/>
      <c r="AAB37" s="55"/>
      <c r="AAC37" s="55"/>
      <c r="AAD37" s="55"/>
      <c r="AAE37" s="55"/>
      <c r="AAF37" s="55"/>
      <c r="AAG37" s="55"/>
      <c r="AAH37" s="55"/>
      <c r="AAI37" s="55"/>
      <c r="AAJ37" s="55"/>
      <c r="AAK37" s="55"/>
      <c r="AAL37" s="55"/>
      <c r="AAM37" s="55"/>
      <c r="AAN37" s="55"/>
      <c r="AAO37" s="55"/>
      <c r="AAP37" s="55"/>
      <c r="AAQ37" s="55"/>
      <c r="AAR37" s="55"/>
      <c r="AAS37" s="55"/>
      <c r="AAT37" s="55"/>
      <c r="AAU37" s="55"/>
      <c r="AAV37" s="55"/>
      <c r="AAW37" s="55"/>
      <c r="AAX37" s="55"/>
      <c r="AAY37" s="55"/>
      <c r="AAZ37" s="55"/>
      <c r="ABA37" s="55"/>
      <c r="ABB37" s="54"/>
      <c r="ABC37" s="54"/>
      <c r="ABD37" s="54"/>
      <c r="ABE37" s="55"/>
      <c r="ABF37" s="55"/>
      <c r="ABG37" s="237"/>
      <c r="ABH37" s="237"/>
      <c r="ABI37" s="237"/>
      <c r="ABJ37" s="237"/>
      <c r="ABK37" s="237"/>
      <c r="ABL37" s="253"/>
      <c r="ABM37" s="237"/>
      <c r="ABN37" s="237"/>
      <c r="ABO37" s="237"/>
      <c r="ABP37" s="237"/>
      <c r="ABQ37" s="237"/>
      <c r="ABR37" s="237"/>
      <c r="ABS37" s="237"/>
      <c r="ABT37" s="237"/>
      <c r="ABU37" s="237"/>
      <c r="ABV37" s="237"/>
      <c r="ABW37" s="237"/>
      <c r="ABX37" s="237"/>
      <c r="ABY37" s="237"/>
      <c r="ABZ37" s="237"/>
      <c r="ACA37" s="255"/>
      <c r="ACB37" s="255"/>
      <c r="ACC37" s="237"/>
      <c r="ACD37" s="237"/>
      <c r="ACE37" s="237"/>
      <c r="ACF37" s="237"/>
      <c r="ACG37" s="237"/>
      <c r="ACH37" s="237"/>
      <c r="ACI37" s="237"/>
      <c r="ACJ37" s="237"/>
      <c r="ACK37" s="237"/>
      <c r="ACL37" s="237"/>
      <c r="ACM37" s="237"/>
      <c r="ACN37" s="237"/>
      <c r="ACO37" s="237"/>
      <c r="ACP37" s="237"/>
      <c r="ACQ37" s="237"/>
      <c r="ACR37" s="237"/>
      <c r="ACS37" s="253"/>
      <c r="ACT37" s="253"/>
      <c r="ACU37" s="237"/>
      <c r="ACV37" s="253"/>
      <c r="ACW37" s="253"/>
      <c r="ACX37" s="237"/>
      <c r="ACY37" s="253"/>
      <c r="ACZ37" s="237"/>
      <c r="ADA37" s="255"/>
      <c r="ADB37" s="237"/>
      <c r="ADC37" s="255"/>
      <c r="ADD37" s="255"/>
      <c r="ADE37" s="237"/>
      <c r="ADF37" s="237"/>
      <c r="ADG37" s="237"/>
      <c r="ADH37" s="237"/>
      <c r="ADI37" s="237"/>
      <c r="ADJ37" s="237"/>
      <c r="ADK37" s="237"/>
      <c r="ADL37" s="237"/>
      <c r="ADM37" s="237"/>
      <c r="ADN37" s="237"/>
      <c r="ADO37" s="237"/>
      <c r="ADP37" s="237"/>
      <c r="ADQ37" s="253"/>
      <c r="ADR37" s="253"/>
      <c r="ADS37" s="253"/>
      <c r="ADT37" s="237"/>
      <c r="ADU37" s="237"/>
      <c r="ADV37" s="237"/>
      <c r="ADW37" s="237"/>
      <c r="ADX37" s="237"/>
      <c r="ADY37" s="237"/>
      <c r="ADZ37" s="237"/>
      <c r="AEA37" s="237"/>
      <c r="AEB37" s="237"/>
      <c r="AEC37" s="237"/>
      <c r="AED37" s="237"/>
      <c r="AEE37" s="237"/>
      <c r="AEF37" s="237"/>
      <c r="AEG37" s="237"/>
      <c r="AEH37" s="237"/>
      <c r="AEI37" s="237"/>
      <c r="AEJ37" s="237"/>
      <c r="AEK37" s="237"/>
      <c r="AEL37" s="237"/>
      <c r="AEM37" s="237"/>
      <c r="AEN37" s="253"/>
      <c r="AEO37" s="237"/>
      <c r="AEP37" s="237"/>
      <c r="AEQ37" s="237"/>
      <c r="AER37" s="237"/>
      <c r="AES37" s="237"/>
      <c r="AET37" s="237"/>
      <c r="AEU37" s="237"/>
      <c r="AEV37" s="237"/>
      <c r="AEW37" s="237"/>
      <c r="AEX37" s="237"/>
      <c r="AEY37" s="237"/>
      <c r="AEZ37" s="237"/>
      <c r="AFA37" s="237"/>
      <c r="AFB37" s="237"/>
      <c r="AFC37" s="237"/>
      <c r="AFD37" s="237"/>
      <c r="AFE37" s="237"/>
      <c r="AFF37" s="237"/>
      <c r="AFG37" s="237"/>
      <c r="AFH37" s="237"/>
      <c r="AFI37" s="237"/>
      <c r="AFJ37" s="237"/>
      <c r="AFK37" s="237"/>
      <c r="AFL37" s="237"/>
      <c r="AFM37" s="237"/>
      <c r="AFN37" s="237"/>
      <c r="AFO37" s="237"/>
      <c r="AFP37" s="237"/>
      <c r="AFQ37" s="237"/>
      <c r="AFR37" s="237"/>
      <c r="AFS37" s="237"/>
      <c r="AFT37" s="237"/>
      <c r="AFU37" s="237"/>
      <c r="AFV37" s="237"/>
      <c r="AFW37" s="237"/>
      <c r="AFX37" s="237"/>
      <c r="AFY37" s="237"/>
      <c r="AFZ37" s="237"/>
      <c r="AGA37" s="237"/>
      <c r="AGB37" s="237"/>
      <c r="AGC37" s="237"/>
      <c r="AGD37" s="237"/>
      <c r="AGE37" s="237"/>
      <c r="AGF37" s="237"/>
      <c r="AGG37" s="237"/>
      <c r="AGH37" s="237"/>
      <c r="AGI37" s="237"/>
      <c r="AGJ37" s="237"/>
      <c r="AGK37" s="237"/>
      <c r="AGL37" s="237"/>
      <c r="AGM37" s="237"/>
      <c r="AGN37" s="237"/>
      <c r="AGO37" s="237"/>
      <c r="AGP37" s="237"/>
      <c r="AGQ37" s="237"/>
      <c r="AGR37" s="237"/>
      <c r="AGS37" s="237"/>
      <c r="AGT37" s="237"/>
      <c r="AGU37" s="237"/>
      <c r="AGV37" s="237"/>
      <c r="AGW37" s="237"/>
      <c r="AGX37" s="237"/>
      <c r="AGY37" s="237"/>
      <c r="AGZ37" s="237"/>
      <c r="AHA37" s="237"/>
      <c r="AHB37" s="237"/>
      <c r="AHC37" s="237"/>
      <c r="AHD37" s="54"/>
      <c r="AHE37" s="54"/>
      <c r="AHF37" s="54"/>
      <c r="AHG37" s="54"/>
      <c r="AHH37" s="55"/>
      <c r="AHI37" s="237"/>
      <c r="AHJ37" s="237"/>
      <c r="AHK37" s="237"/>
      <c r="AHL37" s="237"/>
      <c r="AHM37" s="237"/>
      <c r="AHN37" s="253"/>
      <c r="AHO37" s="237"/>
      <c r="AHP37" s="237"/>
      <c r="AHQ37" s="237"/>
      <c r="AHR37" s="237"/>
      <c r="AHS37" s="237"/>
      <c r="AHT37" s="237"/>
      <c r="AHU37" s="237"/>
      <c r="AHV37" s="237"/>
      <c r="AHW37" s="237"/>
      <c r="AHX37" s="237"/>
      <c r="AHY37" s="237"/>
      <c r="AHZ37" s="237"/>
      <c r="AIA37" s="237"/>
      <c r="AIB37" s="237"/>
      <c r="AIC37" s="255"/>
      <c r="AID37" s="255"/>
      <c r="AIE37" s="237"/>
      <c r="AIF37" s="237"/>
      <c r="AIG37" s="237"/>
      <c r="AIH37" s="237"/>
      <c r="AII37" s="237"/>
      <c r="AIJ37" s="237"/>
      <c r="AIK37" s="237"/>
      <c r="AIL37" s="237"/>
      <c r="AIM37" s="237"/>
      <c r="AIN37" s="237"/>
      <c r="AIO37" s="237"/>
      <c r="AIP37" s="237"/>
      <c r="AIQ37" s="237"/>
      <c r="AIR37" s="237"/>
      <c r="AIS37" s="237"/>
      <c r="AIT37" s="237"/>
      <c r="AIU37" s="237"/>
      <c r="AIV37" s="253"/>
      <c r="AIW37" s="253"/>
      <c r="AIX37" s="253"/>
      <c r="AIY37" s="253"/>
      <c r="AIZ37" s="253"/>
      <c r="AJA37" s="237"/>
      <c r="AJB37" s="253"/>
      <c r="AJC37" s="237"/>
      <c r="AJD37" s="237"/>
      <c r="AJE37" s="237"/>
      <c r="AJF37" s="237"/>
      <c r="AJG37" s="237"/>
      <c r="AJH37" s="237"/>
      <c r="AJI37" s="237"/>
      <c r="AJJ37" s="253"/>
      <c r="AJK37" s="253"/>
      <c r="AJL37" s="237"/>
      <c r="AJM37" s="237"/>
      <c r="AJN37" s="237"/>
      <c r="AJO37" s="237"/>
      <c r="AJP37" s="237"/>
      <c r="AJQ37" s="253"/>
      <c r="AJR37" s="237"/>
      <c r="AJS37" s="237"/>
      <c r="AJT37" s="253"/>
      <c r="AJU37" s="253"/>
      <c r="AJV37" s="311"/>
      <c r="AJW37" s="311"/>
      <c r="AJX37" s="311"/>
      <c r="AJY37" s="293"/>
      <c r="AJZ37" s="311"/>
      <c r="AKA37" s="293"/>
      <c r="AKB37" s="357"/>
      <c r="AKC37" s="293"/>
      <c r="AKD37" s="293"/>
      <c r="AKE37" s="293"/>
      <c r="AKF37" s="288"/>
      <c r="AKG37" s="288"/>
      <c r="AKH37" s="349"/>
      <c r="AKI37" s="4"/>
      <c r="AKJ37" s="186"/>
      <c r="AKK37" s="6"/>
      <c r="AKL37" s="6"/>
      <c r="AKM37" s="6"/>
      <c r="AKN37" s="6"/>
      <c r="AKO37" s="6"/>
      <c r="AKP37" s="187"/>
      <c r="AKQ37" s="187"/>
      <c r="AKR37" s="187"/>
      <c r="AKS37" s="187"/>
      <c r="AKT37" s="187"/>
      <c r="AKU37" s="187"/>
      <c r="AKV37" s="187"/>
      <c r="AKW37" s="187"/>
      <c r="AKX37" s="187"/>
      <c r="AKY37" s="187"/>
      <c r="AKZ37" s="187"/>
      <c r="ALA37" s="187"/>
      <c r="ALB37" s="187"/>
      <c r="ALC37" s="187"/>
      <c r="ALD37" s="187"/>
      <c r="ALU37" s="237"/>
      <c r="ALV37" s="237"/>
      <c r="ALW37" s="237"/>
      <c r="ALX37" s="237"/>
      <c r="ALY37" s="237"/>
      <c r="ALZ37" s="237"/>
      <c r="AMA37" s="237"/>
      <c r="AMB37" s="237"/>
      <c r="AMC37" s="237"/>
      <c r="AMD37" s="237"/>
      <c r="AME37" s="237"/>
      <c r="AMF37" s="237"/>
      <c r="AMG37" s="237"/>
      <c r="AMH37" s="237"/>
      <c r="AMI37" s="237"/>
      <c r="AMJ37" s="237"/>
      <c r="AMK37" s="349"/>
      <c r="AML37" s="349"/>
      <c r="AMM37" s="349"/>
    </row>
    <row r="38" spans="1:1027" ht="29.1" hidden="1" customHeight="1" thickBot="1" x14ac:dyDescent="0.35">
      <c r="A38" s="114" t="s">
        <v>21</v>
      </c>
      <c r="B38" s="115" t="s">
        <v>29</v>
      </c>
      <c r="C38" s="116" t="s">
        <v>4</v>
      </c>
      <c r="D38" s="116">
        <v>650</v>
      </c>
      <c r="E38" s="5"/>
      <c r="F38" s="101"/>
      <c r="G38" s="101"/>
      <c r="H38" s="162"/>
      <c r="I38" s="102"/>
      <c r="J38" s="217"/>
      <c r="K38" s="289"/>
      <c r="L38" s="50"/>
      <c r="M38" s="50"/>
      <c r="N38" s="50"/>
      <c r="O38" s="50"/>
      <c r="P38" s="50"/>
      <c r="Q38" s="50"/>
      <c r="R38" s="15"/>
      <c r="S38" s="15"/>
      <c r="T38" s="15"/>
      <c r="U38" s="15"/>
      <c r="V38" s="15"/>
      <c r="W38" s="15"/>
      <c r="X38" s="50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67"/>
      <c r="AN38" s="167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50"/>
      <c r="BF38" s="50"/>
      <c r="BG38" s="50"/>
      <c r="BH38" s="50"/>
      <c r="BI38" s="50"/>
      <c r="BJ38" s="15"/>
      <c r="BK38" s="50"/>
      <c r="BL38" s="50"/>
      <c r="BM38" s="50"/>
      <c r="BN38" s="167"/>
      <c r="BO38" s="167"/>
      <c r="BP38" s="167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50"/>
      <c r="CD38" s="50"/>
      <c r="CE38" s="50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50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50"/>
      <c r="ER38" s="50"/>
      <c r="ES38" s="50"/>
      <c r="ET38" s="50"/>
      <c r="EU38" s="50"/>
      <c r="EV38" s="50"/>
      <c r="EW38" s="15"/>
      <c r="EX38" s="15"/>
      <c r="EY38" s="15"/>
      <c r="EZ38" s="15"/>
      <c r="FA38" s="15"/>
      <c r="FB38" s="15"/>
      <c r="FC38" s="15"/>
      <c r="FD38" s="50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67"/>
      <c r="FT38" s="167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50"/>
      <c r="GL38" s="50"/>
      <c r="GM38" s="50"/>
      <c r="GN38" s="50"/>
      <c r="GO38" s="50"/>
      <c r="GP38" s="15"/>
      <c r="GQ38" s="50"/>
      <c r="GR38" s="50"/>
      <c r="GS38" s="50"/>
      <c r="GT38" s="167"/>
      <c r="GU38" s="167"/>
      <c r="GV38" s="167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50"/>
      <c r="HJ38" s="50"/>
      <c r="HK38" s="50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50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50"/>
      <c r="JX38" s="50"/>
      <c r="JY38" s="50"/>
      <c r="JZ38" s="50"/>
      <c r="KA38" s="50"/>
      <c r="KB38" s="50"/>
      <c r="KC38" s="50"/>
      <c r="KD38" s="15"/>
      <c r="KE38" s="15"/>
      <c r="KF38" s="15"/>
      <c r="KG38" s="15"/>
      <c r="KH38" s="15"/>
      <c r="KI38" s="15"/>
      <c r="KJ38" s="50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67"/>
      <c r="KZ38" s="167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50"/>
      <c r="LR38" s="50"/>
      <c r="LS38" s="50"/>
      <c r="LT38" s="50"/>
      <c r="LU38" s="50"/>
      <c r="LV38" s="15"/>
      <c r="LW38" s="50"/>
      <c r="LX38" s="50"/>
      <c r="LY38" s="50"/>
      <c r="LZ38" s="15"/>
      <c r="MA38" s="167"/>
      <c r="MB38" s="167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50"/>
      <c r="MP38" s="50"/>
      <c r="MQ38" s="50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50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50"/>
      <c r="PD38" s="50"/>
      <c r="PE38" s="50"/>
      <c r="PF38" s="50"/>
      <c r="PG38" s="50"/>
      <c r="PH38" s="50"/>
      <c r="PI38" s="15"/>
      <c r="PJ38" s="15"/>
      <c r="PK38" s="15"/>
      <c r="PL38" s="15"/>
      <c r="PM38" s="15"/>
      <c r="PN38" s="15"/>
      <c r="PO38" s="15"/>
      <c r="PP38" s="15"/>
      <c r="PQ38" s="15"/>
      <c r="PR38" s="15"/>
      <c r="PS38" s="15"/>
      <c r="PT38" s="15"/>
      <c r="PU38" s="15"/>
      <c r="PV38" s="15"/>
      <c r="PW38" s="15"/>
      <c r="PX38" s="15"/>
      <c r="PY38" s="15"/>
      <c r="PZ38" s="15"/>
      <c r="QA38" s="15"/>
      <c r="QB38" s="15"/>
      <c r="QC38" s="15"/>
      <c r="QD38" s="15"/>
      <c r="QE38" s="167"/>
      <c r="QF38" s="167"/>
      <c r="QG38" s="15"/>
      <c r="QH38" s="15"/>
      <c r="QI38" s="15"/>
      <c r="QJ38" s="15"/>
      <c r="QK38" s="15"/>
      <c r="QL38" s="15"/>
      <c r="QM38" s="15"/>
      <c r="QN38" s="15"/>
      <c r="QO38" s="15"/>
      <c r="QP38" s="15"/>
      <c r="QQ38" s="15"/>
      <c r="QR38" s="15"/>
      <c r="QS38" s="15"/>
      <c r="QT38" s="15"/>
      <c r="QU38" s="15"/>
      <c r="QV38" s="15"/>
      <c r="QW38" s="50"/>
      <c r="QX38" s="50"/>
      <c r="QY38" s="50"/>
      <c r="QZ38" s="50"/>
      <c r="RA38" s="50"/>
      <c r="RB38" s="15"/>
      <c r="RC38" s="50"/>
      <c r="RD38" s="50"/>
      <c r="RE38" s="50"/>
      <c r="RF38" s="15"/>
      <c r="RG38" s="167"/>
      <c r="RH38" s="167"/>
      <c r="RI38" s="15"/>
      <c r="RJ38" s="15"/>
      <c r="RK38" s="15"/>
      <c r="RL38" s="15"/>
      <c r="RM38" s="15"/>
      <c r="RN38" s="15"/>
      <c r="RO38" s="15"/>
      <c r="RP38" s="15"/>
      <c r="RQ38" s="15"/>
      <c r="RR38" s="15"/>
      <c r="RS38" s="15"/>
      <c r="RT38" s="15"/>
      <c r="RU38" s="50"/>
      <c r="RV38" s="50"/>
      <c r="RW38" s="50"/>
      <c r="RX38" s="15"/>
      <c r="RY38" s="15"/>
      <c r="RZ38" s="15"/>
      <c r="SA38" s="15"/>
      <c r="SB38" s="15"/>
      <c r="SC38" s="15"/>
      <c r="SD38" s="15"/>
      <c r="SE38" s="15"/>
      <c r="SF38" s="15"/>
      <c r="SG38" s="15"/>
      <c r="SH38" s="15"/>
      <c r="SI38" s="15"/>
      <c r="SJ38" s="15"/>
      <c r="SK38" s="15"/>
      <c r="SL38" s="15"/>
      <c r="SM38" s="15"/>
      <c r="SN38" s="15"/>
      <c r="SO38" s="15"/>
      <c r="SP38" s="15"/>
      <c r="SQ38" s="15"/>
      <c r="SR38" s="50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15"/>
      <c r="TD38" s="15"/>
      <c r="TE38" s="15"/>
      <c r="TF38" s="15"/>
      <c r="TG38" s="15"/>
      <c r="TH38" s="15"/>
      <c r="TI38" s="15"/>
      <c r="TJ38" s="15"/>
      <c r="TK38" s="15"/>
      <c r="TL38" s="15"/>
      <c r="TM38" s="15"/>
      <c r="TN38" s="15"/>
      <c r="TO38" s="15"/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50"/>
      <c r="UJ38" s="50"/>
      <c r="UK38" s="50"/>
      <c r="UL38" s="50"/>
      <c r="UM38" s="15"/>
      <c r="UN38" s="15"/>
      <c r="UO38" s="15"/>
      <c r="UP38" s="15"/>
      <c r="UQ38" s="50"/>
      <c r="UR38" s="15"/>
      <c r="US38" s="15"/>
      <c r="UT38" s="15"/>
      <c r="UU38" s="15"/>
      <c r="UV38" s="15"/>
      <c r="UW38" s="15"/>
      <c r="UX38" s="50"/>
      <c r="UY38" s="15"/>
      <c r="UZ38" s="15"/>
      <c r="VA38" s="15"/>
      <c r="VB38" s="50"/>
      <c r="VC38" s="50"/>
      <c r="VD38" s="15"/>
      <c r="VE38" s="15"/>
      <c r="VF38" s="50"/>
      <c r="VG38" s="50"/>
      <c r="VH38" s="15"/>
      <c r="VI38" s="15"/>
      <c r="VJ38" s="15"/>
      <c r="VK38" s="15"/>
      <c r="VL38" s="50"/>
      <c r="VM38" s="15"/>
      <c r="VN38" s="50"/>
      <c r="VO38" s="50"/>
      <c r="VP38" s="15"/>
      <c r="VQ38" s="50"/>
      <c r="VR38" s="15"/>
      <c r="VS38" s="15"/>
      <c r="VT38" s="15"/>
      <c r="VU38" s="15"/>
      <c r="VV38" s="15"/>
      <c r="VW38" s="15"/>
      <c r="VX38" s="15"/>
      <c r="VY38" s="50"/>
      <c r="VZ38" s="50"/>
      <c r="WA38" s="50"/>
      <c r="WB38" s="15"/>
      <c r="WC38" s="15"/>
      <c r="WD38" s="15"/>
      <c r="WE38" s="15"/>
      <c r="WF38" s="15"/>
      <c r="WG38" s="15"/>
      <c r="WH38" s="15"/>
      <c r="WI38" s="50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67"/>
      <c r="WY38" s="167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50"/>
      <c r="XQ38" s="50"/>
      <c r="XR38" s="50"/>
      <c r="XS38" s="50"/>
      <c r="XT38" s="50"/>
      <c r="XU38" s="15"/>
      <c r="XV38" s="50"/>
      <c r="XW38" s="15"/>
      <c r="XX38" s="167"/>
      <c r="XY38" s="15"/>
      <c r="XZ38" s="167"/>
      <c r="YA38" s="167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50"/>
      <c r="YO38" s="50"/>
      <c r="YP38" s="50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50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50"/>
      <c r="ABC38" s="50"/>
      <c r="ABD38" s="50"/>
      <c r="ABE38" s="15"/>
      <c r="ABF38" s="15"/>
      <c r="ABG38" s="20"/>
      <c r="ABH38" s="20"/>
      <c r="ABI38" s="20"/>
      <c r="ABJ38" s="20"/>
      <c r="ABK38" s="20"/>
      <c r="ABL38" s="52"/>
      <c r="ABM38" s="20"/>
      <c r="ABN38" s="20"/>
      <c r="ABO38" s="20"/>
      <c r="ABP38" s="20"/>
      <c r="ABQ38" s="20"/>
      <c r="ABR38" s="20"/>
      <c r="ABS38" s="20"/>
      <c r="ABT38" s="20"/>
      <c r="ABU38" s="20"/>
      <c r="ABV38" s="20"/>
      <c r="ABW38" s="20"/>
      <c r="ABX38" s="20"/>
      <c r="ABY38" s="20"/>
      <c r="ABZ38" s="20"/>
      <c r="ACA38" s="171"/>
      <c r="ACB38" s="171"/>
      <c r="ACC38" s="20"/>
      <c r="ACD38" s="20"/>
      <c r="ACE38" s="20"/>
      <c r="ACF38" s="20"/>
      <c r="ACG38" s="20"/>
      <c r="ACH38" s="20"/>
      <c r="ACI38" s="20"/>
      <c r="ACJ38" s="20"/>
      <c r="ACK38" s="20"/>
      <c r="ACL38" s="20"/>
      <c r="ACM38" s="20"/>
      <c r="ACN38" s="20"/>
      <c r="ACO38" s="20"/>
      <c r="ACP38" s="20"/>
      <c r="ACQ38" s="20"/>
      <c r="ACR38" s="20"/>
      <c r="ACS38" s="52"/>
      <c r="ACT38" s="52"/>
      <c r="ACU38" s="20"/>
      <c r="ACV38" s="52"/>
      <c r="ACW38" s="52"/>
      <c r="ACX38" s="20"/>
      <c r="ACY38" s="52"/>
      <c r="ACZ38" s="20"/>
      <c r="ADA38" s="171"/>
      <c r="ADB38" s="20"/>
      <c r="ADC38" s="171"/>
      <c r="ADD38" s="171"/>
      <c r="ADE38" s="20"/>
      <c r="ADF38" s="20"/>
      <c r="ADG38" s="20"/>
      <c r="ADH38" s="20"/>
      <c r="ADI38" s="20"/>
      <c r="ADJ38" s="20"/>
      <c r="ADK38" s="20"/>
      <c r="ADL38" s="20"/>
      <c r="ADM38" s="20"/>
      <c r="ADN38" s="20"/>
      <c r="ADO38" s="20"/>
      <c r="ADP38" s="20"/>
      <c r="ADQ38" s="52"/>
      <c r="ADR38" s="52"/>
      <c r="ADS38" s="52"/>
      <c r="ADT38" s="20"/>
      <c r="ADU38" s="20"/>
      <c r="ADV38" s="20"/>
      <c r="ADW38" s="20"/>
      <c r="ADX38" s="20"/>
      <c r="ADY38" s="20"/>
      <c r="ADZ38" s="20"/>
      <c r="AEA38" s="20"/>
      <c r="AEB38" s="20"/>
      <c r="AEC38" s="20"/>
      <c r="AED38" s="20"/>
      <c r="AEE38" s="20"/>
      <c r="AEF38" s="20"/>
      <c r="AEG38" s="20"/>
      <c r="AEH38" s="20"/>
      <c r="AEI38" s="20"/>
      <c r="AEJ38" s="20"/>
      <c r="AEK38" s="20"/>
      <c r="AEL38" s="20"/>
      <c r="AEM38" s="20"/>
      <c r="AEN38" s="52"/>
      <c r="AEO38" s="20"/>
      <c r="AEP38" s="20"/>
      <c r="AEQ38" s="20"/>
      <c r="AER38" s="20"/>
      <c r="AES38" s="20"/>
      <c r="AET38" s="20"/>
      <c r="AEU38" s="20"/>
      <c r="AEV38" s="20"/>
      <c r="AEW38" s="20"/>
      <c r="AEX38" s="20"/>
      <c r="AEY38" s="20"/>
      <c r="AEZ38" s="20"/>
      <c r="AFA38" s="20"/>
      <c r="AFB38" s="20"/>
      <c r="AFC38" s="20"/>
      <c r="AFD38" s="20"/>
      <c r="AFE38" s="20"/>
      <c r="AFF38" s="20"/>
      <c r="AFG38" s="20"/>
      <c r="AFH38" s="20"/>
      <c r="AFI38" s="20"/>
      <c r="AFJ38" s="20"/>
      <c r="AFK38" s="20"/>
      <c r="AFL38" s="20"/>
      <c r="AFM38" s="20"/>
      <c r="AFN38" s="20"/>
      <c r="AFO38" s="20"/>
      <c r="AFP38" s="20"/>
      <c r="AFQ38" s="20"/>
      <c r="AFR38" s="20"/>
      <c r="AFS38" s="20"/>
      <c r="AFT38" s="20"/>
      <c r="AFU38" s="20"/>
      <c r="AFV38" s="20"/>
      <c r="AFW38" s="20"/>
      <c r="AFX38" s="20"/>
      <c r="AFY38" s="20"/>
      <c r="AFZ38" s="20"/>
      <c r="AGA38" s="20"/>
      <c r="AGB38" s="20"/>
      <c r="AGC38" s="20"/>
      <c r="AGD38" s="20"/>
      <c r="AGE38" s="20"/>
      <c r="AGF38" s="20"/>
      <c r="AGG38" s="20"/>
      <c r="AGH38" s="20"/>
      <c r="AGI38" s="20"/>
      <c r="AGJ38" s="20"/>
      <c r="AGK38" s="20"/>
      <c r="AGL38" s="20"/>
      <c r="AGM38" s="20"/>
      <c r="AGN38" s="20"/>
      <c r="AGO38" s="20"/>
      <c r="AGP38" s="20"/>
      <c r="AGQ38" s="20"/>
      <c r="AGR38" s="20"/>
      <c r="AGS38" s="20"/>
      <c r="AGT38" s="20"/>
      <c r="AGU38" s="20"/>
      <c r="AGV38" s="20"/>
      <c r="AGW38" s="20"/>
      <c r="AGX38" s="20"/>
      <c r="AGY38" s="20"/>
      <c r="AGZ38" s="20"/>
      <c r="AHA38" s="20"/>
      <c r="AHB38" s="20"/>
      <c r="AHC38" s="20"/>
      <c r="AHD38" s="50"/>
      <c r="AHE38" s="50"/>
      <c r="AHF38" s="50"/>
      <c r="AHG38" s="50"/>
      <c r="AHH38" s="15"/>
      <c r="AHI38" s="20"/>
      <c r="AHJ38" s="20"/>
      <c r="AHK38" s="20"/>
      <c r="AHL38" s="20"/>
      <c r="AHM38" s="20"/>
      <c r="AHN38" s="52"/>
      <c r="AHO38" s="20"/>
      <c r="AHP38" s="20"/>
      <c r="AHQ38" s="20"/>
      <c r="AHR38" s="20"/>
      <c r="AHS38" s="20"/>
      <c r="AHT38" s="20"/>
      <c r="AHU38" s="20"/>
      <c r="AHV38" s="20"/>
      <c r="AHW38" s="20"/>
      <c r="AHX38" s="20"/>
      <c r="AHY38" s="20"/>
      <c r="AHZ38" s="20"/>
      <c r="AIA38" s="20"/>
      <c r="AIB38" s="20"/>
      <c r="AIC38" s="171"/>
      <c r="AID38" s="171"/>
      <c r="AIE38" s="20"/>
      <c r="AIF38" s="20"/>
      <c r="AIG38" s="20"/>
      <c r="AIH38" s="20"/>
      <c r="AII38" s="20"/>
      <c r="AIJ38" s="20"/>
      <c r="AIK38" s="20"/>
      <c r="AIL38" s="20"/>
      <c r="AIM38" s="20"/>
      <c r="AIN38" s="20"/>
      <c r="AIO38" s="20"/>
      <c r="AIP38" s="20"/>
      <c r="AIQ38" s="20"/>
      <c r="AIR38" s="20"/>
      <c r="AIS38" s="20"/>
      <c r="AIT38" s="20"/>
      <c r="AIU38" s="20"/>
      <c r="AIV38" s="52"/>
      <c r="AIW38" s="52"/>
      <c r="AIX38" s="52"/>
      <c r="AIY38" s="52"/>
      <c r="AIZ38" s="52"/>
      <c r="AJA38" s="20"/>
      <c r="AJB38" s="52"/>
      <c r="AJC38" s="20"/>
      <c r="AJD38" s="20"/>
      <c r="AJE38" s="20"/>
      <c r="AJF38" s="20"/>
      <c r="AJG38" s="20"/>
      <c r="AJH38" s="20"/>
      <c r="AJI38" s="20"/>
      <c r="AJJ38" s="52"/>
      <c r="AJK38" s="52"/>
      <c r="AJL38" s="20"/>
      <c r="AJM38" s="20"/>
      <c r="AJN38" s="20"/>
      <c r="AJO38" s="20"/>
      <c r="AJP38" s="20"/>
      <c r="AJQ38" s="52"/>
      <c r="AJR38" s="20"/>
      <c r="AJS38" s="20"/>
      <c r="AJT38" s="52"/>
      <c r="AJU38" s="52"/>
      <c r="AJV38" s="309"/>
      <c r="AJW38" s="309"/>
      <c r="AJX38" s="309"/>
      <c r="AJY38" s="290"/>
      <c r="AJZ38" s="309"/>
      <c r="AKA38" s="290"/>
      <c r="AKB38" s="355"/>
      <c r="AKC38" s="290"/>
      <c r="AKD38" s="290"/>
      <c r="AKE38" s="290"/>
      <c r="AKF38" s="290"/>
      <c r="AKG38" s="290"/>
      <c r="AKH38" s="349"/>
      <c r="AKI38" s="4"/>
      <c r="AKJ38" s="186"/>
      <c r="AKK38" s="6"/>
      <c r="AKL38" s="6"/>
      <c r="AKM38" s="6"/>
      <c r="AKN38" s="6"/>
      <c r="AKO38" s="6"/>
      <c r="AKP38" s="187"/>
      <c r="AKQ38" s="187"/>
      <c r="AKR38" s="187"/>
      <c r="AKS38" s="187"/>
      <c r="AKT38" s="187"/>
      <c r="AKU38" s="187"/>
      <c r="AKV38" s="187"/>
      <c r="AKW38" s="187"/>
      <c r="AKX38" s="187"/>
      <c r="AKY38" s="187"/>
      <c r="AKZ38" s="187"/>
      <c r="ALA38" s="187"/>
      <c r="ALB38" s="187"/>
      <c r="ALC38" s="187"/>
      <c r="ALD38" s="187"/>
      <c r="ALU38" s="20"/>
      <c r="ALV38" s="20"/>
      <c r="ALW38" s="20"/>
      <c r="ALX38" s="20"/>
      <c r="ALY38" s="20"/>
      <c r="ALZ38" s="20"/>
      <c r="AMA38" s="20"/>
      <c r="AMB38" s="20"/>
      <c r="AMC38" s="20"/>
      <c r="AMD38" s="20"/>
      <c r="AME38" s="20"/>
      <c r="AMF38" s="20"/>
      <c r="AMG38" s="20"/>
      <c r="AMH38" s="20"/>
      <c r="AMI38" s="20"/>
      <c r="AMJ38" s="20"/>
      <c r="AMK38" s="349"/>
      <c r="AML38" s="349"/>
      <c r="AMM38" s="349"/>
    </row>
    <row r="39" spans="1:1027" ht="29.1" hidden="1" customHeight="1" thickBot="1" x14ac:dyDescent="0.35">
      <c r="A39" s="93" t="s">
        <v>23</v>
      </c>
      <c r="B39" s="94" t="s">
        <v>16</v>
      </c>
      <c r="C39" s="95" t="s">
        <v>2</v>
      </c>
      <c r="D39" s="95">
        <v>650</v>
      </c>
      <c r="E39" s="87"/>
      <c r="F39" s="88"/>
      <c r="G39" s="88"/>
      <c r="H39" s="89"/>
      <c r="I39" s="89"/>
      <c r="J39" s="218"/>
      <c r="K39" s="285"/>
      <c r="L39" s="41"/>
      <c r="M39" s="41"/>
      <c r="N39" s="41"/>
      <c r="O39" s="41"/>
      <c r="P39" s="41"/>
      <c r="Q39" s="41"/>
      <c r="R39" s="13"/>
      <c r="S39" s="13"/>
      <c r="T39" s="13"/>
      <c r="U39" s="13"/>
      <c r="V39" s="13"/>
      <c r="W39" s="13"/>
      <c r="X39" s="41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41"/>
      <c r="BF39" s="41"/>
      <c r="BG39" s="41"/>
      <c r="BH39" s="41"/>
      <c r="BI39" s="41"/>
      <c r="BJ39" s="13"/>
      <c r="BK39" s="41"/>
      <c r="BL39" s="41"/>
      <c r="BM39" s="41"/>
      <c r="BN39" s="165"/>
      <c r="BO39" s="165"/>
      <c r="BP39" s="165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41"/>
      <c r="CD39" s="41"/>
      <c r="CE39" s="41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41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41"/>
      <c r="ER39" s="41"/>
      <c r="ES39" s="41"/>
      <c r="ET39" s="41"/>
      <c r="EU39" s="41"/>
      <c r="EV39" s="41"/>
      <c r="EW39" s="13"/>
      <c r="EX39" s="13"/>
      <c r="EY39" s="13"/>
      <c r="EZ39" s="13"/>
      <c r="FA39" s="13"/>
      <c r="FB39" s="13"/>
      <c r="FC39" s="13"/>
      <c r="FD39" s="41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41"/>
      <c r="GL39" s="41"/>
      <c r="GM39" s="41"/>
      <c r="GN39" s="41"/>
      <c r="GO39" s="41"/>
      <c r="GP39" s="13"/>
      <c r="GQ39" s="41"/>
      <c r="GR39" s="41"/>
      <c r="GS39" s="41"/>
      <c r="GT39" s="165"/>
      <c r="GU39" s="165"/>
      <c r="GV39" s="165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41"/>
      <c r="HJ39" s="41"/>
      <c r="HK39" s="41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41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41"/>
      <c r="JX39" s="41"/>
      <c r="JY39" s="41"/>
      <c r="JZ39" s="43"/>
      <c r="KA39" s="43"/>
      <c r="KB39" s="43"/>
      <c r="KC39" s="43"/>
      <c r="KD39" s="10"/>
      <c r="KE39" s="10"/>
      <c r="KF39" s="10"/>
      <c r="KG39" s="10"/>
      <c r="KH39" s="10"/>
      <c r="KI39" s="10"/>
      <c r="KJ39" s="43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43"/>
      <c r="LR39" s="43"/>
      <c r="LS39" s="43"/>
      <c r="LT39" s="43"/>
      <c r="LU39" s="43"/>
      <c r="LV39" s="10"/>
      <c r="LW39" s="43"/>
      <c r="LX39" s="43"/>
      <c r="LY39" s="43"/>
      <c r="LZ39" s="10"/>
      <c r="MA39" s="169"/>
      <c r="MB39" s="169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43"/>
      <c r="MP39" s="43"/>
      <c r="MQ39" s="43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43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41"/>
      <c r="PD39" s="41"/>
      <c r="PE39" s="41"/>
      <c r="PF39" s="41"/>
      <c r="PG39" s="41"/>
      <c r="PH39" s="41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  <c r="QQ39" s="13"/>
      <c r="QR39" s="13"/>
      <c r="QS39" s="13"/>
      <c r="QT39" s="13"/>
      <c r="QU39" s="13"/>
      <c r="QV39" s="13"/>
      <c r="QW39" s="41"/>
      <c r="QX39" s="41"/>
      <c r="QY39" s="41"/>
      <c r="QZ39" s="41"/>
      <c r="RA39" s="41"/>
      <c r="RB39" s="13"/>
      <c r="RC39" s="41"/>
      <c r="RD39" s="41"/>
      <c r="RE39" s="41"/>
      <c r="RF39" s="13"/>
      <c r="RG39" s="165"/>
      <c r="RH39" s="165"/>
      <c r="RI39" s="13"/>
      <c r="RJ39" s="13"/>
      <c r="RK39" s="13"/>
      <c r="RL39" s="13"/>
      <c r="RM39" s="13"/>
      <c r="RN39" s="13"/>
      <c r="RO39" s="13"/>
      <c r="RP39" s="13"/>
      <c r="RQ39" s="13"/>
      <c r="RR39" s="13"/>
      <c r="RS39" s="13"/>
      <c r="RT39" s="13"/>
      <c r="RU39" s="41"/>
      <c r="RV39" s="41"/>
      <c r="RW39" s="41"/>
      <c r="RX39" s="13"/>
      <c r="RY39" s="13"/>
      <c r="RZ39" s="13"/>
      <c r="SA39" s="13"/>
      <c r="SB39" s="13"/>
      <c r="SC39" s="13"/>
      <c r="SD39" s="13"/>
      <c r="SE39" s="13"/>
      <c r="SF39" s="13"/>
      <c r="SG39" s="13"/>
      <c r="SH39" s="13"/>
      <c r="SI39" s="13"/>
      <c r="SJ39" s="13"/>
      <c r="SK39" s="13"/>
      <c r="SL39" s="13"/>
      <c r="SM39" s="13"/>
      <c r="SN39" s="13"/>
      <c r="SO39" s="13"/>
      <c r="SP39" s="13"/>
      <c r="SQ39" s="13"/>
      <c r="SR39" s="41"/>
      <c r="SS39" s="13"/>
      <c r="ST39" s="13"/>
      <c r="SU39" s="13"/>
      <c r="SV39" s="13"/>
      <c r="SW39" s="13"/>
      <c r="SX39" s="13"/>
      <c r="SY39" s="13"/>
      <c r="SZ39" s="13"/>
      <c r="TA39" s="13"/>
      <c r="TB39" s="13"/>
      <c r="TC39" s="13"/>
      <c r="TD39" s="13"/>
      <c r="TE39" s="13"/>
      <c r="TF39" s="13"/>
      <c r="TG39" s="13"/>
      <c r="TH39" s="13"/>
      <c r="TI39" s="13"/>
      <c r="TJ39" s="13"/>
      <c r="TK39" s="13"/>
      <c r="TL39" s="13"/>
      <c r="TM39" s="13"/>
      <c r="TN39" s="13"/>
      <c r="TO39" s="13"/>
      <c r="TP39" s="13"/>
      <c r="TQ39" s="13"/>
      <c r="TR39" s="13"/>
      <c r="TS39" s="13"/>
      <c r="TT39" s="13"/>
      <c r="TU39" s="13"/>
      <c r="TV39" s="13"/>
      <c r="TW39" s="13"/>
      <c r="TX39" s="13"/>
      <c r="TY39" s="13"/>
      <c r="TZ39" s="13"/>
      <c r="UA39" s="13"/>
      <c r="UB39" s="13"/>
      <c r="UC39" s="13"/>
      <c r="UD39" s="13"/>
      <c r="UE39" s="13"/>
      <c r="UF39" s="13"/>
      <c r="UG39" s="13"/>
      <c r="UH39" s="13"/>
      <c r="UI39" s="41"/>
      <c r="UJ39" s="41"/>
      <c r="UK39" s="41"/>
      <c r="UL39" s="41"/>
      <c r="UM39" s="13"/>
      <c r="UN39" s="13"/>
      <c r="UO39" s="13"/>
      <c r="UP39" s="13"/>
      <c r="UQ39" s="41"/>
      <c r="UR39" s="13"/>
      <c r="US39" s="13"/>
      <c r="UT39" s="13"/>
      <c r="UU39" s="13"/>
      <c r="UV39" s="13"/>
      <c r="UW39" s="13"/>
      <c r="UX39" s="41"/>
      <c r="UY39" s="13"/>
      <c r="UZ39" s="13"/>
      <c r="VA39" s="13"/>
      <c r="VB39" s="41"/>
      <c r="VC39" s="41"/>
      <c r="VD39" s="13"/>
      <c r="VE39" s="13"/>
      <c r="VF39" s="41"/>
      <c r="VG39" s="41"/>
      <c r="VH39" s="13"/>
      <c r="VI39" s="13"/>
      <c r="VJ39" s="13"/>
      <c r="VK39" s="13"/>
      <c r="VL39" s="41"/>
      <c r="VM39" s="13"/>
      <c r="VN39" s="41"/>
      <c r="VO39" s="41"/>
      <c r="VP39" s="13"/>
      <c r="VQ39" s="41"/>
      <c r="VR39" s="13"/>
      <c r="VS39" s="13"/>
      <c r="VT39" s="13"/>
      <c r="VU39" s="13"/>
      <c r="VV39" s="13"/>
      <c r="VW39" s="13"/>
      <c r="VX39" s="13"/>
      <c r="VY39" s="41"/>
      <c r="VZ39" s="41"/>
      <c r="WA39" s="41"/>
      <c r="WB39" s="13"/>
      <c r="WC39" s="13"/>
      <c r="WD39" s="13"/>
      <c r="WE39" s="13"/>
      <c r="WF39" s="13"/>
      <c r="WG39" s="13"/>
      <c r="WH39" s="13"/>
      <c r="WI39" s="41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41"/>
      <c r="XQ39" s="41"/>
      <c r="XR39" s="41"/>
      <c r="XS39" s="41"/>
      <c r="XT39" s="41"/>
      <c r="XU39" s="13"/>
      <c r="XV39" s="41"/>
      <c r="XW39" s="13"/>
      <c r="XX39" s="165"/>
      <c r="XY39" s="13"/>
      <c r="XZ39" s="165"/>
      <c r="YA39" s="165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41"/>
      <c r="YO39" s="41"/>
      <c r="YP39" s="41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41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  <c r="AAM39" s="13"/>
      <c r="AAN39" s="13"/>
      <c r="AAO39" s="13"/>
      <c r="AAP39" s="13"/>
      <c r="AAQ39" s="13"/>
      <c r="AAR39" s="13"/>
      <c r="AAS39" s="13"/>
      <c r="AAT39" s="13"/>
      <c r="AAU39" s="13"/>
      <c r="AAV39" s="13"/>
      <c r="AAW39" s="13"/>
      <c r="AAX39" s="13"/>
      <c r="AAY39" s="13"/>
      <c r="AAZ39" s="13"/>
      <c r="ABA39" s="13"/>
      <c r="ABB39" s="41"/>
      <c r="ABC39" s="41"/>
      <c r="ABD39" s="41"/>
      <c r="ABE39" s="13"/>
      <c r="ABF39" s="13"/>
      <c r="ABG39" s="10"/>
      <c r="ABH39" s="10"/>
      <c r="ABI39" s="10"/>
      <c r="ABJ39" s="10"/>
      <c r="ABK39" s="10"/>
      <c r="ABL39" s="43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51"/>
      <c r="ACE39" s="151"/>
      <c r="ACF39" s="151"/>
      <c r="ACG39" s="151"/>
      <c r="ACH39" s="151"/>
      <c r="ACI39" s="151"/>
      <c r="ACJ39" s="151"/>
      <c r="ACK39" s="151"/>
      <c r="ACL39" s="151"/>
      <c r="ACM39" s="151"/>
      <c r="ACN39" s="151"/>
      <c r="ACO39" s="151"/>
      <c r="ACP39" s="151"/>
      <c r="ACQ39" s="151"/>
      <c r="ACR39" s="151"/>
      <c r="ACS39" s="150"/>
      <c r="ACT39" s="150"/>
      <c r="ACU39" s="151"/>
      <c r="ACV39" s="150"/>
      <c r="ACW39" s="150"/>
      <c r="ACX39" s="151"/>
      <c r="ACY39" s="150"/>
      <c r="ACZ39" s="151"/>
      <c r="ADA39" s="351"/>
      <c r="ADB39" s="151"/>
      <c r="ADC39" s="351"/>
      <c r="ADD39" s="351"/>
      <c r="ADE39" s="151"/>
      <c r="ADF39" s="151"/>
      <c r="ADG39" s="151"/>
      <c r="ADH39" s="151"/>
      <c r="ADI39" s="151"/>
      <c r="ADJ39" s="151"/>
      <c r="ADK39" s="151"/>
      <c r="ADL39" s="151"/>
      <c r="ADM39" s="151"/>
      <c r="ADN39" s="151"/>
      <c r="ADO39" s="151"/>
      <c r="ADP39" s="151"/>
      <c r="ADQ39" s="150"/>
      <c r="ADR39" s="150"/>
      <c r="ADS39" s="150"/>
      <c r="ADT39" s="151"/>
      <c r="ADU39" s="151"/>
      <c r="ADV39" s="151"/>
      <c r="ADW39" s="151"/>
      <c r="ADX39" s="151"/>
      <c r="ADY39" s="151"/>
      <c r="ADZ39" s="151"/>
      <c r="AEA39" s="151"/>
      <c r="AEB39" s="151"/>
      <c r="AEC39" s="151"/>
      <c r="AED39" s="151"/>
      <c r="AEE39" s="151"/>
      <c r="AEF39" s="151"/>
      <c r="AEG39" s="151"/>
      <c r="AEH39" s="151"/>
      <c r="AEI39" s="151"/>
      <c r="AEJ39" s="151"/>
      <c r="AEK39" s="151"/>
      <c r="AEL39" s="151"/>
      <c r="AEM39" s="151"/>
      <c r="AEN39" s="150"/>
      <c r="AEO39" s="151"/>
      <c r="AEP39" s="151"/>
      <c r="AEQ39" s="151"/>
      <c r="AER39" s="151"/>
      <c r="AES39" s="151"/>
      <c r="AET39" s="151"/>
      <c r="AEU39" s="151"/>
      <c r="AEV39" s="151"/>
      <c r="AEW39" s="151"/>
      <c r="AEX39" s="151"/>
      <c r="AEY39" s="151"/>
      <c r="AEZ39" s="151"/>
      <c r="AFA39" s="151"/>
      <c r="AFB39" s="151"/>
      <c r="AFC39" s="151"/>
      <c r="AFD39" s="151"/>
      <c r="AFE39" s="151"/>
      <c r="AFF39" s="151"/>
      <c r="AFG39" s="151"/>
      <c r="AFH39" s="151"/>
      <c r="AFI39" s="151"/>
      <c r="AFJ39" s="151"/>
      <c r="AFK39" s="151"/>
      <c r="AFL39" s="151"/>
      <c r="AFM39" s="151"/>
      <c r="AFN39" s="151"/>
      <c r="AFO39" s="151"/>
      <c r="AFP39" s="151"/>
      <c r="AFQ39" s="151"/>
      <c r="AFR39" s="151"/>
      <c r="AFS39" s="151"/>
      <c r="AFT39" s="151"/>
      <c r="AFU39" s="151"/>
      <c r="AFV39" s="151"/>
      <c r="AFW39" s="151"/>
      <c r="AFX39" s="151"/>
      <c r="AFY39" s="151"/>
      <c r="AFZ39" s="151"/>
      <c r="AGA39" s="151"/>
      <c r="AGB39" s="151"/>
      <c r="AGC39" s="151"/>
      <c r="AGD39" s="151"/>
      <c r="AGE39" s="151"/>
      <c r="AGF39" s="151"/>
      <c r="AGG39" s="151"/>
      <c r="AGH39" s="151"/>
      <c r="AGI39" s="151"/>
      <c r="AGJ39" s="151"/>
      <c r="AGK39" s="151"/>
      <c r="AGL39" s="151"/>
      <c r="AGM39" s="151"/>
      <c r="AGN39" s="151"/>
      <c r="AGO39" s="151"/>
      <c r="AGP39" s="151"/>
      <c r="AGQ39" s="151"/>
      <c r="AGR39" s="151"/>
      <c r="AGS39" s="151"/>
      <c r="AGT39" s="151"/>
      <c r="AGU39" s="151"/>
      <c r="AGV39" s="151"/>
      <c r="AGW39" s="151"/>
      <c r="AGX39" s="151"/>
      <c r="AGY39" s="151"/>
      <c r="AGZ39" s="151"/>
      <c r="AHA39" s="151"/>
      <c r="AHB39" s="151"/>
      <c r="AHC39" s="151"/>
      <c r="AHD39" s="41"/>
      <c r="AHE39" s="41"/>
      <c r="AHF39" s="41"/>
      <c r="AHG39" s="41">
        <v>35.5</v>
      </c>
      <c r="AHH39" s="13">
        <v>33</v>
      </c>
      <c r="AHI39" s="10">
        <v>34.799999999999997</v>
      </c>
      <c r="AHJ39" s="10">
        <v>40.5</v>
      </c>
      <c r="AHK39" s="10">
        <v>40.5</v>
      </c>
      <c r="AHL39" s="10">
        <v>40.5</v>
      </c>
      <c r="AHM39" s="10">
        <v>49</v>
      </c>
      <c r="AHN39" s="43">
        <v>49</v>
      </c>
      <c r="AHO39" s="10">
        <v>49</v>
      </c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43"/>
      <c r="AIW39" s="43"/>
      <c r="AIX39" s="43"/>
      <c r="AIY39" s="43"/>
      <c r="AIZ39" s="43"/>
      <c r="AJA39" s="10"/>
      <c r="AJB39" s="43"/>
      <c r="AJC39" s="10"/>
      <c r="AJD39" s="10"/>
      <c r="AJE39" s="10"/>
      <c r="AJF39" s="10"/>
      <c r="AJG39" s="10"/>
      <c r="AJH39" s="10"/>
      <c r="AJI39" s="10"/>
      <c r="AJJ39" s="43"/>
      <c r="AJK39" s="43"/>
      <c r="AJL39" s="10"/>
      <c r="AJM39" s="10"/>
      <c r="AJN39" s="10"/>
      <c r="AJO39" s="10"/>
      <c r="AJP39" s="10"/>
      <c r="AJQ39" s="43"/>
      <c r="AJR39" s="10"/>
      <c r="AJS39" s="10"/>
      <c r="AJT39" s="43"/>
      <c r="AJU39" s="43"/>
      <c r="AJV39" s="307"/>
      <c r="AJW39" s="307"/>
      <c r="AJX39" s="307"/>
      <c r="AJY39" s="286"/>
      <c r="AJZ39" s="307"/>
      <c r="AKA39" s="286"/>
      <c r="AKB39" s="353"/>
      <c r="AKC39" s="286"/>
      <c r="AKD39" s="286"/>
      <c r="AKE39" s="286"/>
      <c r="AKF39" s="286"/>
      <c r="AKG39" s="286"/>
      <c r="AKH39" s="349"/>
      <c r="AKI39" s="4"/>
      <c r="AKJ39" s="186"/>
      <c r="AKK39" s="6"/>
      <c r="AKL39" s="6"/>
      <c r="AKM39" s="6"/>
      <c r="AKN39" s="6"/>
      <c r="AKO39" s="6"/>
      <c r="AKP39" s="187"/>
      <c r="AKQ39" s="187"/>
      <c r="AKR39" s="187"/>
      <c r="AKS39" s="187"/>
      <c r="AKT39" s="187"/>
      <c r="AKU39" s="187"/>
      <c r="AKV39" s="187"/>
      <c r="AKW39" s="187"/>
      <c r="AKX39" s="187"/>
      <c r="AKY39" s="187"/>
      <c r="AKZ39" s="187"/>
      <c r="ALA39" s="187"/>
      <c r="ALB39" s="187"/>
      <c r="ALC39" s="187"/>
      <c r="ALU39" s="151"/>
      <c r="ALV39" s="151"/>
      <c r="ALW39" s="151"/>
      <c r="ALX39" s="151"/>
      <c r="ALY39" s="151"/>
      <c r="ALZ39" s="151"/>
      <c r="AMA39" s="151"/>
      <c r="AMB39" s="151"/>
      <c r="AMC39" s="151"/>
      <c r="AMD39" s="151"/>
      <c r="AME39" s="151"/>
      <c r="AMF39" s="151"/>
      <c r="AMG39" s="151"/>
      <c r="AMH39" s="151"/>
      <c r="AMI39" s="151"/>
      <c r="AMJ39" s="151"/>
      <c r="AMK39" s="567"/>
      <c r="AML39" s="567"/>
      <c r="AMM39" s="567"/>
    </row>
    <row r="40" spans="1:1027" ht="29.1" hidden="1" customHeight="1" x14ac:dyDescent="0.3">
      <c r="A40" s="37" t="s">
        <v>23</v>
      </c>
      <c r="B40" s="33" t="s">
        <v>24</v>
      </c>
      <c r="C40" s="34" t="s">
        <v>3</v>
      </c>
      <c r="D40" s="34">
        <v>650</v>
      </c>
      <c r="E40" s="25"/>
      <c r="F40" s="27"/>
      <c r="G40" s="27"/>
      <c r="H40" s="28"/>
      <c r="I40" s="28"/>
      <c r="J40" s="216"/>
      <c r="K40" s="287"/>
      <c r="L40" s="46"/>
      <c r="M40" s="46"/>
      <c r="N40" s="46"/>
      <c r="O40" s="46"/>
      <c r="P40" s="46"/>
      <c r="Q40" s="46"/>
      <c r="R40" s="14"/>
      <c r="S40" s="14"/>
      <c r="T40" s="14"/>
      <c r="U40" s="14"/>
      <c r="V40" s="14"/>
      <c r="W40" s="14"/>
      <c r="X40" s="46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46"/>
      <c r="BF40" s="46"/>
      <c r="BG40" s="46"/>
      <c r="BH40" s="46"/>
      <c r="BI40" s="46"/>
      <c r="BJ40" s="14"/>
      <c r="BK40" s="46"/>
      <c r="BL40" s="46"/>
      <c r="BM40" s="46"/>
      <c r="BN40" s="166"/>
      <c r="BO40" s="166"/>
      <c r="BP40" s="166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46"/>
      <c r="CD40" s="46"/>
      <c r="CE40" s="46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46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46"/>
      <c r="ER40" s="46"/>
      <c r="ES40" s="46"/>
      <c r="ET40" s="46"/>
      <c r="EU40" s="46"/>
      <c r="EV40" s="46"/>
      <c r="EW40" s="14"/>
      <c r="EX40" s="14"/>
      <c r="EY40" s="14"/>
      <c r="EZ40" s="14"/>
      <c r="FA40" s="14"/>
      <c r="FB40" s="14"/>
      <c r="FC40" s="14"/>
      <c r="FD40" s="46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46"/>
      <c r="GL40" s="46"/>
      <c r="GM40" s="46"/>
      <c r="GN40" s="46"/>
      <c r="GO40" s="46"/>
      <c r="GP40" s="14"/>
      <c r="GQ40" s="46"/>
      <c r="GR40" s="46"/>
      <c r="GS40" s="46"/>
      <c r="GT40" s="166"/>
      <c r="GU40" s="166"/>
      <c r="GV40" s="166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46"/>
      <c r="HJ40" s="46"/>
      <c r="HK40" s="46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46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46"/>
      <c r="JX40" s="46"/>
      <c r="JY40" s="46"/>
      <c r="JZ40" s="46"/>
      <c r="KA40" s="46"/>
      <c r="KB40" s="46"/>
      <c r="KC40" s="46"/>
      <c r="KD40" s="14"/>
      <c r="KE40" s="14"/>
      <c r="KF40" s="14"/>
      <c r="KG40" s="14"/>
      <c r="KH40" s="14"/>
      <c r="KI40" s="14"/>
      <c r="KJ40" s="46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46"/>
      <c r="LR40" s="46"/>
      <c r="LS40" s="46"/>
      <c r="LT40" s="46"/>
      <c r="LU40" s="46"/>
      <c r="LV40" s="14"/>
      <c r="LW40" s="46"/>
      <c r="LX40" s="46"/>
      <c r="LY40" s="46"/>
      <c r="LZ40" s="14"/>
      <c r="MA40" s="166"/>
      <c r="MB40" s="166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46"/>
      <c r="MP40" s="46"/>
      <c r="MQ40" s="46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46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46"/>
      <c r="PD40" s="46"/>
      <c r="PE40" s="46"/>
      <c r="PF40" s="46"/>
      <c r="PG40" s="46"/>
      <c r="PH40" s="46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46"/>
      <c r="QX40" s="46"/>
      <c r="QY40" s="46"/>
      <c r="QZ40" s="46"/>
      <c r="RA40" s="46"/>
      <c r="RB40" s="14"/>
      <c r="RC40" s="46"/>
      <c r="RD40" s="46"/>
      <c r="RE40" s="46"/>
      <c r="RF40" s="14"/>
      <c r="RG40" s="166"/>
      <c r="RH40" s="166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46"/>
      <c r="RV40" s="46"/>
      <c r="RW40" s="46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46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46"/>
      <c r="UJ40" s="46"/>
      <c r="UK40" s="46"/>
      <c r="UL40" s="46"/>
      <c r="UM40" s="14"/>
      <c r="UN40" s="14"/>
      <c r="UO40" s="14"/>
      <c r="UP40" s="14"/>
      <c r="UQ40" s="46"/>
      <c r="UR40" s="14"/>
      <c r="US40" s="14"/>
      <c r="UT40" s="14"/>
      <c r="UU40" s="14"/>
      <c r="UV40" s="14"/>
      <c r="UW40" s="14"/>
      <c r="UX40" s="46"/>
      <c r="UY40" s="14"/>
      <c r="UZ40" s="14"/>
      <c r="VA40" s="14"/>
      <c r="VB40" s="46"/>
      <c r="VC40" s="46"/>
      <c r="VD40" s="14"/>
      <c r="VE40" s="14"/>
      <c r="VF40" s="46"/>
      <c r="VG40" s="46"/>
      <c r="VH40" s="14"/>
      <c r="VI40" s="14"/>
      <c r="VJ40" s="14"/>
      <c r="VK40" s="14"/>
      <c r="VL40" s="46"/>
      <c r="VM40" s="14"/>
      <c r="VN40" s="46"/>
      <c r="VO40" s="46"/>
      <c r="VP40" s="14"/>
      <c r="VQ40" s="46"/>
      <c r="VR40" s="14"/>
      <c r="VS40" s="14"/>
      <c r="VT40" s="14"/>
      <c r="VU40" s="14"/>
      <c r="VV40" s="14"/>
      <c r="VW40" s="14"/>
      <c r="VX40" s="14"/>
      <c r="VY40" s="46"/>
      <c r="VZ40" s="46"/>
      <c r="WA40" s="46"/>
      <c r="WB40" s="14"/>
      <c r="WC40" s="14"/>
      <c r="WD40" s="14"/>
      <c r="WE40" s="14"/>
      <c r="WF40" s="14"/>
      <c r="WG40" s="14"/>
      <c r="WH40" s="14"/>
      <c r="WI40" s="46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46"/>
      <c r="XQ40" s="46"/>
      <c r="XR40" s="46"/>
      <c r="XS40" s="46"/>
      <c r="XT40" s="46"/>
      <c r="XU40" s="14"/>
      <c r="XV40" s="46"/>
      <c r="XW40" s="14"/>
      <c r="XX40" s="166"/>
      <c r="XY40" s="14"/>
      <c r="XZ40" s="166"/>
      <c r="YA40" s="166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46"/>
      <c r="YO40" s="46"/>
      <c r="YP40" s="46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46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46"/>
      <c r="ABC40" s="46"/>
      <c r="ABD40" s="46"/>
      <c r="ABE40" s="14"/>
      <c r="ABF40" s="14"/>
      <c r="ABG40" s="16"/>
      <c r="ABH40" s="16"/>
      <c r="ABI40" s="16"/>
      <c r="ABJ40" s="16"/>
      <c r="ABK40" s="16"/>
      <c r="ABL40" s="48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48"/>
      <c r="ACT40" s="48"/>
      <c r="ACU40" s="16"/>
      <c r="ACV40" s="48"/>
      <c r="ACW40" s="48"/>
      <c r="ACX40" s="16"/>
      <c r="ACY40" s="48"/>
      <c r="ACZ40" s="16"/>
      <c r="ADA40" s="170"/>
      <c r="ADB40" s="16"/>
      <c r="ADC40" s="170"/>
      <c r="ADD40" s="170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48"/>
      <c r="ADR40" s="48"/>
      <c r="ADS40" s="48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48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46"/>
      <c r="AHE40" s="46"/>
      <c r="AHF40" s="46"/>
      <c r="AHG40" s="46">
        <v>39.5</v>
      </c>
      <c r="AHH40" s="14">
        <v>38.5</v>
      </c>
      <c r="AHI40" s="16">
        <v>39.799999999999997</v>
      </c>
      <c r="AHJ40" s="16">
        <v>46.5</v>
      </c>
      <c r="AHK40" s="16">
        <v>46.5</v>
      </c>
      <c r="AHL40" s="16">
        <v>46.5</v>
      </c>
      <c r="AHM40" s="16">
        <v>53</v>
      </c>
      <c r="AHN40" s="48">
        <v>53</v>
      </c>
      <c r="AHO40" s="16">
        <v>53</v>
      </c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48"/>
      <c r="AIW40" s="48"/>
      <c r="AIX40" s="48"/>
      <c r="AIY40" s="48"/>
      <c r="AIZ40" s="48"/>
      <c r="AJA40" s="16"/>
      <c r="AJB40" s="48"/>
      <c r="AJC40" s="16"/>
      <c r="AJD40" s="16"/>
      <c r="AJE40" s="16"/>
      <c r="AJF40" s="16"/>
      <c r="AJG40" s="16"/>
      <c r="AJH40" s="16"/>
      <c r="AJI40" s="16"/>
      <c r="AJJ40" s="48"/>
      <c r="AJK40" s="48"/>
      <c r="AJL40" s="16"/>
      <c r="AJM40" s="16"/>
      <c r="AJN40" s="16"/>
      <c r="AJO40" s="16"/>
      <c r="AJP40" s="16"/>
      <c r="AJQ40" s="48"/>
      <c r="AJR40" s="16"/>
      <c r="AJS40" s="16"/>
      <c r="AJT40" s="48"/>
      <c r="AJU40" s="48"/>
      <c r="AJV40" s="308"/>
      <c r="AJW40" s="308"/>
      <c r="AJX40" s="308"/>
      <c r="AJY40" s="288"/>
      <c r="AJZ40" s="308"/>
      <c r="AKA40" s="288"/>
      <c r="AKB40" s="354"/>
      <c r="AKC40" s="288"/>
      <c r="AKD40" s="288"/>
      <c r="AKE40" s="288"/>
      <c r="AKF40" s="288"/>
      <c r="AKG40" s="288"/>
      <c r="AKH40" s="349"/>
      <c r="AKI40" s="4"/>
      <c r="AKJ40" s="186"/>
      <c r="AKK40" s="6"/>
      <c r="AKL40" s="6"/>
      <c r="AKM40" s="6"/>
      <c r="AKN40" s="6"/>
      <c r="AKO40" s="6"/>
      <c r="AKP40" s="187"/>
      <c r="AKQ40" s="187"/>
      <c r="AKR40" s="187"/>
      <c r="AKS40" s="187"/>
      <c r="AKT40" s="187"/>
      <c r="AKU40" s="187"/>
      <c r="AKV40" s="187"/>
      <c r="AKW40" s="187"/>
      <c r="AKX40" s="187"/>
      <c r="AKY40" s="187"/>
      <c r="AKZ40" s="187"/>
      <c r="ALA40" s="187"/>
      <c r="ALB40" s="187"/>
      <c r="ALC40" s="187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349"/>
      <c r="AML40" s="349"/>
      <c r="AMM40" s="349"/>
    </row>
    <row r="41" spans="1:1027" ht="29.1" hidden="1" customHeight="1" thickBot="1" x14ac:dyDescent="0.35">
      <c r="A41" s="37" t="s">
        <v>23</v>
      </c>
      <c r="B41" s="33" t="s">
        <v>17</v>
      </c>
      <c r="C41" s="34" t="s">
        <v>4</v>
      </c>
      <c r="D41" s="34">
        <v>650</v>
      </c>
      <c r="E41" s="25"/>
      <c r="F41" s="27"/>
      <c r="G41" s="27"/>
      <c r="H41" s="28"/>
      <c r="I41" s="28"/>
      <c r="J41" s="216"/>
      <c r="K41" s="289"/>
      <c r="L41" s="50"/>
      <c r="M41" s="50"/>
      <c r="N41" s="50"/>
      <c r="O41" s="50"/>
      <c r="P41" s="50"/>
      <c r="Q41" s="50"/>
      <c r="R41" s="15"/>
      <c r="S41" s="15"/>
      <c r="T41" s="15"/>
      <c r="U41" s="15"/>
      <c r="V41" s="15"/>
      <c r="W41" s="15"/>
      <c r="X41" s="50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50"/>
      <c r="BF41" s="50"/>
      <c r="BG41" s="50"/>
      <c r="BH41" s="50"/>
      <c r="BI41" s="50"/>
      <c r="BJ41" s="15"/>
      <c r="BK41" s="50"/>
      <c r="BL41" s="50"/>
      <c r="BM41" s="50"/>
      <c r="BN41" s="167"/>
      <c r="BO41" s="167"/>
      <c r="BP41" s="167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50"/>
      <c r="CD41" s="50"/>
      <c r="CE41" s="50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50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50"/>
      <c r="ER41" s="50"/>
      <c r="ES41" s="50"/>
      <c r="ET41" s="50"/>
      <c r="EU41" s="50"/>
      <c r="EV41" s="50"/>
      <c r="EW41" s="15"/>
      <c r="EX41" s="15"/>
      <c r="EY41" s="15"/>
      <c r="EZ41" s="15"/>
      <c r="FA41" s="15"/>
      <c r="FB41" s="15"/>
      <c r="FC41" s="15"/>
      <c r="FD41" s="50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50"/>
      <c r="GL41" s="50"/>
      <c r="GM41" s="50"/>
      <c r="GN41" s="50"/>
      <c r="GO41" s="50"/>
      <c r="GP41" s="15"/>
      <c r="GQ41" s="50"/>
      <c r="GR41" s="50"/>
      <c r="GS41" s="50"/>
      <c r="GT41" s="167"/>
      <c r="GU41" s="167"/>
      <c r="GV41" s="167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50"/>
      <c r="HJ41" s="50"/>
      <c r="HK41" s="50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50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50"/>
      <c r="JX41" s="50"/>
      <c r="JY41" s="50"/>
      <c r="JZ41" s="50"/>
      <c r="KA41" s="50"/>
      <c r="KB41" s="50"/>
      <c r="KC41" s="50"/>
      <c r="KD41" s="15"/>
      <c r="KE41" s="15"/>
      <c r="KF41" s="15"/>
      <c r="KG41" s="15"/>
      <c r="KH41" s="15"/>
      <c r="KI41" s="15"/>
      <c r="KJ41" s="50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50"/>
      <c r="LR41" s="50"/>
      <c r="LS41" s="50"/>
      <c r="LT41" s="50"/>
      <c r="LU41" s="50"/>
      <c r="LV41" s="15"/>
      <c r="LW41" s="50"/>
      <c r="LX41" s="50"/>
      <c r="LY41" s="50"/>
      <c r="LZ41" s="15"/>
      <c r="MA41" s="167"/>
      <c r="MB41" s="167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50"/>
      <c r="MP41" s="50"/>
      <c r="MQ41" s="50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50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50"/>
      <c r="PD41" s="50"/>
      <c r="PE41" s="50"/>
      <c r="PF41" s="50"/>
      <c r="PG41" s="50"/>
      <c r="PH41" s="50"/>
      <c r="PI41" s="15"/>
      <c r="PJ41" s="15"/>
      <c r="PK41" s="15"/>
      <c r="PL41" s="15"/>
      <c r="PM41" s="15"/>
      <c r="PN41" s="15"/>
      <c r="PO41" s="15"/>
      <c r="PP41" s="15"/>
      <c r="PQ41" s="15"/>
      <c r="PR41" s="15"/>
      <c r="PS41" s="15"/>
      <c r="PT41" s="15"/>
      <c r="PU41" s="15"/>
      <c r="PV41" s="15"/>
      <c r="PW41" s="15"/>
      <c r="PX41" s="15"/>
      <c r="PY41" s="15"/>
      <c r="PZ41" s="15"/>
      <c r="QA41" s="15"/>
      <c r="QB41" s="15"/>
      <c r="QC41" s="15"/>
      <c r="QD41" s="15"/>
      <c r="QE41" s="15"/>
      <c r="QF41" s="15"/>
      <c r="QG41" s="15"/>
      <c r="QH41" s="15"/>
      <c r="QI41" s="15"/>
      <c r="QJ41" s="15"/>
      <c r="QK41" s="15"/>
      <c r="QL41" s="15"/>
      <c r="QM41" s="15"/>
      <c r="QN41" s="15"/>
      <c r="QO41" s="15"/>
      <c r="QP41" s="15"/>
      <c r="QQ41" s="15"/>
      <c r="QR41" s="15"/>
      <c r="QS41" s="15"/>
      <c r="QT41" s="15"/>
      <c r="QU41" s="15"/>
      <c r="QV41" s="15"/>
      <c r="QW41" s="50"/>
      <c r="QX41" s="50"/>
      <c r="QY41" s="50"/>
      <c r="QZ41" s="50"/>
      <c r="RA41" s="50"/>
      <c r="RB41" s="15"/>
      <c r="RC41" s="50"/>
      <c r="RD41" s="50"/>
      <c r="RE41" s="50"/>
      <c r="RF41" s="15"/>
      <c r="RG41" s="167"/>
      <c r="RH41" s="167"/>
      <c r="RI41" s="15"/>
      <c r="RJ41" s="15"/>
      <c r="RK41" s="15"/>
      <c r="RL41" s="15"/>
      <c r="RM41" s="15"/>
      <c r="RN41" s="15"/>
      <c r="RO41" s="15"/>
      <c r="RP41" s="15"/>
      <c r="RQ41" s="15"/>
      <c r="RR41" s="15"/>
      <c r="RS41" s="15"/>
      <c r="RT41" s="15"/>
      <c r="RU41" s="50"/>
      <c r="RV41" s="50"/>
      <c r="RW41" s="50"/>
      <c r="RX41" s="15"/>
      <c r="RY41" s="15"/>
      <c r="RZ41" s="15"/>
      <c r="SA41" s="15"/>
      <c r="SB41" s="15"/>
      <c r="SC41" s="15"/>
      <c r="SD41" s="15"/>
      <c r="SE41" s="15"/>
      <c r="SF41" s="15"/>
      <c r="SG41" s="15"/>
      <c r="SH41" s="15"/>
      <c r="SI41" s="15"/>
      <c r="SJ41" s="15"/>
      <c r="SK41" s="15"/>
      <c r="SL41" s="15"/>
      <c r="SM41" s="15"/>
      <c r="SN41" s="15"/>
      <c r="SO41" s="15"/>
      <c r="SP41" s="15"/>
      <c r="SQ41" s="15"/>
      <c r="SR41" s="50"/>
      <c r="SS41" s="15"/>
      <c r="ST41" s="15"/>
      <c r="SU41" s="15"/>
      <c r="SV41" s="15"/>
      <c r="SW41" s="15"/>
      <c r="SX41" s="15"/>
      <c r="SY41" s="15"/>
      <c r="SZ41" s="15"/>
      <c r="TA41" s="15"/>
      <c r="TB41" s="15"/>
      <c r="TC41" s="15"/>
      <c r="TD41" s="15"/>
      <c r="TE41" s="15"/>
      <c r="TF41" s="15"/>
      <c r="TG41" s="15"/>
      <c r="TH41" s="15"/>
      <c r="TI41" s="15"/>
      <c r="TJ41" s="15"/>
      <c r="TK41" s="15"/>
      <c r="TL41" s="15"/>
      <c r="TM41" s="15"/>
      <c r="TN41" s="15"/>
      <c r="TO41" s="15"/>
      <c r="TP41" s="15"/>
      <c r="TQ41" s="15"/>
      <c r="TR41" s="15"/>
      <c r="TS41" s="15"/>
      <c r="TT41" s="15"/>
      <c r="TU41" s="15"/>
      <c r="TV41" s="15"/>
      <c r="TW41" s="15"/>
      <c r="TX41" s="15"/>
      <c r="TY41" s="15"/>
      <c r="TZ41" s="15"/>
      <c r="UA41" s="15"/>
      <c r="UB41" s="15"/>
      <c r="UC41" s="15"/>
      <c r="UD41" s="15"/>
      <c r="UE41" s="15"/>
      <c r="UF41" s="15"/>
      <c r="UG41" s="15"/>
      <c r="UH41" s="15"/>
      <c r="UI41" s="50"/>
      <c r="UJ41" s="50"/>
      <c r="UK41" s="50"/>
      <c r="UL41" s="50"/>
      <c r="UM41" s="15"/>
      <c r="UN41" s="15"/>
      <c r="UO41" s="15"/>
      <c r="UP41" s="15"/>
      <c r="UQ41" s="50"/>
      <c r="UR41" s="15"/>
      <c r="US41" s="15"/>
      <c r="UT41" s="15"/>
      <c r="UU41" s="15"/>
      <c r="UV41" s="15"/>
      <c r="UW41" s="15"/>
      <c r="UX41" s="50"/>
      <c r="UY41" s="15"/>
      <c r="UZ41" s="15"/>
      <c r="VA41" s="15"/>
      <c r="VB41" s="50"/>
      <c r="VC41" s="50"/>
      <c r="VD41" s="15"/>
      <c r="VE41" s="15"/>
      <c r="VF41" s="50"/>
      <c r="VG41" s="50"/>
      <c r="VH41" s="15"/>
      <c r="VI41" s="15"/>
      <c r="VJ41" s="15"/>
      <c r="VK41" s="15"/>
      <c r="VL41" s="50"/>
      <c r="VM41" s="15"/>
      <c r="VN41" s="50"/>
      <c r="VO41" s="50"/>
      <c r="VP41" s="15"/>
      <c r="VQ41" s="50"/>
      <c r="VR41" s="15"/>
      <c r="VS41" s="15"/>
      <c r="VT41" s="15"/>
      <c r="VU41" s="15"/>
      <c r="VV41" s="15"/>
      <c r="VW41" s="15"/>
      <c r="VX41" s="15"/>
      <c r="VY41" s="50"/>
      <c r="VZ41" s="50"/>
      <c r="WA41" s="50"/>
      <c r="WB41" s="15"/>
      <c r="WC41" s="15"/>
      <c r="WD41" s="15"/>
      <c r="WE41" s="15"/>
      <c r="WF41" s="15"/>
      <c r="WG41" s="15"/>
      <c r="WH41" s="15"/>
      <c r="WI41" s="50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/>
      <c r="WW41" s="15"/>
      <c r="WX41" s="15"/>
      <c r="WY41" s="15"/>
      <c r="WZ41" s="15"/>
      <c r="XA41" s="15"/>
      <c r="XB41" s="15"/>
      <c r="XC41" s="15"/>
      <c r="XD41" s="15"/>
      <c r="XE41" s="15"/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50"/>
      <c r="XQ41" s="50"/>
      <c r="XR41" s="50"/>
      <c r="XS41" s="50"/>
      <c r="XT41" s="50"/>
      <c r="XU41" s="15"/>
      <c r="XV41" s="50"/>
      <c r="XW41" s="15"/>
      <c r="XX41" s="167"/>
      <c r="XY41" s="15"/>
      <c r="XZ41" s="167"/>
      <c r="YA41" s="167"/>
      <c r="YB41" s="15"/>
      <c r="YC41" s="15"/>
      <c r="YD41" s="15"/>
      <c r="YE41" s="15"/>
      <c r="YF41" s="15"/>
      <c r="YG41" s="15"/>
      <c r="YH41" s="15"/>
      <c r="YI41" s="15"/>
      <c r="YJ41" s="15"/>
      <c r="YK41" s="15"/>
      <c r="YL41" s="15"/>
      <c r="YM41" s="15"/>
      <c r="YN41" s="50"/>
      <c r="YO41" s="50"/>
      <c r="YP41" s="50"/>
      <c r="YQ41" s="15"/>
      <c r="YR41" s="15"/>
      <c r="YS41" s="15"/>
      <c r="YT41" s="15"/>
      <c r="YU41" s="15"/>
      <c r="YV41" s="15"/>
      <c r="YW41" s="15"/>
      <c r="YX41" s="15"/>
      <c r="YY41" s="15"/>
      <c r="YZ41" s="15"/>
      <c r="ZA41" s="15"/>
      <c r="ZB41" s="15"/>
      <c r="ZC41" s="15"/>
      <c r="ZD41" s="15"/>
      <c r="ZE41" s="15"/>
      <c r="ZF41" s="15"/>
      <c r="ZG41" s="15"/>
      <c r="ZH41" s="15"/>
      <c r="ZI41" s="15"/>
      <c r="ZJ41" s="15"/>
      <c r="ZK41" s="50"/>
      <c r="ZL41" s="15"/>
      <c r="ZM41" s="15"/>
      <c r="ZN41" s="15"/>
      <c r="ZO41" s="15"/>
      <c r="ZP41" s="15"/>
      <c r="ZQ41" s="15"/>
      <c r="ZR41" s="15"/>
      <c r="ZS41" s="15"/>
      <c r="ZT41" s="15"/>
      <c r="ZU41" s="15"/>
      <c r="ZV41" s="15"/>
      <c r="ZW41" s="15"/>
      <c r="ZX41" s="15"/>
      <c r="ZY41" s="15"/>
      <c r="ZZ41" s="15"/>
      <c r="AAA41" s="15"/>
      <c r="AAB41" s="15"/>
      <c r="AAC41" s="15"/>
      <c r="AAD41" s="15"/>
      <c r="AAE41" s="15"/>
      <c r="AAF41" s="15"/>
      <c r="AAG41" s="15"/>
      <c r="AAH41" s="15"/>
      <c r="AAI41" s="15"/>
      <c r="AAJ41" s="15"/>
      <c r="AAK41" s="15"/>
      <c r="AAL41" s="15"/>
      <c r="AAM41" s="15"/>
      <c r="AAN41" s="15"/>
      <c r="AAO41" s="15"/>
      <c r="AAP41" s="15"/>
      <c r="AAQ41" s="15"/>
      <c r="AAR41" s="15"/>
      <c r="AAS41" s="15"/>
      <c r="AAT41" s="15"/>
      <c r="AAU41" s="15"/>
      <c r="AAV41" s="15"/>
      <c r="AAW41" s="15"/>
      <c r="AAX41" s="15"/>
      <c r="AAY41" s="15"/>
      <c r="AAZ41" s="15"/>
      <c r="ABA41" s="15"/>
      <c r="ABB41" s="50"/>
      <c r="ABC41" s="50"/>
      <c r="ABD41" s="50"/>
      <c r="ABE41" s="15"/>
      <c r="ABF41" s="15"/>
      <c r="ABG41" s="20"/>
      <c r="ABH41" s="20"/>
      <c r="ABI41" s="20"/>
      <c r="ABJ41" s="20"/>
      <c r="ABK41" s="20"/>
      <c r="ABL41" s="52"/>
      <c r="ABM41" s="20"/>
      <c r="ABN41" s="20"/>
      <c r="ABO41" s="20"/>
      <c r="ABP41" s="20"/>
      <c r="ABQ41" s="20"/>
      <c r="ABR41" s="20"/>
      <c r="ABS41" s="20"/>
      <c r="ABT41" s="20"/>
      <c r="ABU41" s="20"/>
      <c r="ABV41" s="20"/>
      <c r="ABW41" s="20"/>
      <c r="ABX41" s="20"/>
      <c r="ABY41" s="20"/>
      <c r="ABZ41" s="20"/>
      <c r="ACA41" s="20"/>
      <c r="ACB41" s="20"/>
      <c r="ACC41" s="20"/>
      <c r="ACD41" s="20"/>
      <c r="ACE41" s="20"/>
      <c r="ACF41" s="20"/>
      <c r="ACG41" s="20"/>
      <c r="ACH41" s="20"/>
      <c r="ACI41" s="20"/>
      <c r="ACJ41" s="20"/>
      <c r="ACK41" s="20"/>
      <c r="ACL41" s="20"/>
      <c r="ACM41" s="20"/>
      <c r="ACN41" s="20"/>
      <c r="ACO41" s="20"/>
      <c r="ACP41" s="20"/>
      <c r="ACQ41" s="20"/>
      <c r="ACR41" s="20"/>
      <c r="ACS41" s="52"/>
      <c r="ACT41" s="52"/>
      <c r="ACU41" s="20"/>
      <c r="ACV41" s="52"/>
      <c r="ACW41" s="52"/>
      <c r="ACX41" s="20"/>
      <c r="ACY41" s="52"/>
      <c r="ACZ41" s="20"/>
      <c r="ADA41" s="171"/>
      <c r="ADB41" s="20"/>
      <c r="ADC41" s="171"/>
      <c r="ADD41" s="171"/>
      <c r="ADE41" s="20"/>
      <c r="ADF41" s="20"/>
      <c r="ADG41" s="20"/>
      <c r="ADH41" s="20"/>
      <c r="ADI41" s="20"/>
      <c r="ADJ41" s="20"/>
      <c r="ADK41" s="20"/>
      <c r="ADL41" s="20"/>
      <c r="ADM41" s="20"/>
      <c r="ADN41" s="20"/>
      <c r="ADO41" s="20"/>
      <c r="ADP41" s="20"/>
      <c r="ADQ41" s="52"/>
      <c r="ADR41" s="52"/>
      <c r="ADS41" s="52"/>
      <c r="ADT41" s="20"/>
      <c r="ADU41" s="20"/>
      <c r="ADV41" s="20"/>
      <c r="ADW41" s="20"/>
      <c r="ADX41" s="20"/>
      <c r="ADY41" s="20"/>
      <c r="ADZ41" s="20"/>
      <c r="AEA41" s="20"/>
      <c r="AEB41" s="20"/>
      <c r="AEC41" s="20"/>
      <c r="AED41" s="20"/>
      <c r="AEE41" s="20"/>
      <c r="AEF41" s="20"/>
      <c r="AEG41" s="20"/>
      <c r="AEH41" s="20"/>
      <c r="AEI41" s="20"/>
      <c r="AEJ41" s="20"/>
      <c r="AEK41" s="20"/>
      <c r="AEL41" s="20"/>
      <c r="AEM41" s="20"/>
      <c r="AEN41" s="52"/>
      <c r="AEO41" s="20"/>
      <c r="AEP41" s="20"/>
      <c r="AEQ41" s="20"/>
      <c r="AER41" s="20"/>
      <c r="AES41" s="20"/>
      <c r="AET41" s="20"/>
      <c r="AEU41" s="20"/>
      <c r="AEV41" s="20"/>
      <c r="AEW41" s="20"/>
      <c r="AEX41" s="20"/>
      <c r="AEY41" s="20"/>
      <c r="AEZ41" s="20"/>
      <c r="AFA41" s="20"/>
      <c r="AFB41" s="20"/>
      <c r="AFC41" s="20"/>
      <c r="AFD41" s="20"/>
      <c r="AFE41" s="20"/>
      <c r="AFF41" s="20"/>
      <c r="AFG41" s="20"/>
      <c r="AFH41" s="20"/>
      <c r="AFI41" s="20"/>
      <c r="AFJ41" s="20"/>
      <c r="AFK41" s="20"/>
      <c r="AFL41" s="20"/>
      <c r="AFM41" s="20"/>
      <c r="AFN41" s="20"/>
      <c r="AFO41" s="20"/>
      <c r="AFP41" s="20"/>
      <c r="AFQ41" s="20"/>
      <c r="AFR41" s="20"/>
      <c r="AFS41" s="20"/>
      <c r="AFT41" s="20"/>
      <c r="AFU41" s="20"/>
      <c r="AFV41" s="20"/>
      <c r="AFW41" s="20"/>
      <c r="AFX41" s="20"/>
      <c r="AFY41" s="20"/>
      <c r="AFZ41" s="20"/>
      <c r="AGA41" s="20"/>
      <c r="AGB41" s="20"/>
      <c r="AGC41" s="20"/>
      <c r="AGD41" s="20"/>
      <c r="AGE41" s="20"/>
      <c r="AGF41" s="20"/>
      <c r="AGG41" s="20"/>
      <c r="AGH41" s="20"/>
      <c r="AGI41" s="20"/>
      <c r="AGJ41" s="20"/>
      <c r="AGK41" s="20"/>
      <c r="AGL41" s="20"/>
      <c r="AGM41" s="20"/>
      <c r="AGN41" s="20"/>
      <c r="AGO41" s="20"/>
      <c r="AGP41" s="20"/>
      <c r="AGQ41" s="20"/>
      <c r="AGR41" s="20"/>
      <c r="AGS41" s="20"/>
      <c r="AGT41" s="20"/>
      <c r="AGU41" s="20"/>
      <c r="AGV41" s="20"/>
      <c r="AGW41" s="20"/>
      <c r="AGX41" s="20"/>
      <c r="AGY41" s="20"/>
      <c r="AGZ41" s="20"/>
      <c r="AHA41" s="20"/>
      <c r="AHB41" s="20"/>
      <c r="AHC41" s="20"/>
      <c r="AHD41" s="50"/>
      <c r="AHE41" s="50"/>
      <c r="AHF41" s="50"/>
      <c r="AHG41" s="50"/>
      <c r="AHH41" s="15"/>
      <c r="AHI41" s="20"/>
      <c r="AHJ41" s="20"/>
      <c r="AHK41" s="20"/>
      <c r="AHL41" s="20"/>
      <c r="AHM41" s="20"/>
      <c r="AHN41" s="52"/>
      <c r="AHO41" s="20"/>
      <c r="AHP41" s="20"/>
      <c r="AHQ41" s="20"/>
      <c r="AHR41" s="20"/>
      <c r="AHS41" s="20"/>
      <c r="AHT41" s="20"/>
      <c r="AHU41" s="20"/>
      <c r="AHV41" s="20"/>
      <c r="AHW41" s="20"/>
      <c r="AHX41" s="20"/>
      <c r="AHY41" s="20"/>
      <c r="AHZ41" s="20"/>
      <c r="AIA41" s="20"/>
      <c r="AIB41" s="20"/>
      <c r="AIC41" s="20"/>
      <c r="AID41" s="20"/>
      <c r="AIE41" s="20"/>
      <c r="AIF41" s="20"/>
      <c r="AIG41" s="20"/>
      <c r="AIH41" s="20"/>
      <c r="AII41" s="20"/>
      <c r="AIJ41" s="20"/>
      <c r="AIK41" s="20"/>
      <c r="AIL41" s="20"/>
      <c r="AIM41" s="20"/>
      <c r="AIN41" s="20"/>
      <c r="AIO41" s="20"/>
      <c r="AIP41" s="20"/>
      <c r="AIQ41" s="20"/>
      <c r="AIR41" s="20"/>
      <c r="AIS41" s="20"/>
      <c r="AIT41" s="20"/>
      <c r="AIU41" s="20"/>
      <c r="AIV41" s="52"/>
      <c r="AIW41" s="52"/>
      <c r="AIX41" s="52"/>
      <c r="AIY41" s="52"/>
      <c r="AIZ41" s="52"/>
      <c r="AJA41" s="20"/>
      <c r="AJB41" s="52"/>
      <c r="AJC41" s="20"/>
      <c r="AJD41" s="20"/>
      <c r="AJE41" s="20"/>
      <c r="AJF41" s="20"/>
      <c r="AJG41" s="20"/>
      <c r="AJH41" s="20"/>
      <c r="AJI41" s="20"/>
      <c r="AJJ41" s="52"/>
      <c r="AJK41" s="52"/>
      <c r="AJL41" s="20"/>
      <c r="AJM41" s="20"/>
      <c r="AJN41" s="20"/>
      <c r="AJO41" s="20"/>
      <c r="AJP41" s="20"/>
      <c r="AJQ41" s="52"/>
      <c r="AJR41" s="20"/>
      <c r="AJS41" s="20"/>
      <c r="AJT41" s="52"/>
      <c r="AJU41" s="52"/>
      <c r="AJV41" s="309"/>
      <c r="AJW41" s="309"/>
      <c r="AJX41" s="309"/>
      <c r="AJY41" s="290"/>
      <c r="AJZ41" s="309"/>
      <c r="AKA41" s="290"/>
      <c r="AKB41" s="355"/>
      <c r="AKC41" s="290"/>
      <c r="AKD41" s="290"/>
      <c r="AKE41" s="290"/>
      <c r="AKF41" s="290"/>
      <c r="AKG41" s="290"/>
      <c r="AKH41" s="349"/>
      <c r="AKI41" s="4"/>
      <c r="AKJ41" s="186"/>
      <c r="AKK41" s="6"/>
      <c r="AKL41" s="6"/>
      <c r="AKM41" s="6"/>
      <c r="AKN41" s="6"/>
      <c r="AKO41" s="6"/>
      <c r="AKP41" s="187"/>
      <c r="AKQ41" s="187"/>
      <c r="AKR41" s="187"/>
      <c r="AKS41" s="187"/>
      <c r="AKT41" s="187"/>
      <c r="AKU41" s="187"/>
      <c r="AKV41" s="187"/>
      <c r="AKW41" s="187"/>
      <c r="AKX41" s="187"/>
      <c r="AKY41" s="187"/>
      <c r="AKZ41" s="187"/>
      <c r="ALA41" s="187"/>
      <c r="ALB41" s="187"/>
      <c r="ALC41" s="187"/>
      <c r="ALU41" s="20"/>
      <c r="ALV41" s="20"/>
      <c r="ALW41" s="20"/>
      <c r="ALX41" s="20"/>
      <c r="ALY41" s="20"/>
      <c r="ALZ41" s="20"/>
      <c r="AMA41" s="20"/>
      <c r="AMB41" s="20"/>
      <c r="AMC41" s="20"/>
      <c r="AMD41" s="20"/>
      <c r="AME41" s="20"/>
      <c r="AMF41" s="20"/>
      <c r="AMG41" s="20"/>
      <c r="AMH41" s="20"/>
      <c r="AMI41" s="20"/>
      <c r="AMJ41" s="20"/>
      <c r="AMK41" s="349"/>
      <c r="AML41" s="349"/>
      <c r="AMM41" s="349"/>
    </row>
    <row r="42" spans="1:1027" ht="29.1" hidden="1" customHeight="1" x14ac:dyDescent="0.3">
      <c r="A42" s="37" t="s">
        <v>23</v>
      </c>
      <c r="B42" s="33" t="s">
        <v>18</v>
      </c>
      <c r="C42" s="34" t="s">
        <v>2</v>
      </c>
      <c r="D42" s="34">
        <v>600</v>
      </c>
      <c r="E42" s="25"/>
      <c r="F42" s="27"/>
      <c r="G42" s="27"/>
      <c r="H42" s="28"/>
      <c r="I42" s="28"/>
      <c r="J42" s="216"/>
      <c r="K42" s="285"/>
      <c r="L42" s="41"/>
      <c r="M42" s="41"/>
      <c r="N42" s="41"/>
      <c r="O42" s="41"/>
      <c r="P42" s="41"/>
      <c r="Q42" s="41"/>
      <c r="R42" s="13"/>
      <c r="S42" s="13"/>
      <c r="T42" s="13"/>
      <c r="U42" s="13"/>
      <c r="V42" s="13"/>
      <c r="W42" s="13"/>
      <c r="X42" s="41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41"/>
      <c r="BF42" s="41"/>
      <c r="BG42" s="41"/>
      <c r="BH42" s="41"/>
      <c r="BI42" s="41"/>
      <c r="BJ42" s="13"/>
      <c r="BK42" s="41"/>
      <c r="BL42" s="41"/>
      <c r="BM42" s="41"/>
      <c r="BN42" s="165"/>
      <c r="BO42" s="165"/>
      <c r="BP42" s="165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41"/>
      <c r="CD42" s="41"/>
      <c r="CE42" s="41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41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41"/>
      <c r="ER42" s="41"/>
      <c r="ES42" s="41"/>
      <c r="ET42" s="41"/>
      <c r="EU42" s="41"/>
      <c r="EV42" s="41"/>
      <c r="EW42" s="13"/>
      <c r="EX42" s="13"/>
      <c r="EY42" s="13"/>
      <c r="EZ42" s="13"/>
      <c r="FA42" s="13"/>
      <c r="FB42" s="13"/>
      <c r="FC42" s="13"/>
      <c r="FD42" s="41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41"/>
      <c r="GL42" s="41"/>
      <c r="GM42" s="41"/>
      <c r="GN42" s="41"/>
      <c r="GO42" s="41"/>
      <c r="GP42" s="13"/>
      <c r="GQ42" s="41"/>
      <c r="GR42" s="41"/>
      <c r="GS42" s="41"/>
      <c r="GT42" s="165"/>
      <c r="GU42" s="165"/>
      <c r="GV42" s="165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41"/>
      <c r="HJ42" s="41"/>
      <c r="HK42" s="41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41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41"/>
      <c r="JX42" s="41"/>
      <c r="JY42" s="41"/>
      <c r="JZ42" s="43"/>
      <c r="KA42" s="43"/>
      <c r="KB42" s="43"/>
      <c r="KC42" s="43"/>
      <c r="KD42" s="10"/>
      <c r="KE42" s="10"/>
      <c r="KF42" s="10"/>
      <c r="KG42" s="10"/>
      <c r="KH42" s="10"/>
      <c r="KI42" s="10"/>
      <c r="KJ42" s="43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43"/>
      <c r="LR42" s="43"/>
      <c r="LS42" s="43"/>
      <c r="LT42" s="43"/>
      <c r="LU42" s="43"/>
      <c r="LV42" s="10"/>
      <c r="LW42" s="43"/>
      <c r="LX42" s="43"/>
      <c r="LY42" s="43"/>
      <c r="LZ42" s="10"/>
      <c r="MA42" s="169"/>
      <c r="MB42" s="169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43"/>
      <c r="MP42" s="43"/>
      <c r="MQ42" s="43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43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41"/>
      <c r="PD42" s="41"/>
      <c r="PE42" s="41"/>
      <c r="PF42" s="41"/>
      <c r="PG42" s="41"/>
      <c r="PH42" s="41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41"/>
      <c r="QX42" s="41"/>
      <c r="QY42" s="41"/>
      <c r="QZ42" s="41"/>
      <c r="RA42" s="41"/>
      <c r="RB42" s="13"/>
      <c r="RC42" s="41"/>
      <c r="RD42" s="41"/>
      <c r="RE42" s="41"/>
      <c r="RF42" s="13"/>
      <c r="RG42" s="165"/>
      <c r="RH42" s="165"/>
      <c r="RI42" s="13"/>
      <c r="RJ42" s="13"/>
      <c r="RK42" s="13"/>
      <c r="RL42" s="13"/>
      <c r="RM42" s="13"/>
      <c r="RN42" s="13"/>
      <c r="RO42" s="13"/>
      <c r="RP42" s="13"/>
      <c r="RQ42" s="13"/>
      <c r="RR42" s="13"/>
      <c r="RS42" s="13"/>
      <c r="RT42" s="13"/>
      <c r="RU42" s="41"/>
      <c r="RV42" s="41"/>
      <c r="RW42" s="41"/>
      <c r="RX42" s="13"/>
      <c r="RY42" s="13"/>
      <c r="RZ42" s="13"/>
      <c r="SA42" s="13"/>
      <c r="SB42" s="13"/>
      <c r="SC42" s="13"/>
      <c r="SD42" s="13"/>
      <c r="SE42" s="13"/>
      <c r="SF42" s="13"/>
      <c r="SG42" s="13"/>
      <c r="SH42" s="13"/>
      <c r="SI42" s="13"/>
      <c r="SJ42" s="13"/>
      <c r="SK42" s="13"/>
      <c r="SL42" s="13"/>
      <c r="SM42" s="13"/>
      <c r="SN42" s="13"/>
      <c r="SO42" s="13"/>
      <c r="SP42" s="13"/>
      <c r="SQ42" s="13"/>
      <c r="SR42" s="41"/>
      <c r="SS42" s="13"/>
      <c r="ST42" s="13"/>
      <c r="SU42" s="13"/>
      <c r="SV42" s="13"/>
      <c r="SW42" s="13"/>
      <c r="SX42" s="13"/>
      <c r="SY42" s="13"/>
      <c r="SZ42" s="13"/>
      <c r="TA42" s="13"/>
      <c r="TB42" s="13"/>
      <c r="TC42" s="13"/>
      <c r="TD42" s="13"/>
      <c r="TE42" s="13"/>
      <c r="TF42" s="13"/>
      <c r="TG42" s="13"/>
      <c r="TH42" s="13"/>
      <c r="TI42" s="13"/>
      <c r="TJ42" s="13"/>
      <c r="TK42" s="13"/>
      <c r="TL42" s="13"/>
      <c r="TM42" s="13"/>
      <c r="TN42" s="13"/>
      <c r="TO42" s="13"/>
      <c r="TP42" s="13"/>
      <c r="TQ42" s="13"/>
      <c r="TR42" s="13"/>
      <c r="TS42" s="13"/>
      <c r="TT42" s="13"/>
      <c r="TU42" s="13"/>
      <c r="TV42" s="13"/>
      <c r="TW42" s="13"/>
      <c r="TX42" s="13"/>
      <c r="TY42" s="13"/>
      <c r="TZ42" s="13"/>
      <c r="UA42" s="13"/>
      <c r="UB42" s="13"/>
      <c r="UC42" s="13"/>
      <c r="UD42" s="13"/>
      <c r="UE42" s="13"/>
      <c r="UF42" s="13"/>
      <c r="UG42" s="13"/>
      <c r="UH42" s="13"/>
      <c r="UI42" s="41"/>
      <c r="UJ42" s="41"/>
      <c r="UK42" s="41"/>
      <c r="UL42" s="41"/>
      <c r="UM42" s="13"/>
      <c r="UN42" s="13"/>
      <c r="UO42" s="13"/>
      <c r="UP42" s="13"/>
      <c r="UQ42" s="41"/>
      <c r="UR42" s="13"/>
      <c r="US42" s="13"/>
      <c r="UT42" s="13"/>
      <c r="UU42" s="13"/>
      <c r="UV42" s="13"/>
      <c r="UW42" s="13"/>
      <c r="UX42" s="41"/>
      <c r="UY42" s="13"/>
      <c r="UZ42" s="13"/>
      <c r="VA42" s="13"/>
      <c r="VB42" s="41"/>
      <c r="VC42" s="41"/>
      <c r="VD42" s="13"/>
      <c r="VE42" s="13"/>
      <c r="VF42" s="41"/>
      <c r="VG42" s="41"/>
      <c r="VH42" s="13"/>
      <c r="VI42" s="13"/>
      <c r="VJ42" s="13"/>
      <c r="VK42" s="13"/>
      <c r="VL42" s="41"/>
      <c r="VM42" s="13"/>
      <c r="VN42" s="41"/>
      <c r="VO42" s="41"/>
      <c r="VP42" s="13"/>
      <c r="VQ42" s="41"/>
      <c r="VR42" s="13"/>
      <c r="VS42" s="13"/>
      <c r="VT42" s="13"/>
      <c r="VU42" s="13"/>
      <c r="VV42" s="13"/>
      <c r="VW42" s="13"/>
      <c r="VX42" s="13"/>
      <c r="VY42" s="41"/>
      <c r="VZ42" s="41"/>
      <c r="WA42" s="41"/>
      <c r="WB42" s="13"/>
      <c r="WC42" s="13"/>
      <c r="WD42" s="13"/>
      <c r="WE42" s="13"/>
      <c r="WF42" s="13"/>
      <c r="WG42" s="13"/>
      <c r="WH42" s="13"/>
      <c r="WI42" s="41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41"/>
      <c r="XQ42" s="41"/>
      <c r="XR42" s="41"/>
      <c r="XS42" s="41"/>
      <c r="XT42" s="41"/>
      <c r="XU42" s="13"/>
      <c r="XV42" s="41"/>
      <c r="XW42" s="13"/>
      <c r="XX42" s="165"/>
      <c r="XY42" s="13"/>
      <c r="XZ42" s="165"/>
      <c r="YA42" s="165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41"/>
      <c r="YO42" s="41"/>
      <c r="YP42" s="41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41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  <c r="AAM42" s="13"/>
      <c r="AAN42" s="13"/>
      <c r="AAO42" s="13"/>
      <c r="AAP42" s="13"/>
      <c r="AAQ42" s="13"/>
      <c r="AAR42" s="13"/>
      <c r="AAS42" s="13"/>
      <c r="AAT42" s="13"/>
      <c r="AAU42" s="13"/>
      <c r="AAV42" s="13"/>
      <c r="AAW42" s="13"/>
      <c r="AAX42" s="13"/>
      <c r="AAY42" s="13"/>
      <c r="AAZ42" s="13"/>
      <c r="ABA42" s="13"/>
      <c r="ABB42" s="41"/>
      <c r="ABC42" s="41"/>
      <c r="ABD42" s="41"/>
      <c r="ABE42" s="13"/>
      <c r="ABF42" s="13"/>
      <c r="ABG42" s="10"/>
      <c r="ABH42" s="10"/>
      <c r="ABI42" s="10"/>
      <c r="ABJ42" s="10"/>
      <c r="ABK42" s="10"/>
      <c r="ABL42" s="43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43"/>
      <c r="ACT42" s="43"/>
      <c r="ACU42" s="10"/>
      <c r="ACV42" s="43"/>
      <c r="ACW42" s="43"/>
      <c r="ACX42" s="10"/>
      <c r="ACY42" s="43"/>
      <c r="ACZ42" s="10"/>
      <c r="ADA42" s="169"/>
      <c r="ADB42" s="10"/>
      <c r="ADC42" s="169"/>
      <c r="ADD42" s="169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43"/>
      <c r="ADR42" s="43"/>
      <c r="ADS42" s="43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43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/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41"/>
      <c r="AHE42" s="41"/>
      <c r="AHF42" s="41"/>
      <c r="AHG42" s="41">
        <v>28</v>
      </c>
      <c r="AHH42" s="13">
        <v>25</v>
      </c>
      <c r="AHI42" s="10">
        <v>26.8</v>
      </c>
      <c r="AHJ42" s="10">
        <v>31.5</v>
      </c>
      <c r="AHK42" s="10">
        <v>32.5</v>
      </c>
      <c r="AHL42" s="10">
        <v>32.5</v>
      </c>
      <c r="AHM42" s="10">
        <v>36</v>
      </c>
      <c r="AHN42" s="43">
        <v>36</v>
      </c>
      <c r="AHO42" s="10">
        <v>36</v>
      </c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43"/>
      <c r="AIW42" s="43"/>
      <c r="AIX42" s="43"/>
      <c r="AIY42" s="43"/>
      <c r="AIZ42" s="43"/>
      <c r="AJA42" s="10"/>
      <c r="AJB42" s="43"/>
      <c r="AJC42" s="10"/>
      <c r="AJD42" s="10"/>
      <c r="AJE42" s="10"/>
      <c r="AJF42" s="10"/>
      <c r="AJG42" s="10"/>
      <c r="AJH42" s="10"/>
      <c r="AJI42" s="10"/>
      <c r="AJJ42" s="43"/>
      <c r="AJK42" s="43"/>
      <c r="AJL42" s="10"/>
      <c r="AJM42" s="10"/>
      <c r="AJN42" s="10"/>
      <c r="AJO42" s="10"/>
      <c r="AJP42" s="10"/>
      <c r="AJQ42" s="43"/>
      <c r="AJR42" s="10"/>
      <c r="AJS42" s="10"/>
      <c r="AJT42" s="43"/>
      <c r="AJU42" s="43"/>
      <c r="AJV42" s="307"/>
      <c r="AJW42" s="307"/>
      <c r="AJX42" s="307"/>
      <c r="AJY42" s="286"/>
      <c r="AJZ42" s="307"/>
      <c r="AKA42" s="286"/>
      <c r="AKB42" s="353"/>
      <c r="AKC42" s="286"/>
      <c r="AKD42" s="286"/>
      <c r="AKE42" s="286"/>
      <c r="AKF42" s="286"/>
      <c r="AKG42" s="286"/>
      <c r="AKH42" s="349"/>
      <c r="AKI42" s="4"/>
      <c r="AKJ42" s="186"/>
      <c r="AKK42" s="6"/>
      <c r="AKL42" s="6"/>
      <c r="AKM42" s="6"/>
      <c r="AKN42" s="6"/>
      <c r="AKO42" s="6"/>
      <c r="AKP42" s="187"/>
      <c r="AKQ42" s="187"/>
      <c r="AKR42" s="187"/>
      <c r="AKS42" s="187"/>
      <c r="AKT42" s="187"/>
      <c r="AKU42" s="187"/>
      <c r="AKV42" s="187"/>
      <c r="AKW42" s="187"/>
      <c r="AKX42" s="187"/>
      <c r="AKY42" s="187"/>
      <c r="AKZ42" s="187"/>
      <c r="ALA42" s="187"/>
      <c r="ALB42" s="187"/>
      <c r="ALC42" s="187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  <c r="AMK42" s="349"/>
      <c r="AML42" s="349"/>
      <c r="AMM42" s="349"/>
    </row>
    <row r="43" spans="1:1027" ht="29.1" hidden="1" customHeight="1" x14ac:dyDescent="0.3">
      <c r="A43" s="37" t="s">
        <v>23</v>
      </c>
      <c r="B43" s="33" t="s">
        <v>19</v>
      </c>
      <c r="C43" s="34" t="s">
        <v>3</v>
      </c>
      <c r="D43" s="34">
        <v>600</v>
      </c>
      <c r="E43" s="25"/>
      <c r="F43" s="27"/>
      <c r="G43" s="27"/>
      <c r="H43" s="28"/>
      <c r="I43" s="28"/>
      <c r="J43" s="216"/>
      <c r="K43" s="287"/>
      <c r="L43" s="46"/>
      <c r="M43" s="46"/>
      <c r="N43" s="46"/>
      <c r="O43" s="46"/>
      <c r="P43" s="46"/>
      <c r="Q43" s="46"/>
      <c r="R43" s="14"/>
      <c r="S43" s="14"/>
      <c r="T43" s="14"/>
      <c r="U43" s="14"/>
      <c r="V43" s="14"/>
      <c r="W43" s="14"/>
      <c r="X43" s="46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46"/>
      <c r="BF43" s="46"/>
      <c r="BG43" s="46"/>
      <c r="BH43" s="46"/>
      <c r="BI43" s="46"/>
      <c r="BJ43" s="14"/>
      <c r="BK43" s="46"/>
      <c r="BL43" s="46"/>
      <c r="BM43" s="46"/>
      <c r="BN43" s="166"/>
      <c r="BO43" s="166"/>
      <c r="BP43" s="166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46"/>
      <c r="CD43" s="46"/>
      <c r="CE43" s="46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46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46"/>
      <c r="ER43" s="46"/>
      <c r="ES43" s="46"/>
      <c r="ET43" s="46"/>
      <c r="EU43" s="46"/>
      <c r="EV43" s="46"/>
      <c r="EW43" s="14"/>
      <c r="EX43" s="14"/>
      <c r="EY43" s="14"/>
      <c r="EZ43" s="14"/>
      <c r="FA43" s="14"/>
      <c r="FB43" s="14"/>
      <c r="FC43" s="14"/>
      <c r="FD43" s="46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46"/>
      <c r="GL43" s="46"/>
      <c r="GM43" s="46"/>
      <c r="GN43" s="46"/>
      <c r="GO43" s="46"/>
      <c r="GP43" s="14"/>
      <c r="GQ43" s="46"/>
      <c r="GR43" s="46"/>
      <c r="GS43" s="46"/>
      <c r="GT43" s="166"/>
      <c r="GU43" s="166"/>
      <c r="GV43" s="166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46"/>
      <c r="HJ43" s="46"/>
      <c r="HK43" s="46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46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46"/>
      <c r="JX43" s="46"/>
      <c r="JY43" s="46"/>
      <c r="JZ43" s="46"/>
      <c r="KA43" s="46"/>
      <c r="KB43" s="46"/>
      <c r="KC43" s="46"/>
      <c r="KD43" s="14"/>
      <c r="KE43" s="14"/>
      <c r="KF43" s="14"/>
      <c r="KG43" s="14"/>
      <c r="KH43" s="14"/>
      <c r="KI43" s="14"/>
      <c r="KJ43" s="46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46"/>
      <c r="LR43" s="46"/>
      <c r="LS43" s="46"/>
      <c r="LT43" s="46"/>
      <c r="LU43" s="46"/>
      <c r="LV43" s="14"/>
      <c r="LW43" s="46"/>
      <c r="LX43" s="46"/>
      <c r="LY43" s="46"/>
      <c r="LZ43" s="14"/>
      <c r="MA43" s="166"/>
      <c r="MB43" s="166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46"/>
      <c r="MP43" s="46"/>
      <c r="MQ43" s="46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46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46"/>
      <c r="PD43" s="46"/>
      <c r="PE43" s="46"/>
      <c r="PF43" s="46"/>
      <c r="PG43" s="46"/>
      <c r="PH43" s="46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  <c r="QN43" s="14"/>
      <c r="QO43" s="14"/>
      <c r="QP43" s="14"/>
      <c r="QQ43" s="14"/>
      <c r="QR43" s="14"/>
      <c r="QS43" s="14"/>
      <c r="QT43" s="14"/>
      <c r="QU43" s="14"/>
      <c r="QV43" s="14"/>
      <c r="QW43" s="46"/>
      <c r="QX43" s="46"/>
      <c r="QY43" s="46"/>
      <c r="QZ43" s="46"/>
      <c r="RA43" s="46"/>
      <c r="RB43" s="14"/>
      <c r="RC43" s="46"/>
      <c r="RD43" s="46"/>
      <c r="RE43" s="46"/>
      <c r="RF43" s="14"/>
      <c r="RG43" s="166"/>
      <c r="RH43" s="166"/>
      <c r="RI43" s="14"/>
      <c r="RJ43" s="14"/>
      <c r="RK43" s="14"/>
      <c r="RL43" s="14"/>
      <c r="RM43" s="14"/>
      <c r="RN43" s="14"/>
      <c r="RO43" s="14"/>
      <c r="RP43" s="14"/>
      <c r="RQ43" s="14"/>
      <c r="RR43" s="14"/>
      <c r="RS43" s="14"/>
      <c r="RT43" s="14"/>
      <c r="RU43" s="46"/>
      <c r="RV43" s="46"/>
      <c r="RW43" s="46"/>
      <c r="RX43" s="14"/>
      <c r="RY43" s="14"/>
      <c r="RZ43" s="14"/>
      <c r="SA43" s="14"/>
      <c r="SB43" s="14"/>
      <c r="SC43" s="14"/>
      <c r="SD43" s="14"/>
      <c r="SE43" s="14"/>
      <c r="SF43" s="14"/>
      <c r="SG43" s="14"/>
      <c r="SH43" s="14"/>
      <c r="SI43" s="14"/>
      <c r="SJ43" s="14"/>
      <c r="SK43" s="14"/>
      <c r="SL43" s="14"/>
      <c r="SM43" s="14"/>
      <c r="SN43" s="14"/>
      <c r="SO43" s="14"/>
      <c r="SP43" s="14"/>
      <c r="SQ43" s="14"/>
      <c r="SR43" s="46"/>
      <c r="SS43" s="14"/>
      <c r="ST43" s="14"/>
      <c r="SU43" s="14"/>
      <c r="SV43" s="14"/>
      <c r="SW43" s="14"/>
      <c r="SX43" s="14"/>
      <c r="SY43" s="14"/>
      <c r="SZ43" s="14"/>
      <c r="TA43" s="14"/>
      <c r="TB43" s="14"/>
      <c r="TC43" s="14"/>
      <c r="TD43" s="14"/>
      <c r="TE43" s="14"/>
      <c r="TF43" s="14"/>
      <c r="TG43" s="14"/>
      <c r="TH43" s="14"/>
      <c r="TI43" s="14"/>
      <c r="TJ43" s="14"/>
      <c r="TK43" s="14"/>
      <c r="TL43" s="14"/>
      <c r="TM43" s="14"/>
      <c r="TN43" s="14"/>
      <c r="TO43" s="14"/>
      <c r="TP43" s="14"/>
      <c r="TQ43" s="14"/>
      <c r="TR43" s="14"/>
      <c r="TS43" s="14"/>
      <c r="TT43" s="14"/>
      <c r="TU43" s="14"/>
      <c r="TV43" s="14"/>
      <c r="TW43" s="14"/>
      <c r="TX43" s="14"/>
      <c r="TY43" s="14"/>
      <c r="TZ43" s="14"/>
      <c r="UA43" s="14"/>
      <c r="UB43" s="14"/>
      <c r="UC43" s="14"/>
      <c r="UD43" s="14"/>
      <c r="UE43" s="14"/>
      <c r="UF43" s="14"/>
      <c r="UG43" s="14"/>
      <c r="UH43" s="14"/>
      <c r="UI43" s="46"/>
      <c r="UJ43" s="46"/>
      <c r="UK43" s="46"/>
      <c r="UL43" s="46"/>
      <c r="UM43" s="14"/>
      <c r="UN43" s="14"/>
      <c r="UO43" s="14"/>
      <c r="UP43" s="14"/>
      <c r="UQ43" s="46"/>
      <c r="UR43" s="14"/>
      <c r="US43" s="14"/>
      <c r="UT43" s="14"/>
      <c r="UU43" s="14"/>
      <c r="UV43" s="14"/>
      <c r="UW43" s="14"/>
      <c r="UX43" s="46"/>
      <c r="UY43" s="14"/>
      <c r="UZ43" s="14"/>
      <c r="VA43" s="14"/>
      <c r="VB43" s="46"/>
      <c r="VC43" s="46"/>
      <c r="VD43" s="14"/>
      <c r="VE43" s="14"/>
      <c r="VF43" s="46"/>
      <c r="VG43" s="46"/>
      <c r="VH43" s="14"/>
      <c r="VI43" s="14"/>
      <c r="VJ43" s="14"/>
      <c r="VK43" s="14"/>
      <c r="VL43" s="46"/>
      <c r="VM43" s="14"/>
      <c r="VN43" s="46"/>
      <c r="VO43" s="46"/>
      <c r="VP43" s="14"/>
      <c r="VQ43" s="46"/>
      <c r="VR43" s="14"/>
      <c r="VS43" s="14"/>
      <c r="VT43" s="14"/>
      <c r="VU43" s="14"/>
      <c r="VV43" s="14"/>
      <c r="VW43" s="14"/>
      <c r="VX43" s="14"/>
      <c r="VY43" s="46"/>
      <c r="VZ43" s="46"/>
      <c r="WA43" s="46"/>
      <c r="WB43" s="14"/>
      <c r="WC43" s="14"/>
      <c r="WD43" s="14"/>
      <c r="WE43" s="14"/>
      <c r="WF43" s="14"/>
      <c r="WG43" s="14"/>
      <c r="WH43" s="14"/>
      <c r="WI43" s="46"/>
      <c r="WJ43" s="14"/>
      <c r="WK43" s="14"/>
      <c r="WL43" s="14"/>
      <c r="WM43" s="14"/>
      <c r="WN43" s="14"/>
      <c r="WO43" s="14"/>
      <c r="WP43" s="14"/>
      <c r="WQ43" s="14"/>
      <c r="WR43" s="14"/>
      <c r="WS43" s="14"/>
      <c r="WT43" s="14"/>
      <c r="WU43" s="14"/>
      <c r="WV43" s="14"/>
      <c r="WW43" s="14"/>
      <c r="WX43" s="14"/>
      <c r="WY43" s="14"/>
      <c r="WZ43" s="14"/>
      <c r="XA43" s="14"/>
      <c r="XB43" s="14"/>
      <c r="XC43" s="14"/>
      <c r="XD43" s="14"/>
      <c r="XE43" s="14"/>
      <c r="XF43" s="14"/>
      <c r="XG43" s="14"/>
      <c r="XH43" s="14"/>
      <c r="XI43" s="14"/>
      <c r="XJ43" s="14"/>
      <c r="XK43" s="14"/>
      <c r="XL43" s="14"/>
      <c r="XM43" s="14"/>
      <c r="XN43" s="14"/>
      <c r="XO43" s="14"/>
      <c r="XP43" s="46"/>
      <c r="XQ43" s="46"/>
      <c r="XR43" s="46"/>
      <c r="XS43" s="46"/>
      <c r="XT43" s="46"/>
      <c r="XU43" s="14"/>
      <c r="XV43" s="46"/>
      <c r="XW43" s="14"/>
      <c r="XX43" s="166"/>
      <c r="XY43" s="14"/>
      <c r="XZ43" s="166"/>
      <c r="YA43" s="166"/>
      <c r="YB43" s="14"/>
      <c r="YC43" s="14"/>
      <c r="YD43" s="14"/>
      <c r="YE43" s="14"/>
      <c r="YF43" s="14"/>
      <c r="YG43" s="14"/>
      <c r="YH43" s="14"/>
      <c r="YI43" s="14"/>
      <c r="YJ43" s="14"/>
      <c r="YK43" s="14"/>
      <c r="YL43" s="14"/>
      <c r="YM43" s="14"/>
      <c r="YN43" s="46"/>
      <c r="YO43" s="46"/>
      <c r="YP43" s="46"/>
      <c r="YQ43" s="14"/>
      <c r="YR43" s="14"/>
      <c r="YS43" s="14"/>
      <c r="YT43" s="14"/>
      <c r="YU43" s="14"/>
      <c r="YV43" s="14"/>
      <c r="YW43" s="14"/>
      <c r="YX43" s="14"/>
      <c r="YY43" s="14"/>
      <c r="YZ43" s="14"/>
      <c r="ZA43" s="14"/>
      <c r="ZB43" s="14"/>
      <c r="ZC43" s="14"/>
      <c r="ZD43" s="14"/>
      <c r="ZE43" s="14"/>
      <c r="ZF43" s="14"/>
      <c r="ZG43" s="14"/>
      <c r="ZH43" s="14"/>
      <c r="ZI43" s="14"/>
      <c r="ZJ43" s="14"/>
      <c r="ZK43" s="46"/>
      <c r="ZL43" s="14"/>
      <c r="ZM43" s="14"/>
      <c r="ZN43" s="14"/>
      <c r="ZO43" s="14"/>
      <c r="ZP43" s="14"/>
      <c r="ZQ43" s="14"/>
      <c r="ZR43" s="14"/>
      <c r="ZS43" s="14"/>
      <c r="ZT43" s="14"/>
      <c r="ZU43" s="14"/>
      <c r="ZV43" s="14"/>
      <c r="ZW43" s="14"/>
      <c r="ZX43" s="14"/>
      <c r="ZY43" s="14"/>
      <c r="ZZ43" s="14"/>
      <c r="AAA43" s="14"/>
      <c r="AAB43" s="14"/>
      <c r="AAC43" s="14"/>
      <c r="AAD43" s="14"/>
      <c r="AAE43" s="14"/>
      <c r="AAF43" s="14"/>
      <c r="AAG43" s="14"/>
      <c r="AAH43" s="14"/>
      <c r="AAI43" s="14"/>
      <c r="AAJ43" s="14"/>
      <c r="AAK43" s="14"/>
      <c r="AAL43" s="14"/>
      <c r="AAM43" s="14"/>
      <c r="AAN43" s="14"/>
      <c r="AAO43" s="14"/>
      <c r="AAP43" s="14"/>
      <c r="AAQ43" s="14"/>
      <c r="AAR43" s="14"/>
      <c r="AAS43" s="14"/>
      <c r="AAT43" s="14"/>
      <c r="AAU43" s="14"/>
      <c r="AAV43" s="14"/>
      <c r="AAW43" s="14"/>
      <c r="AAX43" s="14"/>
      <c r="AAY43" s="14"/>
      <c r="AAZ43" s="14"/>
      <c r="ABA43" s="14"/>
      <c r="ABB43" s="46"/>
      <c r="ABC43" s="46"/>
      <c r="ABD43" s="46"/>
      <c r="ABE43" s="14"/>
      <c r="ABF43" s="14"/>
      <c r="ABG43" s="16"/>
      <c r="ABH43" s="16"/>
      <c r="ABI43" s="16"/>
      <c r="ABJ43" s="16"/>
      <c r="ABK43" s="16"/>
      <c r="ABL43" s="48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6"/>
      <c r="ABZ43" s="16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48"/>
      <c r="ACT43" s="48"/>
      <c r="ACU43" s="16"/>
      <c r="ACV43" s="48"/>
      <c r="ACW43" s="48"/>
      <c r="ACX43" s="16"/>
      <c r="ACY43" s="48"/>
      <c r="ACZ43" s="16"/>
      <c r="ADA43" s="170"/>
      <c r="ADB43" s="16"/>
      <c r="ADC43" s="170"/>
      <c r="ADD43" s="170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48"/>
      <c r="ADR43" s="48"/>
      <c r="ADS43" s="48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48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46"/>
      <c r="AHE43" s="46"/>
      <c r="AHF43" s="46"/>
      <c r="AHG43" s="46">
        <v>32</v>
      </c>
      <c r="AHH43" s="14">
        <v>30.5</v>
      </c>
      <c r="AHI43" s="16">
        <v>31.8</v>
      </c>
      <c r="AHJ43" s="16">
        <v>37.5</v>
      </c>
      <c r="AHK43" s="16">
        <v>38</v>
      </c>
      <c r="AHL43" s="16">
        <v>38</v>
      </c>
      <c r="AHM43" s="16">
        <v>41</v>
      </c>
      <c r="AHN43" s="48">
        <v>41</v>
      </c>
      <c r="AHO43" s="16">
        <v>41</v>
      </c>
      <c r="AHP43" s="16"/>
      <c r="AHQ43" s="16"/>
      <c r="AHR43" s="16"/>
      <c r="AHS43" s="16"/>
      <c r="AHT43" s="16"/>
      <c r="AHU43" s="16"/>
      <c r="AHV43" s="16"/>
      <c r="AHW43" s="16"/>
      <c r="AHX43" s="16"/>
      <c r="AHY43" s="16"/>
      <c r="AHZ43" s="16"/>
      <c r="AIA43" s="16"/>
      <c r="AIB43" s="16"/>
      <c r="AIC43" s="16"/>
      <c r="AID43" s="16"/>
      <c r="AIE43" s="16"/>
      <c r="AIF43" s="16"/>
      <c r="AIG43" s="16"/>
      <c r="AIH43" s="16"/>
      <c r="AII43" s="16"/>
      <c r="AIJ43" s="16"/>
      <c r="AIK43" s="16"/>
      <c r="AIL43" s="16"/>
      <c r="AIM43" s="16"/>
      <c r="AIN43" s="16"/>
      <c r="AIO43" s="16"/>
      <c r="AIP43" s="16"/>
      <c r="AIQ43" s="16"/>
      <c r="AIR43" s="16"/>
      <c r="AIS43" s="16"/>
      <c r="AIT43" s="16"/>
      <c r="AIU43" s="16"/>
      <c r="AIV43" s="48"/>
      <c r="AIW43" s="48"/>
      <c r="AIX43" s="48"/>
      <c r="AIY43" s="48"/>
      <c r="AIZ43" s="48"/>
      <c r="AJA43" s="16"/>
      <c r="AJB43" s="48"/>
      <c r="AJC43" s="16"/>
      <c r="AJD43" s="16"/>
      <c r="AJE43" s="16"/>
      <c r="AJF43" s="16"/>
      <c r="AJG43" s="16"/>
      <c r="AJH43" s="16"/>
      <c r="AJI43" s="16"/>
      <c r="AJJ43" s="48"/>
      <c r="AJK43" s="48"/>
      <c r="AJL43" s="16"/>
      <c r="AJM43" s="16"/>
      <c r="AJN43" s="16"/>
      <c r="AJO43" s="16"/>
      <c r="AJP43" s="16"/>
      <c r="AJQ43" s="48"/>
      <c r="AJR43" s="16"/>
      <c r="AJS43" s="16"/>
      <c r="AJT43" s="48"/>
      <c r="AJU43" s="48"/>
      <c r="AJV43" s="308"/>
      <c r="AJW43" s="308"/>
      <c r="AJX43" s="308"/>
      <c r="AJY43" s="288"/>
      <c r="AJZ43" s="308"/>
      <c r="AKA43" s="288"/>
      <c r="AKB43" s="354"/>
      <c r="AKC43" s="288"/>
      <c r="AKD43" s="288"/>
      <c r="AKE43" s="288"/>
      <c r="AKF43" s="288"/>
      <c r="AKG43" s="288"/>
      <c r="AKH43" s="349"/>
      <c r="AKI43" s="4"/>
      <c r="AKJ43" s="186"/>
      <c r="AKK43" s="6"/>
      <c r="AKL43" s="6"/>
      <c r="AKM43" s="6"/>
      <c r="AKN43" s="6"/>
      <c r="AKO43" s="6"/>
      <c r="AKP43" s="187"/>
      <c r="AKQ43" s="187"/>
      <c r="AKR43" s="187"/>
      <c r="AKS43" s="187"/>
      <c r="AKT43" s="187"/>
      <c r="AKU43" s="187"/>
      <c r="AKV43" s="187"/>
      <c r="AKW43" s="187"/>
      <c r="AKX43" s="187"/>
      <c r="AKY43" s="187"/>
      <c r="AKZ43" s="187"/>
      <c r="ALA43" s="187"/>
      <c r="ALB43" s="187"/>
      <c r="ALC43" s="187"/>
      <c r="ALU43" s="16"/>
      <c r="ALV43" s="16"/>
      <c r="ALW43" s="16"/>
      <c r="ALX43" s="16"/>
      <c r="ALY43" s="16"/>
      <c r="ALZ43" s="16"/>
      <c r="AMA43" s="16"/>
      <c r="AMB43" s="16"/>
      <c r="AMC43" s="16"/>
      <c r="AMD43" s="16"/>
      <c r="AME43" s="16"/>
      <c r="AMF43" s="16"/>
      <c r="AMG43" s="16"/>
      <c r="AMH43" s="16"/>
      <c r="AMI43" s="16"/>
      <c r="AMJ43" s="16"/>
      <c r="AMK43" s="349"/>
      <c r="AML43" s="349"/>
      <c r="AMM43" s="349"/>
    </row>
    <row r="44" spans="1:1027" ht="29.1" hidden="1" customHeight="1" thickBot="1" x14ac:dyDescent="0.35">
      <c r="A44" s="224" t="s">
        <v>23</v>
      </c>
      <c r="B44" s="225" t="s">
        <v>19</v>
      </c>
      <c r="C44" s="226" t="s">
        <v>4</v>
      </c>
      <c r="D44" s="226">
        <v>600</v>
      </c>
      <c r="E44" s="77"/>
      <c r="F44" s="79"/>
      <c r="G44" s="79"/>
      <c r="H44" s="80"/>
      <c r="I44" s="80"/>
      <c r="J44" s="219"/>
      <c r="K44" s="289"/>
      <c r="L44" s="50"/>
      <c r="M44" s="50"/>
      <c r="N44" s="50"/>
      <c r="O44" s="50"/>
      <c r="P44" s="50"/>
      <c r="Q44" s="50"/>
      <c r="R44" s="15"/>
      <c r="S44" s="15"/>
      <c r="T44" s="15"/>
      <c r="U44" s="15"/>
      <c r="V44" s="15"/>
      <c r="W44" s="15"/>
      <c r="X44" s="50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50"/>
      <c r="BF44" s="50"/>
      <c r="BG44" s="50"/>
      <c r="BH44" s="50"/>
      <c r="BI44" s="50"/>
      <c r="BJ44" s="15"/>
      <c r="BK44" s="50"/>
      <c r="BL44" s="50"/>
      <c r="BM44" s="50"/>
      <c r="BN44" s="167"/>
      <c r="BO44" s="167"/>
      <c r="BP44" s="167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50"/>
      <c r="CD44" s="50"/>
      <c r="CE44" s="50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50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50"/>
      <c r="ER44" s="50"/>
      <c r="ES44" s="50"/>
      <c r="ET44" s="50"/>
      <c r="EU44" s="50"/>
      <c r="EV44" s="50"/>
      <c r="EW44" s="15"/>
      <c r="EX44" s="15"/>
      <c r="EY44" s="15"/>
      <c r="EZ44" s="15"/>
      <c r="FA44" s="15"/>
      <c r="FB44" s="15"/>
      <c r="FC44" s="15"/>
      <c r="FD44" s="50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50"/>
      <c r="GL44" s="50"/>
      <c r="GM44" s="50"/>
      <c r="GN44" s="50"/>
      <c r="GO44" s="50"/>
      <c r="GP44" s="15"/>
      <c r="GQ44" s="50"/>
      <c r="GR44" s="50"/>
      <c r="GS44" s="50"/>
      <c r="GT44" s="167"/>
      <c r="GU44" s="167"/>
      <c r="GV44" s="167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50"/>
      <c r="HJ44" s="50"/>
      <c r="HK44" s="50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50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50"/>
      <c r="JX44" s="50"/>
      <c r="JY44" s="50"/>
      <c r="JZ44" s="50"/>
      <c r="KA44" s="50"/>
      <c r="KB44" s="50"/>
      <c r="KC44" s="50"/>
      <c r="KD44" s="15"/>
      <c r="KE44" s="15"/>
      <c r="KF44" s="15"/>
      <c r="KG44" s="15"/>
      <c r="KH44" s="15"/>
      <c r="KI44" s="15"/>
      <c r="KJ44" s="50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50"/>
      <c r="LR44" s="50"/>
      <c r="LS44" s="50"/>
      <c r="LT44" s="50"/>
      <c r="LU44" s="50"/>
      <c r="LV44" s="15"/>
      <c r="LW44" s="50"/>
      <c r="LX44" s="50"/>
      <c r="LY44" s="50"/>
      <c r="LZ44" s="15"/>
      <c r="MA44" s="167"/>
      <c r="MB44" s="167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50"/>
      <c r="MP44" s="50"/>
      <c r="MQ44" s="50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50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50"/>
      <c r="PD44" s="50"/>
      <c r="PE44" s="50"/>
      <c r="PF44" s="50"/>
      <c r="PG44" s="50"/>
      <c r="PH44" s="50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/>
      <c r="PU44" s="15"/>
      <c r="PV44" s="15"/>
      <c r="PW44" s="15"/>
      <c r="PX44" s="15"/>
      <c r="PY44" s="15"/>
      <c r="PZ44" s="15"/>
      <c r="QA44" s="15"/>
      <c r="QB44" s="15"/>
      <c r="QC44" s="15"/>
      <c r="QD44" s="15"/>
      <c r="QE44" s="15"/>
      <c r="QF44" s="15"/>
      <c r="QG44" s="15"/>
      <c r="QH44" s="15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5"/>
      <c r="QT44" s="15"/>
      <c r="QU44" s="15"/>
      <c r="QV44" s="15"/>
      <c r="QW44" s="50"/>
      <c r="QX44" s="50"/>
      <c r="QY44" s="50"/>
      <c r="QZ44" s="50"/>
      <c r="RA44" s="50"/>
      <c r="RB44" s="15"/>
      <c r="RC44" s="50"/>
      <c r="RD44" s="50"/>
      <c r="RE44" s="50"/>
      <c r="RF44" s="15"/>
      <c r="RG44" s="167"/>
      <c r="RH44" s="167"/>
      <c r="RI44" s="15"/>
      <c r="RJ44" s="15"/>
      <c r="RK44" s="15"/>
      <c r="RL44" s="15"/>
      <c r="RM44" s="15"/>
      <c r="RN44" s="15"/>
      <c r="RO44" s="15"/>
      <c r="RP44" s="15"/>
      <c r="RQ44" s="15"/>
      <c r="RR44" s="15"/>
      <c r="RS44" s="15"/>
      <c r="RT44" s="15"/>
      <c r="RU44" s="50"/>
      <c r="RV44" s="50"/>
      <c r="RW44" s="50"/>
      <c r="RX44" s="15"/>
      <c r="RY44" s="15"/>
      <c r="RZ44" s="15"/>
      <c r="SA44" s="15"/>
      <c r="SB44" s="15"/>
      <c r="SC44" s="15"/>
      <c r="SD44" s="15"/>
      <c r="SE44" s="15"/>
      <c r="SF44" s="15"/>
      <c r="SG44" s="15"/>
      <c r="SH44" s="15"/>
      <c r="SI44" s="15"/>
      <c r="SJ44" s="15"/>
      <c r="SK44" s="15"/>
      <c r="SL44" s="15"/>
      <c r="SM44" s="15"/>
      <c r="SN44" s="15"/>
      <c r="SO44" s="15"/>
      <c r="SP44" s="15"/>
      <c r="SQ44" s="15"/>
      <c r="SR44" s="50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15"/>
      <c r="TD44" s="15"/>
      <c r="TE44" s="15"/>
      <c r="TF44" s="15"/>
      <c r="TG44" s="15"/>
      <c r="TH44" s="15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50"/>
      <c r="UJ44" s="50"/>
      <c r="UK44" s="50"/>
      <c r="UL44" s="50"/>
      <c r="UM44" s="15"/>
      <c r="UN44" s="15"/>
      <c r="UO44" s="15"/>
      <c r="UP44" s="15"/>
      <c r="UQ44" s="50"/>
      <c r="UR44" s="15"/>
      <c r="US44" s="15"/>
      <c r="UT44" s="15"/>
      <c r="UU44" s="15"/>
      <c r="UV44" s="15"/>
      <c r="UW44" s="15"/>
      <c r="UX44" s="50"/>
      <c r="UY44" s="15"/>
      <c r="UZ44" s="15"/>
      <c r="VA44" s="15"/>
      <c r="VB44" s="50"/>
      <c r="VC44" s="50"/>
      <c r="VD44" s="15"/>
      <c r="VE44" s="15"/>
      <c r="VF44" s="50"/>
      <c r="VG44" s="50"/>
      <c r="VH44" s="15"/>
      <c r="VI44" s="15"/>
      <c r="VJ44" s="15"/>
      <c r="VK44" s="15"/>
      <c r="VL44" s="50"/>
      <c r="VM44" s="15"/>
      <c r="VN44" s="50"/>
      <c r="VO44" s="50"/>
      <c r="VP44" s="15"/>
      <c r="VQ44" s="50"/>
      <c r="VR44" s="15"/>
      <c r="VS44" s="15"/>
      <c r="VT44" s="15"/>
      <c r="VU44" s="15"/>
      <c r="VV44" s="15"/>
      <c r="VW44" s="15"/>
      <c r="VX44" s="15"/>
      <c r="VY44" s="50"/>
      <c r="VZ44" s="50"/>
      <c r="WA44" s="50"/>
      <c r="WB44" s="15"/>
      <c r="WC44" s="15"/>
      <c r="WD44" s="15"/>
      <c r="WE44" s="15"/>
      <c r="WF44" s="15"/>
      <c r="WG44" s="15"/>
      <c r="WH44" s="15"/>
      <c r="WI44" s="50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50"/>
      <c r="XQ44" s="50"/>
      <c r="XR44" s="50"/>
      <c r="XS44" s="50"/>
      <c r="XT44" s="50"/>
      <c r="XU44" s="15"/>
      <c r="XV44" s="50"/>
      <c r="XW44" s="15"/>
      <c r="XX44" s="167"/>
      <c r="XY44" s="15"/>
      <c r="XZ44" s="167"/>
      <c r="YA44" s="167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50"/>
      <c r="YO44" s="50"/>
      <c r="YP44" s="50"/>
      <c r="YQ44" s="15"/>
      <c r="YR44" s="15"/>
      <c r="YS44" s="15"/>
      <c r="YT44" s="15"/>
      <c r="YU44" s="15"/>
      <c r="YV44" s="15"/>
      <c r="YW44" s="15"/>
      <c r="YX44" s="15"/>
      <c r="YY44" s="15"/>
      <c r="YZ44" s="15"/>
      <c r="ZA44" s="15"/>
      <c r="ZB44" s="15"/>
      <c r="ZC44" s="15"/>
      <c r="ZD44" s="15"/>
      <c r="ZE44" s="15"/>
      <c r="ZF44" s="15"/>
      <c r="ZG44" s="15"/>
      <c r="ZH44" s="15"/>
      <c r="ZI44" s="15"/>
      <c r="ZJ44" s="15"/>
      <c r="ZK44" s="50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50"/>
      <c r="ABC44" s="50"/>
      <c r="ABD44" s="50"/>
      <c r="ABE44" s="15"/>
      <c r="ABF44" s="15"/>
      <c r="ABG44" s="20"/>
      <c r="ABH44" s="20"/>
      <c r="ABI44" s="20"/>
      <c r="ABJ44" s="20"/>
      <c r="ABK44" s="20"/>
      <c r="ABL44" s="52"/>
      <c r="ABM44" s="20"/>
      <c r="ABN44" s="20"/>
      <c r="ABO44" s="20"/>
      <c r="ABP44" s="20"/>
      <c r="ABQ44" s="20"/>
      <c r="ABR44" s="20"/>
      <c r="ABS44" s="20"/>
      <c r="ABT44" s="20"/>
      <c r="ABU44" s="20"/>
      <c r="ABV44" s="20"/>
      <c r="ABW44" s="20"/>
      <c r="ABX44" s="20"/>
      <c r="ABY44" s="20"/>
      <c r="ABZ44" s="20"/>
      <c r="ACA44" s="20"/>
      <c r="ACB44" s="20"/>
      <c r="ACC44" s="20"/>
      <c r="ACD44" s="20"/>
      <c r="ACE44" s="20"/>
      <c r="ACF44" s="20"/>
      <c r="ACG44" s="20"/>
      <c r="ACH44" s="20"/>
      <c r="ACI44" s="20"/>
      <c r="ACJ44" s="20"/>
      <c r="ACK44" s="20"/>
      <c r="ACL44" s="20"/>
      <c r="ACM44" s="20"/>
      <c r="ACN44" s="20"/>
      <c r="ACO44" s="20"/>
      <c r="ACP44" s="20"/>
      <c r="ACQ44" s="20"/>
      <c r="ACR44" s="20"/>
      <c r="ACS44" s="52"/>
      <c r="ACT44" s="52"/>
      <c r="ACU44" s="20"/>
      <c r="ACV44" s="52"/>
      <c r="ACW44" s="52"/>
      <c r="ACX44" s="20"/>
      <c r="ACY44" s="52"/>
      <c r="ACZ44" s="20"/>
      <c r="ADA44" s="171"/>
      <c r="ADB44" s="20"/>
      <c r="ADC44" s="171"/>
      <c r="ADD44" s="171"/>
      <c r="ADE44" s="20"/>
      <c r="ADF44" s="20"/>
      <c r="ADG44" s="20"/>
      <c r="ADH44" s="20"/>
      <c r="ADI44" s="20"/>
      <c r="ADJ44" s="20"/>
      <c r="ADK44" s="20"/>
      <c r="ADL44" s="20"/>
      <c r="ADM44" s="20"/>
      <c r="ADN44" s="20"/>
      <c r="ADO44" s="20"/>
      <c r="ADP44" s="20"/>
      <c r="ADQ44" s="52"/>
      <c r="ADR44" s="52"/>
      <c r="ADS44" s="52"/>
      <c r="ADT44" s="20"/>
      <c r="ADU44" s="20"/>
      <c r="ADV44" s="20"/>
      <c r="ADW44" s="20"/>
      <c r="ADX44" s="20"/>
      <c r="ADY44" s="20"/>
      <c r="ADZ44" s="20"/>
      <c r="AEA44" s="20"/>
      <c r="AEB44" s="20"/>
      <c r="AEC44" s="20"/>
      <c r="AED44" s="20"/>
      <c r="AEE44" s="20"/>
      <c r="AEF44" s="20"/>
      <c r="AEG44" s="20"/>
      <c r="AEH44" s="20"/>
      <c r="AEI44" s="20"/>
      <c r="AEJ44" s="20"/>
      <c r="AEK44" s="20"/>
      <c r="AEL44" s="20"/>
      <c r="AEM44" s="20"/>
      <c r="AEN44" s="52"/>
      <c r="AEO44" s="20"/>
      <c r="AEP44" s="20"/>
      <c r="AEQ44" s="20"/>
      <c r="AER44" s="20"/>
      <c r="AES44" s="20"/>
      <c r="AET44" s="20"/>
      <c r="AEU44" s="20"/>
      <c r="AEV44" s="20"/>
      <c r="AEW44" s="20"/>
      <c r="AEX44" s="20"/>
      <c r="AEY44" s="20"/>
      <c r="AEZ44" s="20"/>
      <c r="AFA44" s="20"/>
      <c r="AFB44" s="20"/>
      <c r="AFC44" s="20"/>
      <c r="AFD44" s="20"/>
      <c r="AFE44" s="20"/>
      <c r="AFF44" s="20"/>
      <c r="AFG44" s="20"/>
      <c r="AFH44" s="20"/>
      <c r="AFI44" s="20"/>
      <c r="AFJ44" s="20"/>
      <c r="AFK44" s="20"/>
      <c r="AFL44" s="20"/>
      <c r="AFM44" s="20"/>
      <c r="AFN44" s="20"/>
      <c r="AFO44" s="20"/>
      <c r="AFP44" s="20"/>
      <c r="AFQ44" s="20"/>
      <c r="AFR44" s="20"/>
      <c r="AFS44" s="20"/>
      <c r="AFT44" s="20"/>
      <c r="AFU44" s="20"/>
      <c r="AFV44" s="20"/>
      <c r="AFW44" s="20"/>
      <c r="AFX44" s="20"/>
      <c r="AFY44" s="20"/>
      <c r="AFZ44" s="20"/>
      <c r="AGA44" s="20"/>
      <c r="AGB44" s="20"/>
      <c r="AGC44" s="20"/>
      <c r="AGD44" s="20"/>
      <c r="AGE44" s="20"/>
      <c r="AGF44" s="20"/>
      <c r="AGG44" s="20"/>
      <c r="AGH44" s="20"/>
      <c r="AGI44" s="20"/>
      <c r="AGJ44" s="20"/>
      <c r="AGK44" s="20"/>
      <c r="AGL44" s="20"/>
      <c r="AGM44" s="20"/>
      <c r="AGN44" s="20"/>
      <c r="AGO44" s="20"/>
      <c r="AGP44" s="20"/>
      <c r="AGQ44" s="20"/>
      <c r="AGR44" s="20"/>
      <c r="AGS44" s="20"/>
      <c r="AGT44" s="20"/>
      <c r="AGU44" s="20"/>
      <c r="AGV44" s="20"/>
      <c r="AGW44" s="20"/>
      <c r="AGX44" s="20"/>
      <c r="AGY44" s="20"/>
      <c r="AGZ44" s="20"/>
      <c r="AHA44" s="20"/>
      <c r="AHB44" s="20"/>
      <c r="AHC44" s="20"/>
      <c r="AHD44" s="50"/>
      <c r="AHE44" s="50"/>
      <c r="AHF44" s="50"/>
      <c r="AHG44" s="50"/>
      <c r="AHH44" s="15"/>
      <c r="AHI44" s="20"/>
      <c r="AHJ44" s="20"/>
      <c r="AHK44" s="20"/>
      <c r="AHL44" s="20"/>
      <c r="AHM44" s="20"/>
      <c r="AHN44" s="52"/>
      <c r="AHO44" s="20"/>
      <c r="AHP44" s="20"/>
      <c r="AHQ44" s="20"/>
      <c r="AHR44" s="20"/>
      <c r="AHS44" s="20"/>
      <c r="AHT44" s="20"/>
      <c r="AHU44" s="20"/>
      <c r="AHV44" s="20"/>
      <c r="AHW44" s="20"/>
      <c r="AHX44" s="20"/>
      <c r="AHY44" s="20"/>
      <c r="AHZ44" s="20"/>
      <c r="AIA44" s="20"/>
      <c r="AIB44" s="20"/>
      <c r="AIC44" s="20"/>
      <c r="AID44" s="20"/>
      <c r="AIE44" s="20"/>
      <c r="AIF44" s="20"/>
      <c r="AIG44" s="20"/>
      <c r="AIH44" s="20"/>
      <c r="AII44" s="20"/>
      <c r="AIJ44" s="20"/>
      <c r="AIK44" s="20"/>
      <c r="AIL44" s="20"/>
      <c r="AIM44" s="20"/>
      <c r="AIN44" s="20"/>
      <c r="AIO44" s="20"/>
      <c r="AIP44" s="20"/>
      <c r="AIQ44" s="20"/>
      <c r="AIR44" s="20"/>
      <c r="AIS44" s="20"/>
      <c r="AIT44" s="20"/>
      <c r="AIU44" s="20"/>
      <c r="AIV44" s="52"/>
      <c r="AIW44" s="52"/>
      <c r="AIX44" s="52"/>
      <c r="AIY44" s="52"/>
      <c r="AIZ44" s="52"/>
      <c r="AJA44" s="20"/>
      <c r="AJB44" s="52"/>
      <c r="AJC44" s="20"/>
      <c r="AJD44" s="20"/>
      <c r="AJE44" s="20"/>
      <c r="AJF44" s="20"/>
      <c r="AJG44" s="20"/>
      <c r="AJH44" s="20"/>
      <c r="AJI44" s="20"/>
      <c r="AJJ44" s="52"/>
      <c r="AJK44" s="52"/>
      <c r="AJL44" s="20"/>
      <c r="AJM44" s="20"/>
      <c r="AJN44" s="20"/>
      <c r="AJO44" s="20"/>
      <c r="AJP44" s="20"/>
      <c r="AJQ44" s="52"/>
      <c r="AJR44" s="20"/>
      <c r="AJS44" s="20"/>
      <c r="AJT44" s="52"/>
      <c r="AJU44" s="52"/>
      <c r="AJV44" s="309"/>
      <c r="AJW44" s="309"/>
      <c r="AJX44" s="309"/>
      <c r="AJY44" s="290"/>
      <c r="AJZ44" s="309"/>
      <c r="AKA44" s="290"/>
      <c r="AKB44" s="355"/>
      <c r="AKC44" s="290"/>
      <c r="AKD44" s="290"/>
      <c r="AKE44" s="290"/>
      <c r="AKF44" s="290"/>
      <c r="AKG44" s="290"/>
      <c r="AKH44" s="349"/>
      <c r="AKI44" s="4"/>
      <c r="AKJ44" s="186"/>
      <c r="AKK44" s="6"/>
      <c r="AKL44" s="6"/>
      <c r="AKM44" s="6"/>
      <c r="AKN44" s="6"/>
      <c r="AKO44" s="6"/>
      <c r="AKP44" s="187"/>
      <c r="AKQ44" s="187"/>
      <c r="AKR44" s="187"/>
      <c r="AKS44" s="187"/>
      <c r="AKT44" s="187"/>
      <c r="AKU44" s="187"/>
      <c r="AKV44" s="187"/>
      <c r="AKW44" s="187"/>
      <c r="AKX44" s="187"/>
      <c r="AKY44" s="187"/>
      <c r="AKZ44" s="187"/>
      <c r="ALA44" s="187"/>
      <c r="ALB44" s="187"/>
      <c r="ALC44" s="187"/>
      <c r="ALU44" s="20"/>
      <c r="ALV44" s="20"/>
      <c r="ALW44" s="20"/>
      <c r="ALX44" s="20"/>
      <c r="ALY44" s="20"/>
      <c r="ALZ44" s="20"/>
      <c r="AMA44" s="20"/>
      <c r="AMB44" s="20"/>
      <c r="AMC44" s="20"/>
      <c r="AMD44" s="20"/>
      <c r="AME44" s="20"/>
      <c r="AMF44" s="20"/>
      <c r="AMG44" s="20"/>
      <c r="AMH44" s="20"/>
      <c r="AMI44" s="20"/>
      <c r="AMJ44" s="20"/>
      <c r="AMK44" s="349"/>
      <c r="AML44" s="349"/>
      <c r="AMM44" s="349"/>
    </row>
    <row r="45" spans="1:1027" ht="47.25" hidden="1" customHeight="1" thickBot="1" x14ac:dyDescent="0.35">
      <c r="A45" s="227" t="s">
        <v>14</v>
      </c>
      <c r="B45" s="228"/>
      <c r="C45" s="229"/>
      <c r="D45" s="229"/>
      <c r="E45" s="229">
        <v>5</v>
      </c>
      <c r="F45" s="230"/>
      <c r="G45" s="230"/>
      <c r="H45" s="231"/>
      <c r="I45" s="231"/>
      <c r="J45" s="232">
        <f>SUM(J10:J44)</f>
        <v>150000</v>
      </c>
      <c r="K45" s="303"/>
      <c r="L45" s="150"/>
      <c r="M45" s="150"/>
      <c r="N45" s="150"/>
      <c r="O45" s="150"/>
      <c r="P45" s="150"/>
      <c r="Q45" s="150"/>
      <c r="R45" s="151"/>
      <c r="S45" s="151"/>
      <c r="T45" s="151"/>
      <c r="U45" s="151"/>
      <c r="V45" s="151"/>
      <c r="W45" s="151"/>
      <c r="X45" s="150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0"/>
      <c r="BF45" s="150"/>
      <c r="BG45" s="150"/>
      <c r="BH45" s="150"/>
      <c r="BI45" s="150"/>
      <c r="BJ45" s="151"/>
      <c r="BK45" s="150"/>
      <c r="BL45" s="150"/>
      <c r="BM45" s="150"/>
      <c r="BN45" s="351"/>
      <c r="BO45" s="351"/>
      <c r="BP45" s="3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0"/>
      <c r="CD45" s="150"/>
      <c r="CE45" s="150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0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51"/>
      <c r="DQ45" s="151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151"/>
      <c r="EL45" s="151"/>
      <c r="EM45" s="151"/>
      <c r="EN45" s="151"/>
      <c r="EO45" s="151"/>
      <c r="EP45" s="151"/>
      <c r="EQ45" s="150"/>
      <c r="ER45" s="150"/>
      <c r="ES45" s="150"/>
      <c r="ET45" s="150"/>
      <c r="EU45" s="150"/>
      <c r="EV45" s="150"/>
      <c r="EW45" s="151"/>
      <c r="EX45" s="151"/>
      <c r="EY45" s="151"/>
      <c r="EZ45" s="151"/>
      <c r="FA45" s="151"/>
      <c r="FB45" s="151"/>
      <c r="FC45" s="151"/>
      <c r="FD45" s="150"/>
      <c r="FE45" s="151"/>
      <c r="FF45" s="151"/>
      <c r="FG45" s="151"/>
      <c r="FH45" s="151"/>
      <c r="FI45" s="151"/>
      <c r="FJ45" s="151"/>
      <c r="FK45" s="151"/>
      <c r="FL45" s="151"/>
      <c r="FM45" s="151"/>
      <c r="FN45" s="151"/>
      <c r="FO45" s="151"/>
      <c r="FP45" s="151"/>
      <c r="FQ45" s="151"/>
      <c r="FR45" s="151"/>
      <c r="FS45" s="151"/>
      <c r="FT45" s="151"/>
      <c r="FU45" s="151"/>
      <c r="FV45" s="151"/>
      <c r="FW45" s="151"/>
      <c r="FX45" s="151"/>
      <c r="FY45" s="151"/>
      <c r="FZ45" s="151"/>
      <c r="GA45" s="151"/>
      <c r="GB45" s="151"/>
      <c r="GC45" s="151"/>
      <c r="GD45" s="151"/>
      <c r="GE45" s="151"/>
      <c r="GF45" s="151"/>
      <c r="GG45" s="151"/>
      <c r="GH45" s="151"/>
      <c r="GI45" s="151"/>
      <c r="GJ45" s="151"/>
      <c r="GK45" s="150"/>
      <c r="GL45" s="150"/>
      <c r="GM45" s="150"/>
      <c r="GN45" s="150"/>
      <c r="GO45" s="150"/>
      <c r="GP45" s="151"/>
      <c r="GQ45" s="150"/>
      <c r="GR45" s="150"/>
      <c r="GS45" s="150"/>
      <c r="GT45" s="351"/>
      <c r="GU45" s="351"/>
      <c r="GV45" s="351"/>
      <c r="GW45" s="151"/>
      <c r="GX45" s="151"/>
      <c r="GY45" s="151"/>
      <c r="GZ45" s="151"/>
      <c r="HA45" s="151"/>
      <c r="HB45" s="151"/>
      <c r="HC45" s="151"/>
      <c r="HD45" s="151"/>
      <c r="HE45" s="151"/>
      <c r="HF45" s="151"/>
      <c r="HG45" s="151"/>
      <c r="HH45" s="151"/>
      <c r="HI45" s="150"/>
      <c r="HJ45" s="150"/>
      <c r="HK45" s="150"/>
      <c r="HL45" s="151"/>
      <c r="HM45" s="151"/>
      <c r="HN45" s="151"/>
      <c r="HO45" s="151"/>
      <c r="HP45" s="151"/>
      <c r="HQ45" s="151"/>
      <c r="HR45" s="151"/>
      <c r="HS45" s="151"/>
      <c r="HT45" s="151"/>
      <c r="HU45" s="151"/>
      <c r="HV45" s="151"/>
      <c r="HW45" s="151"/>
      <c r="HX45" s="151"/>
      <c r="HY45" s="151"/>
      <c r="HZ45" s="151"/>
      <c r="IA45" s="151"/>
      <c r="IB45" s="151"/>
      <c r="IC45" s="151"/>
      <c r="ID45" s="151"/>
      <c r="IE45" s="151"/>
      <c r="IF45" s="150"/>
      <c r="IG45" s="151"/>
      <c r="IH45" s="151"/>
      <c r="II45" s="151"/>
      <c r="IJ45" s="151"/>
      <c r="IK45" s="151"/>
      <c r="IL45" s="151"/>
      <c r="IM45" s="151"/>
      <c r="IN45" s="151"/>
      <c r="IO45" s="151"/>
      <c r="IP45" s="151"/>
      <c r="IQ45" s="151"/>
      <c r="IR45" s="151"/>
      <c r="IS45" s="151"/>
      <c r="IT45" s="151"/>
      <c r="IU45" s="151"/>
      <c r="IV45" s="151"/>
      <c r="IW45" s="151"/>
      <c r="IX45" s="151"/>
      <c r="IY45" s="151"/>
      <c r="IZ45" s="151"/>
      <c r="JA45" s="151"/>
      <c r="JB45" s="151"/>
      <c r="JC45" s="151"/>
      <c r="JD45" s="151"/>
      <c r="JE45" s="151"/>
      <c r="JF45" s="151"/>
      <c r="JG45" s="151"/>
      <c r="JH45" s="151"/>
      <c r="JI45" s="151"/>
      <c r="JJ45" s="151"/>
      <c r="JK45" s="151"/>
      <c r="JL45" s="151"/>
      <c r="JM45" s="151"/>
      <c r="JN45" s="151"/>
      <c r="JO45" s="151"/>
      <c r="JP45" s="151"/>
      <c r="JQ45" s="151"/>
      <c r="JR45" s="151"/>
      <c r="JS45" s="151"/>
      <c r="JT45" s="151"/>
      <c r="JU45" s="151"/>
      <c r="JV45" s="151"/>
      <c r="JW45" s="150"/>
      <c r="JX45" s="150"/>
      <c r="JY45" s="150"/>
      <c r="JZ45" s="150"/>
      <c r="KA45" s="150"/>
      <c r="KB45" s="150"/>
      <c r="KC45" s="150"/>
      <c r="KD45" s="151"/>
      <c r="KE45" s="151"/>
      <c r="KF45" s="151"/>
      <c r="KG45" s="151"/>
      <c r="KH45" s="151"/>
      <c r="KI45" s="151"/>
      <c r="KJ45" s="150"/>
      <c r="KK45" s="151"/>
      <c r="KL45" s="151"/>
      <c r="KM45" s="151"/>
      <c r="KN45" s="151"/>
      <c r="KO45" s="151"/>
      <c r="KP45" s="151"/>
      <c r="KQ45" s="151"/>
      <c r="KR45" s="151"/>
      <c r="KS45" s="151"/>
      <c r="KT45" s="151"/>
      <c r="KU45" s="151"/>
      <c r="KV45" s="151"/>
      <c r="KW45" s="151"/>
      <c r="KX45" s="151"/>
      <c r="KY45" s="151"/>
      <c r="KZ45" s="151"/>
      <c r="LA45" s="151"/>
      <c r="LB45" s="151"/>
      <c r="LC45" s="151"/>
      <c r="LD45" s="151"/>
      <c r="LE45" s="151"/>
      <c r="LF45" s="151"/>
      <c r="LG45" s="151"/>
      <c r="LH45" s="151"/>
      <c r="LI45" s="151"/>
      <c r="LJ45" s="151"/>
      <c r="LK45" s="151"/>
      <c r="LL45" s="151"/>
      <c r="LM45" s="151"/>
      <c r="LN45" s="151"/>
      <c r="LO45" s="151"/>
      <c r="LP45" s="151"/>
      <c r="LQ45" s="150"/>
      <c r="LR45" s="150"/>
      <c r="LS45" s="150"/>
      <c r="LT45" s="150"/>
      <c r="LU45" s="150"/>
      <c r="LV45" s="151"/>
      <c r="LW45" s="150"/>
      <c r="LX45" s="150"/>
      <c r="LY45" s="150"/>
      <c r="LZ45" s="151"/>
      <c r="MA45" s="351"/>
      <c r="MB45" s="351"/>
      <c r="MC45" s="151"/>
      <c r="MD45" s="151"/>
      <c r="ME45" s="151"/>
      <c r="MF45" s="151"/>
      <c r="MG45" s="151"/>
      <c r="MH45" s="151"/>
      <c r="MI45" s="151"/>
      <c r="MJ45" s="151"/>
      <c r="MK45" s="151"/>
      <c r="ML45" s="151"/>
      <c r="MM45" s="151"/>
      <c r="MN45" s="151"/>
      <c r="MO45" s="150"/>
      <c r="MP45" s="150"/>
      <c r="MQ45" s="150"/>
      <c r="MR45" s="151"/>
      <c r="MS45" s="151"/>
      <c r="MT45" s="151"/>
      <c r="MU45" s="151"/>
      <c r="MV45" s="151"/>
      <c r="MW45" s="151"/>
      <c r="MX45" s="151"/>
      <c r="MY45" s="151"/>
      <c r="MZ45" s="151"/>
      <c r="NA45" s="151"/>
      <c r="NB45" s="151"/>
      <c r="NC45" s="151"/>
      <c r="ND45" s="151"/>
      <c r="NE45" s="151"/>
      <c r="NF45" s="151"/>
      <c r="NG45" s="151"/>
      <c r="NH45" s="151"/>
      <c r="NI45" s="151"/>
      <c r="NJ45" s="151"/>
      <c r="NK45" s="151"/>
      <c r="NL45" s="150"/>
      <c r="NM45" s="151"/>
      <c r="NN45" s="151"/>
      <c r="NO45" s="151"/>
      <c r="NP45" s="151"/>
      <c r="NQ45" s="151"/>
      <c r="NR45" s="151"/>
      <c r="NS45" s="151"/>
      <c r="NT45" s="151"/>
      <c r="NU45" s="151"/>
      <c r="NV45" s="151"/>
      <c r="NW45" s="151"/>
      <c r="NX45" s="151"/>
      <c r="NY45" s="151"/>
      <c r="NZ45" s="151"/>
      <c r="OA45" s="151"/>
      <c r="OB45" s="151"/>
      <c r="OC45" s="151"/>
      <c r="OD45" s="151"/>
      <c r="OE45" s="151"/>
      <c r="OF45" s="151"/>
      <c r="OG45" s="151"/>
      <c r="OH45" s="151"/>
      <c r="OI45" s="151"/>
      <c r="OJ45" s="151"/>
      <c r="OK45" s="151"/>
      <c r="OL45" s="151"/>
      <c r="OM45" s="151"/>
      <c r="ON45" s="151"/>
      <c r="OO45" s="151"/>
      <c r="OP45" s="151"/>
      <c r="OQ45" s="151"/>
      <c r="OR45" s="151"/>
      <c r="OS45" s="151"/>
      <c r="OT45" s="151"/>
      <c r="OU45" s="151"/>
      <c r="OV45" s="151"/>
      <c r="OW45" s="151"/>
      <c r="OX45" s="151"/>
      <c r="OY45" s="151"/>
      <c r="OZ45" s="151"/>
      <c r="PA45" s="151"/>
      <c r="PB45" s="151"/>
      <c r="PC45" s="150"/>
      <c r="PD45" s="150"/>
      <c r="PE45" s="150"/>
      <c r="PF45" s="150"/>
      <c r="PG45" s="150"/>
      <c r="PH45" s="150"/>
      <c r="PI45" s="151"/>
      <c r="PJ45" s="151"/>
      <c r="PK45" s="151"/>
      <c r="PL45" s="151"/>
      <c r="PM45" s="151"/>
      <c r="PN45" s="151"/>
      <c r="PO45" s="151"/>
      <c r="PP45" s="151"/>
      <c r="PQ45" s="151"/>
      <c r="PR45" s="151"/>
      <c r="PS45" s="151"/>
      <c r="PT45" s="151"/>
      <c r="PU45" s="151"/>
      <c r="PV45" s="151"/>
      <c r="PW45" s="151"/>
      <c r="PX45" s="151"/>
      <c r="PY45" s="151"/>
      <c r="PZ45" s="151"/>
      <c r="QA45" s="151"/>
      <c r="QB45" s="151"/>
      <c r="QC45" s="151"/>
      <c r="QD45" s="151"/>
      <c r="QE45" s="151"/>
      <c r="QF45" s="151"/>
      <c r="QG45" s="151"/>
      <c r="QH45" s="151"/>
      <c r="QI45" s="151"/>
      <c r="QJ45" s="151"/>
      <c r="QK45" s="151"/>
      <c r="QL45" s="151"/>
      <c r="QM45" s="151"/>
      <c r="QN45" s="151"/>
      <c r="QO45" s="151"/>
      <c r="QP45" s="151"/>
      <c r="QQ45" s="151"/>
      <c r="QR45" s="151"/>
      <c r="QS45" s="151"/>
      <c r="QT45" s="151"/>
      <c r="QU45" s="151"/>
      <c r="QV45" s="151"/>
      <c r="QW45" s="150"/>
      <c r="QX45" s="150"/>
      <c r="QY45" s="150"/>
      <c r="QZ45" s="150"/>
      <c r="RA45" s="150"/>
      <c r="RB45" s="151"/>
      <c r="RC45" s="150"/>
      <c r="RD45" s="150"/>
      <c r="RE45" s="150"/>
      <c r="RF45" s="151"/>
      <c r="RG45" s="351"/>
      <c r="RH45" s="351"/>
      <c r="RI45" s="151"/>
      <c r="RJ45" s="151"/>
      <c r="RK45" s="151"/>
      <c r="RL45" s="151"/>
      <c r="RM45" s="151"/>
      <c r="RN45" s="151"/>
      <c r="RO45" s="151"/>
      <c r="RP45" s="151"/>
      <c r="RQ45" s="151"/>
      <c r="RR45" s="151"/>
      <c r="RS45" s="151"/>
      <c r="RT45" s="151"/>
      <c r="RU45" s="150"/>
      <c r="RV45" s="150"/>
      <c r="RW45" s="150"/>
      <c r="RX45" s="151"/>
      <c r="RY45" s="151"/>
      <c r="RZ45" s="151"/>
      <c r="SA45" s="151"/>
      <c r="SB45" s="151"/>
      <c r="SC45" s="151"/>
      <c r="SD45" s="151"/>
      <c r="SE45" s="151"/>
      <c r="SF45" s="151"/>
      <c r="SG45" s="151"/>
      <c r="SH45" s="151"/>
      <c r="SI45" s="151"/>
      <c r="SJ45" s="151"/>
      <c r="SK45" s="151"/>
      <c r="SL45" s="151"/>
      <c r="SM45" s="151"/>
      <c r="SN45" s="151"/>
      <c r="SO45" s="151"/>
      <c r="SP45" s="151"/>
      <c r="SQ45" s="151"/>
      <c r="SR45" s="150"/>
      <c r="SS45" s="151"/>
      <c r="ST45" s="151"/>
      <c r="SU45" s="151"/>
      <c r="SV45" s="151"/>
      <c r="SW45" s="151"/>
      <c r="SX45" s="151"/>
      <c r="SY45" s="151"/>
      <c r="SZ45" s="151"/>
      <c r="TA45" s="151"/>
      <c r="TB45" s="151"/>
      <c r="TC45" s="151"/>
      <c r="TD45" s="151"/>
      <c r="TE45" s="151"/>
      <c r="TF45" s="151"/>
      <c r="TG45" s="151"/>
      <c r="TH45" s="151"/>
      <c r="TI45" s="151"/>
      <c r="TJ45" s="151"/>
      <c r="TK45" s="151"/>
      <c r="TL45" s="151"/>
      <c r="TM45" s="151"/>
      <c r="TN45" s="151"/>
      <c r="TO45" s="151"/>
      <c r="TP45" s="151"/>
      <c r="TQ45" s="151"/>
      <c r="TR45" s="151"/>
      <c r="TS45" s="151"/>
      <c r="TT45" s="151"/>
      <c r="TU45" s="151"/>
      <c r="TV45" s="151"/>
      <c r="TW45" s="151"/>
      <c r="TX45" s="151"/>
      <c r="TY45" s="151"/>
      <c r="TZ45" s="151"/>
      <c r="UA45" s="151"/>
      <c r="UB45" s="151"/>
      <c r="UC45" s="151"/>
      <c r="UD45" s="151"/>
      <c r="UE45" s="151"/>
      <c r="UF45" s="151"/>
      <c r="UG45" s="151"/>
      <c r="UH45" s="151"/>
      <c r="UI45" s="150"/>
      <c r="UJ45" s="150"/>
      <c r="UK45" s="150"/>
      <c r="UL45" s="150"/>
      <c r="UM45" s="151"/>
      <c r="UN45" s="151"/>
      <c r="UO45" s="151"/>
      <c r="UP45" s="151"/>
      <c r="UQ45" s="150"/>
      <c r="UR45" s="151"/>
      <c r="US45" s="151"/>
      <c r="UT45" s="151"/>
      <c r="UU45" s="151"/>
      <c r="UV45" s="151"/>
      <c r="UW45" s="151"/>
      <c r="UX45" s="150"/>
      <c r="UY45" s="151"/>
      <c r="UZ45" s="151"/>
      <c r="VA45" s="151"/>
      <c r="VB45" s="150"/>
      <c r="VC45" s="150"/>
      <c r="VD45" s="151"/>
      <c r="VE45" s="151"/>
      <c r="VF45" s="150"/>
      <c r="VG45" s="150"/>
      <c r="VH45" s="151"/>
      <c r="VI45" s="151"/>
      <c r="VJ45" s="151"/>
      <c r="VK45" s="151"/>
      <c r="VL45" s="150"/>
      <c r="VM45" s="150"/>
      <c r="VN45" s="150"/>
      <c r="VO45" s="150"/>
      <c r="VP45" s="151"/>
      <c r="VQ45" s="150"/>
      <c r="VR45" s="151"/>
      <c r="VS45" s="151"/>
      <c r="VT45" s="151"/>
      <c r="VU45" s="151"/>
      <c r="VV45" s="151"/>
      <c r="VW45" s="151"/>
      <c r="VX45" s="151"/>
      <c r="VY45" s="150"/>
      <c r="VZ45" s="150"/>
      <c r="WA45" s="150"/>
      <c r="WB45" s="151"/>
      <c r="WC45" s="151"/>
      <c r="WD45" s="151"/>
      <c r="WE45" s="151"/>
      <c r="WF45" s="151"/>
      <c r="WG45" s="151"/>
      <c r="WH45" s="151"/>
      <c r="WI45" s="150"/>
      <c r="WJ45" s="151"/>
      <c r="WK45" s="151"/>
      <c r="WL45" s="151"/>
      <c r="WM45" s="151"/>
      <c r="WN45" s="151"/>
      <c r="WO45" s="151"/>
      <c r="WP45" s="151"/>
      <c r="WQ45" s="151"/>
      <c r="WR45" s="151"/>
      <c r="WS45" s="151"/>
      <c r="WT45" s="151"/>
      <c r="WU45" s="151"/>
      <c r="WV45" s="151"/>
      <c r="WW45" s="151"/>
      <c r="WX45" s="151"/>
      <c r="WY45" s="151"/>
      <c r="WZ45" s="151"/>
      <c r="XA45" s="151"/>
      <c r="XB45" s="151"/>
      <c r="XC45" s="151"/>
      <c r="XD45" s="151"/>
      <c r="XE45" s="151"/>
      <c r="XF45" s="151"/>
      <c r="XG45" s="151"/>
      <c r="XH45" s="151"/>
      <c r="XI45" s="151"/>
      <c r="XJ45" s="151"/>
      <c r="XK45" s="151"/>
      <c r="XL45" s="151"/>
      <c r="XM45" s="151"/>
      <c r="XN45" s="151"/>
      <c r="XO45" s="151"/>
      <c r="XP45" s="150"/>
      <c r="XQ45" s="150"/>
      <c r="XR45" s="150"/>
      <c r="XS45" s="150"/>
      <c r="XT45" s="150"/>
      <c r="XU45" s="151"/>
      <c r="XV45" s="150"/>
      <c r="XW45" s="151"/>
      <c r="XX45" s="351"/>
      <c r="XY45" s="151"/>
      <c r="XZ45" s="351"/>
      <c r="YA45" s="351"/>
      <c r="YB45" s="151"/>
      <c r="YC45" s="151"/>
      <c r="YD45" s="151"/>
      <c r="YE45" s="151"/>
      <c r="YF45" s="151"/>
      <c r="YG45" s="151"/>
      <c r="YH45" s="151"/>
      <c r="YI45" s="151"/>
      <c r="YJ45" s="151"/>
      <c r="YK45" s="151"/>
      <c r="YL45" s="151"/>
      <c r="YM45" s="151"/>
      <c r="YN45" s="150"/>
      <c r="YO45" s="150"/>
      <c r="YP45" s="150"/>
      <c r="YQ45" s="151"/>
      <c r="YR45" s="151"/>
      <c r="YS45" s="151"/>
      <c r="YT45" s="151"/>
      <c r="YU45" s="151"/>
      <c r="YV45" s="151"/>
      <c r="YW45" s="151"/>
      <c r="YX45" s="151"/>
      <c r="YY45" s="151"/>
      <c r="YZ45" s="151"/>
      <c r="ZA45" s="151"/>
      <c r="ZB45" s="151"/>
      <c r="ZC45" s="151"/>
      <c r="ZD45" s="151"/>
      <c r="ZE45" s="151"/>
      <c r="ZF45" s="151"/>
      <c r="ZG45" s="151"/>
      <c r="ZH45" s="151"/>
      <c r="ZI45" s="151"/>
      <c r="ZJ45" s="151"/>
      <c r="ZK45" s="150"/>
      <c r="ZL45" s="151"/>
      <c r="ZM45" s="151"/>
      <c r="ZN45" s="151"/>
      <c r="ZO45" s="151"/>
      <c r="ZP45" s="151"/>
      <c r="ZQ45" s="151"/>
      <c r="ZR45" s="151"/>
      <c r="ZS45" s="151"/>
      <c r="ZT45" s="151"/>
      <c r="ZU45" s="151"/>
      <c r="ZV45" s="151"/>
      <c r="ZW45" s="151"/>
      <c r="ZX45" s="151"/>
      <c r="ZY45" s="151"/>
      <c r="ZZ45" s="151"/>
      <c r="AAA45" s="151"/>
      <c r="AAB45" s="151"/>
      <c r="AAC45" s="151"/>
      <c r="AAD45" s="151"/>
      <c r="AAE45" s="151"/>
      <c r="AAF45" s="151"/>
      <c r="AAG45" s="151"/>
      <c r="AAH45" s="151"/>
      <c r="AAI45" s="151"/>
      <c r="AAJ45" s="151"/>
      <c r="AAK45" s="151"/>
      <c r="AAL45" s="151"/>
      <c r="AAM45" s="151"/>
      <c r="AAN45" s="151"/>
      <c r="AAO45" s="151"/>
      <c r="AAP45" s="151"/>
      <c r="AAQ45" s="151"/>
      <c r="AAR45" s="151"/>
      <c r="AAS45" s="151"/>
      <c r="AAT45" s="151"/>
      <c r="AAU45" s="151"/>
      <c r="AAV45" s="151"/>
      <c r="AAW45" s="151"/>
      <c r="AAX45" s="151"/>
      <c r="AAY45" s="151"/>
      <c r="AAZ45" s="151"/>
      <c r="ABA45" s="151"/>
      <c r="ABB45" s="150"/>
      <c r="ABC45" s="150"/>
      <c r="ABD45" s="150"/>
      <c r="ABE45" s="151"/>
      <c r="ABF45" s="151"/>
      <c r="ABG45" s="151"/>
      <c r="ABH45" s="151"/>
      <c r="ABI45" s="151"/>
      <c r="ABJ45" s="151"/>
      <c r="ABK45" s="151"/>
      <c r="ABL45" s="150"/>
      <c r="ABM45" s="151"/>
      <c r="ABN45" s="151"/>
      <c r="ABO45" s="151"/>
      <c r="ABP45" s="151"/>
      <c r="ABQ45" s="151"/>
      <c r="ABR45" s="151"/>
      <c r="ABS45" s="151"/>
      <c r="ABT45" s="151"/>
      <c r="ABU45" s="151"/>
      <c r="ABV45" s="151"/>
      <c r="ABW45" s="151"/>
      <c r="ABX45" s="151"/>
      <c r="ABY45" s="151"/>
      <c r="ABZ45" s="151"/>
      <c r="ACA45" s="151"/>
      <c r="ACB45" s="151"/>
      <c r="ACC45" s="151"/>
      <c r="ACD45" s="151"/>
      <c r="ACE45" s="151"/>
      <c r="ACF45" s="151"/>
      <c r="ACG45" s="151"/>
      <c r="ACH45" s="151"/>
      <c r="ACI45" s="151"/>
      <c r="ACJ45" s="151"/>
      <c r="ACK45" s="151"/>
      <c r="ACL45" s="151"/>
      <c r="ACM45" s="151"/>
      <c r="ACN45" s="151"/>
      <c r="ACO45" s="151"/>
      <c r="ACP45" s="151"/>
      <c r="ACQ45" s="151"/>
      <c r="ACR45" s="151"/>
      <c r="ACS45" s="150"/>
      <c r="ACT45" s="150"/>
      <c r="ACU45" s="150"/>
      <c r="ACV45" s="150"/>
      <c r="ACW45" s="150"/>
      <c r="ACX45" s="151"/>
      <c r="ACY45" s="150"/>
      <c r="ACZ45" s="151"/>
      <c r="ADA45" s="351"/>
      <c r="ADB45" s="151"/>
      <c r="ADC45" s="351"/>
      <c r="ADD45" s="351"/>
      <c r="ADE45" s="151"/>
      <c r="ADF45" s="151"/>
      <c r="ADG45" s="151"/>
      <c r="ADH45" s="151"/>
      <c r="ADI45" s="151"/>
      <c r="ADJ45" s="151"/>
      <c r="ADK45" s="151"/>
      <c r="ADL45" s="151"/>
      <c r="ADM45" s="151"/>
      <c r="ADN45" s="151"/>
      <c r="ADO45" s="151"/>
      <c r="ADP45" s="151"/>
      <c r="ADQ45" s="150"/>
      <c r="ADR45" s="150"/>
      <c r="ADS45" s="150"/>
      <c r="ADT45" s="151"/>
      <c r="ADU45" s="151"/>
      <c r="ADV45" s="151"/>
      <c r="ADW45" s="151"/>
      <c r="ADX45" s="151"/>
      <c r="ADY45" s="151"/>
      <c r="ADZ45" s="151"/>
      <c r="AEA45" s="151"/>
      <c r="AEB45" s="151"/>
      <c r="AEC45" s="151"/>
      <c r="AED45" s="151"/>
      <c r="AEE45" s="151"/>
      <c r="AEF45" s="151"/>
      <c r="AEG45" s="151"/>
      <c r="AEH45" s="151"/>
      <c r="AEI45" s="151"/>
      <c r="AEJ45" s="151"/>
      <c r="AEK45" s="151"/>
      <c r="AEL45" s="151"/>
      <c r="AEM45" s="151"/>
      <c r="AEN45" s="150"/>
      <c r="AEO45" s="151"/>
      <c r="AEP45" s="151"/>
      <c r="AEQ45" s="151"/>
      <c r="AER45" s="151"/>
      <c r="AES45" s="151"/>
      <c r="AET45" s="151"/>
      <c r="AEU45" s="151"/>
      <c r="AEV45" s="151"/>
      <c r="AEW45" s="151"/>
      <c r="AEX45" s="151"/>
      <c r="AEY45" s="151"/>
      <c r="AEZ45" s="151"/>
      <c r="AFA45" s="151"/>
      <c r="AFB45" s="151"/>
      <c r="AFC45" s="151"/>
      <c r="AFD45" s="151"/>
      <c r="AFE45" s="151"/>
      <c r="AFF45" s="151"/>
      <c r="AFG45" s="151"/>
      <c r="AFH45" s="151"/>
      <c r="AFI45" s="151"/>
      <c r="AFJ45" s="151"/>
      <c r="AFK45" s="151"/>
      <c r="AFL45" s="151"/>
      <c r="AFM45" s="151"/>
      <c r="AFN45" s="151"/>
      <c r="AFO45" s="151"/>
      <c r="AFP45" s="151"/>
      <c r="AFQ45" s="151"/>
      <c r="AFR45" s="151"/>
      <c r="AFS45" s="151"/>
      <c r="AFT45" s="151"/>
      <c r="AFU45" s="151"/>
      <c r="AFV45" s="151"/>
      <c r="AFW45" s="151"/>
      <c r="AFX45" s="151"/>
      <c r="AFY45" s="151"/>
      <c r="AFZ45" s="151"/>
      <c r="AGA45" s="151"/>
      <c r="AGB45" s="151"/>
      <c r="AGC45" s="151"/>
      <c r="AGD45" s="151"/>
      <c r="AGE45" s="151"/>
      <c r="AGF45" s="151"/>
      <c r="AGG45" s="151"/>
      <c r="AGH45" s="151"/>
      <c r="AGI45" s="151"/>
      <c r="AGJ45" s="151"/>
      <c r="AGK45" s="151"/>
      <c r="AGL45" s="151"/>
      <c r="AGM45" s="151"/>
      <c r="AGN45" s="151"/>
      <c r="AGO45" s="151"/>
      <c r="AGP45" s="151"/>
      <c r="AGQ45" s="151"/>
      <c r="AGR45" s="151"/>
      <c r="AGS45" s="151"/>
      <c r="AGT45" s="151"/>
      <c r="AGU45" s="151"/>
      <c r="AGV45" s="151"/>
      <c r="AGW45" s="151"/>
      <c r="AGX45" s="151"/>
      <c r="AGY45" s="151"/>
      <c r="AGZ45" s="151"/>
      <c r="AHA45" s="151"/>
      <c r="AHB45" s="151"/>
      <c r="AHC45" s="151"/>
      <c r="AHD45" s="150"/>
      <c r="AHE45" s="150"/>
      <c r="AHF45" s="150"/>
      <c r="AHG45" s="150"/>
      <c r="AHH45" s="151"/>
      <c r="AHI45" s="152"/>
      <c r="AHJ45" s="152"/>
      <c r="AHK45" s="152"/>
      <c r="AHL45" s="152"/>
      <c r="AHM45" s="152"/>
      <c r="AHN45" s="153"/>
      <c r="AHO45" s="152"/>
      <c r="AHP45" s="152"/>
      <c r="AHQ45" s="152"/>
      <c r="AHR45" s="152"/>
      <c r="AHS45" s="152"/>
      <c r="AHT45" s="152"/>
      <c r="AHU45" s="152"/>
      <c r="AHV45" s="152"/>
      <c r="AHW45" s="152"/>
      <c r="AHX45" s="152"/>
      <c r="AHY45" s="152"/>
      <c r="AHZ45" s="152"/>
      <c r="AIA45" s="152"/>
      <c r="AIB45" s="152"/>
      <c r="AIC45" s="152"/>
      <c r="AID45" s="152"/>
      <c r="AIE45" s="152"/>
      <c r="AIF45" s="152"/>
      <c r="AIG45" s="152"/>
      <c r="AIH45" s="152"/>
      <c r="AII45" s="152"/>
      <c r="AIJ45" s="152"/>
      <c r="AIK45" s="152"/>
      <c r="AIL45" s="152"/>
      <c r="AIM45" s="152"/>
      <c r="AIN45" s="152"/>
      <c r="AIO45" s="152"/>
      <c r="AIP45" s="152"/>
      <c r="AIQ45" s="152"/>
      <c r="AIR45" s="152"/>
      <c r="AIS45" s="152"/>
      <c r="AIT45" s="152"/>
      <c r="AIU45" s="152"/>
      <c r="AIV45" s="153"/>
      <c r="AIW45" s="153"/>
      <c r="AIX45" s="153"/>
      <c r="AIY45" s="153"/>
      <c r="AIZ45" s="153"/>
      <c r="AJA45" s="152"/>
      <c r="AJB45" s="153"/>
      <c r="AJC45" s="152"/>
      <c r="AJD45" s="152"/>
      <c r="AJE45" s="152"/>
      <c r="AJF45" s="152"/>
      <c r="AJG45" s="152"/>
      <c r="AJH45" s="152"/>
      <c r="AJI45" s="152"/>
      <c r="AJJ45" s="153"/>
      <c r="AJK45" s="153"/>
      <c r="AJL45" s="152"/>
      <c r="AJM45" s="152"/>
      <c r="AJN45" s="152"/>
      <c r="AJO45" s="152"/>
      <c r="AJP45" s="152"/>
      <c r="AJQ45" s="153"/>
      <c r="AJR45" s="152"/>
      <c r="AJS45" s="152"/>
      <c r="AJT45" s="153"/>
      <c r="AJU45" s="153"/>
      <c r="AJV45" s="317"/>
      <c r="AJW45" s="317"/>
      <c r="AJX45" s="317"/>
      <c r="AJY45" s="304"/>
      <c r="AJZ45" s="317"/>
      <c r="AKA45" s="304"/>
      <c r="AKB45" s="363"/>
      <c r="AKC45" s="304"/>
      <c r="AKD45" s="304"/>
      <c r="AKE45" s="304"/>
      <c r="AKF45" s="304"/>
      <c r="AKG45" s="304"/>
      <c r="AKH45" s="350"/>
      <c r="AKI45" s="4"/>
      <c r="AKJ45" s="186"/>
      <c r="AKK45" s="186"/>
      <c r="AKL45" s="186"/>
      <c r="AKM45" s="123"/>
      <c r="AKN45" s="123"/>
      <c r="AKO45" s="123"/>
      <c r="ALU45" s="151"/>
      <c r="ALV45" s="151"/>
      <c r="ALW45" s="151"/>
      <c r="ALX45" s="151"/>
      <c r="ALY45" s="151"/>
      <c r="ALZ45" s="151"/>
      <c r="AMA45" s="151"/>
      <c r="AMB45" s="151"/>
      <c r="AMC45" s="151"/>
      <c r="AMD45" s="151"/>
      <c r="AME45" s="151"/>
      <c r="AMF45" s="151"/>
      <c r="AMG45" s="151"/>
      <c r="AMH45" s="151"/>
      <c r="AMI45" s="151"/>
      <c r="AMJ45" s="151"/>
      <c r="AMK45" s="567"/>
      <c r="AML45" s="567"/>
      <c r="AMM45" s="567"/>
    </row>
    <row r="46" spans="1:1027" ht="18" hidden="1" customHeight="1" thickTop="1" thickBot="1" x14ac:dyDescent="0.35"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Z46" s="7"/>
      <c r="IF46" s="7"/>
      <c r="NL46" s="7"/>
      <c r="SR46" s="7"/>
      <c r="ZK46" s="7"/>
      <c r="AEN46" s="7"/>
      <c r="AJQ46" s="7"/>
    </row>
    <row r="47" spans="1:1027" ht="18" hidden="1" customHeight="1" thickTop="1" thickBot="1" x14ac:dyDescent="0.35">
      <c r="A47" s="664" t="s">
        <v>38</v>
      </c>
      <c r="B47" s="664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Z47" s="7"/>
      <c r="IF47" s="7"/>
      <c r="NL47" s="7"/>
      <c r="SR47" s="7"/>
      <c r="ZK47" s="7"/>
      <c r="AEN47" s="7"/>
      <c r="AJQ47" s="7"/>
    </row>
    <row r="48" spans="1:1027" ht="18" hidden="1" customHeight="1" thickTop="1" thickBot="1" x14ac:dyDescent="0.35">
      <c r="A48" s="131" t="s">
        <v>52</v>
      </c>
      <c r="B48" s="132" t="s">
        <v>44</v>
      </c>
      <c r="C48" s="133" t="s">
        <v>45</v>
      </c>
      <c r="D48" s="147" t="s">
        <v>46</v>
      </c>
      <c r="E48" s="147"/>
      <c r="F48" s="659"/>
      <c r="G48" s="659"/>
      <c r="H48" s="139" t="s">
        <v>48</v>
      </c>
      <c r="I48" s="139" t="s">
        <v>48</v>
      </c>
      <c r="J48" s="18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Z48" s="7"/>
      <c r="IF48" s="7"/>
      <c r="NL48" s="7"/>
      <c r="SR48" s="7"/>
      <c r="ZK48" s="7"/>
      <c r="AEN48" s="7"/>
      <c r="AJQ48" s="7"/>
    </row>
    <row r="49" spans="1:1029" ht="18" hidden="1" customHeight="1" thickTop="1" thickBot="1" x14ac:dyDescent="0.35">
      <c r="A49" s="134" t="s">
        <v>39</v>
      </c>
      <c r="B49" s="126" t="s">
        <v>47</v>
      </c>
      <c r="C49" s="25" t="s">
        <v>41</v>
      </c>
      <c r="D49" s="25">
        <v>650</v>
      </c>
      <c r="E49" s="125"/>
      <c r="F49" s="660"/>
      <c r="G49" s="660"/>
      <c r="H49" s="137">
        <v>2000</v>
      </c>
      <c r="I49" s="137">
        <v>2000</v>
      </c>
      <c r="J49" s="18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Z49" s="7"/>
      <c r="IF49" s="7"/>
      <c r="NL49" s="7"/>
      <c r="SR49" s="7"/>
      <c r="ZK49" s="7"/>
      <c r="AEN49" s="7"/>
      <c r="AJQ49" s="7"/>
    </row>
    <row r="50" spans="1:1029" ht="18" hidden="1" customHeight="1" thickTop="1" thickBot="1" x14ac:dyDescent="0.35">
      <c r="A50" s="135" t="s">
        <v>40</v>
      </c>
      <c r="B50" s="126" t="s">
        <v>47</v>
      </c>
      <c r="C50" s="25" t="s">
        <v>42</v>
      </c>
      <c r="D50" s="25">
        <v>650</v>
      </c>
      <c r="E50" s="125"/>
      <c r="F50" s="660"/>
      <c r="G50" s="660"/>
      <c r="H50" s="137">
        <v>1595</v>
      </c>
      <c r="I50" s="137">
        <v>1595</v>
      </c>
      <c r="J50" s="189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Z50" s="7"/>
      <c r="IF50" s="7"/>
      <c r="NL50" s="7"/>
      <c r="SR50" s="7"/>
      <c r="ZK50" s="7"/>
      <c r="AEN50" s="7"/>
      <c r="AJQ50" s="7"/>
    </row>
    <row r="51" spans="1:1029" ht="18" hidden="1" customHeight="1" thickTop="1" thickBot="1" x14ac:dyDescent="0.35">
      <c r="A51" s="661" t="s">
        <v>49</v>
      </c>
      <c r="B51" s="662"/>
      <c r="C51" s="662"/>
      <c r="D51" s="662"/>
      <c r="E51" s="148"/>
      <c r="F51" s="663"/>
      <c r="G51" s="663"/>
      <c r="H51" s="138"/>
      <c r="I51" s="138"/>
      <c r="J51" s="190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Z51" s="7"/>
      <c r="IF51" s="7"/>
      <c r="NL51" s="7"/>
      <c r="SR51" s="7"/>
      <c r="ZK51" s="7"/>
      <c r="AEN51" s="7"/>
      <c r="AJQ51" s="7"/>
    </row>
    <row r="52" spans="1:1029" ht="18" hidden="1" customHeight="1" thickTop="1" thickBot="1" x14ac:dyDescent="0.35">
      <c r="A52" s="122"/>
      <c r="B52" s="122"/>
      <c r="C52" s="122"/>
      <c r="D52" s="122"/>
      <c r="E52" s="123"/>
      <c r="F52" s="123"/>
      <c r="G52" s="124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Z52" s="7"/>
      <c r="IF52" s="7"/>
      <c r="NL52" s="7"/>
      <c r="SR52" s="7"/>
      <c r="ZK52" s="7"/>
      <c r="AEN52" s="7"/>
      <c r="AJQ52" s="7"/>
    </row>
    <row r="53" spans="1:1029" ht="18" hidden="1" customHeight="1" thickTop="1" thickBot="1" x14ac:dyDescent="0.35">
      <c r="A53" s="129" t="s">
        <v>57</v>
      </c>
      <c r="B53" s="2"/>
      <c r="C53" s="2"/>
      <c r="D53" s="2"/>
      <c r="G53" s="121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Z53" s="7"/>
      <c r="IF53" s="7"/>
      <c r="NL53" s="7"/>
      <c r="SR53" s="7"/>
      <c r="ZK53" s="7"/>
      <c r="AEN53" s="7"/>
      <c r="AJQ53" s="7"/>
    </row>
    <row r="54" spans="1:1029" ht="18" hidden="1" customHeight="1" thickTop="1" thickBot="1" x14ac:dyDescent="0.35">
      <c r="A54" s="131" t="s">
        <v>53</v>
      </c>
      <c r="B54" s="132" t="s">
        <v>44</v>
      </c>
      <c r="C54" s="133" t="s">
        <v>45</v>
      </c>
      <c r="D54" s="147" t="s">
        <v>46</v>
      </c>
      <c r="E54" s="147"/>
      <c r="F54" s="659"/>
      <c r="G54" s="659"/>
      <c r="H54" s="139" t="s">
        <v>55</v>
      </c>
      <c r="I54" s="139" t="s">
        <v>55</v>
      </c>
      <c r="J54" s="188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Z54" s="7"/>
      <c r="IF54" s="7"/>
      <c r="NL54" s="7"/>
      <c r="SR54" s="7"/>
      <c r="ZK54" s="7"/>
      <c r="AEN54" s="7"/>
      <c r="AJQ54" s="7"/>
    </row>
    <row r="55" spans="1:1029" ht="18" hidden="1" customHeight="1" thickTop="1" thickBot="1" x14ac:dyDescent="0.35">
      <c r="A55" s="140" t="s">
        <v>26</v>
      </c>
      <c r="B55" s="141" t="s">
        <v>47</v>
      </c>
      <c r="C55" s="142" t="s">
        <v>50</v>
      </c>
      <c r="D55" s="143">
        <v>650</v>
      </c>
      <c r="E55" s="143"/>
      <c r="F55" s="144"/>
      <c r="G55" s="145"/>
      <c r="H55" s="146">
        <v>59</v>
      </c>
      <c r="I55" s="146">
        <v>59</v>
      </c>
      <c r="J55" s="191"/>
      <c r="K55" s="3"/>
      <c r="L55" s="3"/>
      <c r="M55" s="3"/>
      <c r="N55" s="3"/>
      <c r="O55" s="3"/>
      <c r="P55" s="3"/>
      <c r="Q55" s="3"/>
      <c r="R55" s="3"/>
      <c r="S55" s="8"/>
      <c r="T55" s="8"/>
      <c r="U55" s="8"/>
      <c r="V55" s="8"/>
      <c r="W55" s="8"/>
      <c r="X55" s="8"/>
      <c r="Y55" s="8"/>
      <c r="Z55" s="8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0"/>
      <c r="CF55" s="130"/>
      <c r="CG55" s="130"/>
      <c r="CH55" s="130"/>
      <c r="CI55" s="130"/>
      <c r="CJ55" s="130"/>
      <c r="CK55" s="130"/>
      <c r="CL55" s="130"/>
      <c r="CM55" s="130"/>
      <c r="CN55" s="130"/>
      <c r="CO55" s="130"/>
      <c r="CP55" s="130"/>
      <c r="CQ55" s="130"/>
      <c r="CR55" s="130"/>
      <c r="CS55" s="130"/>
      <c r="CT55" s="130"/>
      <c r="CU55" s="130"/>
      <c r="CV55" s="130"/>
      <c r="CW55" s="130"/>
      <c r="CX55" s="130"/>
      <c r="CY55" s="130"/>
      <c r="CZ55" s="8"/>
      <c r="DA55" s="130"/>
      <c r="DB55" s="130"/>
      <c r="DC55" s="130"/>
      <c r="DD55" s="130"/>
      <c r="DE55" s="130"/>
      <c r="DF55" s="130"/>
      <c r="DG55" s="130"/>
      <c r="DH55" s="130"/>
      <c r="DI55" s="130"/>
      <c r="DJ55" s="130"/>
      <c r="DK55" s="130"/>
      <c r="DL55" s="130"/>
      <c r="DM55" s="130"/>
      <c r="DN55" s="130"/>
      <c r="DO55" s="130"/>
      <c r="DP55" s="130"/>
      <c r="DQ55" s="130"/>
      <c r="DR55" s="130"/>
      <c r="DS55" s="130"/>
      <c r="DT55" s="130"/>
      <c r="DU55" s="130"/>
      <c r="DV55" s="130"/>
      <c r="DW55" s="130"/>
      <c r="DX55" s="130"/>
      <c r="DY55" s="130"/>
      <c r="DZ55" s="130"/>
      <c r="EA55" s="130"/>
      <c r="EB55" s="130"/>
      <c r="EC55" s="130"/>
      <c r="ED55" s="130"/>
      <c r="EE55" s="130"/>
      <c r="EF55" s="130"/>
      <c r="EG55" s="130"/>
      <c r="EH55" s="130"/>
      <c r="EI55" s="130"/>
      <c r="EJ55" s="130"/>
      <c r="EK55" s="130"/>
      <c r="EL55" s="130"/>
      <c r="EM55" s="130"/>
      <c r="EN55" s="130"/>
      <c r="EO55" s="130"/>
      <c r="EP55" s="130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8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8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8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8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8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8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</row>
    <row r="56" spans="1:1029" ht="18" hidden="1" customHeight="1" thickTop="1" thickBot="1" x14ac:dyDescent="0.35">
      <c r="A56" s="135" t="s">
        <v>51</v>
      </c>
      <c r="B56" s="126" t="s">
        <v>56</v>
      </c>
      <c r="C56" s="25" t="s">
        <v>41</v>
      </c>
      <c r="D56" s="125">
        <v>600</v>
      </c>
      <c r="E56" s="125"/>
      <c r="F56" s="127"/>
      <c r="G56" s="128"/>
      <c r="H56" s="136">
        <v>40</v>
      </c>
      <c r="I56" s="136">
        <v>40</v>
      </c>
      <c r="J56" s="192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Z56" s="7"/>
      <c r="IF56" s="7"/>
      <c r="NL56" s="7"/>
      <c r="SR56" s="7"/>
      <c r="ZK56" s="7"/>
      <c r="AEN56" s="7"/>
      <c r="AJQ56" s="7"/>
    </row>
    <row r="57" spans="1:1029" ht="18" hidden="1" customHeight="1" thickTop="1" thickBot="1" x14ac:dyDescent="0.35">
      <c r="D57" s="2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Z57" s="7"/>
      <c r="IF57" s="7"/>
      <c r="NL57" s="7"/>
      <c r="SR57" s="7"/>
      <c r="ZK57" s="7"/>
      <c r="AEN57" s="7"/>
      <c r="AJQ57" s="7"/>
    </row>
    <row r="58" spans="1:1029" ht="18" hidden="1" customHeight="1" thickTop="1" thickBot="1" x14ac:dyDescent="0.35">
      <c r="A58" s="672" t="s">
        <v>196</v>
      </c>
      <c r="B58" s="668" t="s">
        <v>189</v>
      </c>
      <c r="C58" s="499" t="s">
        <v>198</v>
      </c>
      <c r="D58" s="499">
        <v>650</v>
      </c>
      <c r="E58" s="500"/>
      <c r="F58" s="500"/>
      <c r="G58" s="500"/>
      <c r="H58" s="520"/>
      <c r="I58" s="520"/>
      <c r="J58" s="500"/>
      <c r="K58" s="500" t="s">
        <v>91</v>
      </c>
      <c r="L58" s="521">
        <v>44146</v>
      </c>
      <c r="M58" s="521">
        <v>44154</v>
      </c>
      <c r="N58" s="521">
        <v>44162</v>
      </c>
      <c r="O58" s="521">
        <v>44169</v>
      </c>
      <c r="P58" s="522">
        <v>44172</v>
      </c>
      <c r="Q58" s="522">
        <v>44188</v>
      </c>
      <c r="R58" s="522">
        <v>44211</v>
      </c>
      <c r="S58" s="522">
        <v>44229</v>
      </c>
      <c r="T58" s="522">
        <v>44250</v>
      </c>
      <c r="U58" s="522">
        <v>44273</v>
      </c>
      <c r="V58" s="521">
        <v>44300</v>
      </c>
      <c r="W58" s="522">
        <v>44314</v>
      </c>
      <c r="X58" s="522">
        <v>44356</v>
      </c>
      <c r="Y58" s="522">
        <v>44370</v>
      </c>
      <c r="Z58" s="522">
        <v>44389</v>
      </c>
      <c r="AA58" s="522">
        <v>44412</v>
      </c>
      <c r="AB58" s="521">
        <v>44426</v>
      </c>
      <c r="AC58" s="521">
        <v>44455</v>
      </c>
      <c r="AD58" s="521">
        <v>44468</v>
      </c>
      <c r="AE58" s="522">
        <v>44476</v>
      </c>
      <c r="AF58" s="522">
        <v>44491</v>
      </c>
      <c r="AG58" s="522">
        <v>44498</v>
      </c>
      <c r="AH58" s="522">
        <v>44508</v>
      </c>
      <c r="AI58" s="522">
        <v>44518</v>
      </c>
      <c r="AJ58" s="522">
        <v>44530</v>
      </c>
      <c r="AK58" s="523">
        <v>44539</v>
      </c>
      <c r="AL58" s="523">
        <v>44557</v>
      </c>
      <c r="AM58" s="522">
        <v>44574</v>
      </c>
      <c r="AN58" s="500"/>
      <c r="AO58" s="500"/>
      <c r="AP58" s="500"/>
      <c r="AQ58" s="500"/>
      <c r="AR58" s="500"/>
      <c r="AS58" s="500"/>
      <c r="AT58" s="500"/>
      <c r="AU58" s="500"/>
      <c r="AV58" s="500"/>
      <c r="AW58" s="500"/>
      <c r="AX58" s="500"/>
      <c r="AY58" s="500"/>
      <c r="AZ58" s="500"/>
      <c r="BA58" s="500"/>
      <c r="BB58" s="500"/>
      <c r="BC58" s="500"/>
      <c r="BD58" s="500"/>
      <c r="BE58" s="500"/>
      <c r="BF58" s="500"/>
      <c r="BG58" s="500"/>
      <c r="BH58" s="500"/>
      <c r="BI58" s="500"/>
      <c r="BJ58" s="500"/>
      <c r="BK58" s="500"/>
      <c r="BL58" s="500"/>
      <c r="BM58" s="500"/>
      <c r="BN58" s="500"/>
      <c r="BO58" s="500"/>
      <c r="BP58" s="500"/>
      <c r="BQ58" s="500"/>
      <c r="BR58" s="500"/>
      <c r="BS58" s="500"/>
      <c r="BT58" s="500"/>
      <c r="BU58" s="500"/>
      <c r="BV58" s="500"/>
      <c r="BW58" s="500"/>
      <c r="BX58" s="500"/>
      <c r="BY58" s="500"/>
      <c r="BZ58" s="500"/>
      <c r="CA58" s="500"/>
      <c r="CB58" s="500"/>
      <c r="CC58" s="505"/>
      <c r="CD58" s="505"/>
      <c r="CE58" s="505"/>
      <c r="CF58" s="505"/>
      <c r="CG58" s="505"/>
      <c r="CH58" s="505"/>
      <c r="CI58" s="505"/>
      <c r="CJ58" s="505"/>
      <c r="CK58" s="505"/>
      <c r="CL58" s="505"/>
      <c r="CM58" s="505"/>
      <c r="CN58" s="505"/>
      <c r="CO58" s="505"/>
      <c r="CP58" s="505"/>
      <c r="CQ58" s="505"/>
      <c r="CR58" s="505"/>
      <c r="CS58" s="505"/>
      <c r="CT58" s="505"/>
      <c r="CU58" s="505"/>
      <c r="CV58" s="505"/>
      <c r="CW58" s="505"/>
      <c r="CX58" s="505"/>
      <c r="CY58" s="505"/>
      <c r="CZ58" s="540"/>
      <c r="DA58" s="505"/>
      <c r="DB58" s="505"/>
      <c r="DC58" s="505"/>
      <c r="DD58" s="505"/>
      <c r="DE58" s="505"/>
      <c r="DF58" s="505"/>
      <c r="DG58" s="505"/>
      <c r="DH58" s="505"/>
      <c r="DI58" s="505"/>
      <c r="DJ58" s="505"/>
      <c r="DK58" s="505"/>
      <c r="DL58" s="505"/>
      <c r="DM58" s="505"/>
      <c r="DN58" s="505"/>
      <c r="DO58" s="505"/>
      <c r="DP58" s="505"/>
      <c r="DQ58" s="505"/>
      <c r="DR58" s="505"/>
      <c r="DS58" s="505"/>
      <c r="DT58" s="505"/>
      <c r="DU58" s="505"/>
      <c r="DV58" s="505"/>
      <c r="DW58" s="505"/>
      <c r="DX58" s="505"/>
      <c r="DY58" s="505"/>
      <c r="DZ58" s="505"/>
      <c r="EA58" s="505"/>
      <c r="EB58" s="505"/>
      <c r="EC58" s="505"/>
      <c r="ED58" s="505"/>
      <c r="EE58" s="505"/>
      <c r="EF58" s="505"/>
      <c r="EG58" s="505"/>
      <c r="EH58" s="505"/>
      <c r="EI58" s="505"/>
      <c r="EJ58" s="505"/>
      <c r="EK58" s="505"/>
      <c r="EL58" s="505"/>
      <c r="EM58" s="505"/>
      <c r="EN58" s="505"/>
      <c r="EO58" s="505"/>
      <c r="EP58" s="505"/>
      <c r="EQ58" s="500"/>
      <c r="ER58" s="500"/>
      <c r="ES58" s="500"/>
      <c r="ET58" s="500"/>
      <c r="EU58" s="500"/>
      <c r="EV58" s="500"/>
      <c r="EW58" s="500"/>
      <c r="EX58" s="500"/>
      <c r="EY58" s="500"/>
      <c r="EZ58" s="500"/>
      <c r="FA58" s="500"/>
      <c r="FB58" s="500"/>
      <c r="FC58" s="500"/>
      <c r="FD58" s="500"/>
      <c r="FE58" s="500"/>
      <c r="FF58" s="500"/>
      <c r="FG58" s="500"/>
      <c r="FH58" s="500"/>
      <c r="FI58" s="500"/>
      <c r="FJ58" s="500"/>
      <c r="FK58" s="500"/>
      <c r="FL58" s="500"/>
      <c r="FM58" s="500"/>
      <c r="FN58" s="500"/>
      <c r="FO58" s="500"/>
      <c r="FP58" s="500"/>
      <c r="FQ58" s="500"/>
      <c r="FR58" s="500"/>
      <c r="FS58" s="500"/>
      <c r="FT58" s="500"/>
      <c r="FU58" s="500"/>
      <c r="FV58" s="500"/>
      <c r="FW58" s="500"/>
      <c r="FX58" s="500"/>
      <c r="FY58" s="500"/>
      <c r="FZ58" s="500"/>
      <c r="GA58" s="500"/>
      <c r="GB58" s="500"/>
      <c r="GC58" s="500"/>
      <c r="GD58" s="500"/>
      <c r="GE58" s="500"/>
      <c r="GF58" s="500"/>
      <c r="GG58" s="500"/>
      <c r="GH58" s="500"/>
      <c r="GI58" s="500"/>
      <c r="GJ58" s="500"/>
      <c r="GK58" s="500"/>
      <c r="GL58" s="500"/>
      <c r="GM58" s="500"/>
      <c r="GN58" s="500"/>
      <c r="GO58" s="500"/>
      <c r="GP58" s="500"/>
      <c r="GQ58" s="500"/>
      <c r="GR58" s="500"/>
      <c r="GS58" s="500"/>
      <c r="GT58" s="500"/>
      <c r="GU58" s="500"/>
      <c r="GV58" s="500"/>
      <c r="GW58" s="500"/>
      <c r="GX58" s="500"/>
      <c r="GY58" s="500"/>
      <c r="GZ58" s="500"/>
      <c r="HA58" s="500"/>
      <c r="HB58" s="500"/>
      <c r="HC58" s="500"/>
      <c r="HD58" s="500"/>
      <c r="HE58" s="500"/>
      <c r="HF58" s="500"/>
      <c r="HG58" s="500"/>
      <c r="HH58" s="500"/>
      <c r="HI58" s="500"/>
      <c r="HJ58" s="500"/>
      <c r="HK58" s="500"/>
      <c r="HL58" s="500"/>
      <c r="HM58" s="500"/>
      <c r="HN58" s="500"/>
      <c r="HO58" s="500"/>
      <c r="HP58" s="500"/>
      <c r="HQ58" s="500"/>
      <c r="HR58" s="500"/>
      <c r="HS58" s="500"/>
      <c r="HT58" s="500"/>
      <c r="HU58" s="500"/>
      <c r="HV58" s="500"/>
      <c r="HW58" s="500"/>
      <c r="HX58" s="500"/>
      <c r="HY58" s="500"/>
      <c r="HZ58" s="500"/>
      <c r="IA58" s="500"/>
      <c r="IB58" s="500"/>
      <c r="IC58" s="500">
        <v>60</v>
      </c>
      <c r="ID58" s="500">
        <v>60</v>
      </c>
      <c r="IE58" s="500">
        <v>61</v>
      </c>
      <c r="IF58" s="540">
        <v>61</v>
      </c>
      <c r="IG58" s="500">
        <v>61</v>
      </c>
      <c r="IH58" s="500"/>
      <c r="II58" s="500"/>
      <c r="IJ58" s="500"/>
      <c r="IK58" s="500"/>
      <c r="IL58" s="500"/>
      <c r="IM58" s="500"/>
      <c r="IN58" s="500"/>
      <c r="IO58" s="500"/>
      <c r="IP58" s="500"/>
      <c r="IQ58" s="500"/>
      <c r="IR58" s="500"/>
      <c r="IS58" s="500"/>
      <c r="IT58" s="500"/>
      <c r="IU58" s="500"/>
      <c r="IV58" s="500"/>
      <c r="IW58" s="500"/>
      <c r="IX58" s="500"/>
      <c r="IY58" s="500"/>
      <c r="IZ58" s="500"/>
      <c r="JA58" s="500"/>
      <c r="JB58" s="500"/>
      <c r="JC58" s="500"/>
      <c r="JD58" s="500"/>
      <c r="JE58" s="500"/>
      <c r="JF58" s="500"/>
      <c r="JG58" s="500"/>
      <c r="JH58" s="500"/>
      <c r="JI58" s="500"/>
      <c r="JJ58" s="500"/>
      <c r="JK58" s="500"/>
      <c r="JL58" s="500"/>
      <c r="JM58" s="500"/>
      <c r="JN58" s="500"/>
      <c r="JO58" s="500"/>
      <c r="JP58" s="500"/>
      <c r="JQ58" s="500"/>
      <c r="JR58" s="500"/>
      <c r="JS58" s="500"/>
      <c r="JT58" s="500"/>
      <c r="JU58" s="500"/>
      <c r="JV58" s="500"/>
      <c r="JW58" s="500"/>
      <c r="JX58" s="500"/>
      <c r="JY58" s="500"/>
      <c r="JZ58" s="500"/>
      <c r="KA58" s="500"/>
      <c r="KB58" s="500"/>
      <c r="KC58" s="500"/>
      <c r="KD58" s="500"/>
      <c r="KE58" s="500"/>
      <c r="KF58" s="500"/>
      <c r="KG58" s="500"/>
      <c r="KH58" s="500"/>
      <c r="KI58" s="500"/>
      <c r="KJ58" s="500"/>
      <c r="KK58" s="500"/>
      <c r="KL58" s="500"/>
      <c r="KM58" s="500"/>
      <c r="KN58" s="500"/>
      <c r="KO58" s="500"/>
      <c r="KP58" s="500"/>
      <c r="KQ58" s="500"/>
      <c r="KR58" s="500"/>
      <c r="KS58" s="500"/>
      <c r="KT58" s="500"/>
      <c r="KU58" s="500"/>
      <c r="KV58" s="500"/>
      <c r="KW58" s="500"/>
      <c r="KX58" s="500"/>
      <c r="KY58" s="500"/>
      <c r="KZ58" s="500"/>
      <c r="LA58" s="500"/>
      <c r="LB58" s="500"/>
      <c r="LC58" s="500"/>
      <c r="LD58" s="500"/>
      <c r="LE58" s="500"/>
      <c r="LF58" s="500"/>
      <c r="LG58" s="500"/>
      <c r="LH58" s="500"/>
      <c r="LI58" s="500"/>
      <c r="LJ58" s="500"/>
      <c r="LK58" s="500"/>
      <c r="LL58" s="500"/>
      <c r="LM58" s="500"/>
      <c r="LN58" s="500"/>
      <c r="LO58" s="500"/>
      <c r="LP58" s="500"/>
      <c r="LQ58" s="500"/>
      <c r="LR58" s="500"/>
      <c r="LS58" s="500"/>
      <c r="LT58" s="500"/>
      <c r="LU58" s="500"/>
      <c r="LV58" s="500"/>
      <c r="LW58" s="500"/>
      <c r="LX58" s="500"/>
      <c r="LY58" s="500"/>
      <c r="LZ58" s="500"/>
      <c r="MA58" s="500"/>
      <c r="MB58" s="500"/>
      <c r="MC58" s="500"/>
      <c r="MD58" s="500"/>
      <c r="ME58" s="500"/>
      <c r="MF58" s="500"/>
      <c r="MG58" s="500"/>
      <c r="MH58" s="500"/>
      <c r="MI58" s="500"/>
      <c r="MJ58" s="500"/>
      <c r="MK58" s="500"/>
      <c r="ML58" s="500"/>
      <c r="MM58" s="500"/>
      <c r="MN58" s="500"/>
      <c r="MO58" s="500"/>
      <c r="MP58" s="500"/>
      <c r="MQ58" s="500"/>
      <c r="MR58" s="500"/>
      <c r="MS58" s="500"/>
      <c r="MT58" s="500"/>
      <c r="MU58" s="500"/>
      <c r="MV58" s="500"/>
      <c r="MW58" s="500"/>
      <c r="MX58" s="500"/>
      <c r="MY58" s="500"/>
      <c r="MZ58" s="500"/>
      <c r="NA58" s="500"/>
      <c r="NB58" s="500"/>
      <c r="NC58" s="500"/>
      <c r="ND58" s="500"/>
      <c r="NE58" s="500"/>
      <c r="NF58" s="500"/>
      <c r="NG58" s="500"/>
      <c r="NH58" s="500"/>
      <c r="NI58" s="500">
        <v>62</v>
      </c>
      <c r="NJ58" s="500">
        <v>62</v>
      </c>
      <c r="NK58" s="500">
        <v>62</v>
      </c>
      <c r="NL58" s="540">
        <v>60</v>
      </c>
      <c r="NM58" s="500">
        <v>58</v>
      </c>
      <c r="NN58" s="500">
        <v>58</v>
      </c>
      <c r="NO58" s="500"/>
      <c r="NP58" s="500"/>
      <c r="NQ58" s="500"/>
      <c r="NR58" s="500"/>
      <c r="NS58" s="500"/>
      <c r="NT58" s="500"/>
      <c r="NU58" s="500"/>
      <c r="NV58" s="500"/>
      <c r="NW58" s="500"/>
      <c r="NX58" s="500"/>
      <c r="NY58" s="500"/>
      <c r="NZ58" s="500"/>
      <c r="OA58" s="500"/>
      <c r="OB58" s="500"/>
      <c r="OC58" s="500"/>
      <c r="OD58" s="500"/>
      <c r="OE58" s="500"/>
      <c r="OF58" s="500"/>
      <c r="OG58" s="500"/>
      <c r="OH58" s="500"/>
      <c r="OI58" s="500"/>
      <c r="OJ58" s="500"/>
      <c r="OK58" s="500"/>
      <c r="OL58" s="500"/>
      <c r="OM58" s="500"/>
      <c r="ON58" s="500"/>
      <c r="OO58" s="500"/>
      <c r="OP58" s="500"/>
      <c r="OQ58" s="500"/>
      <c r="OR58" s="500"/>
      <c r="OS58" s="500"/>
      <c r="OT58" s="500"/>
      <c r="OU58" s="500"/>
      <c r="OV58" s="500"/>
      <c r="OW58" s="500"/>
      <c r="OX58" s="500"/>
      <c r="OY58" s="500"/>
      <c r="OZ58" s="500"/>
      <c r="PA58" s="500"/>
      <c r="PB58" s="500"/>
      <c r="PC58" s="500"/>
      <c r="PD58" s="500"/>
      <c r="PE58" s="500"/>
      <c r="PF58" s="500"/>
      <c r="PG58" s="500"/>
      <c r="PH58" s="500"/>
      <c r="PI58" s="500"/>
      <c r="PJ58" s="500"/>
      <c r="PK58" s="500"/>
      <c r="PL58" s="500"/>
      <c r="PM58" s="500"/>
      <c r="PN58" s="500"/>
      <c r="PO58" s="500"/>
      <c r="PP58" s="500"/>
      <c r="PQ58" s="500"/>
      <c r="PR58" s="500"/>
      <c r="PS58" s="500"/>
      <c r="PT58" s="500"/>
      <c r="PU58" s="500"/>
      <c r="PV58" s="500"/>
      <c r="PW58" s="500"/>
      <c r="PX58" s="500"/>
      <c r="PY58" s="500"/>
      <c r="PZ58" s="500"/>
      <c r="QA58" s="500"/>
      <c r="QB58" s="500"/>
      <c r="QC58" s="500"/>
      <c r="QD58" s="500"/>
      <c r="QE58" s="500"/>
      <c r="QF58" s="500"/>
      <c r="QG58" s="500"/>
      <c r="QH58" s="500"/>
      <c r="QI58" s="500"/>
      <c r="QJ58" s="500"/>
      <c r="QK58" s="500"/>
      <c r="QL58" s="500"/>
      <c r="QM58" s="500"/>
      <c r="QN58" s="500"/>
      <c r="QO58" s="500"/>
      <c r="QP58" s="500"/>
      <c r="QQ58" s="500"/>
      <c r="QR58" s="500"/>
      <c r="QS58" s="500"/>
      <c r="QT58" s="500"/>
      <c r="QU58" s="500"/>
      <c r="QV58" s="500"/>
      <c r="QW58" s="500"/>
      <c r="QX58" s="500"/>
      <c r="QY58" s="500"/>
      <c r="QZ58" s="500"/>
      <c r="RA58" s="500"/>
      <c r="RB58" s="500"/>
      <c r="RC58" s="500"/>
      <c r="RD58" s="500"/>
      <c r="RE58" s="500"/>
      <c r="RF58" s="500"/>
      <c r="RG58" s="500"/>
      <c r="RH58" s="500"/>
      <c r="RI58" s="500"/>
      <c r="RJ58" s="500"/>
      <c r="RK58" s="500"/>
      <c r="RL58" s="500"/>
      <c r="RM58" s="500"/>
      <c r="RN58" s="500"/>
      <c r="RO58" s="500"/>
      <c r="RP58" s="500"/>
      <c r="RQ58" s="500"/>
      <c r="RR58" s="500"/>
      <c r="RS58" s="500"/>
      <c r="RT58" s="500"/>
      <c r="RU58" s="500"/>
      <c r="RV58" s="500"/>
      <c r="RW58" s="500"/>
      <c r="RX58" s="500"/>
      <c r="RY58" s="500"/>
      <c r="RZ58" s="500"/>
      <c r="SA58" s="500"/>
      <c r="SB58" s="500"/>
      <c r="SC58" s="500"/>
      <c r="SD58" s="500"/>
      <c r="SE58" s="500"/>
      <c r="SF58" s="500"/>
      <c r="SG58" s="500"/>
      <c r="SH58" s="500"/>
      <c r="SI58" s="500"/>
      <c r="SJ58" s="500"/>
      <c r="SK58" s="500"/>
      <c r="SL58" s="500"/>
      <c r="SM58" s="500"/>
      <c r="SN58" s="500"/>
      <c r="SO58" s="500"/>
      <c r="SP58" s="500"/>
      <c r="SQ58" s="500"/>
      <c r="SR58" s="540">
        <v>67.400000000000006</v>
      </c>
      <c r="SS58" s="500">
        <v>67.400000000000006</v>
      </c>
      <c r="ST58" s="500"/>
      <c r="SU58" s="500"/>
      <c r="SV58" s="500"/>
      <c r="SW58" s="500"/>
      <c r="SX58" s="500"/>
      <c r="SY58" s="500"/>
      <c r="SZ58" s="500"/>
      <c r="TA58" s="500"/>
      <c r="TB58" s="500"/>
      <c r="TC58" s="500"/>
      <c r="TD58" s="500"/>
      <c r="TE58" s="500"/>
      <c r="TF58" s="500"/>
      <c r="TG58" s="500"/>
      <c r="TH58" s="500"/>
      <c r="TI58" s="500"/>
      <c r="TJ58" s="500"/>
      <c r="TK58" s="500"/>
      <c r="TL58" s="500"/>
      <c r="TM58" s="500"/>
      <c r="TN58" s="500"/>
      <c r="TO58" s="500"/>
      <c r="TP58" s="500"/>
      <c r="TQ58" s="500"/>
      <c r="TR58" s="500"/>
      <c r="TS58" s="500"/>
      <c r="TT58" s="500"/>
      <c r="TU58" s="500"/>
      <c r="TV58" s="500"/>
      <c r="TW58" s="500"/>
      <c r="TX58" s="500"/>
      <c r="TY58" s="500"/>
      <c r="TZ58" s="500"/>
      <c r="UA58" s="500"/>
      <c r="UB58" s="500"/>
      <c r="UC58" s="500"/>
      <c r="UD58" s="500"/>
      <c r="UE58" s="500"/>
      <c r="UF58" s="500"/>
      <c r="UG58" s="500"/>
      <c r="UH58" s="500"/>
      <c r="UI58" s="500"/>
      <c r="UJ58" s="500"/>
      <c r="UK58" s="500"/>
      <c r="UL58" s="500"/>
      <c r="UM58" s="500"/>
      <c r="UN58" s="500"/>
      <c r="UO58" s="500"/>
      <c r="UP58" s="500"/>
      <c r="UQ58" s="500"/>
      <c r="UR58" s="500"/>
      <c r="US58" s="500"/>
      <c r="UT58" s="500"/>
      <c r="UU58" s="500"/>
      <c r="UV58" s="500"/>
      <c r="UW58" s="500"/>
      <c r="UX58" s="500"/>
      <c r="UY58" s="500"/>
      <c r="UZ58" s="500"/>
      <c r="VA58" s="500"/>
      <c r="VB58" s="500"/>
      <c r="VC58" s="500"/>
      <c r="VD58" s="500"/>
      <c r="VE58" s="500"/>
      <c r="VF58" s="500"/>
      <c r="VG58" s="500"/>
      <c r="VH58" s="500"/>
      <c r="VI58" s="500"/>
      <c r="VJ58" s="500"/>
      <c r="VK58" s="500"/>
      <c r="VL58" s="500"/>
      <c r="VM58" s="500"/>
      <c r="VN58" s="500"/>
      <c r="VO58" s="500"/>
      <c r="VP58" s="500"/>
      <c r="VQ58" s="500"/>
      <c r="VR58" s="500"/>
      <c r="VS58" s="500"/>
      <c r="VT58" s="500"/>
      <c r="VU58" s="500"/>
      <c r="VV58" s="500"/>
      <c r="VW58" s="500"/>
      <c r="VX58" s="500"/>
      <c r="VY58" s="500"/>
      <c r="VZ58" s="500"/>
      <c r="WA58" s="500"/>
      <c r="WB58" s="500"/>
      <c r="WC58" s="500"/>
      <c r="WD58" s="500"/>
      <c r="WE58" s="500"/>
      <c r="WF58" s="500"/>
      <c r="WG58" s="500"/>
      <c r="WH58" s="500"/>
      <c r="WI58" s="500"/>
      <c r="WJ58" s="500"/>
      <c r="WK58" s="500"/>
      <c r="WL58" s="500"/>
      <c r="WM58" s="500"/>
      <c r="WN58" s="500"/>
      <c r="WO58" s="500"/>
      <c r="WP58" s="500"/>
      <c r="WQ58" s="500"/>
      <c r="WR58" s="500"/>
      <c r="WS58" s="500"/>
      <c r="WT58" s="500"/>
      <c r="WU58" s="500"/>
      <c r="WV58" s="500"/>
      <c r="WW58" s="500"/>
      <c r="WX58" s="500"/>
      <c r="WY58" s="500"/>
      <c r="WZ58" s="500"/>
      <c r="XA58" s="500"/>
      <c r="XB58" s="500"/>
      <c r="XC58" s="500"/>
      <c r="XD58" s="500"/>
      <c r="XE58" s="500"/>
      <c r="XF58" s="500"/>
      <c r="XG58" s="500"/>
      <c r="XH58" s="500"/>
      <c r="XI58" s="500"/>
      <c r="XJ58" s="500"/>
      <c r="XK58" s="500"/>
      <c r="XL58" s="500"/>
      <c r="XM58" s="500"/>
      <c r="XN58" s="500"/>
      <c r="XO58" s="500"/>
      <c r="XP58" s="500"/>
      <c r="XQ58" s="500"/>
      <c r="XR58" s="500"/>
      <c r="XS58" s="500"/>
      <c r="XT58" s="500"/>
      <c r="XU58" s="500"/>
      <c r="XV58" s="500"/>
      <c r="XW58" s="500"/>
      <c r="XX58" s="500"/>
      <c r="XY58" s="500"/>
      <c r="XZ58" s="500"/>
      <c r="YA58" s="500"/>
      <c r="YB58" s="500"/>
      <c r="YC58" s="500"/>
      <c r="YD58" s="500"/>
      <c r="YE58" s="500"/>
      <c r="YF58" s="500"/>
      <c r="YG58" s="500"/>
      <c r="YH58" s="500"/>
      <c r="YI58" s="500"/>
      <c r="YJ58" s="500"/>
      <c r="YK58" s="500"/>
      <c r="YL58" s="500"/>
      <c r="YM58" s="500"/>
      <c r="YN58" s="500"/>
      <c r="YO58" s="500"/>
      <c r="YP58" s="500"/>
      <c r="YQ58" s="500"/>
      <c r="YR58" s="500"/>
      <c r="YS58" s="500"/>
      <c r="YT58" s="500"/>
      <c r="YU58" s="500"/>
      <c r="YV58" s="500"/>
      <c r="YW58" s="500"/>
      <c r="YX58" s="500"/>
      <c r="YY58" s="500"/>
      <c r="YZ58" s="500"/>
      <c r="ZA58" s="500"/>
      <c r="ZB58" s="500"/>
      <c r="ZC58" s="500"/>
      <c r="ZD58" s="500"/>
      <c r="ZE58" s="500"/>
      <c r="ZF58" s="500"/>
      <c r="ZG58" s="500"/>
      <c r="ZH58" s="500"/>
      <c r="ZI58" s="500"/>
      <c r="ZJ58" s="500"/>
      <c r="ZK58" s="540"/>
      <c r="ZL58" s="500"/>
      <c r="ZM58" s="500"/>
      <c r="ZN58" s="500"/>
      <c r="ZO58" s="500"/>
      <c r="ZP58" s="500"/>
      <c r="ZQ58" s="500"/>
      <c r="ZR58" s="500"/>
      <c r="ZS58" s="500"/>
      <c r="ZT58" s="500"/>
      <c r="ZU58" s="500"/>
      <c r="ZV58" s="500"/>
      <c r="ZW58" s="500"/>
      <c r="ZX58" s="500"/>
      <c r="ZY58" s="500"/>
      <c r="ZZ58" s="500"/>
      <c r="AAA58" s="500"/>
      <c r="AAB58" s="500"/>
      <c r="AAC58" s="500"/>
      <c r="AAD58" s="500"/>
      <c r="AAE58" s="500"/>
      <c r="AAF58" s="500"/>
      <c r="AAG58" s="500"/>
      <c r="AAH58" s="500"/>
      <c r="AAI58" s="500"/>
      <c r="AAJ58" s="500"/>
      <c r="AAK58" s="500"/>
      <c r="AAL58" s="500"/>
      <c r="AAM58" s="500"/>
      <c r="AAN58" s="500"/>
      <c r="AAO58" s="500"/>
      <c r="AAP58" s="500"/>
      <c r="AAQ58" s="500"/>
      <c r="AAR58" s="500"/>
      <c r="AAS58" s="500"/>
      <c r="AAT58" s="500"/>
      <c r="AAU58" s="500"/>
      <c r="AAV58" s="500"/>
      <c r="AAW58" s="500"/>
      <c r="AAX58" s="500"/>
      <c r="AAY58" s="500"/>
      <c r="AAZ58" s="500"/>
      <c r="ABA58" s="500"/>
      <c r="ABB58" s="500"/>
      <c r="ABC58" s="500"/>
      <c r="ABD58" s="500"/>
      <c r="ABE58" s="500"/>
      <c r="ABF58" s="500"/>
      <c r="ABG58" s="500"/>
      <c r="ABH58" s="500"/>
      <c r="ABI58" s="500"/>
      <c r="ABJ58" s="500"/>
      <c r="ABK58" s="500"/>
      <c r="ABL58" s="500"/>
      <c r="ABM58" s="500"/>
      <c r="ABN58" s="500"/>
      <c r="ABO58" s="500"/>
      <c r="ABP58" s="500"/>
      <c r="ABQ58" s="500"/>
      <c r="ABR58" s="500"/>
      <c r="ABS58" s="500"/>
      <c r="ABT58" s="500"/>
      <c r="ABU58" s="500"/>
      <c r="ABV58" s="500"/>
      <c r="ABW58" s="500"/>
      <c r="ABX58" s="500"/>
      <c r="ABY58" s="500"/>
      <c r="ABZ58" s="500"/>
      <c r="ACA58" s="500"/>
      <c r="ACB58" s="500"/>
      <c r="ACC58" s="500"/>
      <c r="ACD58" s="500"/>
      <c r="ACE58" s="500"/>
      <c r="ACF58" s="500"/>
      <c r="ACG58" s="500"/>
      <c r="ACH58" s="500"/>
      <c r="ACI58" s="500"/>
      <c r="ACJ58" s="500"/>
      <c r="ACK58" s="500"/>
      <c r="ACL58" s="500"/>
      <c r="ACM58" s="500"/>
      <c r="ACN58" s="500"/>
      <c r="ACO58" s="500"/>
      <c r="ACP58" s="500"/>
      <c r="ACQ58" s="500"/>
      <c r="ACR58" s="500"/>
      <c r="ACS58" s="500"/>
      <c r="ACT58" s="500"/>
      <c r="ACU58" s="500"/>
      <c r="ACV58" s="500"/>
      <c r="ACW58" s="500"/>
      <c r="ACX58" s="500"/>
      <c r="ACY58" s="500"/>
      <c r="ACZ58" s="500"/>
      <c r="ADA58" s="500"/>
      <c r="ADB58" s="500"/>
      <c r="ADC58" s="500"/>
      <c r="ADD58" s="500"/>
      <c r="ADE58" s="500"/>
      <c r="ADF58" s="500"/>
      <c r="ADG58" s="500"/>
      <c r="ADH58" s="500"/>
      <c r="ADI58" s="500"/>
      <c r="ADJ58" s="500"/>
      <c r="ADK58" s="500"/>
      <c r="ADL58" s="500"/>
      <c r="ADM58" s="500"/>
      <c r="ADN58" s="500"/>
      <c r="ADO58" s="500"/>
      <c r="ADP58" s="500"/>
      <c r="ADQ58" s="500"/>
      <c r="ADR58" s="500"/>
      <c r="ADS58" s="500"/>
      <c r="ADT58" s="500"/>
      <c r="ADU58" s="500"/>
      <c r="ADV58" s="500"/>
      <c r="ADW58" s="500"/>
      <c r="ADX58" s="500"/>
      <c r="ADY58" s="500"/>
      <c r="ADZ58" s="500"/>
      <c r="AEA58" s="500"/>
      <c r="AEB58" s="500"/>
      <c r="AEC58" s="500"/>
      <c r="AED58" s="500"/>
      <c r="AEE58" s="500"/>
      <c r="AEF58" s="500"/>
      <c r="AEG58" s="500"/>
      <c r="AEH58" s="500"/>
      <c r="AEI58" s="500"/>
      <c r="AEJ58" s="500"/>
      <c r="AEK58" s="500"/>
      <c r="AEL58" s="500"/>
      <c r="AEM58" s="500"/>
      <c r="AEN58" s="540"/>
      <c r="AEO58" s="500"/>
      <c r="AEP58" s="500"/>
      <c r="AEQ58" s="500"/>
      <c r="AER58" s="500"/>
      <c r="AES58" s="500"/>
      <c r="AET58" s="500"/>
      <c r="AEU58" s="500"/>
      <c r="AEV58" s="500"/>
      <c r="AEW58" s="500"/>
      <c r="AEX58" s="500"/>
      <c r="AEY58" s="500"/>
      <c r="AEZ58" s="500"/>
      <c r="AFA58" s="500"/>
      <c r="AFB58" s="500"/>
      <c r="AFC58" s="500"/>
      <c r="AFD58" s="500"/>
      <c r="AFE58" s="500"/>
      <c r="AFF58" s="500"/>
      <c r="AFG58" s="500"/>
      <c r="AFH58" s="500"/>
      <c r="AFI58" s="500"/>
      <c r="AFJ58" s="500"/>
      <c r="AFK58" s="500"/>
      <c r="AFL58" s="500"/>
      <c r="AFM58" s="500"/>
      <c r="AFN58" s="500"/>
      <c r="AFO58" s="500"/>
      <c r="AFP58" s="500"/>
      <c r="AFQ58" s="500"/>
      <c r="AFR58" s="500"/>
      <c r="AFS58" s="500"/>
      <c r="AFT58" s="500"/>
      <c r="AFU58" s="500"/>
      <c r="AFV58" s="500"/>
      <c r="AFW58" s="500"/>
      <c r="AFX58" s="500"/>
      <c r="AFY58" s="500"/>
      <c r="AFZ58" s="500"/>
      <c r="AGA58" s="500"/>
      <c r="AGB58" s="500"/>
      <c r="AGC58" s="500"/>
      <c r="AGD58" s="500"/>
      <c r="AGE58" s="500"/>
      <c r="AGF58" s="500"/>
      <c r="AGG58" s="500"/>
      <c r="AGH58" s="500"/>
      <c r="AGI58" s="500"/>
      <c r="AGJ58" s="500"/>
      <c r="AGK58" s="500"/>
      <c r="AGL58" s="500"/>
      <c r="AGM58" s="500"/>
      <c r="AGN58" s="500"/>
      <c r="AGO58" s="500"/>
      <c r="AGP58" s="500"/>
      <c r="AGQ58" s="500"/>
      <c r="AGR58" s="500"/>
      <c r="AGS58" s="500"/>
      <c r="AGT58" s="500"/>
      <c r="AGU58" s="500"/>
      <c r="AGV58" s="500"/>
      <c r="AGW58" s="500"/>
      <c r="AGX58" s="500"/>
      <c r="AGY58" s="500"/>
      <c r="AGZ58" s="500"/>
      <c r="AHA58" s="500"/>
      <c r="AHB58" s="500"/>
      <c r="AHC58" s="500"/>
      <c r="AHD58" s="500"/>
      <c r="AHE58" s="500"/>
      <c r="AHF58" s="500"/>
      <c r="AHG58" s="500"/>
      <c r="AHH58" s="500"/>
      <c r="AHI58" s="500"/>
      <c r="AHJ58" s="500"/>
      <c r="AHK58" s="500"/>
      <c r="AHL58" s="500"/>
      <c r="AHM58" s="500"/>
      <c r="AHN58" s="500"/>
      <c r="AHO58" s="500"/>
      <c r="AHP58" s="500"/>
      <c r="AHQ58" s="500"/>
      <c r="AHR58" s="500"/>
      <c r="AHS58" s="500"/>
      <c r="AHT58" s="500"/>
      <c r="AHU58" s="500"/>
      <c r="AHV58" s="500"/>
      <c r="AHW58" s="500"/>
      <c r="AHX58" s="500"/>
      <c r="AHY58" s="500"/>
      <c r="AHZ58" s="500"/>
      <c r="AIA58" s="500"/>
      <c r="AIB58" s="500"/>
      <c r="AIC58" s="500"/>
      <c r="AID58" s="500"/>
      <c r="AIE58" s="500"/>
      <c r="AIF58" s="500"/>
      <c r="AIG58" s="500"/>
      <c r="AIH58" s="500"/>
      <c r="AII58" s="500"/>
      <c r="AIJ58" s="500"/>
      <c r="AIK58" s="500"/>
      <c r="AIL58" s="500"/>
      <c r="AIM58" s="500"/>
      <c r="AIN58" s="500"/>
      <c r="AIO58" s="500"/>
      <c r="AIP58" s="500"/>
      <c r="AIQ58" s="500"/>
      <c r="AIR58" s="500"/>
      <c r="AIS58" s="500"/>
      <c r="AIT58" s="500"/>
      <c r="AIU58" s="500"/>
      <c r="AIV58" s="500"/>
      <c r="AIW58" s="500"/>
      <c r="AIX58" s="500"/>
      <c r="AIY58" s="500"/>
      <c r="AIZ58" s="500"/>
      <c r="AJA58" s="500"/>
      <c r="AJB58" s="500"/>
      <c r="AJC58" s="500"/>
      <c r="AJD58" s="500"/>
      <c r="AJE58" s="500"/>
      <c r="AJF58" s="500"/>
      <c r="AJG58" s="500"/>
      <c r="AJH58" s="500"/>
      <c r="AJI58" s="500"/>
      <c r="AJJ58" s="500"/>
      <c r="AJK58" s="500"/>
      <c r="AJL58" s="500"/>
      <c r="AJM58" s="500"/>
      <c r="AJN58" s="500"/>
      <c r="AJO58" s="500"/>
      <c r="AJP58" s="500"/>
      <c r="AJQ58" s="544"/>
      <c r="AJR58" s="524"/>
      <c r="AJS58" s="524"/>
      <c r="ALU58" s="500"/>
      <c r="ALV58" s="500"/>
      <c r="ALW58" s="500"/>
      <c r="ALX58" s="500"/>
      <c r="ALY58" s="500"/>
      <c r="ALZ58" s="500"/>
      <c r="AMA58" s="500"/>
      <c r="AMB58" s="500"/>
      <c r="AMC58" s="500"/>
      <c r="AMD58" s="500"/>
      <c r="AME58" s="500"/>
      <c r="AMF58" s="500"/>
      <c r="AMG58" s="500"/>
      <c r="AMH58" s="500"/>
      <c r="AMI58" s="500"/>
      <c r="AMJ58" s="500"/>
      <c r="AMK58" s="123"/>
      <c r="AML58" s="123"/>
      <c r="AMM58" s="123"/>
    </row>
    <row r="59" spans="1:1029" ht="18" hidden="1" customHeight="1" thickTop="1" thickBot="1" x14ac:dyDescent="0.35">
      <c r="A59" s="673"/>
      <c r="B59" s="669"/>
      <c r="C59" s="494" t="s">
        <v>198</v>
      </c>
      <c r="D59" s="494">
        <v>700</v>
      </c>
      <c r="E59" s="479"/>
      <c r="F59" s="479"/>
      <c r="G59" s="479"/>
      <c r="H59" s="495"/>
      <c r="I59" s="495"/>
      <c r="J59" s="495"/>
      <c r="K59" s="479" t="s">
        <v>85</v>
      </c>
      <c r="L59" s="480">
        <v>74</v>
      </c>
      <c r="M59" s="480">
        <v>54</v>
      </c>
      <c r="N59" s="480">
        <v>50.9</v>
      </c>
      <c r="O59" s="480">
        <v>55</v>
      </c>
      <c r="P59" s="481">
        <v>55</v>
      </c>
      <c r="Q59" s="481">
        <v>57</v>
      </c>
      <c r="R59" s="481">
        <v>67.849999999999994</v>
      </c>
      <c r="S59" s="481">
        <v>70</v>
      </c>
      <c r="T59" s="481">
        <v>70</v>
      </c>
      <c r="U59" s="481">
        <v>73</v>
      </c>
      <c r="V59" s="480">
        <v>59</v>
      </c>
      <c r="W59" s="481">
        <v>63.5</v>
      </c>
      <c r="X59" s="481">
        <v>63</v>
      </c>
      <c r="Y59" s="481">
        <v>66</v>
      </c>
      <c r="Z59" s="481">
        <v>67.5</v>
      </c>
      <c r="AA59" s="481">
        <v>65</v>
      </c>
      <c r="AB59" s="480">
        <v>68.5</v>
      </c>
      <c r="AC59" s="480">
        <v>68.5</v>
      </c>
      <c r="AD59" s="482">
        <v>64</v>
      </c>
      <c r="AE59" s="483">
        <v>67</v>
      </c>
      <c r="AF59" s="483">
        <v>67</v>
      </c>
      <c r="AG59" s="483">
        <v>68</v>
      </c>
      <c r="AH59" s="483">
        <v>70</v>
      </c>
      <c r="AI59" s="483">
        <v>70.5</v>
      </c>
      <c r="AJ59" s="483">
        <v>70.5</v>
      </c>
      <c r="AK59" s="484">
        <v>72.5</v>
      </c>
      <c r="AL59" s="484">
        <v>67.5</v>
      </c>
      <c r="AM59" s="483">
        <v>67.5</v>
      </c>
      <c r="AN59" s="479"/>
      <c r="AO59" s="479"/>
      <c r="AP59" s="479"/>
      <c r="AQ59" s="479"/>
      <c r="AR59" s="479"/>
      <c r="AS59" s="479"/>
      <c r="AT59" s="479"/>
      <c r="AU59" s="479"/>
      <c r="AV59" s="479"/>
      <c r="AW59" s="479"/>
      <c r="AX59" s="479"/>
      <c r="AY59" s="479"/>
      <c r="AZ59" s="479"/>
      <c r="BA59" s="479"/>
      <c r="BB59" s="479"/>
      <c r="BC59" s="479"/>
      <c r="BD59" s="479"/>
      <c r="BE59" s="479"/>
      <c r="BF59" s="479"/>
      <c r="BG59" s="479"/>
      <c r="BH59" s="479"/>
      <c r="BI59" s="479"/>
      <c r="BJ59" s="479"/>
      <c r="BK59" s="479"/>
      <c r="BL59" s="479"/>
      <c r="BM59" s="479"/>
      <c r="BN59" s="479"/>
      <c r="BO59" s="479"/>
      <c r="BP59" s="479"/>
      <c r="BQ59" s="479"/>
      <c r="BR59" s="479"/>
      <c r="BS59" s="479"/>
      <c r="BT59" s="479"/>
      <c r="BU59" s="479"/>
      <c r="BV59" s="479"/>
      <c r="BW59" s="479"/>
      <c r="BX59" s="479"/>
      <c r="BY59" s="479"/>
      <c r="BZ59" s="479"/>
      <c r="CA59" s="479"/>
      <c r="CB59" s="479"/>
      <c r="CC59" s="496"/>
      <c r="CD59" s="496"/>
      <c r="CE59" s="496"/>
      <c r="CF59" s="496"/>
      <c r="CG59" s="496"/>
      <c r="CH59" s="496"/>
      <c r="CI59" s="496"/>
      <c r="CJ59" s="496"/>
      <c r="CK59" s="496"/>
      <c r="CL59" s="496"/>
      <c r="CM59" s="496"/>
      <c r="CN59" s="496"/>
      <c r="CO59" s="496"/>
      <c r="CP59" s="496"/>
      <c r="CQ59" s="496"/>
      <c r="CR59" s="496"/>
      <c r="CS59" s="496"/>
      <c r="CT59" s="496"/>
      <c r="CU59" s="496"/>
      <c r="CV59" s="496"/>
      <c r="CW59" s="496">
        <v>65</v>
      </c>
      <c r="CX59" s="496">
        <v>68</v>
      </c>
      <c r="CY59" s="496">
        <v>70</v>
      </c>
      <c r="CZ59" s="541">
        <v>69</v>
      </c>
      <c r="DA59" s="496">
        <v>67</v>
      </c>
      <c r="DB59" s="496"/>
      <c r="DC59" s="496"/>
      <c r="DD59" s="496"/>
      <c r="DE59" s="496"/>
      <c r="DF59" s="496"/>
      <c r="DG59" s="496"/>
      <c r="DH59" s="496"/>
      <c r="DI59" s="496"/>
      <c r="DJ59" s="496"/>
      <c r="DK59" s="496"/>
      <c r="DL59" s="496"/>
      <c r="DM59" s="496"/>
      <c r="DN59" s="496"/>
      <c r="DO59" s="496"/>
      <c r="DP59" s="496"/>
      <c r="DQ59" s="496"/>
      <c r="DR59" s="496"/>
      <c r="DS59" s="496"/>
      <c r="DT59" s="496"/>
      <c r="DU59" s="496"/>
      <c r="DV59" s="496"/>
      <c r="DW59" s="496"/>
      <c r="DX59" s="496"/>
      <c r="DY59" s="496"/>
      <c r="DZ59" s="496"/>
      <c r="EA59" s="496"/>
      <c r="EB59" s="496"/>
      <c r="EC59" s="496"/>
      <c r="ED59" s="496"/>
      <c r="EE59" s="496"/>
      <c r="EF59" s="496"/>
      <c r="EG59" s="496"/>
      <c r="EH59" s="496"/>
      <c r="EI59" s="496"/>
      <c r="EJ59" s="496"/>
      <c r="EK59" s="496"/>
      <c r="EL59" s="496"/>
      <c r="EM59" s="496"/>
      <c r="EN59" s="496"/>
      <c r="EO59" s="496"/>
      <c r="EP59" s="496"/>
      <c r="EQ59" s="479"/>
      <c r="ER59" s="479"/>
      <c r="ES59" s="479"/>
      <c r="ET59" s="479"/>
      <c r="EU59" s="479"/>
      <c r="EV59" s="479"/>
      <c r="EW59" s="479"/>
      <c r="EX59" s="479"/>
      <c r="EY59" s="479"/>
      <c r="EZ59" s="479"/>
      <c r="FA59" s="479"/>
      <c r="FB59" s="479"/>
      <c r="FC59" s="479"/>
      <c r="FD59" s="479"/>
      <c r="FE59" s="479"/>
      <c r="FF59" s="479"/>
      <c r="FG59" s="479"/>
      <c r="FH59" s="479"/>
      <c r="FI59" s="479"/>
      <c r="FJ59" s="479"/>
      <c r="FK59" s="479"/>
      <c r="FL59" s="479"/>
      <c r="FM59" s="479"/>
      <c r="FN59" s="479"/>
      <c r="FO59" s="479"/>
      <c r="FP59" s="479"/>
      <c r="FQ59" s="479"/>
      <c r="FR59" s="479"/>
      <c r="FS59" s="479"/>
      <c r="FT59" s="479"/>
      <c r="FU59" s="479"/>
      <c r="FV59" s="479"/>
      <c r="FW59" s="479"/>
      <c r="FX59" s="479"/>
      <c r="FY59" s="479"/>
      <c r="FZ59" s="479"/>
      <c r="GA59" s="479"/>
      <c r="GB59" s="479"/>
      <c r="GC59" s="479"/>
      <c r="GD59" s="479"/>
      <c r="GE59" s="479"/>
      <c r="GF59" s="479"/>
      <c r="GG59" s="479"/>
      <c r="GH59" s="479"/>
      <c r="GI59" s="479"/>
      <c r="GJ59" s="479"/>
      <c r="GK59" s="479"/>
      <c r="GL59" s="479"/>
      <c r="GM59" s="479"/>
      <c r="GN59" s="479"/>
      <c r="GO59" s="479"/>
      <c r="GP59" s="479"/>
      <c r="GQ59" s="479"/>
      <c r="GR59" s="479"/>
      <c r="GS59" s="479"/>
      <c r="GT59" s="479"/>
      <c r="GU59" s="479"/>
      <c r="GV59" s="479"/>
      <c r="GW59" s="479"/>
      <c r="GX59" s="479"/>
      <c r="GY59" s="479"/>
      <c r="GZ59" s="479"/>
      <c r="HA59" s="479"/>
      <c r="HB59" s="479"/>
      <c r="HC59" s="479"/>
      <c r="HD59" s="479"/>
      <c r="HE59" s="479"/>
      <c r="HF59" s="479"/>
      <c r="HG59" s="479"/>
      <c r="HH59" s="479"/>
      <c r="HI59" s="479"/>
      <c r="HJ59" s="479"/>
      <c r="HK59" s="479"/>
      <c r="HL59" s="479"/>
      <c r="HM59" s="479"/>
      <c r="HN59" s="479"/>
      <c r="HO59" s="479"/>
      <c r="HP59" s="479"/>
      <c r="HQ59" s="479"/>
      <c r="HR59" s="479"/>
      <c r="HS59" s="479"/>
      <c r="HT59" s="479"/>
      <c r="HU59" s="479"/>
      <c r="HV59" s="479"/>
      <c r="HW59" s="479"/>
      <c r="HX59" s="479"/>
      <c r="HY59" s="479"/>
      <c r="HZ59" s="479"/>
      <c r="IA59" s="479"/>
      <c r="IB59" s="479"/>
      <c r="IC59" s="479">
        <v>63</v>
      </c>
      <c r="ID59" s="479">
        <v>63</v>
      </c>
      <c r="IE59" s="479">
        <v>64</v>
      </c>
      <c r="IF59" s="541">
        <v>64</v>
      </c>
      <c r="IG59" s="479">
        <v>63</v>
      </c>
      <c r="IH59" s="479"/>
      <c r="II59" s="479"/>
      <c r="IJ59" s="479"/>
      <c r="IK59" s="479"/>
      <c r="IL59" s="479"/>
      <c r="IM59" s="479"/>
      <c r="IN59" s="479"/>
      <c r="IO59" s="479"/>
      <c r="IP59" s="479"/>
      <c r="IQ59" s="479"/>
      <c r="IR59" s="479"/>
      <c r="IS59" s="479"/>
      <c r="IT59" s="479"/>
      <c r="IU59" s="479"/>
      <c r="IV59" s="479"/>
      <c r="IW59" s="479"/>
      <c r="IX59" s="479"/>
      <c r="IY59" s="479"/>
      <c r="IZ59" s="479"/>
      <c r="JA59" s="479"/>
      <c r="JB59" s="479"/>
      <c r="JC59" s="479"/>
      <c r="JD59" s="479"/>
      <c r="JE59" s="479"/>
      <c r="JF59" s="479"/>
      <c r="JG59" s="479"/>
      <c r="JH59" s="479"/>
      <c r="JI59" s="479"/>
      <c r="JJ59" s="479"/>
      <c r="JK59" s="479"/>
      <c r="JL59" s="479"/>
      <c r="JM59" s="479"/>
      <c r="JN59" s="479"/>
      <c r="JO59" s="479"/>
      <c r="JP59" s="479"/>
      <c r="JQ59" s="479"/>
      <c r="JR59" s="479"/>
      <c r="JS59" s="479"/>
      <c r="JT59" s="479"/>
      <c r="JU59" s="479"/>
      <c r="JV59" s="479"/>
      <c r="JW59" s="479"/>
      <c r="JX59" s="479"/>
      <c r="JY59" s="479"/>
      <c r="JZ59" s="479"/>
      <c r="KA59" s="479"/>
      <c r="KB59" s="479"/>
      <c r="KC59" s="479"/>
      <c r="KD59" s="479"/>
      <c r="KE59" s="479"/>
      <c r="KF59" s="479"/>
      <c r="KG59" s="479"/>
      <c r="KH59" s="479"/>
      <c r="KI59" s="479"/>
      <c r="KJ59" s="479"/>
      <c r="KK59" s="479"/>
      <c r="KL59" s="479"/>
      <c r="KM59" s="479"/>
      <c r="KN59" s="479"/>
      <c r="KO59" s="479"/>
      <c r="KP59" s="479"/>
      <c r="KQ59" s="479"/>
      <c r="KR59" s="479"/>
      <c r="KS59" s="479"/>
      <c r="KT59" s="479"/>
      <c r="KU59" s="479"/>
      <c r="KV59" s="479"/>
      <c r="KW59" s="479"/>
      <c r="KX59" s="479"/>
      <c r="KY59" s="479"/>
      <c r="KZ59" s="479"/>
      <c r="LA59" s="479"/>
      <c r="LB59" s="479"/>
      <c r="LC59" s="479"/>
      <c r="LD59" s="479"/>
      <c r="LE59" s="479"/>
      <c r="LF59" s="479"/>
      <c r="LG59" s="479"/>
      <c r="LH59" s="479"/>
      <c r="LI59" s="479"/>
      <c r="LJ59" s="479"/>
      <c r="LK59" s="479"/>
      <c r="LL59" s="479"/>
      <c r="LM59" s="479"/>
      <c r="LN59" s="479"/>
      <c r="LO59" s="479"/>
      <c r="LP59" s="479"/>
      <c r="LQ59" s="479"/>
      <c r="LR59" s="479"/>
      <c r="LS59" s="479"/>
      <c r="LT59" s="479"/>
      <c r="LU59" s="479"/>
      <c r="LV59" s="479"/>
      <c r="LW59" s="479"/>
      <c r="LX59" s="479"/>
      <c r="LY59" s="479"/>
      <c r="LZ59" s="479"/>
      <c r="MA59" s="479"/>
      <c r="MB59" s="479"/>
      <c r="MC59" s="479"/>
      <c r="MD59" s="479"/>
      <c r="ME59" s="479"/>
      <c r="MF59" s="479"/>
      <c r="MG59" s="479"/>
      <c r="MH59" s="479"/>
      <c r="MI59" s="479"/>
      <c r="MJ59" s="479"/>
      <c r="MK59" s="479"/>
      <c r="ML59" s="479"/>
      <c r="MM59" s="479"/>
      <c r="MN59" s="479"/>
      <c r="MO59" s="479"/>
      <c r="MP59" s="479"/>
      <c r="MQ59" s="479"/>
      <c r="MR59" s="479"/>
      <c r="MS59" s="479"/>
      <c r="MT59" s="479"/>
      <c r="MU59" s="479"/>
      <c r="MV59" s="479"/>
      <c r="MW59" s="479"/>
      <c r="MX59" s="479"/>
      <c r="MY59" s="479"/>
      <c r="MZ59" s="479"/>
      <c r="NA59" s="479"/>
      <c r="NB59" s="479"/>
      <c r="NC59" s="479"/>
      <c r="ND59" s="479"/>
      <c r="NE59" s="479"/>
      <c r="NF59" s="479"/>
      <c r="NG59" s="479"/>
      <c r="NH59" s="479"/>
      <c r="NI59" s="479">
        <v>68</v>
      </c>
      <c r="NJ59" s="479">
        <v>68</v>
      </c>
      <c r="NK59" s="479">
        <v>68</v>
      </c>
      <c r="NL59" s="541">
        <v>66</v>
      </c>
      <c r="NM59" s="479">
        <v>64</v>
      </c>
      <c r="NN59" s="479">
        <v>64</v>
      </c>
      <c r="NO59" s="479"/>
      <c r="NP59" s="479"/>
      <c r="NQ59" s="479"/>
      <c r="NR59" s="479"/>
      <c r="NS59" s="479"/>
      <c r="NT59" s="479"/>
      <c r="NU59" s="479"/>
      <c r="NV59" s="479"/>
      <c r="NW59" s="479"/>
      <c r="NX59" s="479"/>
      <c r="NY59" s="479"/>
      <c r="NZ59" s="479"/>
      <c r="OA59" s="479"/>
      <c r="OB59" s="479"/>
      <c r="OC59" s="479"/>
      <c r="OD59" s="479"/>
      <c r="OE59" s="479"/>
      <c r="OF59" s="479"/>
      <c r="OG59" s="479"/>
      <c r="OH59" s="479"/>
      <c r="OI59" s="479"/>
      <c r="OJ59" s="479"/>
      <c r="OK59" s="479"/>
      <c r="OL59" s="479"/>
      <c r="OM59" s="479"/>
      <c r="ON59" s="479"/>
      <c r="OO59" s="479"/>
      <c r="OP59" s="479"/>
      <c r="OQ59" s="479"/>
      <c r="OR59" s="479"/>
      <c r="OS59" s="479"/>
      <c r="OT59" s="479"/>
      <c r="OU59" s="479"/>
      <c r="OV59" s="479"/>
      <c r="OW59" s="479"/>
      <c r="OX59" s="479"/>
      <c r="OY59" s="479"/>
      <c r="OZ59" s="479"/>
      <c r="PA59" s="479"/>
      <c r="PB59" s="479"/>
      <c r="PC59" s="479"/>
      <c r="PD59" s="479"/>
      <c r="PE59" s="479"/>
      <c r="PF59" s="479"/>
      <c r="PG59" s="479"/>
      <c r="PH59" s="479"/>
      <c r="PI59" s="479"/>
      <c r="PJ59" s="479"/>
      <c r="PK59" s="479"/>
      <c r="PL59" s="479"/>
      <c r="PM59" s="479"/>
      <c r="PN59" s="479"/>
      <c r="PO59" s="479"/>
      <c r="PP59" s="479"/>
      <c r="PQ59" s="479"/>
      <c r="PR59" s="479"/>
      <c r="PS59" s="479"/>
      <c r="PT59" s="479"/>
      <c r="PU59" s="479"/>
      <c r="PV59" s="479"/>
      <c r="PW59" s="479"/>
      <c r="PX59" s="479"/>
      <c r="PY59" s="479"/>
      <c r="PZ59" s="479"/>
      <c r="QA59" s="479"/>
      <c r="QB59" s="479"/>
      <c r="QC59" s="479"/>
      <c r="QD59" s="479"/>
      <c r="QE59" s="479"/>
      <c r="QF59" s="479"/>
      <c r="QG59" s="479"/>
      <c r="QH59" s="479"/>
      <c r="QI59" s="479"/>
      <c r="QJ59" s="479"/>
      <c r="QK59" s="479"/>
      <c r="QL59" s="479"/>
      <c r="QM59" s="479"/>
      <c r="QN59" s="479"/>
      <c r="QO59" s="479"/>
      <c r="QP59" s="479"/>
      <c r="QQ59" s="479"/>
      <c r="QR59" s="479"/>
      <c r="QS59" s="479"/>
      <c r="QT59" s="479"/>
      <c r="QU59" s="479"/>
      <c r="QV59" s="479"/>
      <c r="QW59" s="479"/>
      <c r="QX59" s="479"/>
      <c r="QY59" s="479"/>
      <c r="QZ59" s="479"/>
      <c r="RA59" s="479"/>
      <c r="RB59" s="479"/>
      <c r="RC59" s="479"/>
      <c r="RD59" s="479"/>
      <c r="RE59" s="479"/>
      <c r="RF59" s="479"/>
      <c r="RG59" s="479"/>
      <c r="RH59" s="479"/>
      <c r="RI59" s="479"/>
      <c r="RJ59" s="479"/>
      <c r="RK59" s="479"/>
      <c r="RL59" s="479"/>
      <c r="RM59" s="479"/>
      <c r="RN59" s="479"/>
      <c r="RO59" s="479"/>
      <c r="RP59" s="479"/>
      <c r="RQ59" s="479"/>
      <c r="RR59" s="479"/>
      <c r="RS59" s="479"/>
      <c r="RT59" s="479"/>
      <c r="RU59" s="479"/>
      <c r="RV59" s="479"/>
      <c r="RW59" s="479"/>
      <c r="RX59" s="479"/>
      <c r="RY59" s="479"/>
      <c r="RZ59" s="479"/>
      <c r="SA59" s="479"/>
      <c r="SB59" s="479"/>
      <c r="SC59" s="479"/>
      <c r="SD59" s="479"/>
      <c r="SE59" s="479"/>
      <c r="SF59" s="479"/>
      <c r="SG59" s="479"/>
      <c r="SH59" s="479"/>
      <c r="SI59" s="479"/>
      <c r="SJ59" s="479"/>
      <c r="SK59" s="479"/>
      <c r="SL59" s="479"/>
      <c r="SM59" s="479"/>
      <c r="SN59" s="479"/>
      <c r="SO59" s="479"/>
      <c r="SP59" s="479"/>
      <c r="SQ59" s="479"/>
      <c r="SR59" s="541">
        <v>74.8</v>
      </c>
      <c r="SS59" s="479">
        <v>74.8</v>
      </c>
      <c r="ST59" s="479"/>
      <c r="SU59" s="479"/>
      <c r="SV59" s="479"/>
      <c r="SW59" s="479"/>
      <c r="SX59" s="479"/>
      <c r="SY59" s="479"/>
      <c r="SZ59" s="479"/>
      <c r="TA59" s="479"/>
      <c r="TB59" s="479"/>
      <c r="TC59" s="479"/>
      <c r="TD59" s="479"/>
      <c r="TE59" s="479"/>
      <c r="TF59" s="479"/>
      <c r="TG59" s="479"/>
      <c r="TH59" s="479"/>
      <c r="TI59" s="479"/>
      <c r="TJ59" s="479"/>
      <c r="TK59" s="479"/>
      <c r="TL59" s="479"/>
      <c r="TM59" s="479"/>
      <c r="TN59" s="479"/>
      <c r="TO59" s="479"/>
      <c r="TP59" s="479"/>
      <c r="TQ59" s="479"/>
      <c r="TR59" s="479"/>
      <c r="TS59" s="479"/>
      <c r="TT59" s="479"/>
      <c r="TU59" s="479"/>
      <c r="TV59" s="479"/>
      <c r="TW59" s="479"/>
      <c r="TX59" s="479"/>
      <c r="TY59" s="479"/>
      <c r="TZ59" s="479"/>
      <c r="UA59" s="479"/>
      <c r="UB59" s="479"/>
      <c r="UC59" s="479"/>
      <c r="UD59" s="479"/>
      <c r="UE59" s="479"/>
      <c r="UF59" s="479"/>
      <c r="UG59" s="479"/>
      <c r="UH59" s="479"/>
      <c r="UI59" s="479"/>
      <c r="UJ59" s="479"/>
      <c r="UK59" s="479"/>
      <c r="UL59" s="479"/>
      <c r="UM59" s="479"/>
      <c r="UN59" s="479"/>
      <c r="UO59" s="479"/>
      <c r="UP59" s="479"/>
      <c r="UQ59" s="479"/>
      <c r="UR59" s="479"/>
      <c r="US59" s="479"/>
      <c r="UT59" s="479"/>
      <c r="UU59" s="479"/>
      <c r="UV59" s="479"/>
      <c r="UW59" s="479"/>
      <c r="UX59" s="479"/>
      <c r="UY59" s="479"/>
      <c r="UZ59" s="479"/>
      <c r="VA59" s="479"/>
      <c r="VB59" s="479"/>
      <c r="VC59" s="479"/>
      <c r="VD59" s="479"/>
      <c r="VE59" s="479"/>
      <c r="VF59" s="479"/>
      <c r="VG59" s="479"/>
      <c r="VH59" s="479"/>
      <c r="VI59" s="479"/>
      <c r="VJ59" s="479"/>
      <c r="VK59" s="479"/>
      <c r="VL59" s="479"/>
      <c r="VM59" s="479"/>
      <c r="VN59" s="479"/>
      <c r="VO59" s="479"/>
      <c r="VP59" s="479"/>
      <c r="VQ59" s="479"/>
      <c r="VR59" s="479"/>
      <c r="VS59" s="479"/>
      <c r="VT59" s="479"/>
      <c r="VU59" s="479"/>
      <c r="VV59" s="479"/>
      <c r="VW59" s="479"/>
      <c r="VX59" s="479"/>
      <c r="VY59" s="479"/>
      <c r="VZ59" s="479"/>
      <c r="WA59" s="479"/>
      <c r="WB59" s="479"/>
      <c r="WC59" s="479"/>
      <c r="WD59" s="479"/>
      <c r="WE59" s="479"/>
      <c r="WF59" s="479"/>
      <c r="WG59" s="479"/>
      <c r="WH59" s="479"/>
      <c r="WI59" s="479"/>
      <c r="WJ59" s="479"/>
      <c r="WK59" s="479"/>
      <c r="WL59" s="479"/>
      <c r="WM59" s="479"/>
      <c r="WN59" s="479"/>
      <c r="WO59" s="479"/>
      <c r="WP59" s="479"/>
      <c r="WQ59" s="479"/>
      <c r="WR59" s="479"/>
      <c r="WS59" s="479"/>
      <c r="WT59" s="479"/>
      <c r="WU59" s="479"/>
      <c r="WV59" s="479"/>
      <c r="WW59" s="479"/>
      <c r="WX59" s="479"/>
      <c r="WY59" s="479"/>
      <c r="WZ59" s="479"/>
      <c r="XA59" s="479"/>
      <c r="XB59" s="479"/>
      <c r="XC59" s="479"/>
      <c r="XD59" s="479"/>
      <c r="XE59" s="479"/>
      <c r="XF59" s="479"/>
      <c r="XG59" s="479"/>
      <c r="XH59" s="479"/>
      <c r="XI59" s="479"/>
      <c r="XJ59" s="479"/>
      <c r="XK59" s="479"/>
      <c r="XL59" s="479"/>
      <c r="XM59" s="479"/>
      <c r="XN59" s="479"/>
      <c r="XO59" s="479"/>
      <c r="XP59" s="479"/>
      <c r="XQ59" s="479"/>
      <c r="XR59" s="479"/>
      <c r="XS59" s="479"/>
      <c r="XT59" s="479"/>
      <c r="XU59" s="479"/>
      <c r="XV59" s="479"/>
      <c r="XW59" s="479"/>
      <c r="XX59" s="479"/>
      <c r="XY59" s="479"/>
      <c r="XZ59" s="479"/>
      <c r="YA59" s="479"/>
      <c r="YB59" s="479"/>
      <c r="YC59" s="479"/>
      <c r="YD59" s="479"/>
      <c r="YE59" s="479"/>
      <c r="YF59" s="479"/>
      <c r="YG59" s="479"/>
      <c r="YH59" s="479"/>
      <c r="YI59" s="479"/>
      <c r="YJ59" s="479"/>
      <c r="YK59" s="479"/>
      <c r="YL59" s="479"/>
      <c r="YM59" s="479"/>
      <c r="YN59" s="479"/>
      <c r="YO59" s="479"/>
      <c r="YP59" s="479"/>
      <c r="YQ59" s="479"/>
      <c r="YR59" s="479"/>
      <c r="YS59" s="479"/>
      <c r="YT59" s="479"/>
      <c r="YU59" s="479"/>
      <c r="YV59" s="479"/>
      <c r="YW59" s="479"/>
      <c r="YX59" s="479"/>
      <c r="YY59" s="479"/>
      <c r="YZ59" s="479"/>
      <c r="ZA59" s="479"/>
      <c r="ZB59" s="479"/>
      <c r="ZC59" s="479"/>
      <c r="ZD59" s="479"/>
      <c r="ZE59" s="479"/>
      <c r="ZF59" s="479"/>
      <c r="ZG59" s="479"/>
      <c r="ZH59" s="479"/>
      <c r="ZI59" s="479"/>
      <c r="ZJ59" s="479"/>
      <c r="ZK59" s="541"/>
      <c r="ZL59" s="479"/>
      <c r="ZM59" s="479"/>
      <c r="ZN59" s="479"/>
      <c r="ZO59" s="479"/>
      <c r="ZP59" s="479"/>
      <c r="ZQ59" s="479"/>
      <c r="ZR59" s="479"/>
      <c r="ZS59" s="479"/>
      <c r="ZT59" s="479"/>
      <c r="ZU59" s="479"/>
      <c r="ZV59" s="479"/>
      <c r="ZW59" s="479"/>
      <c r="ZX59" s="479"/>
      <c r="ZY59" s="479"/>
      <c r="ZZ59" s="479"/>
      <c r="AAA59" s="479"/>
      <c r="AAB59" s="479"/>
      <c r="AAC59" s="479"/>
      <c r="AAD59" s="479"/>
      <c r="AAE59" s="479"/>
      <c r="AAF59" s="479"/>
      <c r="AAG59" s="479"/>
      <c r="AAH59" s="479"/>
      <c r="AAI59" s="479"/>
      <c r="AAJ59" s="479"/>
      <c r="AAK59" s="479"/>
      <c r="AAL59" s="479"/>
      <c r="AAM59" s="479"/>
      <c r="AAN59" s="479"/>
      <c r="AAO59" s="479"/>
      <c r="AAP59" s="479"/>
      <c r="AAQ59" s="479"/>
      <c r="AAR59" s="479"/>
      <c r="AAS59" s="479"/>
      <c r="AAT59" s="479"/>
      <c r="AAU59" s="479"/>
      <c r="AAV59" s="479"/>
      <c r="AAW59" s="479"/>
      <c r="AAX59" s="479"/>
      <c r="AAY59" s="479"/>
      <c r="AAZ59" s="479"/>
      <c r="ABA59" s="479"/>
      <c r="ABB59" s="479"/>
      <c r="ABC59" s="479"/>
      <c r="ABD59" s="479"/>
      <c r="ABE59" s="479"/>
      <c r="ABF59" s="479"/>
      <c r="ABG59" s="479"/>
      <c r="ABH59" s="479"/>
      <c r="ABI59" s="479"/>
      <c r="ABJ59" s="479"/>
      <c r="ABK59" s="479"/>
      <c r="ABL59" s="479"/>
      <c r="ABM59" s="479"/>
      <c r="ABN59" s="479"/>
      <c r="ABO59" s="479"/>
      <c r="ABP59" s="479"/>
      <c r="ABQ59" s="479"/>
      <c r="ABR59" s="479"/>
      <c r="ABS59" s="479"/>
      <c r="ABT59" s="479"/>
      <c r="ABU59" s="479"/>
      <c r="ABV59" s="479"/>
      <c r="ABW59" s="479"/>
      <c r="ABX59" s="479"/>
      <c r="ABY59" s="479"/>
      <c r="ABZ59" s="479"/>
      <c r="ACA59" s="479"/>
      <c r="ACB59" s="479"/>
      <c r="ACC59" s="479"/>
      <c r="ACD59" s="479"/>
      <c r="ACE59" s="479"/>
      <c r="ACF59" s="479"/>
      <c r="ACG59" s="479"/>
      <c r="ACH59" s="479"/>
      <c r="ACI59" s="479"/>
      <c r="ACJ59" s="479"/>
      <c r="ACK59" s="479"/>
      <c r="ACL59" s="479"/>
      <c r="ACM59" s="479"/>
      <c r="ACN59" s="479"/>
      <c r="ACO59" s="479"/>
      <c r="ACP59" s="479"/>
      <c r="ACQ59" s="479"/>
      <c r="ACR59" s="479"/>
      <c r="ACS59" s="479"/>
      <c r="ACT59" s="479"/>
      <c r="ACU59" s="479"/>
      <c r="ACV59" s="479"/>
      <c r="ACW59" s="479"/>
      <c r="ACX59" s="479"/>
      <c r="ACY59" s="479"/>
      <c r="ACZ59" s="479"/>
      <c r="ADA59" s="479"/>
      <c r="ADB59" s="479"/>
      <c r="ADC59" s="479"/>
      <c r="ADD59" s="479"/>
      <c r="ADE59" s="479"/>
      <c r="ADF59" s="479"/>
      <c r="ADG59" s="479"/>
      <c r="ADH59" s="479"/>
      <c r="ADI59" s="479"/>
      <c r="ADJ59" s="479"/>
      <c r="ADK59" s="479"/>
      <c r="ADL59" s="479"/>
      <c r="ADM59" s="479"/>
      <c r="ADN59" s="479"/>
      <c r="ADO59" s="479"/>
      <c r="ADP59" s="479"/>
      <c r="ADQ59" s="479"/>
      <c r="ADR59" s="479"/>
      <c r="ADS59" s="479"/>
      <c r="ADT59" s="479"/>
      <c r="ADU59" s="479"/>
      <c r="ADV59" s="479"/>
      <c r="ADW59" s="479"/>
      <c r="ADX59" s="479"/>
      <c r="ADY59" s="479"/>
      <c r="ADZ59" s="479"/>
      <c r="AEA59" s="479"/>
      <c r="AEB59" s="479"/>
      <c r="AEC59" s="479"/>
      <c r="AED59" s="479"/>
      <c r="AEE59" s="479"/>
      <c r="AEF59" s="479"/>
      <c r="AEG59" s="479"/>
      <c r="AEH59" s="479"/>
      <c r="AEI59" s="479"/>
      <c r="AEJ59" s="479"/>
      <c r="AEK59" s="479">
        <v>69.5</v>
      </c>
      <c r="AEL59" s="479">
        <v>72</v>
      </c>
      <c r="AEM59" s="479">
        <v>72</v>
      </c>
      <c r="AEN59" s="541">
        <v>70</v>
      </c>
      <c r="AEO59" s="479">
        <v>70</v>
      </c>
      <c r="AEP59" s="479"/>
      <c r="AEQ59" s="479"/>
      <c r="AER59" s="479"/>
      <c r="AES59" s="479"/>
      <c r="AET59" s="479"/>
      <c r="AEU59" s="479"/>
      <c r="AEV59" s="479"/>
      <c r="AEW59" s="479"/>
      <c r="AEX59" s="479"/>
      <c r="AEY59" s="479"/>
      <c r="AEZ59" s="479"/>
      <c r="AFA59" s="479"/>
      <c r="AFB59" s="479"/>
      <c r="AFC59" s="479"/>
      <c r="AFD59" s="479"/>
      <c r="AFE59" s="479"/>
      <c r="AFF59" s="479"/>
      <c r="AFG59" s="479"/>
      <c r="AFH59" s="479"/>
      <c r="AFI59" s="479"/>
      <c r="AFJ59" s="479"/>
      <c r="AFK59" s="479"/>
      <c r="AFL59" s="479"/>
      <c r="AFM59" s="479"/>
      <c r="AFN59" s="479"/>
      <c r="AFO59" s="479"/>
      <c r="AFP59" s="479"/>
      <c r="AFQ59" s="479"/>
      <c r="AFR59" s="479"/>
      <c r="AFS59" s="479"/>
      <c r="AFT59" s="479"/>
      <c r="AFU59" s="479"/>
      <c r="AFV59" s="479"/>
      <c r="AFW59" s="479"/>
      <c r="AFX59" s="479"/>
      <c r="AFY59" s="479"/>
      <c r="AFZ59" s="479"/>
      <c r="AGA59" s="479"/>
      <c r="AGB59" s="479"/>
      <c r="AGC59" s="479"/>
      <c r="AGD59" s="479"/>
      <c r="AGE59" s="479"/>
      <c r="AGF59" s="479"/>
      <c r="AGG59" s="479"/>
      <c r="AGH59" s="479"/>
      <c r="AGI59" s="479"/>
      <c r="AGJ59" s="479"/>
      <c r="AGK59" s="479"/>
      <c r="AGL59" s="479"/>
      <c r="AGM59" s="479"/>
      <c r="AGN59" s="479"/>
      <c r="AGO59" s="479"/>
      <c r="AGP59" s="479"/>
      <c r="AGQ59" s="479"/>
      <c r="AGR59" s="479"/>
      <c r="AGS59" s="479"/>
      <c r="AGT59" s="479"/>
      <c r="AGU59" s="479"/>
      <c r="AGV59" s="479"/>
      <c r="AGW59" s="479"/>
      <c r="AGX59" s="479"/>
      <c r="AGY59" s="479"/>
      <c r="AGZ59" s="479"/>
      <c r="AHA59" s="479"/>
      <c r="AHB59" s="479"/>
      <c r="AHC59" s="479"/>
      <c r="AHD59" s="479"/>
      <c r="AHE59" s="479"/>
      <c r="AHF59" s="479"/>
      <c r="AHG59" s="479"/>
      <c r="AHH59" s="479"/>
      <c r="AHI59" s="479"/>
      <c r="AHJ59" s="479"/>
      <c r="AHK59" s="479"/>
      <c r="AHL59" s="479"/>
      <c r="AHM59" s="479"/>
      <c r="AHN59" s="479"/>
      <c r="AHO59" s="479"/>
      <c r="AHP59" s="479"/>
      <c r="AHQ59" s="479"/>
      <c r="AHR59" s="479"/>
      <c r="AHS59" s="479"/>
      <c r="AHT59" s="479"/>
      <c r="AHU59" s="479"/>
      <c r="AHV59" s="479"/>
      <c r="AHW59" s="479"/>
      <c r="AHX59" s="479"/>
      <c r="AHY59" s="479"/>
      <c r="AHZ59" s="479"/>
      <c r="AIA59" s="479"/>
      <c r="AIB59" s="479"/>
      <c r="AIC59" s="479"/>
      <c r="AID59" s="479"/>
      <c r="AIE59" s="479"/>
      <c r="AIF59" s="479"/>
      <c r="AIG59" s="479"/>
      <c r="AIH59" s="479"/>
      <c r="AII59" s="479"/>
      <c r="AIJ59" s="479"/>
      <c r="AIK59" s="479"/>
      <c r="AIL59" s="479"/>
      <c r="AIM59" s="479"/>
      <c r="AIN59" s="479"/>
      <c r="AIO59" s="479"/>
      <c r="AIP59" s="479"/>
      <c r="AIQ59" s="479"/>
      <c r="AIR59" s="479"/>
      <c r="AIS59" s="479"/>
      <c r="AIT59" s="479"/>
      <c r="AIU59" s="479"/>
      <c r="AIV59" s="479"/>
      <c r="AIW59" s="479"/>
      <c r="AIX59" s="479"/>
      <c r="AIY59" s="479"/>
      <c r="AIZ59" s="479"/>
      <c r="AJA59" s="479"/>
      <c r="AJB59" s="479"/>
      <c r="AJC59" s="479"/>
      <c r="AJD59" s="479"/>
      <c r="AJE59" s="479"/>
      <c r="AJF59" s="479"/>
      <c r="AJG59" s="479"/>
      <c r="AJH59" s="479"/>
      <c r="AJI59" s="479"/>
      <c r="AJJ59" s="479"/>
      <c r="AJK59" s="479"/>
      <c r="AJL59" s="479"/>
      <c r="AJM59" s="479"/>
      <c r="AJN59" s="479"/>
      <c r="AJO59" s="479"/>
      <c r="AJP59" s="479"/>
      <c r="AJQ59" s="545"/>
      <c r="AJR59" s="525"/>
      <c r="AJS59" s="525"/>
      <c r="ALU59" s="479"/>
      <c r="ALV59" s="479"/>
      <c r="ALW59" s="479"/>
      <c r="ALX59" s="479"/>
      <c r="ALY59" s="479"/>
      <c r="ALZ59" s="479"/>
      <c r="AMA59" s="479"/>
      <c r="AMB59" s="479"/>
      <c r="AMC59" s="479"/>
      <c r="AMD59" s="479"/>
      <c r="AME59" s="479"/>
      <c r="AMF59" s="479"/>
      <c r="AMG59" s="479"/>
      <c r="AMH59" s="479"/>
      <c r="AMI59" s="479"/>
      <c r="AMJ59" s="479"/>
      <c r="AMK59" s="123"/>
      <c r="AML59" s="123"/>
      <c r="AMM59" s="123"/>
    </row>
    <row r="60" spans="1:1029" ht="18" hidden="1" customHeight="1" thickTop="1" thickBot="1" x14ac:dyDescent="0.35">
      <c r="A60" s="672" t="s">
        <v>197</v>
      </c>
      <c r="B60" s="670" t="s">
        <v>190</v>
      </c>
      <c r="C60" s="499" t="s">
        <v>198</v>
      </c>
      <c r="D60" s="499">
        <v>650</v>
      </c>
      <c r="E60" s="500"/>
      <c r="F60" s="500"/>
      <c r="G60" s="500"/>
      <c r="H60" s="500"/>
      <c r="I60" s="500"/>
      <c r="J60" s="500"/>
      <c r="K60" s="500" t="s">
        <v>86</v>
      </c>
      <c r="L60" s="501">
        <v>62</v>
      </c>
      <c r="M60" s="501">
        <v>61</v>
      </c>
      <c r="N60" s="501">
        <v>54</v>
      </c>
      <c r="O60" s="99">
        <v>53.5</v>
      </c>
      <c r="P60" s="99">
        <v>53.5</v>
      </c>
      <c r="Q60" s="98">
        <v>62</v>
      </c>
      <c r="R60" s="98">
        <v>66</v>
      </c>
      <c r="S60" s="98">
        <v>75</v>
      </c>
      <c r="T60" s="98">
        <v>66</v>
      </c>
      <c r="U60" s="98">
        <v>65</v>
      </c>
      <c r="V60" s="501">
        <v>66.5</v>
      </c>
      <c r="W60" s="98">
        <v>59.5</v>
      </c>
      <c r="X60" s="98">
        <v>66</v>
      </c>
      <c r="Y60" s="98">
        <v>66</v>
      </c>
      <c r="Z60" s="98">
        <v>66</v>
      </c>
      <c r="AA60" s="98">
        <v>66</v>
      </c>
      <c r="AB60" s="501">
        <v>66</v>
      </c>
      <c r="AC60" s="501">
        <v>66</v>
      </c>
      <c r="AD60" s="502">
        <v>69</v>
      </c>
      <c r="AE60" s="503">
        <v>69</v>
      </c>
      <c r="AF60" s="503">
        <v>69</v>
      </c>
      <c r="AG60" s="503">
        <v>69</v>
      </c>
      <c r="AH60" s="503">
        <v>69.5</v>
      </c>
      <c r="AI60" s="503">
        <v>70</v>
      </c>
      <c r="AJ60" s="503">
        <v>71.5</v>
      </c>
      <c r="AK60" s="504">
        <v>71.5</v>
      </c>
      <c r="AL60" s="504">
        <v>71.5</v>
      </c>
      <c r="AM60" s="503">
        <v>70.5</v>
      </c>
      <c r="AN60" s="500"/>
      <c r="AO60" s="500"/>
      <c r="AP60" s="500"/>
      <c r="AQ60" s="500"/>
      <c r="AR60" s="500"/>
      <c r="AS60" s="500"/>
      <c r="AT60" s="500"/>
      <c r="AU60" s="500"/>
      <c r="AV60" s="500"/>
      <c r="AW60" s="500"/>
      <c r="AX60" s="500"/>
      <c r="AY60" s="500"/>
      <c r="AZ60" s="500"/>
      <c r="BA60" s="500"/>
      <c r="BB60" s="500"/>
      <c r="BC60" s="500"/>
      <c r="BD60" s="500"/>
      <c r="BE60" s="500"/>
      <c r="BF60" s="500"/>
      <c r="BG60" s="500"/>
      <c r="BH60" s="500"/>
      <c r="BI60" s="500"/>
      <c r="BJ60" s="500"/>
      <c r="BK60" s="500"/>
      <c r="BL60" s="500"/>
      <c r="BM60" s="500"/>
      <c r="BN60" s="500"/>
      <c r="BO60" s="500"/>
      <c r="BP60" s="500"/>
      <c r="BQ60" s="500"/>
      <c r="BR60" s="500"/>
      <c r="BS60" s="500"/>
      <c r="BT60" s="500"/>
      <c r="BU60" s="500"/>
      <c r="BV60" s="500"/>
      <c r="BW60" s="500"/>
      <c r="BX60" s="500"/>
      <c r="BY60" s="500"/>
      <c r="BZ60" s="500"/>
      <c r="CA60" s="500"/>
      <c r="CB60" s="500"/>
      <c r="CC60" s="505"/>
      <c r="CD60" s="505"/>
      <c r="CE60" s="505"/>
      <c r="CF60" s="505"/>
      <c r="CG60" s="505"/>
      <c r="CH60" s="505"/>
      <c r="CI60" s="505"/>
      <c r="CJ60" s="505"/>
      <c r="CK60" s="505"/>
      <c r="CL60" s="505"/>
      <c r="CM60" s="505"/>
      <c r="CN60" s="505"/>
      <c r="CO60" s="505"/>
      <c r="CP60" s="505"/>
      <c r="CQ60" s="505"/>
      <c r="CR60" s="505"/>
      <c r="CS60" s="505"/>
      <c r="CT60" s="505"/>
      <c r="CU60" s="505"/>
      <c r="CV60" s="505"/>
      <c r="CW60" s="505"/>
      <c r="CX60" s="505"/>
      <c r="CY60" s="505"/>
      <c r="CZ60" s="540"/>
      <c r="DA60" s="505"/>
      <c r="DB60" s="505"/>
      <c r="DC60" s="505"/>
      <c r="DD60" s="505"/>
      <c r="DE60" s="505"/>
      <c r="DF60" s="505"/>
      <c r="DG60" s="505"/>
      <c r="DH60" s="505"/>
      <c r="DI60" s="505"/>
      <c r="DJ60" s="505"/>
      <c r="DK60" s="505"/>
      <c r="DL60" s="505"/>
      <c r="DM60" s="505"/>
      <c r="DN60" s="505"/>
      <c r="DO60" s="505"/>
      <c r="DP60" s="505"/>
      <c r="DQ60" s="505"/>
      <c r="DR60" s="505"/>
      <c r="DS60" s="505"/>
      <c r="DT60" s="505"/>
      <c r="DU60" s="505"/>
      <c r="DV60" s="505"/>
      <c r="DW60" s="505"/>
      <c r="DX60" s="505"/>
      <c r="DY60" s="505"/>
      <c r="DZ60" s="505"/>
      <c r="EA60" s="505"/>
      <c r="EB60" s="505"/>
      <c r="EC60" s="505"/>
      <c r="ED60" s="505"/>
      <c r="EE60" s="505"/>
      <c r="EF60" s="505"/>
      <c r="EG60" s="505"/>
      <c r="EH60" s="505"/>
      <c r="EI60" s="505"/>
      <c r="EJ60" s="505"/>
      <c r="EK60" s="505"/>
      <c r="EL60" s="505"/>
      <c r="EM60" s="505"/>
      <c r="EN60" s="505"/>
      <c r="EO60" s="505"/>
      <c r="EP60" s="505"/>
      <c r="EQ60" s="500"/>
      <c r="ER60" s="500"/>
      <c r="ES60" s="500"/>
      <c r="ET60" s="500"/>
      <c r="EU60" s="500"/>
      <c r="EV60" s="500"/>
      <c r="EW60" s="500"/>
      <c r="EX60" s="500"/>
      <c r="EY60" s="500"/>
      <c r="EZ60" s="500"/>
      <c r="FA60" s="500"/>
      <c r="FB60" s="500"/>
      <c r="FC60" s="500"/>
      <c r="FD60" s="500"/>
      <c r="FE60" s="500"/>
      <c r="FF60" s="500"/>
      <c r="FG60" s="500"/>
      <c r="FH60" s="500"/>
      <c r="FI60" s="500"/>
      <c r="FJ60" s="500"/>
      <c r="FK60" s="500"/>
      <c r="FL60" s="500"/>
      <c r="FM60" s="500"/>
      <c r="FN60" s="500"/>
      <c r="FO60" s="500"/>
      <c r="FP60" s="500"/>
      <c r="FQ60" s="500"/>
      <c r="FR60" s="500"/>
      <c r="FS60" s="500"/>
      <c r="FT60" s="500"/>
      <c r="FU60" s="500"/>
      <c r="FV60" s="500"/>
      <c r="FW60" s="500"/>
      <c r="FX60" s="500"/>
      <c r="FY60" s="500"/>
      <c r="FZ60" s="500"/>
      <c r="GA60" s="500"/>
      <c r="GB60" s="500"/>
      <c r="GC60" s="500"/>
      <c r="GD60" s="500"/>
      <c r="GE60" s="500"/>
      <c r="GF60" s="500"/>
      <c r="GG60" s="500"/>
      <c r="GH60" s="500"/>
      <c r="GI60" s="500"/>
      <c r="GJ60" s="500"/>
      <c r="GK60" s="500"/>
      <c r="GL60" s="500"/>
      <c r="GM60" s="500"/>
      <c r="GN60" s="500"/>
      <c r="GO60" s="500"/>
      <c r="GP60" s="500"/>
      <c r="GQ60" s="500"/>
      <c r="GR60" s="500"/>
      <c r="GS60" s="500"/>
      <c r="GT60" s="500"/>
      <c r="GU60" s="500"/>
      <c r="GV60" s="500"/>
      <c r="GW60" s="500"/>
      <c r="GX60" s="500"/>
      <c r="GY60" s="500"/>
      <c r="GZ60" s="500"/>
      <c r="HA60" s="500"/>
      <c r="HB60" s="500"/>
      <c r="HC60" s="500"/>
      <c r="HD60" s="500"/>
      <c r="HE60" s="500"/>
      <c r="HF60" s="500"/>
      <c r="HG60" s="500"/>
      <c r="HH60" s="500"/>
      <c r="HI60" s="500"/>
      <c r="HJ60" s="500"/>
      <c r="HK60" s="500"/>
      <c r="HL60" s="500"/>
      <c r="HM60" s="500"/>
      <c r="HN60" s="500"/>
      <c r="HO60" s="500"/>
      <c r="HP60" s="500"/>
      <c r="HQ60" s="500"/>
      <c r="HR60" s="500"/>
      <c r="HS60" s="500"/>
      <c r="HT60" s="500"/>
      <c r="HU60" s="500"/>
      <c r="HV60" s="500"/>
      <c r="HW60" s="500"/>
      <c r="HX60" s="500"/>
      <c r="HY60" s="500"/>
      <c r="HZ60" s="500"/>
      <c r="IA60" s="500"/>
      <c r="IB60" s="500"/>
      <c r="IC60" s="500">
        <v>58.5</v>
      </c>
      <c r="ID60" s="500">
        <v>58.5</v>
      </c>
      <c r="IE60" s="500">
        <v>59.5</v>
      </c>
      <c r="IF60" s="540">
        <v>59.5</v>
      </c>
      <c r="IG60" s="500">
        <v>56</v>
      </c>
      <c r="IH60" s="500"/>
      <c r="II60" s="500"/>
      <c r="IJ60" s="500"/>
      <c r="IK60" s="500"/>
      <c r="IL60" s="500"/>
      <c r="IM60" s="500"/>
      <c r="IN60" s="500"/>
      <c r="IO60" s="500"/>
      <c r="IP60" s="500"/>
      <c r="IQ60" s="500"/>
      <c r="IR60" s="500"/>
      <c r="IS60" s="500"/>
      <c r="IT60" s="500"/>
      <c r="IU60" s="500"/>
      <c r="IV60" s="500"/>
      <c r="IW60" s="500"/>
      <c r="IX60" s="500"/>
      <c r="IY60" s="500"/>
      <c r="IZ60" s="500"/>
      <c r="JA60" s="500"/>
      <c r="JB60" s="500"/>
      <c r="JC60" s="500"/>
      <c r="JD60" s="500"/>
      <c r="JE60" s="500"/>
      <c r="JF60" s="500"/>
      <c r="JG60" s="500"/>
      <c r="JH60" s="500"/>
      <c r="JI60" s="500"/>
      <c r="JJ60" s="500"/>
      <c r="JK60" s="500"/>
      <c r="JL60" s="500"/>
      <c r="JM60" s="500"/>
      <c r="JN60" s="500"/>
      <c r="JO60" s="500"/>
      <c r="JP60" s="500"/>
      <c r="JQ60" s="500"/>
      <c r="JR60" s="500"/>
      <c r="JS60" s="500"/>
      <c r="JT60" s="500"/>
      <c r="JU60" s="500"/>
      <c r="JV60" s="500"/>
      <c r="JW60" s="500"/>
      <c r="JX60" s="500"/>
      <c r="JY60" s="500"/>
      <c r="JZ60" s="500"/>
      <c r="KA60" s="500"/>
      <c r="KB60" s="500"/>
      <c r="KC60" s="500"/>
      <c r="KD60" s="500"/>
      <c r="KE60" s="500"/>
      <c r="KF60" s="500"/>
      <c r="KG60" s="500"/>
      <c r="KH60" s="500"/>
      <c r="KI60" s="500"/>
      <c r="KJ60" s="500"/>
      <c r="KK60" s="500"/>
      <c r="KL60" s="500"/>
      <c r="KM60" s="500"/>
      <c r="KN60" s="500"/>
      <c r="KO60" s="500"/>
      <c r="KP60" s="500"/>
      <c r="KQ60" s="500"/>
      <c r="KR60" s="500"/>
      <c r="KS60" s="500"/>
      <c r="KT60" s="500"/>
      <c r="KU60" s="500"/>
      <c r="KV60" s="500"/>
      <c r="KW60" s="500"/>
      <c r="KX60" s="500"/>
      <c r="KY60" s="500"/>
      <c r="KZ60" s="500"/>
      <c r="LA60" s="500"/>
      <c r="LB60" s="500"/>
      <c r="LC60" s="500"/>
      <c r="LD60" s="500"/>
      <c r="LE60" s="500"/>
      <c r="LF60" s="500"/>
      <c r="LG60" s="500"/>
      <c r="LH60" s="500"/>
      <c r="LI60" s="500"/>
      <c r="LJ60" s="500"/>
      <c r="LK60" s="500"/>
      <c r="LL60" s="500"/>
      <c r="LM60" s="500"/>
      <c r="LN60" s="500"/>
      <c r="LO60" s="500"/>
      <c r="LP60" s="500"/>
      <c r="LQ60" s="500"/>
      <c r="LR60" s="500"/>
      <c r="LS60" s="500"/>
      <c r="LT60" s="500"/>
      <c r="LU60" s="500"/>
      <c r="LV60" s="500"/>
      <c r="LW60" s="500"/>
      <c r="LX60" s="500"/>
      <c r="LY60" s="500"/>
      <c r="LZ60" s="500"/>
      <c r="MA60" s="500"/>
      <c r="MB60" s="500"/>
      <c r="MC60" s="500"/>
      <c r="MD60" s="500"/>
      <c r="ME60" s="500"/>
      <c r="MF60" s="500"/>
      <c r="MG60" s="500"/>
      <c r="MH60" s="500"/>
      <c r="MI60" s="500"/>
      <c r="MJ60" s="500"/>
      <c r="MK60" s="500"/>
      <c r="ML60" s="500"/>
      <c r="MM60" s="500"/>
      <c r="MN60" s="500"/>
      <c r="MO60" s="500"/>
      <c r="MP60" s="500"/>
      <c r="MQ60" s="500"/>
      <c r="MR60" s="500"/>
      <c r="MS60" s="500"/>
      <c r="MT60" s="500"/>
      <c r="MU60" s="500"/>
      <c r="MV60" s="500"/>
      <c r="MW60" s="500"/>
      <c r="MX60" s="500"/>
      <c r="MY60" s="500"/>
      <c r="MZ60" s="500"/>
      <c r="NA60" s="500"/>
      <c r="NB60" s="500"/>
      <c r="NC60" s="500"/>
      <c r="ND60" s="500"/>
      <c r="NE60" s="500"/>
      <c r="NF60" s="500"/>
      <c r="NG60" s="500"/>
      <c r="NH60" s="500"/>
      <c r="NI60" s="500">
        <v>56.5</v>
      </c>
      <c r="NJ60" s="500">
        <v>56.5</v>
      </c>
      <c r="NK60" s="500">
        <v>56.5</v>
      </c>
      <c r="NL60" s="540">
        <v>54.5</v>
      </c>
      <c r="NM60" s="500">
        <v>54.5</v>
      </c>
      <c r="NN60" s="500">
        <v>53</v>
      </c>
      <c r="NO60" s="500"/>
      <c r="NP60" s="500"/>
      <c r="NQ60" s="500"/>
      <c r="NR60" s="500"/>
      <c r="NS60" s="500"/>
      <c r="NT60" s="500"/>
      <c r="NU60" s="500"/>
      <c r="NV60" s="500"/>
      <c r="NW60" s="500"/>
      <c r="NX60" s="500"/>
      <c r="NY60" s="500"/>
      <c r="NZ60" s="500"/>
      <c r="OA60" s="500"/>
      <c r="OB60" s="500"/>
      <c r="OC60" s="500"/>
      <c r="OD60" s="500"/>
      <c r="OE60" s="500"/>
      <c r="OF60" s="500"/>
      <c r="OG60" s="500"/>
      <c r="OH60" s="500"/>
      <c r="OI60" s="500"/>
      <c r="OJ60" s="500"/>
      <c r="OK60" s="500"/>
      <c r="OL60" s="500"/>
      <c r="OM60" s="500"/>
      <c r="ON60" s="500"/>
      <c r="OO60" s="500"/>
      <c r="OP60" s="500"/>
      <c r="OQ60" s="500"/>
      <c r="OR60" s="500"/>
      <c r="OS60" s="500"/>
      <c r="OT60" s="500"/>
      <c r="OU60" s="500"/>
      <c r="OV60" s="500"/>
      <c r="OW60" s="500"/>
      <c r="OX60" s="500"/>
      <c r="OY60" s="500"/>
      <c r="OZ60" s="500"/>
      <c r="PA60" s="500"/>
      <c r="PB60" s="500"/>
      <c r="PC60" s="500"/>
      <c r="PD60" s="500"/>
      <c r="PE60" s="500"/>
      <c r="PF60" s="500"/>
      <c r="PG60" s="500"/>
      <c r="PH60" s="500"/>
      <c r="PI60" s="500"/>
      <c r="PJ60" s="500"/>
      <c r="PK60" s="500"/>
      <c r="PL60" s="500"/>
      <c r="PM60" s="500"/>
      <c r="PN60" s="500"/>
      <c r="PO60" s="500"/>
      <c r="PP60" s="500"/>
      <c r="PQ60" s="500"/>
      <c r="PR60" s="500"/>
      <c r="PS60" s="500"/>
      <c r="PT60" s="500"/>
      <c r="PU60" s="500"/>
      <c r="PV60" s="500"/>
      <c r="PW60" s="500"/>
      <c r="PX60" s="500"/>
      <c r="PY60" s="500"/>
      <c r="PZ60" s="500"/>
      <c r="QA60" s="500"/>
      <c r="QB60" s="500"/>
      <c r="QC60" s="500"/>
      <c r="QD60" s="500"/>
      <c r="QE60" s="500"/>
      <c r="QF60" s="500"/>
      <c r="QG60" s="500"/>
      <c r="QH60" s="500"/>
      <c r="QI60" s="500"/>
      <c r="QJ60" s="500"/>
      <c r="QK60" s="500"/>
      <c r="QL60" s="500"/>
      <c r="QM60" s="500"/>
      <c r="QN60" s="500"/>
      <c r="QO60" s="500"/>
      <c r="QP60" s="500"/>
      <c r="QQ60" s="500"/>
      <c r="QR60" s="500"/>
      <c r="QS60" s="500"/>
      <c r="QT60" s="500"/>
      <c r="QU60" s="500"/>
      <c r="QV60" s="500"/>
      <c r="QW60" s="500"/>
      <c r="QX60" s="500"/>
      <c r="QY60" s="500"/>
      <c r="QZ60" s="500"/>
      <c r="RA60" s="500"/>
      <c r="RB60" s="500"/>
      <c r="RC60" s="500"/>
      <c r="RD60" s="500"/>
      <c r="RE60" s="500"/>
      <c r="RF60" s="500"/>
      <c r="RG60" s="500"/>
      <c r="RH60" s="500"/>
      <c r="RI60" s="500"/>
      <c r="RJ60" s="500"/>
      <c r="RK60" s="500"/>
      <c r="RL60" s="500"/>
      <c r="RM60" s="500"/>
      <c r="RN60" s="500"/>
      <c r="RO60" s="500"/>
      <c r="RP60" s="500"/>
      <c r="RQ60" s="500"/>
      <c r="RR60" s="500"/>
      <c r="RS60" s="500"/>
      <c r="RT60" s="500"/>
      <c r="RU60" s="500"/>
      <c r="RV60" s="500"/>
      <c r="RW60" s="500"/>
      <c r="RX60" s="500"/>
      <c r="RY60" s="500"/>
      <c r="RZ60" s="500"/>
      <c r="SA60" s="500"/>
      <c r="SB60" s="500"/>
      <c r="SC60" s="500"/>
      <c r="SD60" s="500"/>
      <c r="SE60" s="500"/>
      <c r="SF60" s="500"/>
      <c r="SG60" s="500"/>
      <c r="SH60" s="500"/>
      <c r="SI60" s="500"/>
      <c r="SJ60" s="500"/>
      <c r="SK60" s="500"/>
      <c r="SL60" s="500"/>
      <c r="SM60" s="500"/>
      <c r="SN60" s="500"/>
      <c r="SO60" s="500"/>
      <c r="SP60" s="500"/>
      <c r="SQ60" s="500"/>
      <c r="SR60" s="540"/>
      <c r="SS60" s="500"/>
      <c r="ST60" s="500"/>
      <c r="SU60" s="500"/>
      <c r="SV60" s="500"/>
      <c r="SW60" s="500"/>
      <c r="SX60" s="500"/>
      <c r="SY60" s="500"/>
      <c r="SZ60" s="500"/>
      <c r="TA60" s="500"/>
      <c r="TB60" s="500"/>
      <c r="TC60" s="500"/>
      <c r="TD60" s="500"/>
      <c r="TE60" s="500"/>
      <c r="TF60" s="500"/>
      <c r="TG60" s="500"/>
      <c r="TH60" s="500"/>
      <c r="TI60" s="500"/>
      <c r="TJ60" s="500"/>
      <c r="TK60" s="500"/>
      <c r="TL60" s="500"/>
      <c r="TM60" s="500"/>
      <c r="TN60" s="500"/>
      <c r="TO60" s="500"/>
      <c r="TP60" s="500"/>
      <c r="TQ60" s="500"/>
      <c r="TR60" s="500"/>
      <c r="TS60" s="500"/>
      <c r="TT60" s="500"/>
      <c r="TU60" s="500"/>
      <c r="TV60" s="500"/>
      <c r="TW60" s="500"/>
      <c r="TX60" s="500"/>
      <c r="TY60" s="500"/>
      <c r="TZ60" s="500"/>
      <c r="UA60" s="500"/>
      <c r="UB60" s="500"/>
      <c r="UC60" s="500"/>
      <c r="UD60" s="500"/>
      <c r="UE60" s="500"/>
      <c r="UF60" s="500"/>
      <c r="UG60" s="500"/>
      <c r="UH60" s="500"/>
      <c r="UI60" s="500"/>
      <c r="UJ60" s="500"/>
      <c r="UK60" s="500"/>
      <c r="UL60" s="500"/>
      <c r="UM60" s="500"/>
      <c r="UN60" s="500"/>
      <c r="UO60" s="500"/>
      <c r="UP60" s="500"/>
      <c r="UQ60" s="500"/>
      <c r="UR60" s="500"/>
      <c r="US60" s="500"/>
      <c r="UT60" s="500"/>
      <c r="UU60" s="500"/>
      <c r="UV60" s="500"/>
      <c r="UW60" s="500"/>
      <c r="UX60" s="500"/>
      <c r="UY60" s="500"/>
      <c r="UZ60" s="500"/>
      <c r="VA60" s="500"/>
      <c r="VB60" s="500"/>
      <c r="VC60" s="500"/>
      <c r="VD60" s="500"/>
      <c r="VE60" s="500"/>
      <c r="VF60" s="500"/>
      <c r="VG60" s="500"/>
      <c r="VH60" s="500"/>
      <c r="VI60" s="500"/>
      <c r="VJ60" s="500"/>
      <c r="VK60" s="500"/>
      <c r="VL60" s="500"/>
      <c r="VM60" s="500"/>
      <c r="VN60" s="500"/>
      <c r="VO60" s="500"/>
      <c r="VP60" s="500"/>
      <c r="VQ60" s="500"/>
      <c r="VR60" s="500"/>
      <c r="VS60" s="500"/>
      <c r="VT60" s="500"/>
      <c r="VU60" s="500"/>
      <c r="VV60" s="500"/>
      <c r="VW60" s="500"/>
      <c r="VX60" s="500"/>
      <c r="VY60" s="500"/>
      <c r="VZ60" s="500"/>
      <c r="WA60" s="500"/>
      <c r="WB60" s="500"/>
      <c r="WC60" s="500"/>
      <c r="WD60" s="500"/>
      <c r="WE60" s="500"/>
      <c r="WF60" s="500"/>
      <c r="WG60" s="500"/>
      <c r="WH60" s="500"/>
      <c r="WI60" s="500"/>
      <c r="WJ60" s="500"/>
      <c r="WK60" s="500"/>
      <c r="WL60" s="500"/>
      <c r="WM60" s="500"/>
      <c r="WN60" s="500"/>
      <c r="WO60" s="500"/>
      <c r="WP60" s="500"/>
      <c r="WQ60" s="500"/>
      <c r="WR60" s="500"/>
      <c r="WS60" s="500"/>
      <c r="WT60" s="500"/>
      <c r="WU60" s="500"/>
      <c r="WV60" s="500"/>
      <c r="WW60" s="500"/>
      <c r="WX60" s="500"/>
      <c r="WY60" s="500"/>
      <c r="WZ60" s="500"/>
      <c r="XA60" s="500"/>
      <c r="XB60" s="500"/>
      <c r="XC60" s="500"/>
      <c r="XD60" s="500"/>
      <c r="XE60" s="500"/>
      <c r="XF60" s="500"/>
      <c r="XG60" s="500"/>
      <c r="XH60" s="500"/>
      <c r="XI60" s="500"/>
      <c r="XJ60" s="500"/>
      <c r="XK60" s="500"/>
      <c r="XL60" s="500"/>
      <c r="XM60" s="500"/>
      <c r="XN60" s="500"/>
      <c r="XO60" s="500"/>
      <c r="XP60" s="500"/>
      <c r="XQ60" s="500"/>
      <c r="XR60" s="500"/>
      <c r="XS60" s="500"/>
      <c r="XT60" s="500"/>
      <c r="XU60" s="500"/>
      <c r="XV60" s="500"/>
      <c r="XW60" s="500"/>
      <c r="XX60" s="500"/>
      <c r="XY60" s="500"/>
      <c r="XZ60" s="500"/>
      <c r="YA60" s="500"/>
      <c r="YB60" s="500"/>
      <c r="YC60" s="500"/>
      <c r="YD60" s="500"/>
      <c r="YE60" s="500"/>
      <c r="YF60" s="500"/>
      <c r="YG60" s="500"/>
      <c r="YH60" s="500"/>
      <c r="YI60" s="500"/>
      <c r="YJ60" s="500"/>
      <c r="YK60" s="500"/>
      <c r="YL60" s="500"/>
      <c r="YM60" s="500"/>
      <c r="YN60" s="500"/>
      <c r="YO60" s="500"/>
      <c r="YP60" s="500"/>
      <c r="YQ60" s="500"/>
      <c r="YR60" s="500"/>
      <c r="YS60" s="500"/>
      <c r="YT60" s="500"/>
      <c r="YU60" s="500"/>
      <c r="YV60" s="500"/>
      <c r="YW60" s="500"/>
      <c r="YX60" s="500"/>
      <c r="YY60" s="500"/>
      <c r="YZ60" s="500"/>
      <c r="ZA60" s="500"/>
      <c r="ZB60" s="500"/>
      <c r="ZC60" s="500"/>
      <c r="ZD60" s="500"/>
      <c r="ZE60" s="500"/>
      <c r="ZF60" s="500"/>
      <c r="ZG60" s="500"/>
      <c r="ZH60" s="500"/>
      <c r="ZI60" s="500"/>
      <c r="ZJ60" s="500"/>
      <c r="ZK60" s="540"/>
      <c r="ZL60" s="500"/>
      <c r="ZM60" s="500"/>
      <c r="ZN60" s="500"/>
      <c r="ZO60" s="500"/>
      <c r="ZP60" s="500"/>
      <c r="ZQ60" s="500"/>
      <c r="ZR60" s="500"/>
      <c r="ZS60" s="500"/>
      <c r="ZT60" s="500"/>
      <c r="ZU60" s="500"/>
      <c r="ZV60" s="500"/>
      <c r="ZW60" s="500"/>
      <c r="ZX60" s="500"/>
      <c r="ZY60" s="500"/>
      <c r="ZZ60" s="500"/>
      <c r="AAA60" s="500"/>
      <c r="AAB60" s="500"/>
      <c r="AAC60" s="500"/>
      <c r="AAD60" s="500"/>
      <c r="AAE60" s="500"/>
      <c r="AAF60" s="500"/>
      <c r="AAG60" s="500"/>
      <c r="AAH60" s="500"/>
      <c r="AAI60" s="500"/>
      <c r="AAJ60" s="500"/>
      <c r="AAK60" s="500"/>
      <c r="AAL60" s="500"/>
      <c r="AAM60" s="500"/>
      <c r="AAN60" s="500"/>
      <c r="AAO60" s="500"/>
      <c r="AAP60" s="500"/>
      <c r="AAQ60" s="500"/>
      <c r="AAR60" s="500"/>
      <c r="AAS60" s="500"/>
      <c r="AAT60" s="500"/>
      <c r="AAU60" s="500"/>
      <c r="AAV60" s="500"/>
      <c r="AAW60" s="500"/>
      <c r="AAX60" s="500"/>
      <c r="AAY60" s="500"/>
      <c r="AAZ60" s="500"/>
      <c r="ABA60" s="500"/>
      <c r="ABB60" s="500"/>
      <c r="ABC60" s="500"/>
      <c r="ABD60" s="500"/>
      <c r="ABE60" s="500"/>
      <c r="ABF60" s="500"/>
      <c r="ABG60" s="500"/>
      <c r="ABH60" s="500"/>
      <c r="ABI60" s="500"/>
      <c r="ABJ60" s="500"/>
      <c r="ABK60" s="500"/>
      <c r="ABL60" s="500"/>
      <c r="ABM60" s="500"/>
      <c r="ABN60" s="500"/>
      <c r="ABO60" s="500"/>
      <c r="ABP60" s="500"/>
      <c r="ABQ60" s="500"/>
      <c r="ABR60" s="500"/>
      <c r="ABS60" s="500"/>
      <c r="ABT60" s="500"/>
      <c r="ABU60" s="500"/>
      <c r="ABV60" s="500"/>
      <c r="ABW60" s="500"/>
      <c r="ABX60" s="500"/>
      <c r="ABY60" s="500"/>
      <c r="ABZ60" s="500"/>
      <c r="ACA60" s="500"/>
      <c r="ACB60" s="500"/>
      <c r="ACC60" s="500"/>
      <c r="ACD60" s="500"/>
      <c r="ACE60" s="500"/>
      <c r="ACF60" s="500"/>
      <c r="ACG60" s="500"/>
      <c r="ACH60" s="500"/>
      <c r="ACI60" s="500"/>
      <c r="ACJ60" s="500"/>
      <c r="ACK60" s="500"/>
      <c r="ACL60" s="500"/>
      <c r="ACM60" s="500"/>
      <c r="ACN60" s="500"/>
      <c r="ACO60" s="500"/>
      <c r="ACP60" s="500"/>
      <c r="ACQ60" s="500"/>
      <c r="ACR60" s="500"/>
      <c r="ACS60" s="500"/>
      <c r="ACT60" s="500"/>
      <c r="ACU60" s="500"/>
      <c r="ACV60" s="500"/>
      <c r="ACW60" s="500"/>
      <c r="ACX60" s="500"/>
      <c r="ACY60" s="500"/>
      <c r="ACZ60" s="500"/>
      <c r="ADA60" s="500"/>
      <c r="ADB60" s="500"/>
      <c r="ADC60" s="500"/>
      <c r="ADD60" s="500"/>
      <c r="ADE60" s="500"/>
      <c r="ADF60" s="500"/>
      <c r="ADG60" s="500"/>
      <c r="ADH60" s="500"/>
      <c r="ADI60" s="500"/>
      <c r="ADJ60" s="500"/>
      <c r="ADK60" s="500"/>
      <c r="ADL60" s="500"/>
      <c r="ADM60" s="500"/>
      <c r="ADN60" s="500"/>
      <c r="ADO60" s="500"/>
      <c r="ADP60" s="500"/>
      <c r="ADQ60" s="500"/>
      <c r="ADR60" s="500"/>
      <c r="ADS60" s="500"/>
      <c r="ADT60" s="500"/>
      <c r="ADU60" s="500"/>
      <c r="ADV60" s="500"/>
      <c r="ADW60" s="500"/>
      <c r="ADX60" s="500"/>
      <c r="ADY60" s="500"/>
      <c r="ADZ60" s="500"/>
      <c r="AEA60" s="500"/>
      <c r="AEB60" s="500"/>
      <c r="AEC60" s="500"/>
      <c r="AED60" s="500"/>
      <c r="AEE60" s="500"/>
      <c r="AEF60" s="500"/>
      <c r="AEG60" s="500"/>
      <c r="AEH60" s="500"/>
      <c r="AEI60" s="500"/>
      <c r="AEJ60" s="500"/>
      <c r="AEK60" s="500"/>
      <c r="AEL60" s="500"/>
      <c r="AEM60" s="500"/>
      <c r="AEN60" s="540"/>
      <c r="AEO60" s="500"/>
      <c r="AEP60" s="500"/>
      <c r="AEQ60" s="500"/>
      <c r="AER60" s="500"/>
      <c r="AES60" s="500"/>
      <c r="AET60" s="500"/>
      <c r="AEU60" s="500"/>
      <c r="AEV60" s="500"/>
      <c r="AEW60" s="500"/>
      <c r="AEX60" s="500"/>
      <c r="AEY60" s="500"/>
      <c r="AEZ60" s="500"/>
      <c r="AFA60" s="500"/>
      <c r="AFB60" s="500"/>
      <c r="AFC60" s="500"/>
      <c r="AFD60" s="500"/>
      <c r="AFE60" s="500"/>
      <c r="AFF60" s="500"/>
      <c r="AFG60" s="500"/>
      <c r="AFH60" s="500"/>
      <c r="AFI60" s="500"/>
      <c r="AFJ60" s="500"/>
      <c r="AFK60" s="500"/>
      <c r="AFL60" s="500"/>
      <c r="AFM60" s="500"/>
      <c r="AFN60" s="500"/>
      <c r="AFO60" s="500"/>
      <c r="AFP60" s="500"/>
      <c r="AFQ60" s="500"/>
      <c r="AFR60" s="500"/>
      <c r="AFS60" s="500"/>
      <c r="AFT60" s="500"/>
      <c r="AFU60" s="500"/>
      <c r="AFV60" s="500"/>
      <c r="AFW60" s="500"/>
      <c r="AFX60" s="500"/>
      <c r="AFY60" s="500"/>
      <c r="AFZ60" s="500"/>
      <c r="AGA60" s="500"/>
      <c r="AGB60" s="500"/>
      <c r="AGC60" s="500"/>
      <c r="AGD60" s="500"/>
      <c r="AGE60" s="500"/>
      <c r="AGF60" s="500"/>
      <c r="AGG60" s="500"/>
      <c r="AGH60" s="500"/>
      <c r="AGI60" s="500"/>
      <c r="AGJ60" s="500"/>
      <c r="AGK60" s="500"/>
      <c r="AGL60" s="500"/>
      <c r="AGM60" s="500"/>
      <c r="AGN60" s="500"/>
      <c r="AGO60" s="500"/>
      <c r="AGP60" s="500"/>
      <c r="AGQ60" s="500"/>
      <c r="AGR60" s="500"/>
      <c r="AGS60" s="500"/>
      <c r="AGT60" s="500"/>
      <c r="AGU60" s="500"/>
      <c r="AGV60" s="500"/>
      <c r="AGW60" s="500"/>
      <c r="AGX60" s="500"/>
      <c r="AGY60" s="500"/>
      <c r="AGZ60" s="500"/>
      <c r="AHA60" s="500"/>
      <c r="AHB60" s="500"/>
      <c r="AHC60" s="500"/>
      <c r="AHD60" s="500"/>
      <c r="AHE60" s="500"/>
      <c r="AHF60" s="500"/>
      <c r="AHG60" s="500"/>
      <c r="AHH60" s="500"/>
      <c r="AHI60" s="500"/>
      <c r="AHJ60" s="500"/>
      <c r="AHK60" s="500"/>
      <c r="AHL60" s="500"/>
      <c r="AHM60" s="500"/>
      <c r="AHN60" s="500"/>
      <c r="AHO60" s="500"/>
      <c r="AHP60" s="500"/>
      <c r="AHQ60" s="500"/>
      <c r="AHR60" s="500"/>
      <c r="AHS60" s="500"/>
      <c r="AHT60" s="500"/>
      <c r="AHU60" s="500"/>
      <c r="AHV60" s="500"/>
      <c r="AHW60" s="500"/>
      <c r="AHX60" s="500"/>
      <c r="AHY60" s="500"/>
      <c r="AHZ60" s="500"/>
      <c r="AIA60" s="500"/>
      <c r="AIB60" s="500"/>
      <c r="AIC60" s="500"/>
      <c r="AID60" s="500"/>
      <c r="AIE60" s="500"/>
      <c r="AIF60" s="500"/>
      <c r="AIG60" s="500"/>
      <c r="AIH60" s="500"/>
      <c r="AII60" s="500"/>
      <c r="AIJ60" s="500"/>
      <c r="AIK60" s="500"/>
      <c r="AIL60" s="500"/>
      <c r="AIM60" s="500"/>
      <c r="AIN60" s="500"/>
      <c r="AIO60" s="500"/>
      <c r="AIP60" s="500"/>
      <c r="AIQ60" s="500"/>
      <c r="AIR60" s="500"/>
      <c r="AIS60" s="500"/>
      <c r="AIT60" s="500"/>
      <c r="AIU60" s="500"/>
      <c r="AIV60" s="500"/>
      <c r="AIW60" s="500"/>
      <c r="AIX60" s="500"/>
      <c r="AIY60" s="500"/>
      <c r="AIZ60" s="500"/>
      <c r="AJA60" s="500"/>
      <c r="AJB60" s="500"/>
      <c r="AJC60" s="500"/>
      <c r="AJD60" s="500"/>
      <c r="AJE60" s="500"/>
      <c r="AJF60" s="500"/>
      <c r="AJG60" s="500"/>
      <c r="AJH60" s="500"/>
      <c r="AJI60" s="500"/>
      <c r="AJJ60" s="500"/>
      <c r="AJK60" s="500"/>
      <c r="AJL60" s="500"/>
      <c r="AJM60" s="500"/>
      <c r="AJN60" s="500"/>
      <c r="AJO60" s="500"/>
      <c r="AJP60" s="500"/>
      <c r="AJQ60" s="544"/>
      <c r="AJR60" s="524"/>
      <c r="AJS60" s="524"/>
      <c r="ALU60" s="500"/>
      <c r="ALV60" s="500"/>
      <c r="ALW60" s="500"/>
      <c r="ALX60" s="500"/>
      <c r="ALY60" s="500"/>
      <c r="ALZ60" s="500"/>
      <c r="AMA60" s="500"/>
      <c r="AMB60" s="500"/>
      <c r="AMC60" s="500"/>
      <c r="AMD60" s="500"/>
      <c r="AME60" s="500"/>
      <c r="AMF60" s="500"/>
      <c r="AMG60" s="500"/>
      <c r="AMH60" s="500"/>
      <c r="AMI60" s="500"/>
      <c r="AMJ60" s="500"/>
      <c r="AMK60" s="123"/>
      <c r="AML60" s="123"/>
      <c r="AMM60" s="123"/>
      <c r="AMN60" s="548">
        <v>46018</v>
      </c>
    </row>
    <row r="61" spans="1:1029" ht="18" hidden="1" customHeight="1" thickTop="1" thickBot="1" x14ac:dyDescent="0.35">
      <c r="A61" s="674"/>
      <c r="B61" s="671"/>
      <c r="C61" s="506" t="s">
        <v>198</v>
      </c>
      <c r="D61" s="506">
        <v>700</v>
      </c>
      <c r="E61" s="507"/>
      <c r="F61" s="507"/>
      <c r="G61" s="507"/>
      <c r="H61" s="507"/>
      <c r="I61" s="507"/>
      <c r="J61" s="507"/>
      <c r="K61" s="507" t="s">
        <v>87</v>
      </c>
      <c r="L61" s="508">
        <v>55</v>
      </c>
      <c r="M61" s="509">
        <v>55</v>
      </c>
      <c r="N61" s="509">
        <v>54.2</v>
      </c>
      <c r="O61" s="509">
        <v>53.5</v>
      </c>
      <c r="P61" s="510">
        <v>53.5</v>
      </c>
      <c r="Q61" s="510">
        <v>52.5</v>
      </c>
      <c r="R61" s="510">
        <v>65</v>
      </c>
      <c r="S61" s="510">
        <v>65</v>
      </c>
      <c r="T61" s="510">
        <v>67</v>
      </c>
      <c r="U61" s="510">
        <v>69.5</v>
      </c>
      <c r="V61" s="509">
        <v>65</v>
      </c>
      <c r="W61" s="510">
        <v>59</v>
      </c>
      <c r="X61" s="510">
        <v>61</v>
      </c>
      <c r="Y61" s="511">
        <v>62</v>
      </c>
      <c r="Z61" s="510">
        <v>64</v>
      </c>
      <c r="AA61" s="510">
        <v>63</v>
      </c>
      <c r="AB61" s="509">
        <v>63</v>
      </c>
      <c r="AC61" s="509">
        <v>63</v>
      </c>
      <c r="AD61" s="512">
        <v>64</v>
      </c>
      <c r="AE61" s="513">
        <v>64</v>
      </c>
      <c r="AF61" s="513">
        <v>66</v>
      </c>
      <c r="AG61" s="513">
        <v>66</v>
      </c>
      <c r="AH61" s="513">
        <v>66</v>
      </c>
      <c r="AI61" s="513">
        <v>67.3</v>
      </c>
      <c r="AJ61" s="513">
        <v>69.3</v>
      </c>
      <c r="AK61" s="514">
        <v>69.3</v>
      </c>
      <c r="AL61" s="514">
        <v>67.3</v>
      </c>
      <c r="AM61" s="515">
        <v>67.3</v>
      </c>
      <c r="AN61" s="507"/>
      <c r="AO61" s="507"/>
      <c r="AP61" s="507"/>
      <c r="AQ61" s="507"/>
      <c r="AR61" s="507"/>
      <c r="AS61" s="507"/>
      <c r="AT61" s="507"/>
      <c r="AU61" s="507"/>
      <c r="AV61" s="507"/>
      <c r="AW61" s="507"/>
      <c r="AX61" s="507"/>
      <c r="AY61" s="507"/>
      <c r="AZ61" s="507"/>
      <c r="BA61" s="507"/>
      <c r="BB61" s="507"/>
      <c r="BC61" s="507"/>
      <c r="BD61" s="507"/>
      <c r="BE61" s="507"/>
      <c r="BF61" s="507"/>
      <c r="BG61" s="507"/>
      <c r="BH61" s="507"/>
      <c r="BI61" s="507"/>
      <c r="BJ61" s="507"/>
      <c r="BK61" s="507"/>
      <c r="BL61" s="507"/>
      <c r="BM61" s="507"/>
      <c r="BN61" s="507"/>
      <c r="BO61" s="507"/>
      <c r="BP61" s="507"/>
      <c r="BQ61" s="507"/>
      <c r="BR61" s="507"/>
      <c r="BS61" s="507"/>
      <c r="BT61" s="507"/>
      <c r="BU61" s="507"/>
      <c r="BV61" s="507"/>
      <c r="BW61" s="507"/>
      <c r="BX61" s="507"/>
      <c r="BY61" s="507"/>
      <c r="BZ61" s="507"/>
      <c r="CA61" s="507"/>
      <c r="CB61" s="507"/>
      <c r="CC61" s="516"/>
      <c r="CD61" s="516"/>
      <c r="CE61" s="516"/>
      <c r="CF61" s="516"/>
      <c r="CG61" s="516"/>
      <c r="CH61" s="516"/>
      <c r="CI61" s="516"/>
      <c r="CJ61" s="516"/>
      <c r="CK61" s="516"/>
      <c r="CL61" s="516"/>
      <c r="CM61" s="516"/>
      <c r="CN61" s="516"/>
      <c r="CO61" s="516"/>
      <c r="CP61" s="516"/>
      <c r="CQ61" s="516"/>
      <c r="CR61" s="516"/>
      <c r="CS61" s="516"/>
      <c r="CT61" s="516"/>
      <c r="CU61" s="516"/>
      <c r="CV61" s="516"/>
      <c r="CW61" s="516">
        <v>73</v>
      </c>
      <c r="CX61" s="516">
        <v>76</v>
      </c>
      <c r="CY61" s="516">
        <v>78</v>
      </c>
      <c r="CZ61" s="542">
        <v>77</v>
      </c>
      <c r="DA61" s="516">
        <v>75</v>
      </c>
      <c r="DB61" s="516">
        <v>69</v>
      </c>
      <c r="DC61" s="516">
        <v>59</v>
      </c>
      <c r="DD61" s="516">
        <v>61</v>
      </c>
      <c r="DE61" s="516">
        <v>61</v>
      </c>
      <c r="DF61" s="516">
        <v>61</v>
      </c>
      <c r="DG61" s="516">
        <v>61</v>
      </c>
      <c r="DH61" s="516">
        <v>61</v>
      </c>
      <c r="DI61" s="516"/>
      <c r="DJ61" s="516"/>
      <c r="DK61" s="516"/>
      <c r="DL61" s="516"/>
      <c r="DM61" s="516"/>
      <c r="DN61" s="516"/>
      <c r="DO61" s="516"/>
      <c r="DP61" s="516"/>
      <c r="DQ61" s="516"/>
      <c r="DR61" s="516"/>
      <c r="DS61" s="516"/>
      <c r="DT61" s="516"/>
      <c r="DU61" s="516"/>
      <c r="DV61" s="516"/>
      <c r="DW61" s="516"/>
      <c r="DX61" s="516"/>
      <c r="DY61" s="516"/>
      <c r="DZ61" s="516"/>
      <c r="EA61" s="516"/>
      <c r="EB61" s="516"/>
      <c r="EC61" s="516"/>
      <c r="ED61" s="516"/>
      <c r="EE61" s="516"/>
      <c r="EF61" s="516"/>
      <c r="EG61" s="516"/>
      <c r="EH61" s="516"/>
      <c r="EI61" s="516"/>
      <c r="EJ61" s="516"/>
      <c r="EK61" s="516"/>
      <c r="EL61" s="516"/>
      <c r="EM61" s="516"/>
      <c r="EN61" s="516"/>
      <c r="EO61" s="516"/>
      <c r="EP61" s="516"/>
      <c r="EQ61" s="507"/>
      <c r="ER61" s="507"/>
      <c r="ES61" s="507"/>
      <c r="ET61" s="507"/>
      <c r="EU61" s="507"/>
      <c r="EV61" s="507"/>
      <c r="EW61" s="507"/>
      <c r="EX61" s="507"/>
      <c r="EY61" s="507"/>
      <c r="EZ61" s="507"/>
      <c r="FA61" s="507"/>
      <c r="FB61" s="507"/>
      <c r="FC61" s="507"/>
      <c r="FD61" s="507"/>
      <c r="FE61" s="507"/>
      <c r="FF61" s="507"/>
      <c r="FG61" s="507"/>
      <c r="FH61" s="507"/>
      <c r="FI61" s="507"/>
      <c r="FJ61" s="507"/>
      <c r="FK61" s="507"/>
      <c r="FL61" s="507"/>
      <c r="FM61" s="507"/>
      <c r="FN61" s="507"/>
      <c r="FO61" s="507"/>
      <c r="FP61" s="507"/>
      <c r="FQ61" s="507"/>
      <c r="FR61" s="507"/>
      <c r="FS61" s="507"/>
      <c r="FT61" s="507"/>
      <c r="FU61" s="507"/>
      <c r="FV61" s="507"/>
      <c r="FW61" s="507"/>
      <c r="FX61" s="507"/>
      <c r="FY61" s="507"/>
      <c r="FZ61" s="507"/>
      <c r="GA61" s="507"/>
      <c r="GB61" s="507"/>
      <c r="GC61" s="507"/>
      <c r="GD61" s="507"/>
      <c r="GE61" s="507"/>
      <c r="GF61" s="507"/>
      <c r="GG61" s="507"/>
      <c r="GH61" s="507"/>
      <c r="GI61" s="507"/>
      <c r="GJ61" s="507"/>
      <c r="GK61" s="507"/>
      <c r="GL61" s="507"/>
      <c r="GM61" s="507"/>
      <c r="GN61" s="507"/>
      <c r="GO61" s="507"/>
      <c r="GP61" s="507"/>
      <c r="GQ61" s="507"/>
      <c r="GR61" s="507"/>
      <c r="GS61" s="507"/>
      <c r="GT61" s="507"/>
      <c r="GU61" s="507"/>
      <c r="GV61" s="507"/>
      <c r="GW61" s="507"/>
      <c r="GX61" s="507"/>
      <c r="GY61" s="507"/>
      <c r="GZ61" s="507"/>
      <c r="HA61" s="507"/>
      <c r="HB61" s="507"/>
      <c r="HC61" s="507"/>
      <c r="HD61" s="507"/>
      <c r="HE61" s="507"/>
      <c r="HF61" s="507"/>
      <c r="HG61" s="507"/>
      <c r="HH61" s="507"/>
      <c r="HI61" s="507"/>
      <c r="HJ61" s="507"/>
      <c r="HK61" s="507"/>
      <c r="HL61" s="507"/>
      <c r="HM61" s="507"/>
      <c r="HN61" s="507"/>
      <c r="HO61" s="507"/>
      <c r="HP61" s="507"/>
      <c r="HQ61" s="507"/>
      <c r="HR61" s="507"/>
      <c r="HS61" s="507"/>
      <c r="HT61" s="507"/>
      <c r="HU61" s="507"/>
      <c r="HV61" s="507"/>
      <c r="HW61" s="507"/>
      <c r="HX61" s="507"/>
      <c r="HY61" s="507"/>
      <c r="HZ61" s="507"/>
      <c r="IA61" s="507"/>
      <c r="IB61" s="507"/>
      <c r="IC61" s="507">
        <v>61.5</v>
      </c>
      <c r="ID61" s="507">
        <v>62.5</v>
      </c>
      <c r="IE61" s="507">
        <v>63.5</v>
      </c>
      <c r="IF61" s="542">
        <v>63.5</v>
      </c>
      <c r="IG61" s="507">
        <v>57.5</v>
      </c>
      <c r="IH61" s="507">
        <v>57.5</v>
      </c>
      <c r="II61" s="507">
        <v>54</v>
      </c>
      <c r="IJ61" s="507">
        <v>57</v>
      </c>
      <c r="IK61" s="507">
        <v>57</v>
      </c>
      <c r="IL61" s="507">
        <v>57</v>
      </c>
      <c r="IM61" s="507">
        <v>57</v>
      </c>
      <c r="IN61" s="507">
        <v>57</v>
      </c>
      <c r="IO61" s="507"/>
      <c r="IP61" s="507"/>
      <c r="IQ61" s="507"/>
      <c r="IR61" s="507"/>
      <c r="IS61" s="507"/>
      <c r="IT61" s="507"/>
      <c r="IU61" s="507"/>
      <c r="IV61" s="507"/>
      <c r="IW61" s="507"/>
      <c r="IX61" s="507"/>
      <c r="IY61" s="507"/>
      <c r="IZ61" s="507"/>
      <c r="JA61" s="507"/>
      <c r="JB61" s="507"/>
      <c r="JC61" s="507"/>
      <c r="JD61" s="507"/>
      <c r="JE61" s="507"/>
      <c r="JF61" s="507"/>
      <c r="JG61" s="507"/>
      <c r="JH61" s="507">
        <v>57</v>
      </c>
      <c r="JI61" s="507"/>
      <c r="JJ61" s="507"/>
      <c r="JK61" s="507"/>
      <c r="JL61" s="507"/>
      <c r="JM61" s="507"/>
      <c r="JN61" s="507"/>
      <c r="JO61" s="507"/>
      <c r="JP61" s="507"/>
      <c r="JQ61" s="507"/>
      <c r="JR61" s="507"/>
      <c r="JS61" s="507"/>
      <c r="JT61" s="507"/>
      <c r="JU61" s="507"/>
      <c r="JV61" s="507">
        <v>57</v>
      </c>
      <c r="JW61" s="507"/>
      <c r="JX61" s="507"/>
      <c r="JY61" s="507"/>
      <c r="JZ61" s="507"/>
      <c r="KA61" s="507"/>
      <c r="KB61" s="507"/>
      <c r="KC61" s="507"/>
      <c r="KD61" s="507"/>
      <c r="KE61" s="507"/>
      <c r="KF61" s="507"/>
      <c r="KG61" s="507"/>
      <c r="KH61" s="507"/>
      <c r="KI61" s="507"/>
      <c r="KJ61" s="507"/>
      <c r="KK61" s="507"/>
      <c r="KL61" s="507"/>
      <c r="KM61" s="507"/>
      <c r="KN61" s="507"/>
      <c r="KO61" s="507"/>
      <c r="KP61" s="507"/>
      <c r="KQ61" s="507"/>
      <c r="KR61" s="507"/>
      <c r="KS61" s="507"/>
      <c r="KT61" s="507"/>
      <c r="KU61" s="507"/>
      <c r="KV61" s="507"/>
      <c r="KW61" s="507"/>
      <c r="KX61" s="507"/>
      <c r="KY61" s="507"/>
      <c r="KZ61" s="507"/>
      <c r="LA61" s="507"/>
      <c r="LB61" s="507"/>
      <c r="LC61" s="507"/>
      <c r="LD61" s="507"/>
      <c r="LE61" s="507"/>
      <c r="LF61" s="507"/>
      <c r="LG61" s="507"/>
      <c r="LH61" s="507"/>
      <c r="LI61" s="507"/>
      <c r="LJ61" s="507"/>
      <c r="LK61" s="507"/>
      <c r="LL61" s="507"/>
      <c r="LM61" s="507"/>
      <c r="LN61" s="507"/>
      <c r="LO61" s="507"/>
      <c r="LP61" s="507"/>
      <c r="LQ61" s="507"/>
      <c r="LR61" s="507"/>
      <c r="LS61" s="507"/>
      <c r="LT61" s="507"/>
      <c r="LU61" s="507"/>
      <c r="LV61" s="507"/>
      <c r="LW61" s="507"/>
      <c r="LX61" s="507"/>
      <c r="LY61" s="507"/>
      <c r="LZ61" s="507"/>
      <c r="MA61" s="507"/>
      <c r="MB61" s="507"/>
      <c r="MC61" s="507"/>
      <c r="MD61" s="507"/>
      <c r="ME61" s="507"/>
      <c r="MF61" s="507"/>
      <c r="MG61" s="507"/>
      <c r="MH61" s="507"/>
      <c r="MI61" s="507"/>
      <c r="MJ61" s="507"/>
      <c r="MK61" s="507"/>
      <c r="ML61" s="507"/>
      <c r="MM61" s="507"/>
      <c r="MN61" s="507"/>
      <c r="MO61" s="507"/>
      <c r="MP61" s="507"/>
      <c r="MQ61" s="507"/>
      <c r="MR61" s="507"/>
      <c r="MS61" s="507"/>
      <c r="MT61" s="507"/>
      <c r="MU61" s="507"/>
      <c r="MV61" s="507"/>
      <c r="MW61" s="507"/>
      <c r="MX61" s="507"/>
      <c r="MY61" s="507"/>
      <c r="MZ61" s="507"/>
      <c r="NA61" s="507"/>
      <c r="NB61" s="507"/>
      <c r="NC61" s="507"/>
      <c r="ND61" s="507"/>
      <c r="NE61" s="507"/>
      <c r="NF61" s="507"/>
      <c r="NG61" s="507"/>
      <c r="NH61" s="507"/>
      <c r="NI61" s="507">
        <v>62.5</v>
      </c>
      <c r="NJ61" s="507">
        <v>62.5</v>
      </c>
      <c r="NK61" s="507">
        <v>62.5</v>
      </c>
      <c r="NL61" s="542">
        <v>60.5</v>
      </c>
      <c r="NM61" s="507">
        <v>60.5</v>
      </c>
      <c r="NN61" s="507">
        <v>58</v>
      </c>
      <c r="NO61" s="507">
        <v>55.3</v>
      </c>
      <c r="NP61" s="507">
        <v>56.3</v>
      </c>
      <c r="NQ61" s="507"/>
      <c r="NR61" s="507"/>
      <c r="NS61" s="507"/>
      <c r="NT61" s="507"/>
      <c r="NU61" s="507"/>
      <c r="NV61" s="507"/>
      <c r="NW61" s="507"/>
      <c r="NX61" s="507"/>
      <c r="NY61" s="507"/>
      <c r="NZ61" s="507"/>
      <c r="OA61" s="507"/>
      <c r="OB61" s="507"/>
      <c r="OC61" s="507"/>
      <c r="OD61" s="507"/>
      <c r="OE61" s="507"/>
      <c r="OF61" s="507"/>
      <c r="OG61" s="507"/>
      <c r="OH61" s="507"/>
      <c r="OI61" s="507"/>
      <c r="OJ61" s="507"/>
      <c r="OK61" s="507"/>
      <c r="OL61" s="507"/>
      <c r="OM61" s="507"/>
      <c r="ON61" s="507"/>
      <c r="OO61" s="507"/>
      <c r="OP61" s="507"/>
      <c r="OQ61" s="507"/>
      <c r="OR61" s="507"/>
      <c r="OS61" s="507"/>
      <c r="OT61" s="507"/>
      <c r="OU61" s="507"/>
      <c r="OV61" s="507"/>
      <c r="OW61" s="507"/>
      <c r="OX61" s="507"/>
      <c r="OY61" s="507"/>
      <c r="OZ61" s="507"/>
      <c r="PA61" s="507"/>
      <c r="PB61" s="507"/>
      <c r="PC61" s="507"/>
      <c r="PD61" s="507"/>
      <c r="PE61" s="507"/>
      <c r="PF61" s="507"/>
      <c r="PG61" s="507"/>
      <c r="PH61" s="507"/>
      <c r="PI61" s="507"/>
      <c r="PJ61" s="507"/>
      <c r="PK61" s="507"/>
      <c r="PL61" s="507"/>
      <c r="PM61" s="507"/>
      <c r="PN61" s="507"/>
      <c r="PO61" s="507"/>
      <c r="PP61" s="507"/>
      <c r="PQ61" s="507"/>
      <c r="PR61" s="507"/>
      <c r="PS61" s="507"/>
      <c r="PT61" s="507"/>
      <c r="PU61" s="507"/>
      <c r="PV61" s="507"/>
      <c r="PW61" s="507"/>
      <c r="PX61" s="507"/>
      <c r="PY61" s="507"/>
      <c r="PZ61" s="507"/>
      <c r="QA61" s="507"/>
      <c r="QB61" s="507"/>
      <c r="QC61" s="507"/>
      <c r="QD61" s="507"/>
      <c r="QE61" s="507"/>
      <c r="QF61" s="507"/>
      <c r="QG61" s="507"/>
      <c r="QH61" s="507"/>
      <c r="QI61" s="507"/>
      <c r="QJ61" s="507"/>
      <c r="QK61" s="507"/>
      <c r="QL61" s="507"/>
      <c r="QM61" s="507"/>
      <c r="QN61" s="507"/>
      <c r="QO61" s="507"/>
      <c r="QP61" s="507"/>
      <c r="QQ61" s="507"/>
      <c r="QR61" s="507"/>
      <c r="QS61" s="507"/>
      <c r="QT61" s="507"/>
      <c r="QU61" s="507"/>
      <c r="QV61" s="507"/>
      <c r="QW61" s="507"/>
      <c r="QX61" s="507"/>
      <c r="QY61" s="507"/>
      <c r="QZ61" s="507"/>
      <c r="RA61" s="507"/>
      <c r="RB61" s="507"/>
      <c r="RC61" s="507"/>
      <c r="RD61" s="507"/>
      <c r="RE61" s="507"/>
      <c r="RF61" s="507"/>
      <c r="RG61" s="507"/>
      <c r="RH61" s="507"/>
      <c r="RI61" s="507"/>
      <c r="RJ61" s="507"/>
      <c r="RK61" s="507"/>
      <c r="RL61" s="507"/>
      <c r="RM61" s="507"/>
      <c r="RN61" s="507"/>
      <c r="RO61" s="507"/>
      <c r="RP61" s="507"/>
      <c r="RQ61" s="507"/>
      <c r="RR61" s="507"/>
      <c r="RS61" s="507"/>
      <c r="RT61" s="507"/>
      <c r="RU61" s="507"/>
      <c r="RV61" s="507"/>
      <c r="RW61" s="507"/>
      <c r="RX61" s="507"/>
      <c r="RY61" s="507"/>
      <c r="RZ61" s="507"/>
      <c r="SA61" s="507"/>
      <c r="SB61" s="507"/>
      <c r="SC61" s="507"/>
      <c r="SD61" s="507"/>
      <c r="SE61" s="507"/>
      <c r="SF61" s="507"/>
      <c r="SG61" s="507"/>
      <c r="SH61" s="507"/>
      <c r="SI61" s="507"/>
      <c r="SJ61" s="507"/>
      <c r="SK61" s="507"/>
      <c r="SL61" s="507"/>
      <c r="SM61" s="507"/>
      <c r="SN61" s="507"/>
      <c r="SO61" s="507"/>
      <c r="SP61" s="507"/>
      <c r="SQ61" s="507"/>
      <c r="SR61" s="542"/>
      <c r="SS61" s="507"/>
      <c r="ST61" s="507"/>
      <c r="SU61" s="507"/>
      <c r="SV61" s="507"/>
      <c r="SW61" s="507"/>
      <c r="SX61" s="507"/>
      <c r="SY61" s="507"/>
      <c r="SZ61" s="507"/>
      <c r="TA61" s="507"/>
      <c r="TB61" s="507"/>
      <c r="TC61" s="507"/>
      <c r="TD61" s="507"/>
      <c r="TE61" s="507"/>
      <c r="TF61" s="507"/>
      <c r="TG61" s="507"/>
      <c r="TH61" s="507"/>
      <c r="TI61" s="507"/>
      <c r="TJ61" s="507"/>
      <c r="TK61" s="507"/>
      <c r="TL61" s="507"/>
      <c r="TM61" s="507"/>
      <c r="TN61" s="507"/>
      <c r="TO61" s="507"/>
      <c r="TP61" s="507"/>
      <c r="TQ61" s="507"/>
      <c r="TR61" s="507"/>
      <c r="TS61" s="507"/>
      <c r="TT61" s="507"/>
      <c r="TU61" s="507"/>
      <c r="TV61" s="507"/>
      <c r="TW61" s="507"/>
      <c r="TX61" s="507"/>
      <c r="TY61" s="507"/>
      <c r="TZ61" s="507"/>
      <c r="UA61" s="507"/>
      <c r="UB61" s="507"/>
      <c r="UC61" s="507"/>
      <c r="UD61" s="507"/>
      <c r="UE61" s="507"/>
      <c r="UF61" s="507"/>
      <c r="UG61" s="507"/>
      <c r="UH61" s="507"/>
      <c r="UI61" s="507"/>
      <c r="UJ61" s="507"/>
      <c r="UK61" s="507"/>
      <c r="UL61" s="507"/>
      <c r="UM61" s="507"/>
      <c r="UN61" s="507"/>
      <c r="UO61" s="507"/>
      <c r="UP61" s="507"/>
      <c r="UQ61" s="507"/>
      <c r="UR61" s="507"/>
      <c r="US61" s="507"/>
      <c r="UT61" s="507"/>
      <c r="UU61" s="507"/>
      <c r="UV61" s="507"/>
      <c r="UW61" s="507"/>
      <c r="UX61" s="507"/>
      <c r="UY61" s="507"/>
      <c r="UZ61" s="507"/>
      <c r="VA61" s="507"/>
      <c r="VB61" s="507"/>
      <c r="VC61" s="507"/>
      <c r="VD61" s="507"/>
      <c r="VE61" s="507"/>
      <c r="VF61" s="507"/>
      <c r="VG61" s="507"/>
      <c r="VH61" s="507"/>
      <c r="VI61" s="507"/>
      <c r="VJ61" s="507"/>
      <c r="VK61" s="507"/>
      <c r="VL61" s="507"/>
      <c r="VM61" s="507"/>
      <c r="VN61" s="507"/>
      <c r="VO61" s="507"/>
      <c r="VP61" s="507"/>
      <c r="VQ61" s="507"/>
      <c r="VR61" s="507"/>
      <c r="VS61" s="507"/>
      <c r="VT61" s="507"/>
      <c r="VU61" s="507"/>
      <c r="VV61" s="507"/>
      <c r="VW61" s="507"/>
      <c r="VX61" s="507"/>
      <c r="VY61" s="507"/>
      <c r="VZ61" s="507"/>
      <c r="WA61" s="507"/>
      <c r="WB61" s="507"/>
      <c r="WC61" s="507"/>
      <c r="WD61" s="507"/>
      <c r="WE61" s="507"/>
      <c r="WF61" s="507"/>
      <c r="WG61" s="507"/>
      <c r="WH61" s="507"/>
      <c r="WI61" s="507"/>
      <c r="WJ61" s="507"/>
      <c r="WK61" s="507"/>
      <c r="WL61" s="507"/>
      <c r="WM61" s="507"/>
      <c r="WN61" s="507"/>
      <c r="WO61" s="507"/>
      <c r="WP61" s="507"/>
      <c r="WQ61" s="507"/>
      <c r="WR61" s="507"/>
      <c r="WS61" s="507"/>
      <c r="WT61" s="507"/>
      <c r="WU61" s="507"/>
      <c r="WV61" s="507"/>
      <c r="WW61" s="507"/>
      <c r="WX61" s="507"/>
      <c r="WY61" s="507"/>
      <c r="WZ61" s="507"/>
      <c r="XA61" s="507"/>
      <c r="XB61" s="507"/>
      <c r="XC61" s="507"/>
      <c r="XD61" s="507"/>
      <c r="XE61" s="507"/>
      <c r="XF61" s="507"/>
      <c r="XG61" s="507"/>
      <c r="XH61" s="507"/>
      <c r="XI61" s="507"/>
      <c r="XJ61" s="507"/>
      <c r="XK61" s="507"/>
      <c r="XL61" s="507"/>
      <c r="XM61" s="507"/>
      <c r="XN61" s="507"/>
      <c r="XO61" s="507"/>
      <c r="XP61" s="507"/>
      <c r="XQ61" s="507"/>
      <c r="XR61" s="507"/>
      <c r="XS61" s="507"/>
      <c r="XT61" s="507"/>
      <c r="XU61" s="507"/>
      <c r="XV61" s="507"/>
      <c r="XW61" s="507"/>
      <c r="XX61" s="507"/>
      <c r="XY61" s="507"/>
      <c r="XZ61" s="507"/>
      <c r="YA61" s="507"/>
      <c r="YB61" s="507"/>
      <c r="YC61" s="507"/>
      <c r="YD61" s="507"/>
      <c r="YE61" s="507"/>
      <c r="YF61" s="507"/>
      <c r="YG61" s="507"/>
      <c r="YH61" s="507"/>
      <c r="YI61" s="507"/>
      <c r="YJ61" s="507"/>
      <c r="YK61" s="507"/>
      <c r="YL61" s="507"/>
      <c r="YM61" s="507"/>
      <c r="YN61" s="507"/>
      <c r="YO61" s="507"/>
      <c r="YP61" s="507"/>
      <c r="YQ61" s="507"/>
      <c r="YR61" s="507"/>
      <c r="YS61" s="507"/>
      <c r="YT61" s="507"/>
      <c r="YU61" s="507"/>
      <c r="YV61" s="507"/>
      <c r="YW61" s="507"/>
      <c r="YX61" s="507"/>
      <c r="YY61" s="507"/>
      <c r="YZ61" s="507"/>
      <c r="ZA61" s="507"/>
      <c r="ZB61" s="507"/>
      <c r="ZC61" s="507"/>
      <c r="ZD61" s="507"/>
      <c r="ZE61" s="507"/>
      <c r="ZF61" s="507"/>
      <c r="ZG61" s="507"/>
      <c r="ZH61" s="507">
        <v>70</v>
      </c>
      <c r="ZI61" s="507">
        <v>70</v>
      </c>
      <c r="ZJ61" s="507">
        <v>68</v>
      </c>
      <c r="ZK61" s="542">
        <v>68</v>
      </c>
      <c r="ZL61" s="507">
        <v>68</v>
      </c>
      <c r="ZM61" s="507">
        <v>68</v>
      </c>
      <c r="ZN61" s="507">
        <v>58</v>
      </c>
      <c r="ZO61" s="507">
        <v>58</v>
      </c>
      <c r="ZP61" s="507">
        <v>58</v>
      </c>
      <c r="ZQ61" s="507">
        <v>58</v>
      </c>
      <c r="ZR61" s="507">
        <v>58</v>
      </c>
      <c r="ZS61" s="507">
        <v>58</v>
      </c>
      <c r="ZT61" s="507"/>
      <c r="ZU61" s="507"/>
      <c r="ZV61" s="507"/>
      <c r="ZW61" s="507"/>
      <c r="ZX61" s="507"/>
      <c r="ZY61" s="507"/>
      <c r="ZZ61" s="507"/>
      <c r="AAA61" s="507"/>
      <c r="AAB61" s="507"/>
      <c r="AAC61" s="507"/>
      <c r="AAD61" s="507"/>
      <c r="AAE61" s="507"/>
      <c r="AAF61" s="507"/>
      <c r="AAG61" s="507"/>
      <c r="AAH61" s="507"/>
      <c r="AAI61" s="507"/>
      <c r="AAJ61" s="507"/>
      <c r="AAK61" s="507"/>
      <c r="AAL61" s="507"/>
      <c r="AAM61" s="507">
        <v>58</v>
      </c>
      <c r="AAN61" s="507"/>
      <c r="AAO61" s="507"/>
      <c r="AAP61" s="507"/>
      <c r="AAQ61" s="507"/>
      <c r="AAR61" s="507"/>
      <c r="AAS61" s="507"/>
      <c r="AAT61" s="507"/>
      <c r="AAU61" s="507"/>
      <c r="AAV61" s="507"/>
      <c r="AAW61" s="507"/>
      <c r="AAX61" s="507"/>
      <c r="AAY61" s="507"/>
      <c r="AAZ61" s="507"/>
      <c r="ABA61" s="507">
        <v>58</v>
      </c>
      <c r="ABB61" s="507"/>
      <c r="ABC61" s="507"/>
      <c r="ABD61" s="507"/>
      <c r="ABE61" s="507"/>
      <c r="ABF61" s="507"/>
      <c r="ABG61" s="507"/>
      <c r="ABH61" s="507"/>
      <c r="ABI61" s="507"/>
      <c r="ABJ61" s="507"/>
      <c r="ABK61" s="507"/>
      <c r="ABL61" s="507"/>
      <c r="ABM61" s="507"/>
      <c r="ABN61" s="507"/>
      <c r="ABO61" s="507"/>
      <c r="ABP61" s="507"/>
      <c r="ABQ61" s="507"/>
      <c r="ABR61" s="507"/>
      <c r="ABS61" s="507"/>
      <c r="ABT61" s="507"/>
      <c r="ABU61" s="507"/>
      <c r="ABV61" s="507"/>
      <c r="ABW61" s="507"/>
      <c r="ABX61" s="507"/>
      <c r="ABY61" s="507"/>
      <c r="ABZ61" s="507"/>
      <c r="ACA61" s="507"/>
      <c r="ACB61" s="507"/>
      <c r="ACC61" s="507"/>
      <c r="ACD61" s="507"/>
      <c r="ACE61" s="507"/>
      <c r="ACF61" s="507"/>
      <c r="ACG61" s="507"/>
      <c r="ACH61" s="507"/>
      <c r="ACI61" s="507"/>
      <c r="ACJ61" s="507"/>
      <c r="ACK61" s="507"/>
      <c r="ACL61" s="507"/>
      <c r="ACM61" s="507"/>
      <c r="ACN61" s="507"/>
      <c r="ACO61" s="507"/>
      <c r="ACP61" s="507"/>
      <c r="ACQ61" s="507"/>
      <c r="ACR61" s="507"/>
      <c r="ACS61" s="507"/>
      <c r="ACT61" s="507"/>
      <c r="ACU61" s="507"/>
      <c r="ACV61" s="507"/>
      <c r="ACW61" s="507"/>
      <c r="ACX61" s="507"/>
      <c r="ACY61" s="507"/>
      <c r="ACZ61" s="507"/>
      <c r="ADA61" s="507"/>
      <c r="ADB61" s="507"/>
      <c r="ADC61" s="507"/>
      <c r="ADD61" s="507"/>
      <c r="ADE61" s="507"/>
      <c r="ADF61" s="507"/>
      <c r="ADG61" s="507"/>
      <c r="ADH61" s="507"/>
      <c r="ADI61" s="507"/>
      <c r="ADJ61" s="507"/>
      <c r="ADK61" s="507"/>
      <c r="ADL61" s="507"/>
      <c r="ADM61" s="507"/>
      <c r="ADN61" s="507"/>
      <c r="ADO61" s="507"/>
      <c r="ADP61" s="507"/>
      <c r="ADQ61" s="507"/>
      <c r="ADR61" s="507"/>
      <c r="ADS61" s="507"/>
      <c r="ADT61" s="507"/>
      <c r="ADU61" s="507"/>
      <c r="ADV61" s="507"/>
      <c r="ADW61" s="507"/>
      <c r="ADX61" s="507"/>
      <c r="ADY61" s="507"/>
      <c r="ADZ61" s="507"/>
      <c r="AEA61" s="507"/>
      <c r="AEB61" s="507"/>
      <c r="AEC61" s="507"/>
      <c r="AED61" s="507"/>
      <c r="AEE61" s="507"/>
      <c r="AEF61" s="507"/>
      <c r="AEG61" s="507"/>
      <c r="AEH61" s="507"/>
      <c r="AEI61" s="507"/>
      <c r="AEJ61" s="507"/>
      <c r="AEK61" s="507">
        <v>67</v>
      </c>
      <c r="AEL61" s="507">
        <v>69</v>
      </c>
      <c r="AEM61" s="507">
        <v>69</v>
      </c>
      <c r="AEN61" s="542">
        <v>68</v>
      </c>
      <c r="AEO61" s="507">
        <v>68</v>
      </c>
      <c r="AEP61" s="507">
        <v>61.3</v>
      </c>
      <c r="AEQ61" s="507">
        <v>56.3</v>
      </c>
      <c r="AER61" s="507"/>
      <c r="AES61" s="507"/>
      <c r="AET61" s="507"/>
      <c r="AEU61" s="507"/>
      <c r="AEV61" s="507"/>
      <c r="AEW61" s="507"/>
      <c r="AEX61" s="507"/>
      <c r="AEY61" s="507"/>
      <c r="AEZ61" s="507"/>
      <c r="AFA61" s="507"/>
      <c r="AFB61" s="507"/>
      <c r="AFC61" s="507"/>
      <c r="AFD61" s="507"/>
      <c r="AFE61" s="507"/>
      <c r="AFF61" s="507"/>
      <c r="AFG61" s="507"/>
      <c r="AFH61" s="507"/>
      <c r="AFI61" s="507"/>
      <c r="AFJ61" s="507"/>
      <c r="AFK61" s="507"/>
      <c r="AFL61" s="507"/>
      <c r="AFM61" s="507"/>
      <c r="AFN61" s="507"/>
      <c r="AFO61" s="507"/>
      <c r="AFP61" s="507"/>
      <c r="AFQ61" s="507">
        <v>57.3</v>
      </c>
      <c r="AFR61" s="507">
        <v>57.3</v>
      </c>
      <c r="AFS61" s="507">
        <v>57.3</v>
      </c>
      <c r="AFT61" s="507">
        <v>57.3</v>
      </c>
      <c r="AFU61" s="507">
        <v>57.3</v>
      </c>
      <c r="AFV61" s="507"/>
      <c r="AFW61" s="507"/>
      <c r="AFX61" s="507"/>
      <c r="AFY61" s="507"/>
      <c r="AFZ61" s="507"/>
      <c r="AGA61" s="507"/>
      <c r="AGB61" s="507"/>
      <c r="AGC61" s="507"/>
      <c r="AGD61" s="507"/>
      <c r="AGE61" s="507"/>
      <c r="AGF61" s="507"/>
      <c r="AGG61" s="507"/>
      <c r="AGH61" s="507"/>
      <c r="AGI61" s="507"/>
      <c r="AGJ61" s="507"/>
      <c r="AGK61" s="507"/>
      <c r="AGL61" s="507"/>
      <c r="AGM61" s="507"/>
      <c r="AGN61" s="507"/>
      <c r="AGO61" s="507"/>
      <c r="AGP61" s="507"/>
      <c r="AGQ61" s="507"/>
      <c r="AGR61" s="507"/>
      <c r="AGS61" s="507"/>
      <c r="AGT61" s="507"/>
      <c r="AGU61" s="507"/>
      <c r="AGV61" s="507"/>
      <c r="AGW61" s="507"/>
      <c r="AGX61" s="507"/>
      <c r="AGY61" s="507"/>
      <c r="AGZ61" s="507"/>
      <c r="AHA61" s="507"/>
      <c r="AHB61" s="507"/>
      <c r="AHC61" s="507"/>
      <c r="AHD61" s="507"/>
      <c r="AHE61" s="507"/>
      <c r="AHF61" s="507"/>
      <c r="AHG61" s="507"/>
      <c r="AHH61" s="507"/>
      <c r="AHI61" s="507"/>
      <c r="AHJ61" s="507"/>
      <c r="AHK61" s="507"/>
      <c r="AHL61" s="507"/>
      <c r="AHM61" s="507"/>
      <c r="AHN61" s="507"/>
      <c r="AHO61" s="507"/>
      <c r="AHP61" s="507"/>
      <c r="AHQ61" s="507"/>
      <c r="AHR61" s="507"/>
      <c r="AHS61" s="507"/>
      <c r="AHT61" s="507"/>
      <c r="AHU61" s="507"/>
      <c r="AHV61" s="507"/>
      <c r="AHW61" s="507"/>
      <c r="AHX61" s="507"/>
      <c r="AHY61" s="507"/>
      <c r="AHZ61" s="507"/>
      <c r="AIA61" s="507"/>
      <c r="AIB61" s="507"/>
      <c r="AIC61" s="507"/>
      <c r="AID61" s="507"/>
      <c r="AIE61" s="507"/>
      <c r="AIF61" s="507"/>
      <c r="AIG61" s="507"/>
      <c r="AIH61" s="507"/>
      <c r="AII61" s="507"/>
      <c r="AIJ61" s="507"/>
      <c r="AIK61" s="507"/>
      <c r="AIL61" s="507"/>
      <c r="AIM61" s="507"/>
      <c r="AIN61" s="507"/>
      <c r="AIO61" s="507"/>
      <c r="AIP61" s="507"/>
      <c r="AIQ61" s="507"/>
      <c r="AIR61" s="507"/>
      <c r="AIS61" s="507"/>
      <c r="AIT61" s="507"/>
      <c r="AIU61" s="507"/>
      <c r="AIV61" s="507"/>
      <c r="AIW61" s="507"/>
      <c r="AIX61" s="507"/>
      <c r="AIY61" s="507"/>
      <c r="AIZ61" s="507"/>
      <c r="AJA61" s="507"/>
      <c r="AJB61" s="507"/>
      <c r="AJC61" s="507"/>
      <c r="AJD61" s="507"/>
      <c r="AJE61" s="507"/>
      <c r="AJF61" s="507"/>
      <c r="AJG61" s="507"/>
      <c r="AJH61" s="507"/>
      <c r="AJI61" s="507"/>
      <c r="AJJ61" s="507"/>
      <c r="AJK61" s="507"/>
      <c r="AJL61" s="507"/>
      <c r="AJM61" s="507"/>
      <c r="AJN61" s="507"/>
      <c r="AJO61" s="507"/>
      <c r="AJP61" s="507"/>
      <c r="AJQ61" s="546"/>
      <c r="AJR61" s="526"/>
      <c r="AJS61" s="526"/>
      <c r="ALU61" s="507">
        <v>57.3</v>
      </c>
      <c r="ALV61" s="507"/>
      <c r="ALW61" s="507"/>
      <c r="ALX61" s="507"/>
      <c r="ALY61" s="507"/>
      <c r="ALZ61" s="507"/>
      <c r="AMA61" s="507"/>
      <c r="AMB61" s="507"/>
      <c r="AMC61" s="507"/>
      <c r="AMD61" s="507"/>
      <c r="AME61" s="507"/>
      <c r="AMF61" s="507"/>
      <c r="AMG61" s="507"/>
      <c r="AMH61" s="507"/>
      <c r="AMI61" s="507"/>
      <c r="AMJ61" s="507"/>
      <c r="AMK61" s="123"/>
      <c r="AML61" s="123"/>
      <c r="AMM61" s="123"/>
      <c r="AMN61" s="195">
        <f>AVERAGE(AFQ61,ZO61,SV61,NP61,IJ61,DD61)</f>
        <v>57.92</v>
      </c>
      <c r="AMO61" s="195" t="e">
        <f>AVERAGE(#REF!,ABA61,UH61,PB61,JV61,EP61)</f>
        <v>#REF!</v>
      </c>
    </row>
    <row r="62" spans="1:1029" ht="28.5" hidden="1" customHeight="1" thickBot="1" x14ac:dyDescent="0.35">
      <c r="A62" s="527" t="s">
        <v>197</v>
      </c>
      <c r="B62" s="528" t="s">
        <v>191</v>
      </c>
      <c r="C62" s="528" t="s">
        <v>198</v>
      </c>
      <c r="D62" s="528">
        <v>600</v>
      </c>
      <c r="E62" s="529"/>
      <c r="F62" s="529"/>
      <c r="G62" s="529"/>
      <c r="H62" s="529"/>
      <c r="I62" s="529"/>
      <c r="J62" s="529"/>
      <c r="K62" s="529" t="s">
        <v>88</v>
      </c>
      <c r="L62" s="530">
        <v>55.4</v>
      </c>
      <c r="M62" s="530">
        <v>58.8</v>
      </c>
      <c r="N62" s="530">
        <v>55.4</v>
      </c>
      <c r="O62" s="531">
        <v>59</v>
      </c>
      <c r="P62" s="531">
        <v>59</v>
      </c>
      <c r="Q62" s="531">
        <v>64.400000000000006</v>
      </c>
      <c r="R62" s="531">
        <v>72.5</v>
      </c>
      <c r="S62" s="531"/>
      <c r="T62" s="531"/>
      <c r="U62" s="531"/>
      <c r="V62" s="531"/>
      <c r="W62" s="531"/>
      <c r="X62" s="531">
        <v>73.7</v>
      </c>
      <c r="Y62" s="532">
        <v>73.7</v>
      </c>
      <c r="Z62" s="532">
        <v>72.7</v>
      </c>
      <c r="AA62" s="532">
        <v>71.8</v>
      </c>
      <c r="AB62" s="533">
        <v>71.8</v>
      </c>
      <c r="AC62" s="533">
        <v>69.900000000000006</v>
      </c>
      <c r="AD62" s="534">
        <v>67.099999999999994</v>
      </c>
      <c r="AE62" s="535">
        <v>67.099999999999994</v>
      </c>
      <c r="AF62" s="535">
        <v>67.099999999999994</v>
      </c>
      <c r="AG62" s="535">
        <v>67.099999999999994</v>
      </c>
      <c r="AH62" s="535">
        <v>68.900000000000006</v>
      </c>
      <c r="AI62" s="535">
        <v>73.2</v>
      </c>
      <c r="AJ62" s="535">
        <v>73.2</v>
      </c>
      <c r="AK62" s="536">
        <v>73.2</v>
      </c>
      <c r="AL62" s="536">
        <v>68.599999999999994</v>
      </c>
      <c r="AM62" s="535">
        <v>68.599999999999994</v>
      </c>
      <c r="AN62" s="529"/>
      <c r="AO62" s="529"/>
      <c r="AP62" s="529"/>
      <c r="AQ62" s="529"/>
      <c r="AR62" s="529"/>
      <c r="AS62" s="529"/>
      <c r="AT62" s="529"/>
      <c r="AU62" s="529"/>
      <c r="AV62" s="529"/>
      <c r="AW62" s="529"/>
      <c r="AX62" s="529"/>
      <c r="AY62" s="529"/>
      <c r="AZ62" s="529"/>
      <c r="BA62" s="529"/>
      <c r="BB62" s="529"/>
      <c r="BC62" s="529"/>
      <c r="BD62" s="529"/>
      <c r="BE62" s="529"/>
      <c r="BF62" s="529"/>
      <c r="BG62" s="529"/>
      <c r="BH62" s="529"/>
      <c r="BI62" s="529"/>
      <c r="BJ62" s="529"/>
      <c r="BK62" s="529"/>
      <c r="BL62" s="529"/>
      <c r="BM62" s="529"/>
      <c r="BN62" s="529"/>
      <c r="BO62" s="529"/>
      <c r="BP62" s="529"/>
      <c r="BQ62" s="529"/>
      <c r="BR62" s="529"/>
      <c r="BS62" s="529"/>
      <c r="BT62" s="529"/>
      <c r="BU62" s="529"/>
      <c r="BV62" s="529"/>
      <c r="BW62" s="529"/>
      <c r="BX62" s="529"/>
      <c r="BY62" s="529"/>
      <c r="BZ62" s="529"/>
      <c r="CA62" s="529"/>
      <c r="CB62" s="529"/>
      <c r="CC62" s="537"/>
      <c r="CD62" s="537"/>
      <c r="CE62" s="537"/>
      <c r="CF62" s="537"/>
      <c r="CG62" s="537"/>
      <c r="CH62" s="537"/>
      <c r="CI62" s="537"/>
      <c r="CJ62" s="537"/>
      <c r="CK62" s="537"/>
      <c r="CL62" s="537"/>
      <c r="CM62" s="537"/>
      <c r="CN62" s="537"/>
      <c r="CO62" s="537"/>
      <c r="CP62" s="537"/>
      <c r="CQ62" s="537"/>
      <c r="CR62" s="537"/>
      <c r="CS62" s="537"/>
      <c r="CT62" s="537"/>
      <c r="CU62" s="537"/>
      <c r="CV62" s="537"/>
      <c r="CW62" s="537">
        <v>57</v>
      </c>
      <c r="CX62" s="537">
        <v>60</v>
      </c>
      <c r="CY62" s="537">
        <v>62</v>
      </c>
      <c r="CZ62" s="543">
        <v>61</v>
      </c>
      <c r="DA62" s="537">
        <v>60</v>
      </c>
      <c r="DB62" s="537"/>
      <c r="DC62" s="537"/>
      <c r="DD62" s="537"/>
      <c r="DE62" s="537">
        <v>44</v>
      </c>
      <c r="DF62" s="537">
        <v>44</v>
      </c>
      <c r="DG62" s="537">
        <v>44</v>
      </c>
      <c r="DH62" s="537">
        <v>44</v>
      </c>
      <c r="DI62" s="537"/>
      <c r="DJ62" s="537"/>
      <c r="DK62" s="537"/>
      <c r="DL62" s="537"/>
      <c r="DM62" s="537"/>
      <c r="DN62" s="537"/>
      <c r="DO62" s="537"/>
      <c r="DP62" s="537"/>
      <c r="DQ62" s="537"/>
      <c r="DR62" s="537"/>
      <c r="DS62" s="537"/>
      <c r="DT62" s="537"/>
      <c r="DU62" s="537"/>
      <c r="DV62" s="537"/>
      <c r="DW62" s="537"/>
      <c r="DX62" s="537"/>
      <c r="DY62" s="537"/>
      <c r="DZ62" s="537"/>
      <c r="EA62" s="537"/>
      <c r="EB62" s="537"/>
      <c r="EC62" s="537"/>
      <c r="ED62" s="537"/>
      <c r="EE62" s="537"/>
      <c r="EF62" s="537"/>
      <c r="EG62" s="537"/>
      <c r="EH62" s="537"/>
      <c r="EI62" s="537"/>
      <c r="EJ62" s="537"/>
      <c r="EK62" s="537"/>
      <c r="EL62" s="537"/>
      <c r="EM62" s="537"/>
      <c r="EN62" s="537"/>
      <c r="EO62" s="537"/>
      <c r="EP62" s="537"/>
      <c r="EQ62" s="529"/>
      <c r="ER62" s="529"/>
      <c r="ES62" s="529"/>
      <c r="ET62" s="529"/>
      <c r="EU62" s="529"/>
      <c r="EV62" s="529"/>
      <c r="EW62" s="529"/>
      <c r="EX62" s="529"/>
      <c r="EY62" s="529"/>
      <c r="EZ62" s="529"/>
      <c r="FA62" s="529"/>
      <c r="FB62" s="529"/>
      <c r="FC62" s="529"/>
      <c r="FD62" s="529"/>
      <c r="FE62" s="529"/>
      <c r="FF62" s="529"/>
      <c r="FG62" s="529"/>
      <c r="FH62" s="529"/>
      <c r="FI62" s="529"/>
      <c r="FJ62" s="529"/>
      <c r="FK62" s="529"/>
      <c r="FL62" s="529"/>
      <c r="FM62" s="529"/>
      <c r="FN62" s="529"/>
      <c r="FO62" s="529"/>
      <c r="FP62" s="529"/>
      <c r="FQ62" s="529"/>
      <c r="FR62" s="529"/>
      <c r="FS62" s="529"/>
      <c r="FT62" s="529"/>
      <c r="FU62" s="529"/>
      <c r="FV62" s="529"/>
      <c r="FW62" s="529"/>
      <c r="FX62" s="529"/>
      <c r="FY62" s="529"/>
      <c r="FZ62" s="529"/>
      <c r="GA62" s="529"/>
      <c r="GB62" s="529"/>
      <c r="GC62" s="529"/>
      <c r="GD62" s="529"/>
      <c r="GE62" s="529"/>
      <c r="GF62" s="529"/>
      <c r="GG62" s="529"/>
      <c r="GH62" s="529"/>
      <c r="GI62" s="529"/>
      <c r="GJ62" s="529"/>
      <c r="GK62" s="529"/>
      <c r="GL62" s="529"/>
      <c r="GM62" s="529"/>
      <c r="GN62" s="529"/>
      <c r="GO62" s="529"/>
      <c r="GP62" s="529"/>
      <c r="GQ62" s="529"/>
      <c r="GR62" s="529"/>
      <c r="GS62" s="529"/>
      <c r="GT62" s="529"/>
      <c r="GU62" s="529"/>
      <c r="GV62" s="529"/>
      <c r="GW62" s="529"/>
      <c r="GX62" s="529"/>
      <c r="GY62" s="529"/>
      <c r="GZ62" s="529"/>
      <c r="HA62" s="529"/>
      <c r="HB62" s="529"/>
      <c r="HC62" s="529"/>
      <c r="HD62" s="529"/>
      <c r="HE62" s="529"/>
      <c r="HF62" s="529"/>
      <c r="HG62" s="529"/>
      <c r="HH62" s="529"/>
      <c r="HI62" s="529"/>
      <c r="HJ62" s="529"/>
      <c r="HK62" s="529"/>
      <c r="HL62" s="529"/>
      <c r="HM62" s="529"/>
      <c r="HN62" s="529"/>
      <c r="HO62" s="529"/>
      <c r="HP62" s="529"/>
      <c r="HQ62" s="529"/>
      <c r="HR62" s="529"/>
      <c r="HS62" s="529"/>
      <c r="HT62" s="529"/>
      <c r="HU62" s="529"/>
      <c r="HV62" s="529"/>
      <c r="HW62" s="529"/>
      <c r="HX62" s="529"/>
      <c r="HY62" s="529"/>
      <c r="HZ62" s="529"/>
      <c r="IA62" s="529"/>
      <c r="IB62" s="529"/>
      <c r="IC62" s="529">
        <v>55</v>
      </c>
      <c r="ID62" s="529">
        <v>58</v>
      </c>
      <c r="IE62" s="529">
        <v>58</v>
      </c>
      <c r="IF62" s="543">
        <v>58</v>
      </c>
      <c r="IG62" s="529">
        <v>55</v>
      </c>
      <c r="IH62" s="529"/>
      <c r="II62" s="529"/>
      <c r="IJ62" s="529"/>
      <c r="IK62" s="529"/>
      <c r="IL62" s="529"/>
      <c r="IM62" s="529"/>
      <c r="IN62" s="529"/>
      <c r="IO62" s="529"/>
      <c r="IP62" s="529"/>
      <c r="IQ62" s="529"/>
      <c r="IR62" s="529"/>
      <c r="IS62" s="529"/>
      <c r="IT62" s="529"/>
      <c r="IU62" s="529"/>
      <c r="IV62" s="529"/>
      <c r="IW62" s="529"/>
      <c r="IX62" s="529"/>
      <c r="IY62" s="529"/>
      <c r="IZ62" s="529"/>
      <c r="JA62" s="529"/>
      <c r="JB62" s="529"/>
      <c r="JC62" s="529"/>
      <c r="JD62" s="529"/>
      <c r="JE62" s="529"/>
      <c r="JF62" s="529"/>
      <c r="JG62" s="529"/>
      <c r="JH62" s="529"/>
      <c r="JI62" s="529"/>
      <c r="JJ62" s="529"/>
      <c r="JK62" s="529"/>
      <c r="JL62" s="529"/>
      <c r="JM62" s="529"/>
      <c r="JN62" s="529"/>
      <c r="JO62" s="529"/>
      <c r="JP62" s="529"/>
      <c r="JQ62" s="529"/>
      <c r="JR62" s="529"/>
      <c r="JS62" s="529"/>
      <c r="JT62" s="529"/>
      <c r="JU62" s="529"/>
      <c r="JV62" s="529"/>
      <c r="JW62" s="529"/>
      <c r="JX62" s="529"/>
      <c r="JY62" s="529"/>
      <c r="JZ62" s="529"/>
      <c r="KA62" s="529"/>
      <c r="KB62" s="529"/>
      <c r="KC62" s="529"/>
      <c r="KD62" s="529"/>
      <c r="KE62" s="529"/>
      <c r="KF62" s="529"/>
      <c r="KG62" s="529"/>
      <c r="KH62" s="529"/>
      <c r="KI62" s="529"/>
      <c r="KJ62" s="529"/>
      <c r="KK62" s="529"/>
      <c r="KL62" s="529"/>
      <c r="KM62" s="529"/>
      <c r="KN62" s="529"/>
      <c r="KO62" s="529"/>
      <c r="KP62" s="529"/>
      <c r="KQ62" s="529"/>
      <c r="KR62" s="529"/>
      <c r="KS62" s="529"/>
      <c r="KT62" s="529"/>
      <c r="KU62" s="529"/>
      <c r="KV62" s="529"/>
      <c r="KW62" s="529"/>
      <c r="KX62" s="529"/>
      <c r="KY62" s="529"/>
      <c r="KZ62" s="529"/>
      <c r="LA62" s="529"/>
      <c r="LB62" s="529"/>
      <c r="LC62" s="529"/>
      <c r="LD62" s="529"/>
      <c r="LE62" s="529"/>
      <c r="LF62" s="529"/>
      <c r="LG62" s="529"/>
      <c r="LH62" s="529"/>
      <c r="LI62" s="529"/>
      <c r="LJ62" s="529"/>
      <c r="LK62" s="529"/>
      <c r="LL62" s="529"/>
      <c r="LM62" s="529"/>
      <c r="LN62" s="529"/>
      <c r="LO62" s="529"/>
      <c r="LP62" s="529"/>
      <c r="LQ62" s="529"/>
      <c r="LR62" s="529"/>
      <c r="LS62" s="529"/>
      <c r="LT62" s="529"/>
      <c r="LU62" s="529"/>
      <c r="LV62" s="529"/>
      <c r="LW62" s="529"/>
      <c r="LX62" s="529"/>
      <c r="LY62" s="529"/>
      <c r="LZ62" s="529"/>
      <c r="MA62" s="529"/>
      <c r="MB62" s="529"/>
      <c r="MC62" s="529"/>
      <c r="MD62" s="529"/>
      <c r="ME62" s="529"/>
      <c r="MF62" s="529"/>
      <c r="MG62" s="529"/>
      <c r="MH62" s="529"/>
      <c r="MI62" s="529"/>
      <c r="MJ62" s="529"/>
      <c r="MK62" s="529"/>
      <c r="ML62" s="529"/>
      <c r="MM62" s="529"/>
      <c r="MN62" s="529"/>
      <c r="MO62" s="529"/>
      <c r="MP62" s="529"/>
      <c r="MQ62" s="529"/>
      <c r="MR62" s="529"/>
      <c r="MS62" s="529"/>
      <c r="MT62" s="529"/>
      <c r="MU62" s="529"/>
      <c r="MV62" s="529"/>
      <c r="MW62" s="529"/>
      <c r="MX62" s="529"/>
      <c r="MY62" s="529"/>
      <c r="MZ62" s="529"/>
      <c r="NA62" s="529"/>
      <c r="NB62" s="529"/>
      <c r="NC62" s="529"/>
      <c r="ND62" s="529"/>
      <c r="NE62" s="529"/>
      <c r="NF62" s="529"/>
      <c r="NG62" s="529"/>
      <c r="NH62" s="529"/>
      <c r="NI62" s="529">
        <v>51</v>
      </c>
      <c r="NJ62" s="529">
        <v>53.5</v>
      </c>
      <c r="NK62" s="529">
        <v>53.5</v>
      </c>
      <c r="NL62" s="543">
        <v>52.5</v>
      </c>
      <c r="NM62" s="529">
        <v>51.5</v>
      </c>
      <c r="NN62" s="529">
        <v>48.5</v>
      </c>
      <c r="NO62" s="529">
        <v>43.5</v>
      </c>
      <c r="NP62" s="529">
        <v>45.5</v>
      </c>
      <c r="NQ62" s="529"/>
      <c r="NR62" s="529"/>
      <c r="NS62" s="529"/>
      <c r="NT62" s="529"/>
      <c r="NU62" s="529"/>
      <c r="NV62" s="529"/>
      <c r="NW62" s="529"/>
      <c r="NX62" s="529"/>
      <c r="NY62" s="529"/>
      <c r="NZ62" s="529"/>
      <c r="OA62" s="529"/>
      <c r="OB62" s="529"/>
      <c r="OC62" s="529"/>
      <c r="OD62" s="529"/>
      <c r="OE62" s="529"/>
      <c r="OF62" s="529"/>
      <c r="OG62" s="529"/>
      <c r="OH62" s="529"/>
      <c r="OI62" s="529"/>
      <c r="OJ62" s="529"/>
      <c r="OK62" s="529"/>
      <c r="OL62" s="529"/>
      <c r="OM62" s="529"/>
      <c r="ON62" s="529"/>
      <c r="OO62" s="529"/>
      <c r="OP62" s="529"/>
      <c r="OQ62" s="529"/>
      <c r="OR62" s="529"/>
      <c r="OS62" s="529"/>
      <c r="OT62" s="529"/>
      <c r="OU62" s="529"/>
      <c r="OV62" s="529"/>
      <c r="OW62" s="529"/>
      <c r="OX62" s="529"/>
      <c r="OY62" s="529"/>
      <c r="OZ62" s="529"/>
      <c r="PA62" s="529"/>
      <c r="PB62" s="529"/>
      <c r="PC62" s="529"/>
      <c r="PD62" s="529"/>
      <c r="PE62" s="529"/>
      <c r="PF62" s="529"/>
      <c r="PG62" s="529"/>
      <c r="PH62" s="529"/>
      <c r="PI62" s="529"/>
      <c r="PJ62" s="529"/>
      <c r="PK62" s="529"/>
      <c r="PL62" s="529"/>
      <c r="PM62" s="529"/>
      <c r="PN62" s="529"/>
      <c r="PO62" s="529"/>
      <c r="PP62" s="529"/>
      <c r="PQ62" s="529"/>
      <c r="PR62" s="529"/>
      <c r="PS62" s="529"/>
      <c r="PT62" s="529"/>
      <c r="PU62" s="529"/>
      <c r="PV62" s="529"/>
      <c r="PW62" s="529"/>
      <c r="PX62" s="529"/>
      <c r="PY62" s="529"/>
      <c r="PZ62" s="529"/>
      <c r="QA62" s="529"/>
      <c r="QB62" s="529"/>
      <c r="QC62" s="529"/>
      <c r="QD62" s="529"/>
      <c r="QE62" s="529"/>
      <c r="QF62" s="529"/>
      <c r="QG62" s="529"/>
      <c r="QH62" s="529"/>
      <c r="QI62" s="529"/>
      <c r="QJ62" s="529"/>
      <c r="QK62" s="529"/>
      <c r="QL62" s="529"/>
      <c r="QM62" s="529"/>
      <c r="QN62" s="529"/>
      <c r="QO62" s="529"/>
      <c r="QP62" s="529"/>
      <c r="QQ62" s="529"/>
      <c r="QR62" s="529"/>
      <c r="QS62" s="529"/>
      <c r="QT62" s="529"/>
      <c r="QU62" s="529"/>
      <c r="QV62" s="529"/>
      <c r="QW62" s="529"/>
      <c r="QX62" s="529"/>
      <c r="QY62" s="529"/>
      <c r="QZ62" s="529"/>
      <c r="RA62" s="529"/>
      <c r="RB62" s="529"/>
      <c r="RC62" s="529"/>
      <c r="RD62" s="529"/>
      <c r="RE62" s="529"/>
      <c r="RF62" s="529"/>
      <c r="RG62" s="529"/>
      <c r="RH62" s="529"/>
      <c r="RI62" s="529"/>
      <c r="RJ62" s="529"/>
      <c r="RK62" s="529"/>
      <c r="RL62" s="529"/>
      <c r="RM62" s="529"/>
      <c r="RN62" s="529"/>
      <c r="RO62" s="529"/>
      <c r="RP62" s="529"/>
      <c r="RQ62" s="529"/>
      <c r="RR62" s="529"/>
      <c r="RS62" s="529"/>
      <c r="RT62" s="529"/>
      <c r="RU62" s="529"/>
      <c r="RV62" s="529"/>
      <c r="RW62" s="529"/>
      <c r="RX62" s="529"/>
      <c r="RY62" s="529"/>
      <c r="RZ62" s="529"/>
      <c r="SA62" s="529"/>
      <c r="SB62" s="529"/>
      <c r="SC62" s="529"/>
      <c r="SD62" s="529"/>
      <c r="SE62" s="529"/>
      <c r="SF62" s="529"/>
      <c r="SG62" s="529"/>
      <c r="SH62" s="529"/>
      <c r="SI62" s="529"/>
      <c r="SJ62" s="529"/>
      <c r="SK62" s="529"/>
      <c r="SL62" s="529"/>
      <c r="SM62" s="529"/>
      <c r="SN62" s="529"/>
      <c r="SO62" s="529"/>
      <c r="SP62" s="529">
        <v>60.7</v>
      </c>
      <c r="SQ62" s="529">
        <v>65.3</v>
      </c>
      <c r="SR62" s="543">
        <v>65.3</v>
      </c>
      <c r="SS62" s="529">
        <v>65.3</v>
      </c>
      <c r="ST62" s="529"/>
      <c r="SU62" s="529"/>
      <c r="SV62" s="529"/>
      <c r="SW62" s="529"/>
      <c r="SX62" s="529"/>
      <c r="SY62" s="529"/>
      <c r="SZ62" s="529"/>
      <c r="TA62" s="529"/>
      <c r="TB62" s="529"/>
      <c r="TC62" s="529"/>
      <c r="TD62" s="529"/>
      <c r="TE62" s="529"/>
      <c r="TF62" s="529"/>
      <c r="TG62" s="529"/>
      <c r="TH62" s="529"/>
      <c r="TI62" s="529"/>
      <c r="TJ62" s="529"/>
      <c r="TK62" s="529"/>
      <c r="TL62" s="529"/>
      <c r="TM62" s="529"/>
      <c r="TN62" s="529"/>
      <c r="TO62" s="529"/>
      <c r="TP62" s="529"/>
      <c r="TQ62" s="529"/>
      <c r="TR62" s="529"/>
      <c r="TS62" s="529"/>
      <c r="TT62" s="529"/>
      <c r="TU62" s="529"/>
      <c r="TV62" s="529"/>
      <c r="TW62" s="529"/>
      <c r="TX62" s="529"/>
      <c r="TY62" s="529"/>
      <c r="TZ62" s="529"/>
      <c r="UA62" s="529"/>
      <c r="UB62" s="529"/>
      <c r="UC62" s="529"/>
      <c r="UD62" s="529"/>
      <c r="UE62" s="529"/>
      <c r="UF62" s="529"/>
      <c r="UG62" s="529"/>
      <c r="UH62" s="529"/>
      <c r="UI62" s="529"/>
      <c r="UJ62" s="529"/>
      <c r="UK62" s="529"/>
      <c r="UL62" s="529"/>
      <c r="UM62" s="529"/>
      <c r="UN62" s="529"/>
      <c r="UO62" s="529"/>
      <c r="UP62" s="529"/>
      <c r="UQ62" s="529"/>
      <c r="UR62" s="529"/>
      <c r="US62" s="529"/>
      <c r="UT62" s="529"/>
      <c r="UU62" s="529"/>
      <c r="UV62" s="529"/>
      <c r="UW62" s="529"/>
      <c r="UX62" s="529"/>
      <c r="UY62" s="529"/>
      <c r="UZ62" s="529"/>
      <c r="VA62" s="529"/>
      <c r="VB62" s="529"/>
      <c r="VC62" s="529"/>
      <c r="VD62" s="529"/>
      <c r="VE62" s="529"/>
      <c r="VF62" s="529"/>
      <c r="VG62" s="529"/>
      <c r="VH62" s="529"/>
      <c r="VI62" s="529"/>
      <c r="VJ62" s="529"/>
      <c r="VK62" s="529"/>
      <c r="VL62" s="529"/>
      <c r="VM62" s="529"/>
      <c r="VN62" s="529"/>
      <c r="VO62" s="529"/>
      <c r="VP62" s="529"/>
      <c r="VQ62" s="529"/>
      <c r="VR62" s="529"/>
      <c r="VS62" s="529"/>
      <c r="VT62" s="529"/>
      <c r="VU62" s="529"/>
      <c r="VV62" s="529"/>
      <c r="VW62" s="529"/>
      <c r="VX62" s="529"/>
      <c r="VY62" s="529"/>
      <c r="VZ62" s="529"/>
      <c r="WA62" s="529"/>
      <c r="WB62" s="529"/>
      <c r="WC62" s="529"/>
      <c r="WD62" s="529"/>
      <c r="WE62" s="529"/>
      <c r="WF62" s="529"/>
      <c r="WG62" s="529"/>
      <c r="WH62" s="529"/>
      <c r="WI62" s="529"/>
      <c r="WJ62" s="529"/>
      <c r="WK62" s="529"/>
      <c r="WL62" s="529"/>
      <c r="WM62" s="529"/>
      <c r="WN62" s="529"/>
      <c r="WO62" s="529"/>
      <c r="WP62" s="529"/>
      <c r="WQ62" s="529"/>
      <c r="WR62" s="529"/>
      <c r="WS62" s="529"/>
      <c r="WT62" s="529"/>
      <c r="WU62" s="529"/>
      <c r="WV62" s="529"/>
      <c r="WW62" s="529"/>
      <c r="WX62" s="529"/>
      <c r="WY62" s="529"/>
      <c r="WZ62" s="529"/>
      <c r="XA62" s="529"/>
      <c r="XB62" s="529"/>
      <c r="XC62" s="529"/>
      <c r="XD62" s="529"/>
      <c r="XE62" s="529"/>
      <c r="XF62" s="529"/>
      <c r="XG62" s="529"/>
      <c r="XH62" s="529"/>
      <c r="XI62" s="529"/>
      <c r="XJ62" s="529"/>
      <c r="XK62" s="529"/>
      <c r="XL62" s="529"/>
      <c r="XM62" s="529"/>
      <c r="XN62" s="529"/>
      <c r="XO62" s="529"/>
      <c r="XP62" s="529"/>
      <c r="XQ62" s="538"/>
      <c r="XR62" s="529"/>
      <c r="XS62" s="529"/>
      <c r="XT62" s="529"/>
      <c r="XU62" s="529"/>
      <c r="XV62" s="529"/>
      <c r="XW62" s="529"/>
      <c r="XX62" s="529"/>
      <c r="XY62" s="529"/>
      <c r="XZ62" s="529"/>
      <c r="YA62" s="529"/>
      <c r="YB62" s="529"/>
      <c r="YC62" s="529"/>
      <c r="YD62" s="529"/>
      <c r="YE62" s="529"/>
      <c r="YF62" s="529"/>
      <c r="YG62" s="529"/>
      <c r="YH62" s="529"/>
      <c r="YI62" s="529"/>
      <c r="YJ62" s="529"/>
      <c r="YK62" s="529"/>
      <c r="YL62" s="529"/>
      <c r="YM62" s="529"/>
      <c r="YN62" s="529"/>
      <c r="YO62" s="529"/>
      <c r="YP62" s="529"/>
      <c r="YQ62" s="529"/>
      <c r="YR62" s="529"/>
      <c r="YS62" s="529"/>
      <c r="YT62" s="529"/>
      <c r="YU62" s="529"/>
      <c r="YV62" s="529"/>
      <c r="YW62" s="529"/>
      <c r="YX62" s="529"/>
      <c r="YY62" s="529"/>
      <c r="YZ62" s="529"/>
      <c r="ZA62" s="529"/>
      <c r="ZB62" s="529"/>
      <c r="ZC62" s="529"/>
      <c r="ZD62" s="529"/>
      <c r="ZE62" s="529"/>
      <c r="ZF62" s="529"/>
      <c r="ZG62" s="529"/>
      <c r="ZH62" s="529">
        <v>58</v>
      </c>
      <c r="ZI62" s="529">
        <v>58</v>
      </c>
      <c r="ZJ62" s="529">
        <v>55</v>
      </c>
      <c r="ZK62" s="543">
        <v>53</v>
      </c>
      <c r="ZL62" s="529">
        <v>52</v>
      </c>
      <c r="ZM62" s="529">
        <v>52</v>
      </c>
      <c r="ZN62" s="529">
        <v>52</v>
      </c>
      <c r="ZO62" s="529">
        <v>52</v>
      </c>
      <c r="ZP62" s="529">
        <v>52</v>
      </c>
      <c r="ZQ62" s="529">
        <v>52</v>
      </c>
      <c r="ZR62" s="529">
        <v>52</v>
      </c>
      <c r="ZS62" s="529">
        <v>52</v>
      </c>
      <c r="ZT62" s="529"/>
      <c r="ZU62" s="529"/>
      <c r="ZV62" s="529"/>
      <c r="ZW62" s="529"/>
      <c r="ZX62" s="529"/>
      <c r="ZY62" s="529"/>
      <c r="ZZ62" s="529"/>
      <c r="AAA62" s="529"/>
      <c r="AAB62" s="529"/>
      <c r="AAC62" s="529"/>
      <c r="AAD62" s="529"/>
      <c r="AAE62" s="529"/>
      <c r="AAF62" s="529"/>
      <c r="AAG62" s="529"/>
      <c r="AAH62" s="529"/>
      <c r="AAI62" s="529"/>
      <c r="AAJ62" s="529"/>
      <c r="AAK62" s="529"/>
      <c r="AAL62" s="529"/>
      <c r="AAM62" s="529">
        <v>52</v>
      </c>
      <c r="AAN62" s="529"/>
      <c r="AAO62" s="529"/>
      <c r="AAP62" s="529"/>
      <c r="AAQ62" s="529"/>
      <c r="AAR62" s="529"/>
      <c r="AAS62" s="529"/>
      <c r="AAT62" s="529"/>
      <c r="AAU62" s="529"/>
      <c r="AAV62" s="529"/>
      <c r="AAW62" s="529"/>
      <c r="AAX62" s="529"/>
      <c r="AAY62" s="529"/>
      <c r="AAZ62" s="529"/>
      <c r="ABA62" s="529">
        <v>52</v>
      </c>
      <c r="ABB62" s="529"/>
      <c r="ABC62" s="529"/>
      <c r="ABD62" s="529"/>
      <c r="ABE62" s="529"/>
      <c r="ABF62" s="529"/>
      <c r="ABG62" s="529"/>
      <c r="ABH62" s="529"/>
      <c r="ABI62" s="529"/>
      <c r="ABJ62" s="529"/>
      <c r="ABK62" s="529"/>
      <c r="ABL62" s="529"/>
      <c r="ABM62" s="529"/>
      <c r="ABN62" s="529"/>
      <c r="ABO62" s="529"/>
      <c r="ABP62" s="529"/>
      <c r="ABQ62" s="529"/>
      <c r="ABR62" s="529"/>
      <c r="ABS62" s="529"/>
      <c r="ABT62" s="529"/>
      <c r="ABU62" s="529"/>
      <c r="ABV62" s="529"/>
      <c r="ABW62" s="529"/>
      <c r="ABX62" s="529"/>
      <c r="ABY62" s="529"/>
      <c r="ABZ62" s="529"/>
      <c r="ACA62" s="529"/>
      <c r="ACB62" s="529"/>
      <c r="ACC62" s="529"/>
      <c r="ACD62" s="529"/>
      <c r="ACE62" s="529"/>
      <c r="ACF62" s="529"/>
      <c r="ACG62" s="529"/>
      <c r="ACH62" s="529"/>
      <c r="ACI62" s="529"/>
      <c r="ACJ62" s="529"/>
      <c r="ACK62" s="529"/>
      <c r="ACL62" s="529"/>
      <c r="ACM62" s="529"/>
      <c r="ACN62" s="529"/>
      <c r="ACO62" s="529"/>
      <c r="ACP62" s="529"/>
      <c r="ACQ62" s="529"/>
      <c r="ACR62" s="529"/>
      <c r="ACS62" s="529"/>
      <c r="ACT62" s="538"/>
      <c r="ACU62" s="529"/>
      <c r="ACV62" s="529"/>
      <c r="ACW62" s="529"/>
      <c r="ACX62" s="529"/>
      <c r="ACY62" s="529"/>
      <c r="ACZ62" s="529"/>
      <c r="ADA62" s="529"/>
      <c r="ADB62" s="529"/>
      <c r="ADC62" s="529"/>
      <c r="ADD62" s="529"/>
      <c r="ADE62" s="529"/>
      <c r="ADF62" s="529"/>
      <c r="ADG62" s="529"/>
      <c r="ADH62" s="529"/>
      <c r="ADI62" s="529"/>
      <c r="ADJ62" s="529"/>
      <c r="ADK62" s="529"/>
      <c r="ADL62" s="529"/>
      <c r="ADM62" s="529"/>
      <c r="ADN62" s="529"/>
      <c r="ADO62" s="529"/>
      <c r="ADP62" s="529"/>
      <c r="ADQ62" s="529"/>
      <c r="ADR62" s="529"/>
      <c r="ADS62" s="529"/>
      <c r="ADT62" s="529"/>
      <c r="ADU62" s="529"/>
      <c r="ADV62" s="529"/>
      <c r="ADW62" s="529"/>
      <c r="ADX62" s="529"/>
      <c r="ADY62" s="529"/>
      <c r="ADZ62" s="529"/>
      <c r="AEA62" s="529"/>
      <c r="AEB62" s="529"/>
      <c r="AEC62" s="529"/>
      <c r="AED62" s="529"/>
      <c r="AEE62" s="529"/>
      <c r="AEF62" s="529"/>
      <c r="AEG62" s="529"/>
      <c r="AEH62" s="529"/>
      <c r="AEI62" s="529"/>
      <c r="AEJ62" s="529"/>
      <c r="AEK62" s="529">
        <v>57</v>
      </c>
      <c r="AEL62" s="529">
        <v>57</v>
      </c>
      <c r="AEM62" s="529">
        <v>57</v>
      </c>
      <c r="AEN62" s="543">
        <v>56.5</v>
      </c>
      <c r="AEO62" s="529">
        <v>54</v>
      </c>
      <c r="AEP62" s="529"/>
      <c r="AEQ62" s="529"/>
      <c r="AER62" s="529"/>
      <c r="AES62" s="529"/>
      <c r="AET62" s="529"/>
      <c r="AEU62" s="529"/>
      <c r="AEV62" s="529"/>
      <c r="AEW62" s="529"/>
      <c r="AEX62" s="529"/>
      <c r="AEY62" s="529"/>
      <c r="AEZ62" s="529"/>
      <c r="AFA62" s="529"/>
      <c r="AFB62" s="529"/>
      <c r="AFC62" s="529"/>
      <c r="AFD62" s="529"/>
      <c r="AFE62" s="529"/>
      <c r="AFF62" s="529"/>
      <c r="AFG62" s="529"/>
      <c r="AFH62" s="529"/>
      <c r="AFI62" s="529"/>
      <c r="AFJ62" s="529"/>
      <c r="AFK62" s="529"/>
      <c r="AFL62" s="529"/>
      <c r="AFM62" s="529"/>
      <c r="AFN62" s="529"/>
      <c r="AFO62" s="529"/>
      <c r="AFP62" s="529"/>
      <c r="AFQ62" s="529"/>
      <c r="AFR62" s="529"/>
      <c r="AFS62" s="529"/>
      <c r="AFT62" s="529"/>
      <c r="AFU62" s="529"/>
      <c r="AFV62" s="529"/>
      <c r="AFW62" s="529"/>
      <c r="AFX62" s="529"/>
      <c r="AFY62" s="529"/>
      <c r="AFZ62" s="529"/>
      <c r="AGA62" s="529"/>
      <c r="AGB62" s="529"/>
      <c r="AGC62" s="529"/>
      <c r="AGD62" s="529"/>
      <c r="AGE62" s="529"/>
      <c r="AGF62" s="529"/>
      <c r="AGG62" s="529"/>
      <c r="AGH62" s="529"/>
      <c r="AGI62" s="529"/>
      <c r="AGJ62" s="529"/>
      <c r="AGK62" s="529"/>
      <c r="AGL62" s="529"/>
      <c r="AGM62" s="529"/>
      <c r="AGN62" s="529"/>
      <c r="AGO62" s="529"/>
      <c r="AGP62" s="529"/>
      <c r="AGQ62" s="529"/>
      <c r="AGR62" s="529"/>
      <c r="AGS62" s="529"/>
      <c r="AGT62" s="529"/>
      <c r="AGU62" s="529"/>
      <c r="AGV62" s="529"/>
      <c r="AGW62" s="529"/>
      <c r="AGX62" s="529"/>
      <c r="AGY62" s="529"/>
      <c r="AGZ62" s="529"/>
      <c r="AHA62" s="529"/>
      <c r="AHB62" s="529"/>
      <c r="AHC62" s="529"/>
      <c r="AHD62" s="529"/>
      <c r="AHE62" s="529"/>
      <c r="AHF62" s="529"/>
      <c r="AHG62" s="529"/>
      <c r="AHH62" s="529"/>
      <c r="AHI62" s="529"/>
      <c r="AHJ62" s="529"/>
      <c r="AHK62" s="529"/>
      <c r="AHL62" s="529"/>
      <c r="AHM62" s="529"/>
      <c r="AHN62" s="529"/>
      <c r="AHO62" s="529"/>
      <c r="AHP62" s="529"/>
      <c r="AHQ62" s="529"/>
      <c r="AHR62" s="529"/>
      <c r="AHS62" s="529"/>
      <c r="AHT62" s="529"/>
      <c r="AHU62" s="529"/>
      <c r="AHV62" s="529"/>
      <c r="AHW62" s="529"/>
      <c r="AHX62" s="529"/>
      <c r="AHY62" s="529"/>
      <c r="AHZ62" s="529"/>
      <c r="AIA62" s="529"/>
      <c r="AIB62" s="529"/>
      <c r="AIC62" s="529"/>
      <c r="AID62" s="529"/>
      <c r="AIE62" s="529"/>
      <c r="AIF62" s="529"/>
      <c r="AIG62" s="529"/>
      <c r="AIH62" s="529"/>
      <c r="AII62" s="529"/>
      <c r="AIJ62" s="529"/>
      <c r="AIK62" s="529"/>
      <c r="AIL62" s="529"/>
      <c r="AIM62" s="529"/>
      <c r="AIN62" s="529"/>
      <c r="AIO62" s="529"/>
      <c r="AIP62" s="529"/>
      <c r="AIQ62" s="529"/>
      <c r="AIR62" s="529"/>
      <c r="AIS62" s="529"/>
      <c r="AIT62" s="529"/>
      <c r="AIU62" s="529"/>
      <c r="AIV62" s="529"/>
      <c r="AIW62" s="529"/>
      <c r="AIX62" s="529"/>
      <c r="AIY62" s="529"/>
      <c r="AIZ62" s="529"/>
      <c r="AJA62" s="529"/>
      <c r="AJB62" s="529"/>
      <c r="AJC62" s="529"/>
      <c r="AJD62" s="529"/>
      <c r="AJE62" s="529"/>
      <c r="AJF62" s="529"/>
      <c r="AJG62" s="529"/>
      <c r="AJH62" s="529"/>
      <c r="AJI62" s="529"/>
      <c r="AJJ62" s="529"/>
      <c r="AJK62" s="529"/>
      <c r="AJL62" s="529"/>
      <c r="AJM62" s="529"/>
      <c r="AJN62" s="529"/>
      <c r="AJO62" s="529"/>
      <c r="AJP62" s="529"/>
      <c r="AJQ62" s="547"/>
      <c r="AJR62" s="539"/>
      <c r="AJS62" s="539"/>
      <c r="ALU62" s="529"/>
      <c r="ALV62" s="529"/>
      <c r="ALW62" s="529"/>
      <c r="ALX62" s="529"/>
      <c r="ALY62" s="529"/>
      <c r="ALZ62" s="529"/>
      <c r="AMA62" s="529"/>
      <c r="AMB62" s="529"/>
      <c r="AMC62" s="529"/>
      <c r="AMD62" s="529"/>
      <c r="AME62" s="529"/>
      <c r="AMF62" s="529"/>
      <c r="AMG62" s="529"/>
      <c r="AMH62" s="529"/>
      <c r="AMI62" s="529"/>
      <c r="AMJ62" s="529"/>
      <c r="AMK62" s="123"/>
      <c r="AML62" s="123"/>
      <c r="AMM62" s="123"/>
    </row>
    <row r="63" spans="1:1029" ht="27.75" hidden="1" customHeight="1" thickTop="1" thickBot="1" x14ac:dyDescent="0.35">
      <c r="A63" s="485"/>
      <c r="B63" s="485" t="s">
        <v>193</v>
      </c>
      <c r="C63" s="485"/>
      <c r="D63" s="497"/>
      <c r="E63" s="485"/>
      <c r="F63" s="485"/>
      <c r="G63" s="485"/>
      <c r="H63" s="485"/>
      <c r="I63" s="485"/>
      <c r="J63" s="485"/>
      <c r="K63" s="485" t="s">
        <v>89</v>
      </c>
      <c r="L63" s="517">
        <v>55</v>
      </c>
      <c r="M63" s="517">
        <v>55</v>
      </c>
      <c r="N63" s="487">
        <v>55</v>
      </c>
      <c r="O63" s="486">
        <v>53.5</v>
      </c>
      <c r="P63" s="486">
        <v>53.5</v>
      </c>
      <c r="Q63" s="486">
        <v>53</v>
      </c>
      <c r="R63" s="486">
        <v>57</v>
      </c>
      <c r="S63" s="486">
        <v>59</v>
      </c>
      <c r="T63" s="486">
        <v>64</v>
      </c>
      <c r="U63" s="486">
        <v>62</v>
      </c>
      <c r="V63" s="487">
        <v>68</v>
      </c>
      <c r="W63" s="486">
        <v>68</v>
      </c>
      <c r="X63" s="486">
        <v>79.5</v>
      </c>
      <c r="Y63" s="486">
        <v>79.5</v>
      </c>
      <c r="Z63" s="487">
        <v>79.5</v>
      </c>
      <c r="AA63" s="487"/>
      <c r="AB63" s="487"/>
      <c r="AC63" s="487">
        <v>73.8</v>
      </c>
      <c r="AD63" s="488">
        <v>73.8</v>
      </c>
      <c r="AE63" s="489">
        <v>73.8</v>
      </c>
      <c r="AF63" s="489">
        <v>71</v>
      </c>
      <c r="AG63" s="489">
        <v>74.5</v>
      </c>
      <c r="AH63" s="489">
        <v>73.5</v>
      </c>
      <c r="AI63" s="489">
        <v>73.8</v>
      </c>
      <c r="AJ63" s="489">
        <v>73.8</v>
      </c>
      <c r="AK63" s="490">
        <v>72.3</v>
      </c>
      <c r="AL63" s="490">
        <v>72.3</v>
      </c>
      <c r="AM63" s="489">
        <v>72.3</v>
      </c>
      <c r="AN63" s="518"/>
      <c r="AO63" s="518"/>
      <c r="AP63" s="518"/>
      <c r="AQ63" s="518"/>
      <c r="AR63" s="518"/>
      <c r="AS63" s="518"/>
      <c r="AT63" s="518"/>
      <c r="AU63" s="518"/>
      <c r="AV63" s="518"/>
      <c r="AW63" s="518"/>
      <c r="AX63" s="518"/>
      <c r="AY63" s="518"/>
      <c r="AZ63" s="518"/>
      <c r="BA63" s="518"/>
      <c r="BB63" s="518"/>
      <c r="BC63" s="518"/>
      <c r="BD63" s="518"/>
      <c r="BE63" s="485"/>
      <c r="BF63" s="485"/>
      <c r="BG63" s="485"/>
      <c r="BH63" s="485"/>
      <c r="BI63" s="485"/>
      <c r="BJ63" s="485"/>
      <c r="BK63" s="485"/>
      <c r="BL63" s="485"/>
      <c r="BM63" s="485"/>
      <c r="BN63" s="485"/>
      <c r="BO63" s="485"/>
      <c r="BP63" s="485"/>
      <c r="BQ63" s="485"/>
      <c r="BR63" s="485"/>
      <c r="BS63" s="485"/>
      <c r="BT63" s="485"/>
      <c r="BU63" s="485"/>
      <c r="BV63" s="485"/>
      <c r="BW63" s="485"/>
      <c r="BX63" s="485"/>
      <c r="BY63" s="485"/>
      <c r="BZ63" s="485"/>
      <c r="CA63" s="485"/>
      <c r="CB63" s="485"/>
      <c r="CC63" s="498"/>
      <c r="CD63" s="498"/>
      <c r="CE63" s="498"/>
      <c r="CF63" s="498"/>
      <c r="CG63" s="498"/>
      <c r="CH63" s="498"/>
      <c r="CI63" s="498"/>
      <c r="CJ63" s="498"/>
      <c r="CK63" s="498"/>
      <c r="CL63" s="498"/>
      <c r="CM63" s="498"/>
      <c r="CN63" s="498"/>
      <c r="CO63" s="498"/>
      <c r="CP63" s="498"/>
      <c r="CQ63" s="498"/>
      <c r="CR63" s="498"/>
      <c r="CS63" s="498"/>
      <c r="CT63" s="498"/>
      <c r="CU63" s="498"/>
      <c r="CV63" s="498"/>
      <c r="CW63" s="498"/>
      <c r="CX63" s="498"/>
      <c r="CY63" s="498">
        <v>171.5</v>
      </c>
      <c r="CZ63" s="498"/>
      <c r="DA63" s="498"/>
      <c r="DB63" s="498"/>
      <c r="DC63" s="498"/>
      <c r="DD63" s="498"/>
      <c r="DE63" s="498"/>
      <c r="DF63" s="498"/>
      <c r="DG63" s="498"/>
      <c r="DH63" s="498"/>
      <c r="DI63" s="498"/>
      <c r="DJ63" s="498"/>
      <c r="DK63" s="498"/>
      <c r="DL63" s="498"/>
      <c r="DM63" s="498"/>
      <c r="DN63" s="498"/>
      <c r="DO63" s="498"/>
      <c r="DP63" s="498"/>
      <c r="DQ63" s="498"/>
      <c r="DR63" s="498"/>
      <c r="DS63" s="498"/>
      <c r="DT63" s="498"/>
      <c r="DU63" s="498"/>
      <c r="DV63" s="498"/>
      <c r="DW63" s="498"/>
      <c r="DX63" s="498"/>
      <c r="DY63" s="498"/>
      <c r="DZ63" s="498"/>
      <c r="EA63" s="498"/>
      <c r="EB63" s="498"/>
      <c r="EC63" s="498"/>
      <c r="ED63" s="498"/>
      <c r="EE63" s="498"/>
      <c r="EF63" s="498"/>
      <c r="EG63" s="498"/>
      <c r="EH63" s="498"/>
      <c r="EI63" s="498"/>
      <c r="EJ63" s="498"/>
      <c r="EK63" s="498"/>
      <c r="EL63" s="498"/>
      <c r="EM63" s="498"/>
      <c r="EN63" s="498"/>
      <c r="EO63" s="498"/>
      <c r="EP63" s="498"/>
      <c r="EQ63" s="485"/>
      <c r="ER63" s="485"/>
      <c r="ES63" s="485"/>
      <c r="ET63" s="485"/>
      <c r="EU63" s="485"/>
      <c r="EV63" s="485"/>
      <c r="EW63" s="485"/>
      <c r="EX63" s="485"/>
      <c r="EY63" s="485"/>
      <c r="EZ63" s="485"/>
      <c r="FA63" s="485"/>
      <c r="FB63" s="485"/>
      <c r="FC63" s="485"/>
      <c r="FD63" s="485"/>
      <c r="FE63" s="485"/>
      <c r="FF63" s="485"/>
      <c r="FG63" s="485"/>
      <c r="FH63" s="485"/>
      <c r="FI63" s="485"/>
      <c r="FJ63" s="485"/>
      <c r="FK63" s="485"/>
      <c r="FL63" s="485"/>
      <c r="FM63" s="485"/>
      <c r="FN63" s="485"/>
      <c r="FO63" s="485"/>
      <c r="FP63" s="485"/>
      <c r="FQ63" s="485"/>
      <c r="FR63" s="485"/>
      <c r="FS63" s="485"/>
      <c r="FT63" s="485"/>
      <c r="FU63" s="485"/>
      <c r="FV63" s="485"/>
      <c r="FW63" s="485"/>
      <c r="FX63" s="485"/>
      <c r="FY63" s="485"/>
      <c r="FZ63" s="485"/>
      <c r="GA63" s="485"/>
      <c r="GB63" s="485"/>
      <c r="GC63" s="485"/>
      <c r="GD63" s="485"/>
      <c r="GE63" s="485"/>
      <c r="GF63" s="485"/>
      <c r="GG63" s="485"/>
      <c r="GH63" s="485"/>
      <c r="GI63" s="485"/>
      <c r="GJ63" s="485"/>
      <c r="GK63" s="485"/>
      <c r="GL63" s="485"/>
      <c r="GM63" s="485"/>
      <c r="GN63" s="485"/>
      <c r="GO63" s="485"/>
      <c r="GP63" s="485"/>
      <c r="GQ63" s="485"/>
      <c r="GR63" s="485"/>
      <c r="GS63" s="485"/>
      <c r="GT63" s="485"/>
      <c r="GU63" s="485"/>
      <c r="GV63" s="485"/>
      <c r="GW63" s="485"/>
      <c r="GX63" s="485"/>
      <c r="GY63" s="485"/>
      <c r="GZ63" s="485"/>
      <c r="HA63" s="485"/>
      <c r="HB63" s="485"/>
      <c r="HC63" s="485"/>
      <c r="HD63" s="485"/>
      <c r="HE63" s="485"/>
      <c r="HF63" s="485"/>
      <c r="HG63" s="485"/>
      <c r="HH63" s="485"/>
      <c r="HI63" s="485"/>
      <c r="HJ63" s="485"/>
      <c r="HK63" s="485"/>
      <c r="HL63" s="485"/>
      <c r="HM63" s="485"/>
      <c r="HN63" s="485"/>
      <c r="HO63" s="485"/>
      <c r="HP63" s="485"/>
      <c r="HQ63" s="485"/>
      <c r="HR63" s="485"/>
      <c r="HS63" s="485"/>
      <c r="HT63" s="485"/>
      <c r="HU63" s="485"/>
      <c r="HV63" s="485"/>
      <c r="HW63" s="485"/>
      <c r="HX63" s="485"/>
      <c r="HY63" s="485"/>
      <c r="HZ63" s="485"/>
      <c r="IA63" s="485"/>
      <c r="IB63" s="485"/>
      <c r="IC63" s="485"/>
      <c r="ID63" s="485"/>
      <c r="IE63" s="497" t="s">
        <v>194</v>
      </c>
      <c r="IF63" s="497"/>
      <c r="IG63" s="497"/>
      <c r="IH63" s="497"/>
      <c r="II63" s="497"/>
      <c r="IJ63" s="497"/>
      <c r="IK63" s="497"/>
      <c r="IL63" s="497"/>
      <c r="IM63" s="497"/>
      <c r="IN63" s="497"/>
      <c r="IO63" s="497"/>
      <c r="IP63" s="497"/>
      <c r="IQ63" s="497"/>
      <c r="IR63" s="497"/>
      <c r="IS63" s="497"/>
      <c r="IT63" s="497"/>
      <c r="IU63" s="497"/>
      <c r="IV63" s="497"/>
      <c r="IW63" s="497"/>
      <c r="IX63" s="497"/>
      <c r="IY63" s="497"/>
      <c r="IZ63" s="497"/>
      <c r="JA63" s="497"/>
      <c r="JB63" s="497"/>
      <c r="JC63" s="497"/>
      <c r="JD63" s="497"/>
      <c r="JE63" s="497"/>
      <c r="JF63" s="497"/>
      <c r="JG63" s="497"/>
      <c r="JH63" s="497"/>
      <c r="JI63" s="497"/>
      <c r="JJ63" s="497"/>
      <c r="JK63" s="497"/>
      <c r="JL63" s="497"/>
      <c r="JM63" s="497"/>
      <c r="JN63" s="497"/>
      <c r="JO63" s="497"/>
      <c r="JP63" s="497"/>
      <c r="JQ63" s="497"/>
      <c r="JR63" s="497"/>
      <c r="JS63" s="497"/>
      <c r="JT63" s="497"/>
      <c r="JU63" s="497"/>
      <c r="JV63" s="497"/>
      <c r="JW63" s="485"/>
      <c r="JX63" s="485"/>
      <c r="JY63" s="485"/>
      <c r="JZ63" s="485"/>
      <c r="KA63" s="485"/>
      <c r="KB63" s="485"/>
      <c r="KC63" s="485"/>
      <c r="KD63" s="485"/>
      <c r="KE63" s="485"/>
      <c r="KF63" s="485"/>
      <c r="KG63" s="485"/>
      <c r="KH63" s="485"/>
      <c r="KI63" s="485"/>
      <c r="KJ63" s="485"/>
      <c r="KK63" s="485"/>
      <c r="KL63" s="485"/>
      <c r="KM63" s="485"/>
      <c r="KN63" s="485"/>
      <c r="KO63" s="485"/>
      <c r="KP63" s="485"/>
      <c r="KQ63" s="485"/>
      <c r="KR63" s="485"/>
      <c r="KS63" s="485"/>
      <c r="KT63" s="485"/>
      <c r="KU63" s="485"/>
      <c r="KV63" s="485"/>
      <c r="KW63" s="485"/>
      <c r="KX63" s="485"/>
      <c r="KY63" s="485"/>
      <c r="KZ63" s="485"/>
      <c r="LA63" s="485"/>
      <c r="LB63" s="485"/>
      <c r="LC63" s="485"/>
      <c r="LD63" s="485"/>
      <c r="LE63" s="485"/>
      <c r="LF63" s="485"/>
      <c r="LG63" s="485"/>
      <c r="LH63" s="485"/>
      <c r="LI63" s="485"/>
      <c r="LJ63" s="485"/>
      <c r="LK63" s="485"/>
      <c r="LL63" s="485"/>
      <c r="LM63" s="485"/>
      <c r="LN63" s="485"/>
      <c r="LO63" s="485"/>
      <c r="LP63" s="485"/>
      <c r="LQ63" s="485"/>
      <c r="LR63" s="485"/>
      <c r="LS63" s="485"/>
      <c r="LT63" s="485"/>
      <c r="LU63" s="485"/>
      <c r="LV63" s="485"/>
      <c r="LW63" s="485"/>
      <c r="LX63" s="485"/>
      <c r="LY63" s="485"/>
      <c r="LZ63" s="485"/>
      <c r="MA63" s="485"/>
      <c r="MB63" s="485"/>
      <c r="MC63" s="485"/>
      <c r="MD63" s="485"/>
      <c r="ME63" s="485"/>
      <c r="MF63" s="485"/>
      <c r="MG63" s="485"/>
      <c r="MH63" s="485"/>
      <c r="MI63" s="485"/>
      <c r="MJ63" s="485"/>
      <c r="MK63" s="485"/>
      <c r="ML63" s="485"/>
      <c r="MM63" s="485"/>
      <c r="MN63" s="485"/>
      <c r="MO63" s="485"/>
      <c r="MP63" s="485"/>
      <c r="MQ63" s="485"/>
      <c r="MR63" s="485"/>
      <c r="MS63" s="485"/>
      <c r="MT63" s="485"/>
      <c r="MU63" s="485"/>
      <c r="MV63" s="485"/>
      <c r="MW63" s="485"/>
      <c r="MX63" s="485"/>
      <c r="MY63" s="485"/>
      <c r="MZ63" s="485"/>
      <c r="NA63" s="485"/>
      <c r="NB63" s="485"/>
      <c r="NC63" s="485"/>
      <c r="ND63" s="485"/>
      <c r="NE63" s="485"/>
      <c r="NF63" s="485"/>
      <c r="NG63" s="485"/>
      <c r="NH63" s="485"/>
      <c r="NI63" s="485"/>
      <c r="NJ63" s="485"/>
      <c r="NK63" s="497" t="s">
        <v>194</v>
      </c>
      <c r="NL63" s="497"/>
      <c r="NM63" s="497"/>
      <c r="NN63" s="497"/>
      <c r="NO63" s="497"/>
      <c r="NP63" s="497"/>
      <c r="NQ63" s="497"/>
      <c r="NR63" s="497"/>
      <c r="NS63" s="497"/>
      <c r="NT63" s="497"/>
      <c r="NU63" s="497"/>
      <c r="NV63" s="497"/>
      <c r="NW63" s="497"/>
      <c r="NX63" s="497"/>
      <c r="NY63" s="497"/>
      <c r="NZ63" s="497"/>
      <c r="OA63" s="497"/>
      <c r="OB63" s="497"/>
      <c r="OC63" s="497"/>
      <c r="OD63" s="497"/>
      <c r="OE63" s="497"/>
      <c r="OF63" s="497"/>
      <c r="OG63" s="497"/>
      <c r="OH63" s="497"/>
      <c r="OI63" s="497"/>
      <c r="OJ63" s="497"/>
      <c r="OK63" s="497"/>
      <c r="OL63" s="497"/>
      <c r="OM63" s="497"/>
      <c r="ON63" s="497"/>
      <c r="OO63" s="497"/>
      <c r="OP63" s="497"/>
      <c r="OQ63" s="497"/>
      <c r="OR63" s="497"/>
      <c r="OS63" s="497"/>
      <c r="OT63" s="497"/>
      <c r="OU63" s="497"/>
      <c r="OV63" s="497"/>
      <c r="OW63" s="497"/>
      <c r="OX63" s="497"/>
      <c r="OY63" s="497"/>
      <c r="OZ63" s="497"/>
      <c r="PA63" s="497"/>
      <c r="PB63" s="497"/>
      <c r="PC63" s="485"/>
      <c r="PD63" s="485"/>
      <c r="PE63" s="485"/>
      <c r="PF63" s="485"/>
      <c r="PG63" s="485"/>
      <c r="PH63" s="485"/>
      <c r="PI63" s="485"/>
      <c r="PJ63" s="485"/>
      <c r="PK63" s="485"/>
      <c r="PL63" s="485"/>
      <c r="PM63" s="485"/>
      <c r="PN63" s="485"/>
      <c r="PO63" s="485"/>
      <c r="PP63" s="485"/>
      <c r="PQ63" s="485"/>
      <c r="PR63" s="485"/>
      <c r="PS63" s="485"/>
      <c r="PT63" s="485"/>
      <c r="PU63" s="485"/>
      <c r="PV63" s="485"/>
      <c r="PW63" s="485"/>
      <c r="PX63" s="485"/>
      <c r="PY63" s="485"/>
      <c r="PZ63" s="485"/>
      <c r="QA63" s="485"/>
      <c r="QB63" s="485"/>
      <c r="QC63" s="485"/>
      <c r="QD63" s="485"/>
      <c r="QE63" s="485"/>
      <c r="QF63" s="485"/>
      <c r="QG63" s="485"/>
      <c r="QH63" s="485"/>
      <c r="QI63" s="485"/>
      <c r="QJ63" s="485"/>
      <c r="QK63" s="485"/>
      <c r="QL63" s="485"/>
      <c r="QM63" s="485"/>
      <c r="QN63" s="485"/>
      <c r="QO63" s="485"/>
      <c r="QP63" s="485"/>
      <c r="QQ63" s="485"/>
      <c r="QR63" s="485"/>
      <c r="QS63" s="485"/>
      <c r="QT63" s="485"/>
      <c r="QU63" s="485"/>
      <c r="QV63" s="485"/>
      <c r="QW63" s="485"/>
      <c r="QX63" s="485"/>
      <c r="QY63" s="485"/>
      <c r="QZ63" s="485"/>
      <c r="RA63" s="485"/>
      <c r="RB63" s="485"/>
      <c r="RC63" s="485"/>
      <c r="RD63" s="485"/>
      <c r="RE63" s="485"/>
      <c r="RF63" s="485"/>
      <c r="RG63" s="485"/>
      <c r="RH63" s="485"/>
      <c r="RI63" s="485"/>
      <c r="RJ63" s="485"/>
      <c r="RK63" s="485"/>
      <c r="RL63" s="485"/>
      <c r="RM63" s="485"/>
      <c r="RN63" s="485"/>
      <c r="RO63" s="485"/>
      <c r="RP63" s="485"/>
      <c r="RQ63" s="485"/>
      <c r="RR63" s="485"/>
      <c r="RS63" s="485"/>
      <c r="RT63" s="485"/>
      <c r="RU63" s="485"/>
      <c r="RV63" s="485"/>
      <c r="RW63" s="485"/>
      <c r="RX63" s="485"/>
      <c r="RY63" s="485"/>
      <c r="RZ63" s="485"/>
      <c r="SA63" s="485"/>
      <c r="SB63" s="485"/>
      <c r="SC63" s="485"/>
      <c r="SD63" s="485"/>
      <c r="SE63" s="485"/>
      <c r="SF63" s="485"/>
      <c r="SG63" s="485"/>
      <c r="SH63" s="485"/>
      <c r="SI63" s="485"/>
      <c r="SJ63" s="485"/>
      <c r="SK63" s="485"/>
      <c r="SL63" s="485"/>
      <c r="SM63" s="485"/>
      <c r="SN63" s="485"/>
      <c r="SO63" s="485"/>
      <c r="SP63" s="485"/>
      <c r="SQ63" s="485">
        <v>215.5</v>
      </c>
      <c r="SR63" s="485">
        <v>196</v>
      </c>
      <c r="SS63" s="485">
        <v>196</v>
      </c>
      <c r="ST63" s="485">
        <v>196</v>
      </c>
      <c r="SU63" s="485">
        <v>196</v>
      </c>
      <c r="SV63" s="485">
        <v>196</v>
      </c>
      <c r="SW63" s="485">
        <v>196</v>
      </c>
      <c r="SX63" s="485">
        <v>196</v>
      </c>
      <c r="SY63" s="485">
        <v>196</v>
      </c>
      <c r="SZ63" s="485">
        <v>196</v>
      </c>
      <c r="TA63" s="485"/>
      <c r="TB63" s="485"/>
      <c r="TC63" s="485"/>
      <c r="TD63" s="485"/>
      <c r="TE63" s="485"/>
      <c r="TF63" s="485"/>
      <c r="TG63" s="485"/>
      <c r="TH63" s="485"/>
      <c r="TI63" s="485"/>
      <c r="TJ63" s="485"/>
      <c r="TK63" s="485"/>
      <c r="TL63" s="485"/>
      <c r="TM63" s="485"/>
      <c r="TN63" s="485"/>
      <c r="TO63" s="485"/>
      <c r="TP63" s="485"/>
      <c r="TQ63" s="485"/>
      <c r="TR63" s="485"/>
      <c r="TS63" s="485"/>
      <c r="TT63" s="485">
        <v>196</v>
      </c>
      <c r="TU63" s="485"/>
      <c r="TV63" s="485"/>
      <c r="TW63" s="485"/>
      <c r="TX63" s="485"/>
      <c r="TY63" s="485"/>
      <c r="TZ63" s="485"/>
      <c r="UA63" s="485"/>
      <c r="UB63" s="485"/>
      <c r="UC63" s="485"/>
      <c r="UD63" s="485"/>
      <c r="UE63" s="485"/>
      <c r="UF63" s="485"/>
      <c r="UG63" s="485"/>
      <c r="UH63" s="485">
        <v>196</v>
      </c>
      <c r="UI63" s="485"/>
      <c r="UJ63" s="485"/>
      <c r="UK63" s="485"/>
      <c r="UL63" s="485"/>
      <c r="UM63" s="485"/>
      <c r="UN63" s="485"/>
      <c r="UO63" s="485"/>
      <c r="UP63" s="485"/>
      <c r="UQ63" s="485"/>
      <c r="UR63" s="485"/>
      <c r="US63" s="485"/>
      <c r="UT63" s="485"/>
      <c r="UU63" s="485"/>
      <c r="UV63" s="485"/>
      <c r="UW63" s="485"/>
      <c r="UX63" s="485"/>
      <c r="UY63" s="485"/>
      <c r="UZ63" s="485"/>
      <c r="VA63" s="485"/>
      <c r="VB63" s="485"/>
      <c r="VC63" s="485"/>
      <c r="VD63" s="485"/>
      <c r="VE63" s="485"/>
      <c r="VF63" s="485"/>
      <c r="VG63" s="485"/>
      <c r="VH63" s="485"/>
      <c r="VI63" s="485"/>
      <c r="VJ63" s="485"/>
      <c r="VK63" s="485"/>
      <c r="VL63" s="485"/>
      <c r="VM63" s="485"/>
      <c r="VN63" s="485"/>
      <c r="VO63" s="485"/>
      <c r="VP63" s="485"/>
      <c r="VQ63" s="485"/>
      <c r="VR63" s="485"/>
      <c r="VS63" s="485"/>
      <c r="VT63" s="485"/>
      <c r="VU63" s="485"/>
      <c r="VV63" s="485"/>
      <c r="VW63" s="485"/>
      <c r="VX63" s="485"/>
      <c r="VY63" s="485"/>
      <c r="VZ63" s="485"/>
      <c r="WA63" s="485"/>
      <c r="WB63" s="485"/>
      <c r="WC63" s="485"/>
      <c r="WD63" s="485"/>
      <c r="WE63" s="485"/>
      <c r="WF63" s="485"/>
      <c r="WG63" s="485"/>
      <c r="WH63" s="485"/>
      <c r="WI63" s="485"/>
      <c r="WJ63" s="485"/>
      <c r="WK63" s="485"/>
      <c r="WL63" s="485"/>
      <c r="WM63" s="485"/>
      <c r="WN63" s="485"/>
      <c r="WO63" s="485"/>
      <c r="WP63" s="485"/>
      <c r="WQ63" s="485"/>
      <c r="WR63" s="485"/>
      <c r="WS63" s="485"/>
      <c r="WT63" s="485"/>
      <c r="WU63" s="485"/>
      <c r="WV63" s="485"/>
      <c r="WW63" s="485"/>
      <c r="WX63" s="485"/>
      <c r="WY63" s="485"/>
      <c r="WZ63" s="485"/>
      <c r="XA63" s="485"/>
      <c r="XB63" s="485"/>
      <c r="XC63" s="485"/>
      <c r="XD63" s="485"/>
      <c r="XE63" s="485"/>
      <c r="XF63" s="485"/>
      <c r="XG63" s="485"/>
      <c r="XH63" s="485"/>
      <c r="XI63" s="485"/>
      <c r="XJ63" s="485"/>
      <c r="XK63" s="485"/>
      <c r="XL63" s="485"/>
      <c r="XM63" s="485"/>
      <c r="XN63" s="485"/>
      <c r="XO63" s="485"/>
      <c r="XP63" s="485"/>
      <c r="XQ63" s="519"/>
      <c r="XR63" s="485"/>
      <c r="XS63" s="485"/>
      <c r="XT63" s="485"/>
      <c r="XU63" s="485"/>
      <c r="XV63" s="485"/>
      <c r="XW63" s="485"/>
      <c r="XX63" s="485"/>
      <c r="XY63" s="485"/>
      <c r="XZ63" s="485"/>
      <c r="YA63" s="485"/>
      <c r="YB63" s="485"/>
      <c r="YC63" s="485"/>
      <c r="YD63" s="485"/>
      <c r="YE63" s="485"/>
      <c r="YF63" s="485"/>
      <c r="YG63" s="485"/>
      <c r="YH63" s="485"/>
      <c r="YI63" s="485"/>
      <c r="YJ63" s="485"/>
      <c r="YK63" s="485"/>
      <c r="YL63" s="485"/>
      <c r="YM63" s="485"/>
      <c r="YN63" s="485"/>
      <c r="YO63" s="485"/>
      <c r="YP63" s="485"/>
      <c r="YQ63" s="485"/>
      <c r="YR63" s="485"/>
      <c r="YS63" s="485"/>
      <c r="YT63" s="485"/>
      <c r="YU63" s="485"/>
      <c r="YV63" s="485"/>
      <c r="YW63" s="485"/>
      <c r="YX63" s="485"/>
      <c r="YY63" s="485"/>
      <c r="YZ63" s="485"/>
      <c r="ZA63" s="485"/>
      <c r="ZB63" s="485"/>
      <c r="ZC63" s="485"/>
      <c r="ZD63" s="485"/>
      <c r="ZE63" s="485"/>
      <c r="ZF63" s="485"/>
      <c r="ZG63" s="485"/>
      <c r="ZH63" s="485"/>
      <c r="ZI63" s="485"/>
      <c r="ZJ63" s="485">
        <v>212.64</v>
      </c>
      <c r="ZK63" s="485">
        <v>212.64</v>
      </c>
      <c r="ZL63" s="485">
        <v>212.64</v>
      </c>
      <c r="ZM63" s="485">
        <v>212.64</v>
      </c>
      <c r="ZN63" s="485">
        <v>212.64</v>
      </c>
      <c r="ZO63" s="485">
        <v>212.64</v>
      </c>
      <c r="ZP63" s="485">
        <v>212.64</v>
      </c>
      <c r="ZQ63" s="485">
        <v>212.64</v>
      </c>
      <c r="ZR63" s="485">
        <v>212.64</v>
      </c>
      <c r="ZS63" s="485">
        <v>212.64</v>
      </c>
      <c r="ZT63" s="485"/>
      <c r="ZU63" s="485"/>
      <c r="ZV63" s="485"/>
      <c r="ZW63" s="485"/>
      <c r="ZX63" s="485"/>
      <c r="ZY63" s="485"/>
      <c r="ZZ63" s="485"/>
      <c r="AAA63" s="485"/>
      <c r="AAB63" s="485"/>
      <c r="AAC63" s="485"/>
      <c r="AAD63" s="485"/>
      <c r="AAE63" s="485"/>
      <c r="AAF63" s="485"/>
      <c r="AAG63" s="485"/>
      <c r="AAH63" s="485"/>
      <c r="AAI63" s="485"/>
      <c r="AAJ63" s="485"/>
      <c r="AAK63" s="485"/>
      <c r="AAL63" s="485"/>
      <c r="AAM63" s="485">
        <v>212.64</v>
      </c>
      <c r="AAN63" s="485"/>
      <c r="AAO63" s="485"/>
      <c r="AAP63" s="485"/>
      <c r="AAQ63" s="485"/>
      <c r="AAR63" s="485"/>
      <c r="AAS63" s="485"/>
      <c r="AAT63" s="485"/>
      <c r="AAU63" s="485"/>
      <c r="AAV63" s="485"/>
      <c r="AAW63" s="485"/>
      <c r="AAX63" s="485"/>
      <c r="AAY63" s="485"/>
      <c r="AAZ63" s="485"/>
      <c r="ABA63" s="485">
        <v>212.64</v>
      </c>
      <c r="ABB63" s="485"/>
      <c r="ABC63" s="485"/>
      <c r="ABD63" s="485"/>
      <c r="ABE63" s="485"/>
      <c r="ABF63" s="485"/>
      <c r="ABG63" s="485"/>
      <c r="ABH63" s="485"/>
      <c r="ABI63" s="485"/>
      <c r="ABJ63" s="485"/>
      <c r="ABK63" s="485"/>
      <c r="ABL63" s="485"/>
      <c r="ABM63" s="485"/>
      <c r="ABN63" s="485"/>
      <c r="ABO63" s="485"/>
      <c r="ABP63" s="485"/>
      <c r="ABQ63" s="485"/>
      <c r="ABR63" s="485"/>
      <c r="ABS63" s="485"/>
      <c r="ABT63" s="485"/>
      <c r="ABU63" s="485"/>
      <c r="ABV63" s="485"/>
      <c r="ABW63" s="485"/>
      <c r="ABX63" s="485"/>
      <c r="ABY63" s="485"/>
      <c r="ABZ63" s="485"/>
      <c r="ACA63" s="485"/>
      <c r="ACB63" s="485"/>
      <c r="ACC63" s="485"/>
      <c r="ACD63" s="485"/>
      <c r="ACE63" s="485"/>
      <c r="ACF63" s="485"/>
      <c r="ACG63" s="485"/>
      <c r="ACH63" s="485"/>
      <c r="ACI63" s="485"/>
      <c r="ACJ63" s="485"/>
      <c r="ACK63" s="485"/>
      <c r="ACL63" s="485"/>
      <c r="ACM63" s="485"/>
      <c r="ACN63" s="485"/>
      <c r="ACO63" s="485"/>
      <c r="ACP63" s="485"/>
      <c r="ACQ63" s="485"/>
      <c r="ACR63" s="485"/>
      <c r="ACS63" s="485"/>
      <c r="ACT63" s="519"/>
      <c r="ACU63" s="485"/>
      <c r="ACV63" s="485"/>
      <c r="ACW63" s="485"/>
      <c r="ACX63" s="485"/>
      <c r="ACY63" s="485"/>
      <c r="ACZ63" s="485"/>
      <c r="ADA63" s="485"/>
      <c r="ADB63" s="485"/>
      <c r="ADC63" s="485"/>
      <c r="ADD63" s="485"/>
      <c r="ADE63" s="485"/>
      <c r="ADF63" s="485"/>
      <c r="ADG63" s="485"/>
      <c r="ADH63" s="485"/>
      <c r="ADI63" s="485"/>
      <c r="ADJ63" s="485"/>
      <c r="ADK63" s="485"/>
      <c r="ADL63" s="485"/>
      <c r="ADM63" s="485"/>
      <c r="ADN63" s="485"/>
      <c r="ADO63" s="485"/>
      <c r="ADP63" s="485"/>
      <c r="ADQ63" s="485"/>
      <c r="ADR63" s="485"/>
      <c r="ADS63" s="485"/>
      <c r="ADT63" s="485"/>
      <c r="ADU63" s="485"/>
      <c r="ADV63" s="485"/>
      <c r="ADW63" s="485"/>
      <c r="ADX63" s="485"/>
      <c r="ADY63" s="485"/>
      <c r="ADZ63" s="485"/>
      <c r="AEA63" s="485"/>
      <c r="AEB63" s="485"/>
      <c r="AEC63" s="485"/>
      <c r="AED63" s="485"/>
      <c r="AEE63" s="485"/>
      <c r="AEF63" s="485"/>
      <c r="AEG63" s="485"/>
      <c r="AEH63" s="485"/>
      <c r="AEI63" s="485"/>
      <c r="AEJ63" s="485"/>
      <c r="AEK63" s="485"/>
      <c r="AEL63" s="485"/>
      <c r="AEM63" s="497" t="s">
        <v>194</v>
      </c>
      <c r="AEN63" s="497" t="s">
        <v>194</v>
      </c>
      <c r="AEO63" s="497" t="s">
        <v>194</v>
      </c>
      <c r="AEP63" s="497" t="s">
        <v>129</v>
      </c>
      <c r="AEQ63" s="497" t="s">
        <v>129</v>
      </c>
      <c r="AER63" s="497"/>
      <c r="AES63" s="497"/>
      <c r="AET63" s="497"/>
      <c r="AEU63" s="497"/>
      <c r="AEV63" s="497"/>
      <c r="AEW63" s="497"/>
      <c r="AEX63" s="497"/>
      <c r="AEY63" s="497"/>
      <c r="AEZ63" s="497"/>
      <c r="AFA63" s="497"/>
      <c r="AFB63" s="497"/>
      <c r="AFC63" s="497"/>
      <c r="AFD63" s="497"/>
      <c r="AFE63" s="497"/>
      <c r="AFF63" s="497"/>
      <c r="AFG63" s="497"/>
      <c r="AFH63" s="497"/>
      <c r="AFI63" s="497"/>
      <c r="AFJ63" s="497"/>
      <c r="AFK63" s="497"/>
      <c r="AFL63" s="497"/>
      <c r="AFM63" s="497"/>
      <c r="AFN63" s="497"/>
      <c r="AFO63" s="497"/>
      <c r="AFP63" s="497"/>
      <c r="AFQ63" s="497" t="s">
        <v>194</v>
      </c>
      <c r="AFR63" s="497" t="s">
        <v>124</v>
      </c>
      <c r="AFS63" s="497" t="s">
        <v>124</v>
      </c>
      <c r="AFT63" s="497" t="s">
        <v>124</v>
      </c>
      <c r="AFU63" s="497" t="s">
        <v>183</v>
      </c>
      <c r="AFV63" s="497"/>
      <c r="AFW63" s="497"/>
      <c r="AFX63" s="497"/>
      <c r="AFY63" s="497"/>
      <c r="AFZ63" s="497"/>
      <c r="AGA63" s="497"/>
      <c r="AGB63" s="497"/>
      <c r="AGC63" s="497"/>
      <c r="AGD63" s="497"/>
      <c r="AGE63" s="497"/>
      <c r="AGF63" s="497"/>
      <c r="AGG63" s="497"/>
      <c r="AGH63" s="497"/>
      <c r="AGI63" s="497"/>
      <c r="AGJ63" s="497"/>
      <c r="AGK63" s="497"/>
      <c r="AGL63" s="497"/>
      <c r="AGM63" s="497"/>
      <c r="AGN63" s="497"/>
      <c r="AGO63" s="497"/>
      <c r="AGP63" s="497"/>
      <c r="AGQ63" s="497"/>
      <c r="AGR63" s="497"/>
      <c r="AGS63" s="497"/>
      <c r="AGT63" s="497"/>
      <c r="AGU63" s="497"/>
      <c r="AGV63" s="497"/>
      <c r="AGW63" s="497"/>
      <c r="AGX63" s="497"/>
      <c r="AGY63" s="497"/>
      <c r="AGZ63" s="497"/>
      <c r="AHA63" s="497"/>
      <c r="AHB63" s="497"/>
      <c r="AHC63" s="497"/>
      <c r="AHD63" s="485"/>
      <c r="AHE63" s="485"/>
      <c r="AHF63" s="485"/>
      <c r="AHG63" s="485"/>
      <c r="AHH63" s="485"/>
      <c r="AHI63" s="485"/>
      <c r="AHJ63" s="485"/>
      <c r="AHK63" s="485"/>
      <c r="AHL63" s="485"/>
      <c r="AHM63" s="485"/>
      <c r="AHN63" s="485"/>
      <c r="AHO63" s="485"/>
      <c r="AHP63" s="485"/>
      <c r="AHQ63" s="485"/>
      <c r="AHR63" s="485"/>
      <c r="AHS63" s="485"/>
      <c r="AHT63" s="485"/>
      <c r="AHU63" s="485"/>
      <c r="AHV63" s="485"/>
      <c r="AHW63" s="485"/>
      <c r="AHX63" s="485"/>
      <c r="AHY63" s="485"/>
      <c r="AHZ63" s="485"/>
      <c r="AIA63" s="485"/>
      <c r="AIB63" s="485"/>
      <c r="AIC63" s="485"/>
      <c r="AID63" s="485"/>
      <c r="AIE63" s="485"/>
      <c r="AIF63" s="485"/>
      <c r="AIG63" s="485"/>
      <c r="AIH63" s="485"/>
      <c r="AII63" s="485"/>
      <c r="AIJ63" s="485"/>
      <c r="AIK63" s="485"/>
      <c r="AIL63" s="485"/>
      <c r="AIM63" s="485"/>
      <c r="AIN63" s="485"/>
      <c r="AIO63" s="485"/>
      <c r="AIP63" s="485"/>
      <c r="AIQ63" s="485"/>
      <c r="AIR63" s="485"/>
      <c r="AIS63" s="485"/>
      <c r="AIT63" s="485"/>
      <c r="AIU63" s="485"/>
      <c r="AIV63" s="485"/>
      <c r="AIW63" s="485"/>
      <c r="AIX63" s="485"/>
      <c r="AIY63" s="485"/>
      <c r="AIZ63" s="485"/>
      <c r="AJA63" s="485"/>
      <c r="AJB63" s="485"/>
      <c r="AJC63" s="485"/>
      <c r="AJD63" s="485"/>
      <c r="AJE63" s="485"/>
      <c r="AJF63" s="485"/>
      <c r="AJG63" s="485"/>
      <c r="AJH63" s="485"/>
      <c r="AJI63" s="485"/>
      <c r="AJJ63" s="485"/>
      <c r="AJK63" s="485"/>
      <c r="AJL63" s="485"/>
      <c r="AJM63" s="485"/>
      <c r="AJN63" s="485"/>
      <c r="AJO63" s="485"/>
      <c r="AJP63" s="485"/>
      <c r="AJQ63" s="485"/>
      <c r="AJR63" s="485"/>
      <c r="AJS63" s="485"/>
      <c r="ALU63" s="497" t="s">
        <v>124</v>
      </c>
      <c r="ALV63" s="497"/>
      <c r="ALW63" s="497"/>
      <c r="ALX63" s="497"/>
      <c r="ALY63" s="497"/>
      <c r="ALZ63" s="497"/>
      <c r="AMA63" s="497"/>
      <c r="AMB63" s="497"/>
      <c r="AMC63" s="497"/>
      <c r="AMD63" s="497"/>
      <c r="AME63" s="497"/>
      <c r="AMF63" s="497"/>
      <c r="AMG63" s="497"/>
      <c r="AMH63" s="497"/>
      <c r="AMI63" s="497"/>
      <c r="AMJ63" s="497"/>
      <c r="AMK63" s="122"/>
      <c r="AML63" s="122"/>
      <c r="AMM63" s="122"/>
    </row>
    <row r="64" spans="1:1029" ht="27.75" hidden="1" customHeight="1" thickTop="1" thickBot="1" x14ac:dyDescent="0.35">
      <c r="A64" s="186"/>
      <c r="B64" s="186"/>
      <c r="C64" s="186"/>
      <c r="D64" s="186"/>
      <c r="E64" s="186"/>
      <c r="F64" s="186"/>
      <c r="G64" s="186"/>
      <c r="H64" s="186"/>
      <c r="I64" s="186"/>
      <c r="J64" s="186"/>
      <c r="K64" s="186" t="s">
        <v>90</v>
      </c>
      <c r="L64" s="205">
        <v>58.5</v>
      </c>
      <c r="M64" s="205">
        <v>57</v>
      </c>
      <c r="N64" s="205">
        <v>56</v>
      </c>
      <c r="O64" s="27">
        <v>55</v>
      </c>
      <c r="P64" s="27">
        <v>55</v>
      </c>
      <c r="Q64" s="201">
        <v>53</v>
      </c>
      <c r="R64" s="201">
        <v>53</v>
      </c>
      <c r="S64" s="201"/>
      <c r="T64" s="201"/>
      <c r="U64" s="201">
        <v>62.5</v>
      </c>
      <c r="V64" s="200">
        <v>62.5</v>
      </c>
      <c r="W64" s="201">
        <v>59.5</v>
      </c>
      <c r="X64" s="201">
        <v>64</v>
      </c>
      <c r="Y64" s="201">
        <v>66</v>
      </c>
      <c r="Z64" s="201">
        <v>66</v>
      </c>
      <c r="AA64" s="201">
        <v>64</v>
      </c>
      <c r="AB64" s="200">
        <v>64</v>
      </c>
      <c r="AC64" s="200">
        <v>65</v>
      </c>
      <c r="AD64" s="202">
        <v>65</v>
      </c>
      <c r="AE64" s="203">
        <v>65.5</v>
      </c>
      <c r="AF64" s="203">
        <v>64</v>
      </c>
      <c r="AG64" s="203">
        <v>64</v>
      </c>
      <c r="AH64" s="203">
        <v>66.5</v>
      </c>
      <c r="AI64" s="203">
        <v>67.3</v>
      </c>
      <c r="AJ64" s="203">
        <v>69.8</v>
      </c>
      <c r="AK64" s="204">
        <v>69.8</v>
      </c>
      <c r="AL64" s="204">
        <v>68.8</v>
      </c>
      <c r="AM64" s="203">
        <v>68.3</v>
      </c>
      <c r="AN64" s="492"/>
      <c r="AO64" s="492"/>
      <c r="AP64" s="492"/>
      <c r="AQ64" s="492"/>
      <c r="AR64" s="492"/>
      <c r="AS64" s="492"/>
      <c r="AT64" s="492"/>
      <c r="AU64" s="492"/>
      <c r="AV64" s="492"/>
      <c r="AW64" s="492"/>
      <c r="AX64" s="492"/>
      <c r="AY64" s="492"/>
      <c r="AZ64" s="492"/>
      <c r="BA64" s="492"/>
      <c r="BB64" s="492"/>
      <c r="BC64" s="492"/>
      <c r="BD64" s="492"/>
      <c r="BE64" s="186"/>
      <c r="BF64" s="186"/>
      <c r="BG64" s="186"/>
      <c r="BH64" s="186"/>
      <c r="BI64" s="186"/>
      <c r="BJ64" s="186"/>
      <c r="BK64" s="186"/>
      <c r="BL64" s="186"/>
      <c r="BM64" s="186"/>
      <c r="BN64" s="186"/>
      <c r="BO64" s="186"/>
      <c r="BP64" s="186"/>
      <c r="BQ64" s="186"/>
      <c r="BR64" s="186"/>
      <c r="BS64" s="186"/>
      <c r="BT64" s="186"/>
      <c r="BU64" s="186"/>
      <c r="BV64" s="186"/>
      <c r="BW64" s="186"/>
      <c r="BX64" s="186"/>
      <c r="BY64" s="186"/>
      <c r="BZ64" s="186"/>
      <c r="CA64" s="186"/>
      <c r="CB64" s="186"/>
      <c r="CC64" s="491"/>
      <c r="CD64" s="491"/>
      <c r="CE64" s="491"/>
      <c r="CF64" s="491"/>
      <c r="CG64" s="491"/>
      <c r="CH64" s="491"/>
      <c r="CI64" s="491"/>
      <c r="CJ64" s="491"/>
      <c r="CK64" s="491"/>
      <c r="CL64" s="491"/>
      <c r="CM64" s="491"/>
      <c r="CN64" s="491"/>
      <c r="CO64" s="491"/>
      <c r="CP64" s="491"/>
      <c r="CQ64" s="491"/>
      <c r="CR64" s="491"/>
      <c r="CS64" s="491"/>
      <c r="CT64" s="491"/>
      <c r="CU64" s="491"/>
      <c r="CV64" s="491"/>
      <c r="CW64" s="491"/>
      <c r="CX64" s="491"/>
      <c r="CY64" s="491">
        <v>182</v>
      </c>
      <c r="CZ64" s="491"/>
      <c r="DA64" s="491"/>
      <c r="DB64" s="491"/>
      <c r="DC64" s="491"/>
      <c r="DD64" s="491"/>
      <c r="DE64" s="491"/>
      <c r="DF64" s="491"/>
      <c r="DG64" s="491"/>
      <c r="DH64" s="491"/>
      <c r="DI64" s="491"/>
      <c r="DJ64" s="491"/>
      <c r="DK64" s="491"/>
      <c r="DL64" s="491"/>
      <c r="DM64" s="491"/>
      <c r="DN64" s="491"/>
      <c r="DO64" s="491"/>
      <c r="DP64" s="491"/>
      <c r="DQ64" s="491"/>
      <c r="DR64" s="491"/>
      <c r="DS64" s="491"/>
      <c r="DT64" s="491"/>
      <c r="DU64" s="491"/>
      <c r="DV64" s="491"/>
      <c r="DW64" s="491"/>
      <c r="DX64" s="491"/>
      <c r="DY64" s="491"/>
      <c r="DZ64" s="491"/>
      <c r="EA64" s="491"/>
      <c r="EB64" s="491"/>
      <c r="EC64" s="491"/>
      <c r="ED64" s="491"/>
      <c r="EE64" s="491"/>
      <c r="EF64" s="491"/>
      <c r="EG64" s="491"/>
      <c r="EH64" s="491"/>
      <c r="EI64" s="491"/>
      <c r="EJ64" s="491"/>
      <c r="EK64" s="491"/>
      <c r="EL64" s="491"/>
      <c r="EM64" s="491"/>
      <c r="EN64" s="491"/>
      <c r="EO64" s="491"/>
      <c r="EP64" s="491"/>
      <c r="EQ64" s="186"/>
      <c r="ER64" s="186"/>
      <c r="ES64" s="186"/>
      <c r="ET64" s="186"/>
      <c r="EU64" s="186"/>
      <c r="EV64" s="186"/>
      <c r="EW64" s="186"/>
      <c r="EX64" s="186"/>
      <c r="EY64" s="186"/>
      <c r="EZ64" s="186"/>
      <c r="FA64" s="186"/>
      <c r="FB64" s="186"/>
      <c r="FC64" s="186"/>
      <c r="FD64" s="186"/>
      <c r="FE64" s="186"/>
      <c r="FF64" s="186"/>
      <c r="FG64" s="186"/>
      <c r="FH64" s="186"/>
      <c r="FI64" s="186"/>
      <c r="FJ64" s="186"/>
      <c r="FK64" s="186"/>
      <c r="FL64" s="186"/>
      <c r="FM64" s="186"/>
      <c r="FN64" s="186"/>
      <c r="FO64" s="186"/>
      <c r="FP64" s="186"/>
      <c r="FQ64" s="186"/>
      <c r="FR64" s="186"/>
      <c r="FS64" s="186"/>
      <c r="FT64" s="186"/>
      <c r="FU64" s="186"/>
      <c r="FV64" s="186"/>
      <c r="FW64" s="186"/>
      <c r="FX64" s="186"/>
      <c r="FY64" s="186"/>
      <c r="FZ64" s="186"/>
      <c r="GA64" s="186"/>
      <c r="GB64" s="186"/>
      <c r="GC64" s="186"/>
      <c r="GD64" s="186"/>
      <c r="GE64" s="186"/>
      <c r="GF64" s="186"/>
      <c r="GG64" s="186"/>
      <c r="GH64" s="186"/>
      <c r="GI64" s="186"/>
      <c r="GJ64" s="186"/>
      <c r="GK64" s="186"/>
      <c r="GL64" s="186"/>
      <c r="GM64" s="186"/>
      <c r="GN64" s="186"/>
      <c r="GO64" s="186"/>
      <c r="GP64" s="186"/>
      <c r="GQ64" s="186"/>
      <c r="GR64" s="186"/>
      <c r="GS64" s="186"/>
      <c r="GT64" s="186"/>
      <c r="GU64" s="186"/>
      <c r="GV64" s="186"/>
      <c r="GW64" s="186"/>
      <c r="GX64" s="186"/>
      <c r="GY64" s="186"/>
      <c r="GZ64" s="186"/>
      <c r="HA64" s="186"/>
      <c r="HB64" s="186"/>
      <c r="HC64" s="186"/>
      <c r="HD64" s="186"/>
      <c r="HE64" s="186"/>
      <c r="HF64" s="186"/>
      <c r="HG64" s="186"/>
      <c r="HH64" s="186"/>
      <c r="HI64" s="186"/>
      <c r="HJ64" s="186"/>
      <c r="HK64" s="186"/>
      <c r="HL64" s="186"/>
      <c r="HM64" s="186"/>
      <c r="HN64" s="186"/>
      <c r="HO64" s="186"/>
      <c r="HP64" s="186"/>
      <c r="HQ64" s="186"/>
      <c r="HR64" s="186"/>
      <c r="HS64" s="186"/>
      <c r="HT64" s="186"/>
      <c r="HU64" s="186"/>
      <c r="HV64" s="186"/>
      <c r="HW64" s="186"/>
      <c r="HX64" s="186"/>
      <c r="HY64" s="186"/>
      <c r="HZ64" s="186"/>
      <c r="IA64" s="186"/>
      <c r="IB64" s="186"/>
      <c r="IC64" s="186"/>
      <c r="ID64" s="186"/>
      <c r="IE64" s="186"/>
      <c r="IF64" s="186"/>
      <c r="IG64" s="186"/>
      <c r="IH64" s="186"/>
      <c r="II64" s="186"/>
      <c r="IJ64" s="186"/>
      <c r="IK64" s="186"/>
      <c r="IL64" s="186"/>
      <c r="IM64" s="186"/>
      <c r="IN64" s="186"/>
      <c r="IO64" s="186"/>
      <c r="IP64" s="186"/>
      <c r="IQ64" s="186"/>
      <c r="IR64" s="186"/>
      <c r="IS64" s="186"/>
      <c r="IT64" s="186"/>
      <c r="IU64" s="186"/>
      <c r="IV64" s="186"/>
      <c r="IW64" s="186"/>
      <c r="IX64" s="186"/>
      <c r="IY64" s="186"/>
      <c r="IZ64" s="186"/>
      <c r="JA64" s="186"/>
      <c r="JB64" s="186"/>
      <c r="JC64" s="186"/>
      <c r="JD64" s="186"/>
      <c r="JE64" s="186"/>
      <c r="JF64" s="186"/>
      <c r="JG64" s="186"/>
      <c r="JH64" s="186"/>
      <c r="JI64" s="186"/>
      <c r="JJ64" s="186"/>
      <c r="JK64" s="186"/>
      <c r="JL64" s="186"/>
      <c r="JM64" s="186"/>
      <c r="JN64" s="186"/>
      <c r="JO64" s="186"/>
      <c r="JP64" s="186"/>
      <c r="JQ64" s="186"/>
      <c r="JR64" s="186"/>
      <c r="JS64" s="186"/>
      <c r="JT64" s="186"/>
      <c r="JU64" s="186"/>
      <c r="JV64" s="186"/>
      <c r="JW64" s="186"/>
      <c r="JX64" s="186"/>
      <c r="JY64" s="186"/>
      <c r="JZ64" s="186"/>
      <c r="KA64" s="186"/>
      <c r="KB64" s="186"/>
      <c r="KC64" s="186"/>
      <c r="KD64" s="186"/>
      <c r="KE64" s="186"/>
      <c r="KF64" s="186"/>
      <c r="KG64" s="186"/>
      <c r="KH64" s="186"/>
      <c r="KI64" s="186"/>
      <c r="KJ64" s="186"/>
      <c r="KK64" s="186"/>
      <c r="KL64" s="186"/>
      <c r="KM64" s="186"/>
      <c r="KN64" s="186"/>
      <c r="KO64" s="186"/>
      <c r="KP64" s="186"/>
      <c r="KQ64" s="186"/>
      <c r="KR64" s="186"/>
      <c r="KS64" s="186"/>
      <c r="KT64" s="186"/>
      <c r="KU64" s="186"/>
      <c r="KV64" s="186"/>
      <c r="KW64" s="186"/>
      <c r="KX64" s="186"/>
      <c r="KY64" s="186"/>
      <c r="KZ64" s="186"/>
      <c r="LA64" s="186"/>
      <c r="LB64" s="186"/>
      <c r="LC64" s="186"/>
      <c r="LD64" s="186"/>
      <c r="LE64" s="186"/>
      <c r="LF64" s="186"/>
      <c r="LG64" s="186"/>
      <c r="LH64" s="186"/>
      <c r="LI64" s="186"/>
      <c r="LJ64" s="186"/>
      <c r="LK64" s="186"/>
      <c r="LL64" s="186"/>
      <c r="LM64" s="186"/>
      <c r="LN64" s="186"/>
      <c r="LO64" s="186"/>
      <c r="LP64" s="186"/>
      <c r="LQ64" s="186"/>
      <c r="LR64" s="186"/>
      <c r="LS64" s="186"/>
      <c r="LT64" s="186"/>
      <c r="LU64" s="186"/>
      <c r="LV64" s="186"/>
      <c r="LW64" s="186"/>
      <c r="LX64" s="186"/>
      <c r="LY64" s="186"/>
      <c r="LZ64" s="186"/>
      <c r="MA64" s="186"/>
      <c r="MB64" s="186"/>
      <c r="MC64" s="186"/>
      <c r="MD64" s="186"/>
      <c r="ME64" s="186"/>
      <c r="MF64" s="186"/>
      <c r="MG64" s="186"/>
      <c r="MH64" s="186"/>
      <c r="MI64" s="186"/>
      <c r="MJ64" s="186"/>
      <c r="MK64" s="186"/>
      <c r="ML64" s="186"/>
      <c r="MM64" s="186"/>
      <c r="MN64" s="186"/>
      <c r="MO64" s="186"/>
      <c r="MP64" s="186"/>
      <c r="MQ64" s="186"/>
      <c r="MR64" s="186"/>
      <c r="MS64" s="186"/>
      <c r="MT64" s="186"/>
      <c r="MU64" s="186"/>
      <c r="MV64" s="186"/>
      <c r="MW64" s="186"/>
      <c r="MX64" s="186"/>
      <c r="MY64" s="186"/>
      <c r="MZ64" s="186"/>
      <c r="NA64" s="186"/>
      <c r="NB64" s="186"/>
      <c r="NC64" s="186"/>
      <c r="ND64" s="186"/>
      <c r="NE64" s="186"/>
      <c r="NF64" s="186"/>
      <c r="NG64" s="186"/>
      <c r="NH64" s="186"/>
      <c r="NI64" s="186"/>
      <c r="NJ64" s="186"/>
      <c r="NK64" s="186">
        <v>170</v>
      </c>
      <c r="NL64" s="186"/>
      <c r="NM64" s="186"/>
      <c r="NN64" s="186"/>
      <c r="NO64" s="186"/>
      <c r="NP64" s="186"/>
      <c r="NQ64" s="186"/>
      <c r="NR64" s="186"/>
      <c r="NS64" s="186"/>
      <c r="NT64" s="186"/>
      <c r="NU64" s="186"/>
      <c r="NV64" s="186"/>
      <c r="NW64" s="186"/>
      <c r="NX64" s="186"/>
      <c r="NY64" s="186"/>
      <c r="NZ64" s="186"/>
      <c r="OA64" s="186"/>
      <c r="OB64" s="186"/>
      <c r="OC64" s="186"/>
      <c r="OD64" s="186"/>
      <c r="OE64" s="186"/>
      <c r="OF64" s="186"/>
      <c r="OG64" s="186"/>
      <c r="OH64" s="186"/>
      <c r="OI64" s="186"/>
      <c r="OJ64" s="186"/>
      <c r="OK64" s="186"/>
      <c r="OL64" s="186"/>
      <c r="OM64" s="186"/>
      <c r="ON64" s="186"/>
      <c r="OO64" s="186"/>
      <c r="OP64" s="186"/>
      <c r="OQ64" s="186"/>
      <c r="OR64" s="186"/>
      <c r="OS64" s="186"/>
      <c r="OT64" s="186"/>
      <c r="OU64" s="186"/>
      <c r="OV64" s="186"/>
      <c r="OW64" s="186"/>
      <c r="OX64" s="186"/>
      <c r="OY64" s="186"/>
      <c r="OZ64" s="186"/>
      <c r="PA64" s="186"/>
      <c r="PB64" s="186"/>
      <c r="PC64" s="186"/>
      <c r="PD64" s="186"/>
      <c r="PE64" s="186"/>
      <c r="PF64" s="186"/>
      <c r="PG64" s="186"/>
      <c r="PH64" s="186"/>
      <c r="PI64" s="186"/>
      <c r="PJ64" s="186"/>
      <c r="PK64" s="186"/>
      <c r="PL64" s="186"/>
      <c r="PM64" s="186"/>
      <c r="PN64" s="186"/>
      <c r="PO64" s="186"/>
      <c r="PP64" s="186"/>
      <c r="PQ64" s="186"/>
      <c r="PR64" s="186"/>
      <c r="PS64" s="186"/>
      <c r="PT64" s="186"/>
      <c r="PU64" s="186"/>
      <c r="PV64" s="186"/>
      <c r="PW64" s="186"/>
      <c r="PX64" s="186"/>
      <c r="PY64" s="186"/>
      <c r="PZ64" s="186"/>
      <c r="QA64" s="186"/>
      <c r="QB64" s="186"/>
      <c r="QC64" s="186"/>
      <c r="QD64" s="186"/>
      <c r="QE64" s="186"/>
      <c r="QF64" s="186"/>
      <c r="QG64" s="186"/>
      <c r="QH64" s="186"/>
      <c r="QI64" s="186"/>
      <c r="QJ64" s="186"/>
      <c r="QK64" s="186"/>
      <c r="QL64" s="186"/>
      <c r="QM64" s="186"/>
      <c r="QN64" s="186"/>
      <c r="QO64" s="186"/>
      <c r="QP64" s="186"/>
      <c r="QQ64" s="186"/>
      <c r="QR64" s="186"/>
      <c r="QS64" s="186"/>
      <c r="QT64" s="186"/>
      <c r="QU64" s="186"/>
      <c r="QV64" s="186"/>
      <c r="QW64" s="186"/>
      <c r="QX64" s="186"/>
      <c r="QY64" s="186"/>
      <c r="QZ64" s="186"/>
      <c r="RA64" s="186"/>
      <c r="RB64" s="186"/>
      <c r="RC64" s="186"/>
      <c r="RD64" s="186"/>
      <c r="RE64" s="186"/>
      <c r="RF64" s="186"/>
      <c r="RG64" s="186"/>
      <c r="RH64" s="186"/>
      <c r="RI64" s="186"/>
      <c r="RJ64" s="186"/>
      <c r="RK64" s="186"/>
      <c r="RL64" s="186"/>
      <c r="RM64" s="186"/>
      <c r="RN64" s="186"/>
      <c r="RO64" s="186"/>
      <c r="RP64" s="186"/>
      <c r="RQ64" s="186"/>
      <c r="RR64" s="186"/>
      <c r="RS64" s="186"/>
      <c r="RT64" s="186"/>
      <c r="RU64" s="186"/>
      <c r="RV64" s="186"/>
      <c r="RW64" s="186"/>
      <c r="RX64" s="186"/>
      <c r="RY64" s="186"/>
      <c r="RZ64" s="186"/>
      <c r="SA64" s="186"/>
      <c r="SB64" s="186"/>
      <c r="SC64" s="186"/>
      <c r="SD64" s="186"/>
      <c r="SE64" s="186"/>
      <c r="SF64" s="186"/>
      <c r="SG64" s="186"/>
      <c r="SH64" s="186"/>
      <c r="SI64" s="186"/>
      <c r="SJ64" s="186"/>
      <c r="SK64" s="186"/>
      <c r="SL64" s="186"/>
      <c r="SM64" s="186"/>
      <c r="SN64" s="186"/>
      <c r="SO64" s="186"/>
      <c r="SP64" s="186"/>
      <c r="SQ64" s="186">
        <v>222.9</v>
      </c>
      <c r="SR64" s="186">
        <v>198.4</v>
      </c>
      <c r="SS64" s="186">
        <v>198.4</v>
      </c>
      <c r="ST64" s="186">
        <v>198.4</v>
      </c>
      <c r="SU64" s="186">
        <v>198.4</v>
      </c>
      <c r="SV64" s="186">
        <v>198.4</v>
      </c>
      <c r="SW64" s="186">
        <v>198.4</v>
      </c>
      <c r="SX64" s="186">
        <v>198.4</v>
      </c>
      <c r="SY64" s="186">
        <v>198.4</v>
      </c>
      <c r="SZ64" s="186">
        <v>198.4</v>
      </c>
      <c r="TA64" s="186"/>
      <c r="TB64" s="186"/>
      <c r="TC64" s="186"/>
      <c r="TD64" s="186"/>
      <c r="TE64" s="186"/>
      <c r="TF64" s="186"/>
      <c r="TG64" s="186"/>
      <c r="TH64" s="186"/>
      <c r="TI64" s="186"/>
      <c r="TJ64" s="186"/>
      <c r="TK64" s="186"/>
      <c r="TL64" s="186"/>
      <c r="TM64" s="186"/>
      <c r="TN64" s="186"/>
      <c r="TO64" s="186"/>
      <c r="TP64" s="186"/>
      <c r="TQ64" s="186"/>
      <c r="TR64" s="186"/>
      <c r="TS64" s="186"/>
      <c r="TT64" s="186">
        <v>198.4</v>
      </c>
      <c r="TU64" s="186"/>
      <c r="TV64" s="186"/>
      <c r="TW64" s="186"/>
      <c r="TX64" s="186"/>
      <c r="TY64" s="186"/>
      <c r="TZ64" s="186"/>
      <c r="UA64" s="186"/>
      <c r="UB64" s="186"/>
      <c r="UC64" s="186"/>
      <c r="UD64" s="186"/>
      <c r="UE64" s="186"/>
      <c r="UF64" s="186"/>
      <c r="UG64" s="186"/>
      <c r="UH64" s="186">
        <v>198.4</v>
      </c>
      <c r="UI64" s="186"/>
      <c r="UJ64" s="186"/>
      <c r="UK64" s="186"/>
      <c r="UL64" s="186"/>
      <c r="UM64" s="186"/>
      <c r="UN64" s="186"/>
      <c r="UO64" s="186"/>
      <c r="UP64" s="186"/>
      <c r="UQ64" s="186"/>
      <c r="UR64" s="186"/>
      <c r="US64" s="186"/>
      <c r="UT64" s="186"/>
      <c r="UU64" s="186"/>
      <c r="UV64" s="186"/>
      <c r="UW64" s="186"/>
      <c r="UX64" s="186"/>
      <c r="UY64" s="186"/>
      <c r="UZ64" s="186"/>
      <c r="VA64" s="186"/>
      <c r="VB64" s="186"/>
      <c r="VC64" s="186"/>
      <c r="VD64" s="186"/>
      <c r="VE64" s="186"/>
      <c r="VF64" s="186"/>
      <c r="VG64" s="186"/>
      <c r="VH64" s="186"/>
      <c r="VI64" s="186"/>
      <c r="VJ64" s="186"/>
      <c r="VK64" s="186"/>
      <c r="VL64" s="186"/>
      <c r="VM64" s="186"/>
      <c r="VN64" s="186"/>
      <c r="VO64" s="186"/>
      <c r="VP64" s="186"/>
      <c r="VQ64" s="186"/>
      <c r="VR64" s="186"/>
      <c r="VS64" s="186"/>
      <c r="VT64" s="186"/>
      <c r="VU64" s="186"/>
      <c r="VV64" s="186"/>
      <c r="VW64" s="186"/>
      <c r="VX64" s="186"/>
      <c r="VY64" s="186"/>
      <c r="VZ64" s="186"/>
      <c r="WA64" s="186"/>
      <c r="WB64" s="186"/>
      <c r="WC64" s="186"/>
      <c r="WD64" s="186"/>
      <c r="WE64" s="186"/>
      <c r="WF64" s="186"/>
      <c r="WG64" s="186"/>
      <c r="WH64" s="186"/>
      <c r="WI64" s="186"/>
      <c r="WJ64" s="186"/>
      <c r="WK64" s="186"/>
      <c r="WL64" s="186"/>
      <c r="WM64" s="186"/>
      <c r="WN64" s="186"/>
      <c r="WO64" s="186"/>
      <c r="WP64" s="186"/>
      <c r="WQ64" s="186"/>
      <c r="WR64" s="186"/>
      <c r="WS64" s="186"/>
      <c r="WT64" s="186"/>
      <c r="WU64" s="186"/>
      <c r="WV64" s="186"/>
      <c r="WW64" s="186"/>
      <c r="WX64" s="186"/>
      <c r="WY64" s="186"/>
      <c r="WZ64" s="186"/>
      <c r="XA64" s="186"/>
      <c r="XB64" s="186"/>
      <c r="XC64" s="186"/>
      <c r="XD64" s="186"/>
      <c r="XE64" s="186"/>
      <c r="XF64" s="186"/>
      <c r="XG64" s="186"/>
      <c r="XH64" s="186"/>
      <c r="XI64" s="186"/>
      <c r="XJ64" s="186"/>
      <c r="XK64" s="186"/>
      <c r="XL64" s="186"/>
      <c r="XM64" s="186"/>
      <c r="XN64" s="186"/>
      <c r="XO64" s="186"/>
      <c r="XP64" s="186"/>
      <c r="XQ64" s="493"/>
      <c r="XR64" s="186"/>
      <c r="XS64" s="186"/>
      <c r="XT64" s="186"/>
      <c r="XU64" s="186"/>
      <c r="XV64" s="186"/>
      <c r="XW64" s="186"/>
      <c r="XX64" s="186"/>
      <c r="XY64" s="186"/>
      <c r="XZ64" s="186"/>
      <c r="YA64" s="186"/>
      <c r="YB64" s="186"/>
      <c r="YC64" s="186"/>
      <c r="YD64" s="186"/>
      <c r="YE64" s="186"/>
      <c r="YF64" s="186"/>
      <c r="YG64" s="186"/>
      <c r="YH64" s="186"/>
      <c r="YI64" s="186"/>
      <c r="YJ64" s="186"/>
      <c r="YK64" s="186"/>
      <c r="YL64" s="186"/>
      <c r="YM64" s="186"/>
      <c r="YN64" s="186"/>
      <c r="YO64" s="186"/>
      <c r="YP64" s="186"/>
      <c r="YQ64" s="186"/>
      <c r="YR64" s="186"/>
      <c r="YS64" s="186"/>
      <c r="YT64" s="186"/>
      <c r="YU64" s="186"/>
      <c r="YV64" s="186"/>
      <c r="YW64" s="186"/>
      <c r="YX64" s="186"/>
      <c r="YY64" s="186"/>
      <c r="YZ64" s="186"/>
      <c r="ZA64" s="186"/>
      <c r="ZB64" s="186"/>
      <c r="ZC64" s="186"/>
      <c r="ZD64" s="186"/>
      <c r="ZE64" s="186"/>
      <c r="ZF64" s="186"/>
      <c r="ZG64" s="186"/>
      <c r="ZH64" s="186"/>
      <c r="ZI64" s="186"/>
      <c r="ZJ64" s="186">
        <v>224.64</v>
      </c>
      <c r="ZK64" s="186">
        <v>224.64</v>
      </c>
      <c r="ZL64" s="186">
        <v>224.64</v>
      </c>
      <c r="ZM64" s="186">
        <v>224.64</v>
      </c>
      <c r="ZN64" s="186">
        <v>224.64</v>
      </c>
      <c r="ZO64" s="186">
        <v>224.64</v>
      </c>
      <c r="ZP64" s="186">
        <v>224.64</v>
      </c>
      <c r="ZQ64" s="186">
        <v>224.64</v>
      </c>
      <c r="ZR64" s="186">
        <v>224.64</v>
      </c>
      <c r="ZS64" s="186">
        <v>224.64</v>
      </c>
      <c r="ZT64" s="186"/>
      <c r="ZU64" s="186"/>
      <c r="ZV64" s="186"/>
      <c r="ZW64" s="186"/>
      <c r="ZX64" s="186"/>
      <c r="ZY64" s="186"/>
      <c r="ZZ64" s="186"/>
      <c r="AAA64" s="186"/>
      <c r="AAB64" s="186"/>
      <c r="AAC64" s="186"/>
      <c r="AAD64" s="186"/>
      <c r="AAE64" s="186"/>
      <c r="AAF64" s="186"/>
      <c r="AAG64" s="186"/>
      <c r="AAH64" s="186"/>
      <c r="AAI64" s="186"/>
      <c r="AAJ64" s="186"/>
      <c r="AAK64" s="186"/>
      <c r="AAL64" s="186"/>
      <c r="AAM64" s="186">
        <v>224.64</v>
      </c>
      <c r="AAN64" s="186"/>
      <c r="AAO64" s="186"/>
      <c r="AAP64" s="186"/>
      <c r="AAQ64" s="186"/>
      <c r="AAR64" s="186"/>
      <c r="AAS64" s="186"/>
      <c r="AAT64" s="186"/>
      <c r="AAU64" s="186"/>
      <c r="AAV64" s="186"/>
      <c r="AAW64" s="186"/>
      <c r="AAX64" s="186"/>
      <c r="AAY64" s="186"/>
      <c r="AAZ64" s="186"/>
      <c r="ABA64" s="186">
        <v>224.64</v>
      </c>
      <c r="ABB64" s="186"/>
      <c r="ABC64" s="186"/>
      <c r="ABD64" s="186"/>
      <c r="ABE64" s="186"/>
      <c r="ABF64" s="186"/>
      <c r="ABG64" s="186"/>
      <c r="ABH64" s="186"/>
      <c r="ABI64" s="186"/>
      <c r="ABJ64" s="186"/>
      <c r="ABK64" s="186"/>
      <c r="ABL64" s="186"/>
      <c r="ABM64" s="186"/>
      <c r="ABN64" s="186"/>
      <c r="ABO64" s="186"/>
      <c r="ABP64" s="186"/>
      <c r="ABQ64" s="186"/>
      <c r="ABR64" s="186"/>
      <c r="ABS64" s="186"/>
      <c r="ABT64" s="186"/>
      <c r="ABU64" s="186"/>
      <c r="ABV64" s="186"/>
      <c r="ABW64" s="186"/>
      <c r="ABX64" s="186"/>
      <c r="ABY64" s="186"/>
      <c r="ABZ64" s="186"/>
      <c r="ACA64" s="186"/>
      <c r="ACB64" s="186"/>
      <c r="ACC64" s="186"/>
      <c r="ACD64" s="186"/>
      <c r="ACE64" s="186"/>
      <c r="ACF64" s="186"/>
      <c r="ACG64" s="186"/>
      <c r="ACH64" s="186"/>
      <c r="ACI64" s="186"/>
      <c r="ACJ64" s="186"/>
      <c r="ACK64" s="186"/>
      <c r="ACL64" s="186"/>
      <c r="ACM64" s="186"/>
      <c r="ACN64" s="186"/>
      <c r="ACO64" s="186"/>
      <c r="ACP64" s="186"/>
      <c r="ACQ64" s="186"/>
      <c r="ACR64" s="186"/>
      <c r="ACS64" s="186"/>
      <c r="ACT64" s="493"/>
      <c r="ACU64" s="186"/>
      <c r="ACV64" s="186"/>
      <c r="ACW64" s="186"/>
      <c r="ACX64" s="186"/>
      <c r="ACY64" s="186"/>
      <c r="ACZ64" s="186"/>
      <c r="ADA64" s="186"/>
      <c r="ADB64" s="186"/>
      <c r="ADC64" s="186"/>
      <c r="ADD64" s="186"/>
      <c r="ADE64" s="186"/>
      <c r="ADF64" s="186"/>
      <c r="ADG64" s="186"/>
      <c r="ADH64" s="186"/>
      <c r="ADI64" s="186"/>
      <c r="ADJ64" s="186"/>
      <c r="ADK64" s="186"/>
      <c r="ADL64" s="186"/>
      <c r="ADM64" s="186"/>
      <c r="ADN64" s="186"/>
      <c r="ADO64" s="186"/>
      <c r="ADP64" s="186"/>
      <c r="ADQ64" s="186"/>
      <c r="ADR64" s="186"/>
      <c r="ADS64" s="186"/>
      <c r="ADT64" s="186"/>
      <c r="ADU64" s="186"/>
      <c r="ADV64" s="186"/>
      <c r="ADW64" s="186"/>
      <c r="ADX64" s="186"/>
      <c r="ADY64" s="186"/>
      <c r="ADZ64" s="186"/>
      <c r="AEA64" s="186"/>
      <c r="AEB64" s="186"/>
      <c r="AEC64" s="186"/>
      <c r="AED64" s="186"/>
      <c r="AEE64" s="186"/>
      <c r="AEF64" s="186"/>
      <c r="AEG64" s="186"/>
      <c r="AEH64" s="186"/>
      <c r="AEI64" s="186"/>
      <c r="AEJ64" s="186"/>
      <c r="AEK64" s="186"/>
      <c r="AEL64" s="186"/>
      <c r="AEM64" s="186"/>
      <c r="AEN64" s="186"/>
      <c r="AEO64" s="186"/>
      <c r="AEP64" s="186"/>
      <c r="AEQ64" s="186"/>
      <c r="AER64" s="186"/>
      <c r="AES64" s="186"/>
      <c r="AET64" s="186"/>
      <c r="AEU64" s="186"/>
      <c r="AEV64" s="186"/>
      <c r="AEW64" s="186"/>
      <c r="AEX64" s="186"/>
      <c r="AEY64" s="186"/>
      <c r="AEZ64" s="186"/>
      <c r="AFA64" s="186"/>
      <c r="AFB64" s="186"/>
      <c r="AFC64" s="186"/>
      <c r="AFD64" s="186"/>
      <c r="AFE64" s="186"/>
      <c r="AFF64" s="186"/>
      <c r="AFG64" s="186"/>
      <c r="AFH64" s="186"/>
      <c r="AFI64" s="186"/>
      <c r="AFJ64" s="186"/>
      <c r="AFK64" s="186"/>
      <c r="AFL64" s="186"/>
      <c r="AFM64" s="186"/>
      <c r="AFN64" s="186"/>
      <c r="AFO64" s="186"/>
      <c r="AFP64" s="186"/>
      <c r="AFQ64" s="186"/>
      <c r="AFR64" s="186"/>
      <c r="AFS64" s="186"/>
      <c r="AFT64" s="186"/>
      <c r="AFU64" s="186"/>
      <c r="AFV64" s="186"/>
      <c r="AFW64" s="186"/>
      <c r="AFX64" s="186"/>
      <c r="AFY64" s="186"/>
      <c r="AFZ64" s="186"/>
      <c r="AGA64" s="186"/>
      <c r="AGB64" s="186"/>
      <c r="AGC64" s="186"/>
      <c r="AGD64" s="186"/>
      <c r="AGE64" s="186"/>
      <c r="AGF64" s="186"/>
      <c r="AGG64" s="186"/>
      <c r="AGH64" s="186"/>
      <c r="AGI64" s="186"/>
      <c r="AGJ64" s="186"/>
      <c r="AGK64" s="186"/>
      <c r="AGL64" s="186"/>
      <c r="AGM64" s="186"/>
      <c r="AGN64" s="186"/>
      <c r="AGO64" s="186"/>
      <c r="AGP64" s="186"/>
      <c r="AGQ64" s="186"/>
      <c r="AGR64" s="186"/>
      <c r="AGS64" s="186"/>
      <c r="AGT64" s="186"/>
      <c r="AGU64" s="186"/>
      <c r="AGV64" s="186"/>
      <c r="AGW64" s="186"/>
      <c r="AGX64" s="186"/>
      <c r="AGY64" s="186"/>
      <c r="AGZ64" s="186"/>
      <c r="AHA64" s="186"/>
      <c r="AHB64" s="186"/>
      <c r="AHC64" s="186"/>
      <c r="AHD64" s="186"/>
      <c r="AHE64" s="186"/>
      <c r="AHF64" s="186"/>
      <c r="AHG64" s="186"/>
      <c r="AHH64" s="186"/>
      <c r="AHI64" s="186"/>
      <c r="AHJ64" s="186"/>
      <c r="AHK64" s="186"/>
      <c r="AHL64" s="186"/>
      <c r="AHM64" s="186"/>
      <c r="AHN64" s="186"/>
      <c r="AHO64" s="186"/>
      <c r="AHP64" s="186"/>
      <c r="AHQ64" s="186"/>
      <c r="AHR64" s="186"/>
      <c r="AHS64" s="186"/>
      <c r="AHT64" s="186"/>
      <c r="AHU64" s="186"/>
      <c r="AHV64" s="186"/>
      <c r="AHW64" s="186"/>
      <c r="AHX64" s="186"/>
      <c r="AHY64" s="186"/>
      <c r="AHZ64" s="186"/>
      <c r="AIA64" s="186"/>
      <c r="AIB64" s="186"/>
      <c r="AIC64" s="186"/>
      <c r="AID64" s="186"/>
      <c r="AIE64" s="186"/>
      <c r="AIF64" s="186"/>
      <c r="AIG64" s="186"/>
      <c r="AIH64" s="186"/>
      <c r="AII64" s="186"/>
      <c r="AIJ64" s="186"/>
      <c r="AIK64" s="186"/>
      <c r="AIL64" s="186"/>
      <c r="AIM64" s="186"/>
      <c r="AIN64" s="186"/>
      <c r="AIO64" s="186"/>
      <c r="AIP64" s="186"/>
      <c r="AIQ64" s="186"/>
      <c r="AIR64" s="186"/>
      <c r="AIS64" s="186"/>
      <c r="AIT64" s="186"/>
      <c r="AIU64" s="186"/>
      <c r="AIV64" s="186"/>
      <c r="AIW64" s="186"/>
      <c r="AIX64" s="186"/>
      <c r="AIY64" s="186"/>
      <c r="AIZ64" s="186"/>
      <c r="AJA64" s="186"/>
      <c r="AJB64" s="186"/>
      <c r="AJC64" s="186"/>
      <c r="AJD64" s="186"/>
      <c r="AJE64" s="186"/>
      <c r="AJF64" s="186"/>
      <c r="AJG64" s="186"/>
      <c r="AJH64" s="186"/>
      <c r="AJI64" s="186"/>
      <c r="AJJ64" s="186"/>
      <c r="AJK64" s="186"/>
      <c r="AJL64" s="186"/>
      <c r="AJM64" s="186"/>
      <c r="AJN64" s="186"/>
      <c r="AJO64" s="186"/>
      <c r="AJP64" s="186"/>
      <c r="AJQ64" s="186"/>
      <c r="AJR64" s="186"/>
      <c r="AJS64" s="186"/>
      <c r="ALU64" s="186"/>
      <c r="ALV64" s="186"/>
      <c r="ALW64" s="186"/>
      <c r="ALX64" s="186"/>
      <c r="ALY64" s="186"/>
      <c r="ALZ64" s="186"/>
      <c r="AMA64" s="186"/>
      <c r="AMB64" s="186"/>
      <c r="AMC64" s="186"/>
      <c r="AMD64" s="186"/>
      <c r="AME64" s="186"/>
      <c r="AMF64" s="186"/>
      <c r="AMG64" s="186"/>
      <c r="AMH64" s="186"/>
      <c r="AMI64" s="186"/>
      <c r="AMJ64" s="186"/>
      <c r="AMK64" s="123"/>
      <c r="AML64" s="123"/>
      <c r="AMM64" s="123"/>
    </row>
    <row r="65" spans="1:1027" ht="27.75" hidden="1" customHeight="1" thickTop="1" thickBot="1" x14ac:dyDescent="0.35">
      <c r="A65" s="186"/>
      <c r="B65" s="186"/>
      <c r="C65" s="186"/>
      <c r="D65" s="186"/>
      <c r="E65" s="186"/>
      <c r="F65" s="186"/>
      <c r="G65" s="186"/>
      <c r="H65" s="186"/>
      <c r="I65" s="186"/>
      <c r="J65" s="186"/>
      <c r="K65" s="186" t="s">
        <v>84</v>
      </c>
      <c r="L65" s="187">
        <f>AVERAGE(L59:L64)</f>
        <v>59.983333333333327</v>
      </c>
      <c r="M65" s="187">
        <f t="shared" ref="M65:AM65" si="3">AVERAGE(M59:M64)</f>
        <v>56.800000000000004</v>
      </c>
      <c r="N65" s="187">
        <f t="shared" si="3"/>
        <v>54.25</v>
      </c>
      <c r="O65" s="187">
        <f t="shared" si="3"/>
        <v>54.916666666666664</v>
      </c>
      <c r="P65" s="187">
        <f t="shared" si="3"/>
        <v>54.916666666666664</v>
      </c>
      <c r="Q65" s="187">
        <f t="shared" si="3"/>
        <v>56.983333333333327</v>
      </c>
      <c r="R65" s="187">
        <f t="shared" si="3"/>
        <v>63.558333333333337</v>
      </c>
      <c r="S65" s="187">
        <f t="shared" si="3"/>
        <v>67.25</v>
      </c>
      <c r="T65" s="187">
        <f t="shared" si="3"/>
        <v>66.75</v>
      </c>
      <c r="U65" s="187">
        <f t="shared" si="3"/>
        <v>66.400000000000006</v>
      </c>
      <c r="V65" s="187">
        <f t="shared" si="3"/>
        <v>64.2</v>
      </c>
      <c r="W65" s="187">
        <f t="shared" si="3"/>
        <v>61.9</v>
      </c>
      <c r="X65" s="187">
        <f t="shared" si="3"/>
        <v>67.86666666666666</v>
      </c>
      <c r="Y65" s="187">
        <f t="shared" si="3"/>
        <v>68.86666666666666</v>
      </c>
      <c r="Z65" s="187">
        <f t="shared" si="3"/>
        <v>69.283333333333331</v>
      </c>
      <c r="AA65" s="187">
        <f t="shared" si="3"/>
        <v>65.960000000000008</v>
      </c>
      <c r="AB65" s="187">
        <f t="shared" si="3"/>
        <v>66.66</v>
      </c>
      <c r="AC65" s="187">
        <f t="shared" si="3"/>
        <v>67.7</v>
      </c>
      <c r="AD65" s="187">
        <f t="shared" si="3"/>
        <v>67.150000000000006</v>
      </c>
      <c r="AE65" s="187">
        <f t="shared" si="3"/>
        <v>67.733333333333334</v>
      </c>
      <c r="AF65" s="187">
        <f t="shared" si="3"/>
        <v>67.350000000000009</v>
      </c>
      <c r="AG65" s="187">
        <f t="shared" si="3"/>
        <v>68.100000000000009</v>
      </c>
      <c r="AH65" s="187">
        <f t="shared" si="3"/>
        <v>69.066666666666663</v>
      </c>
      <c r="AI65" s="187">
        <f t="shared" si="3"/>
        <v>70.350000000000009</v>
      </c>
      <c r="AJ65" s="187">
        <f t="shared" si="3"/>
        <v>71.350000000000009</v>
      </c>
      <c r="AK65" s="187">
        <f t="shared" si="3"/>
        <v>71.433333333333337</v>
      </c>
      <c r="AL65" s="187">
        <f t="shared" si="3"/>
        <v>69.333333333333329</v>
      </c>
      <c r="AM65" s="187">
        <f t="shared" si="3"/>
        <v>69.083333333333329</v>
      </c>
      <c r="AN65" s="492"/>
      <c r="AO65" s="492"/>
      <c r="AP65" s="492"/>
      <c r="AQ65" s="492"/>
      <c r="AR65" s="492"/>
      <c r="AS65" s="492"/>
      <c r="AT65" s="492"/>
      <c r="AU65" s="492"/>
      <c r="AV65" s="492"/>
      <c r="AW65" s="492"/>
      <c r="AX65" s="492"/>
      <c r="AY65" s="492"/>
      <c r="AZ65" s="492"/>
      <c r="BA65" s="492"/>
      <c r="BB65" s="492"/>
      <c r="BC65" s="492"/>
      <c r="BD65" s="492"/>
      <c r="BE65" s="186"/>
      <c r="BF65" s="186"/>
      <c r="BG65" s="186"/>
      <c r="BH65" s="186"/>
      <c r="BI65" s="186"/>
      <c r="BJ65" s="186"/>
      <c r="BK65" s="186"/>
      <c r="BL65" s="186"/>
      <c r="BM65" s="186"/>
      <c r="BN65" s="186"/>
      <c r="BO65" s="186"/>
      <c r="BP65" s="186"/>
      <c r="BQ65" s="186"/>
      <c r="BR65" s="186"/>
      <c r="BS65" s="186"/>
      <c r="BT65" s="186"/>
      <c r="BU65" s="186"/>
      <c r="BV65" s="186"/>
      <c r="BW65" s="186"/>
      <c r="BX65" s="186"/>
      <c r="BY65" s="186"/>
      <c r="BZ65" s="186"/>
      <c r="CA65" s="186"/>
      <c r="CB65" s="186"/>
      <c r="CC65" s="491"/>
      <c r="CD65" s="491"/>
      <c r="CE65" s="491"/>
      <c r="CF65" s="491"/>
      <c r="CG65" s="491"/>
      <c r="CH65" s="491"/>
      <c r="CI65" s="491"/>
      <c r="CJ65" s="491"/>
      <c r="CK65" s="491"/>
      <c r="CL65" s="491"/>
      <c r="CM65" s="491"/>
      <c r="CN65" s="491"/>
      <c r="CO65" s="491"/>
      <c r="CP65" s="491"/>
      <c r="CQ65" s="491"/>
      <c r="CR65" s="491"/>
      <c r="CS65" s="491"/>
      <c r="CT65" s="491"/>
      <c r="CU65" s="491"/>
      <c r="CV65" s="491"/>
      <c r="CW65" s="491"/>
      <c r="CX65" s="491"/>
      <c r="CY65" s="491"/>
      <c r="CZ65" s="491"/>
      <c r="DA65" s="491"/>
      <c r="DB65" s="491"/>
      <c r="DC65" s="491"/>
      <c r="DD65" s="491"/>
      <c r="DE65" s="491"/>
      <c r="DF65" s="491"/>
      <c r="DG65" s="491"/>
      <c r="DH65" s="491"/>
      <c r="DI65" s="491"/>
      <c r="DJ65" s="491"/>
      <c r="DK65" s="491"/>
      <c r="DL65" s="491"/>
      <c r="DM65" s="491"/>
      <c r="DN65" s="491"/>
      <c r="DO65" s="491"/>
      <c r="DP65" s="491"/>
      <c r="DQ65" s="491"/>
      <c r="DR65" s="491"/>
      <c r="DS65" s="491"/>
      <c r="DT65" s="491"/>
      <c r="DU65" s="491"/>
      <c r="DV65" s="491"/>
      <c r="DW65" s="491"/>
      <c r="DX65" s="491"/>
      <c r="DY65" s="491"/>
      <c r="DZ65" s="491"/>
      <c r="EA65" s="491"/>
      <c r="EB65" s="491"/>
      <c r="EC65" s="491"/>
      <c r="ED65" s="491"/>
      <c r="EE65" s="491"/>
      <c r="EF65" s="491"/>
      <c r="EG65" s="491"/>
      <c r="EH65" s="491"/>
      <c r="EI65" s="491"/>
      <c r="EJ65" s="491"/>
      <c r="EK65" s="491"/>
      <c r="EL65" s="491"/>
      <c r="EM65" s="491"/>
      <c r="EN65" s="491"/>
      <c r="EO65" s="491"/>
      <c r="EP65" s="491"/>
      <c r="EQ65" s="186"/>
      <c r="ER65" s="186"/>
      <c r="ES65" s="186"/>
      <c r="ET65" s="186"/>
      <c r="EU65" s="186"/>
      <c r="EV65" s="186"/>
      <c r="EW65" s="186"/>
      <c r="EX65" s="186"/>
      <c r="EY65" s="186"/>
      <c r="EZ65" s="186"/>
      <c r="FA65" s="186"/>
      <c r="FB65" s="186"/>
      <c r="FC65" s="186"/>
      <c r="FD65" s="186"/>
      <c r="FE65" s="186"/>
      <c r="FF65" s="186"/>
      <c r="FG65" s="186"/>
      <c r="FH65" s="186"/>
      <c r="FI65" s="186"/>
      <c r="FJ65" s="186"/>
      <c r="FK65" s="186"/>
      <c r="FL65" s="186"/>
      <c r="FM65" s="186"/>
      <c r="FN65" s="186"/>
      <c r="FO65" s="186"/>
      <c r="FP65" s="186"/>
      <c r="FQ65" s="186"/>
      <c r="FR65" s="186"/>
      <c r="FS65" s="186"/>
      <c r="FT65" s="186"/>
      <c r="FU65" s="186"/>
      <c r="FV65" s="186"/>
      <c r="FW65" s="186"/>
      <c r="FX65" s="186"/>
      <c r="FY65" s="186"/>
      <c r="FZ65" s="186"/>
      <c r="GA65" s="186"/>
      <c r="GB65" s="186"/>
      <c r="GC65" s="186"/>
      <c r="GD65" s="186"/>
      <c r="GE65" s="186"/>
      <c r="GF65" s="186"/>
      <c r="GG65" s="186"/>
      <c r="GH65" s="186"/>
      <c r="GI65" s="186"/>
      <c r="GJ65" s="186"/>
      <c r="GK65" s="186"/>
      <c r="GL65" s="186"/>
      <c r="GM65" s="186"/>
      <c r="GN65" s="186"/>
      <c r="GO65" s="186"/>
      <c r="GP65" s="186"/>
      <c r="GQ65" s="186"/>
      <c r="GR65" s="186"/>
      <c r="GS65" s="186"/>
      <c r="GT65" s="186"/>
      <c r="GU65" s="186"/>
      <c r="GV65" s="186"/>
      <c r="GW65" s="186"/>
      <c r="GX65" s="186"/>
      <c r="GY65" s="186"/>
      <c r="GZ65" s="186"/>
      <c r="HA65" s="186"/>
      <c r="HB65" s="186"/>
      <c r="HC65" s="186"/>
      <c r="HD65" s="186"/>
      <c r="HE65" s="186"/>
      <c r="HF65" s="186"/>
      <c r="HG65" s="186"/>
      <c r="HH65" s="186"/>
      <c r="HI65" s="186"/>
      <c r="HJ65" s="186"/>
      <c r="HK65" s="186"/>
      <c r="HL65" s="186"/>
      <c r="HM65" s="186"/>
      <c r="HN65" s="186"/>
      <c r="HO65" s="186"/>
      <c r="HP65" s="186"/>
      <c r="HQ65" s="186"/>
      <c r="HR65" s="186"/>
      <c r="HS65" s="186"/>
      <c r="HT65" s="186"/>
      <c r="HU65" s="186"/>
      <c r="HV65" s="186"/>
      <c r="HW65" s="186"/>
      <c r="HX65" s="186"/>
      <c r="HY65" s="186"/>
      <c r="HZ65" s="186"/>
      <c r="IA65" s="186"/>
      <c r="IB65" s="186"/>
      <c r="IC65" s="186"/>
      <c r="ID65" s="186"/>
      <c r="IE65" s="186"/>
      <c r="IF65" s="186"/>
      <c r="IG65" s="186"/>
      <c r="IH65" s="186"/>
      <c r="II65" s="186"/>
      <c r="IJ65" s="186"/>
      <c r="IK65" s="186"/>
      <c r="IL65" s="186"/>
      <c r="IM65" s="186"/>
      <c r="IN65" s="186"/>
      <c r="IO65" s="186"/>
      <c r="IP65" s="186"/>
      <c r="IQ65" s="186"/>
      <c r="IR65" s="186"/>
      <c r="IS65" s="186"/>
      <c r="IT65" s="186"/>
      <c r="IU65" s="186"/>
      <c r="IV65" s="186"/>
      <c r="IW65" s="186"/>
      <c r="IX65" s="186"/>
      <c r="IY65" s="186"/>
      <c r="IZ65" s="186"/>
      <c r="JA65" s="186"/>
      <c r="JB65" s="186"/>
      <c r="JC65" s="186"/>
      <c r="JD65" s="186"/>
      <c r="JE65" s="186"/>
      <c r="JF65" s="186"/>
      <c r="JG65" s="186"/>
      <c r="JH65" s="186"/>
      <c r="JI65" s="186"/>
      <c r="JJ65" s="186"/>
      <c r="JK65" s="186"/>
      <c r="JL65" s="186"/>
      <c r="JM65" s="186"/>
      <c r="JN65" s="186"/>
      <c r="JO65" s="186"/>
      <c r="JP65" s="186"/>
      <c r="JQ65" s="186"/>
      <c r="JR65" s="186"/>
      <c r="JS65" s="186"/>
      <c r="JT65" s="186"/>
      <c r="JU65" s="186"/>
      <c r="JV65" s="186"/>
      <c r="JW65" s="186"/>
      <c r="JX65" s="186"/>
      <c r="JY65" s="186"/>
      <c r="JZ65" s="186"/>
      <c r="KA65" s="186"/>
      <c r="KB65" s="186"/>
      <c r="KC65" s="186"/>
      <c r="KD65" s="186"/>
      <c r="KE65" s="186"/>
      <c r="KF65" s="186"/>
      <c r="KG65" s="186"/>
      <c r="KH65" s="186"/>
      <c r="KI65" s="186"/>
      <c r="KJ65" s="186"/>
      <c r="KK65" s="186"/>
      <c r="KL65" s="186"/>
      <c r="KM65" s="186"/>
      <c r="KN65" s="186"/>
      <c r="KO65" s="186"/>
      <c r="KP65" s="186"/>
      <c r="KQ65" s="186"/>
      <c r="KR65" s="186"/>
      <c r="KS65" s="186"/>
      <c r="KT65" s="186"/>
      <c r="KU65" s="186"/>
      <c r="KV65" s="186"/>
      <c r="KW65" s="186"/>
      <c r="KX65" s="186"/>
      <c r="KY65" s="186"/>
      <c r="KZ65" s="186"/>
      <c r="LA65" s="186"/>
      <c r="LB65" s="186"/>
      <c r="LC65" s="186"/>
      <c r="LD65" s="186"/>
      <c r="LE65" s="186"/>
      <c r="LF65" s="186"/>
      <c r="LG65" s="186"/>
      <c r="LH65" s="186"/>
      <c r="LI65" s="186"/>
      <c r="LJ65" s="186"/>
      <c r="LK65" s="186"/>
      <c r="LL65" s="186"/>
      <c r="LM65" s="186"/>
      <c r="LN65" s="186"/>
      <c r="LO65" s="186"/>
      <c r="LP65" s="186"/>
      <c r="LQ65" s="186"/>
      <c r="LR65" s="186"/>
      <c r="LS65" s="186"/>
      <c r="LT65" s="186"/>
      <c r="LU65" s="186"/>
      <c r="LV65" s="186"/>
      <c r="LW65" s="186"/>
      <c r="LX65" s="186"/>
      <c r="LY65" s="186"/>
      <c r="LZ65" s="186"/>
      <c r="MA65" s="186"/>
      <c r="MB65" s="186"/>
      <c r="MC65" s="186"/>
      <c r="MD65" s="186"/>
      <c r="ME65" s="186"/>
      <c r="MF65" s="186"/>
      <c r="MG65" s="186"/>
      <c r="MH65" s="186"/>
      <c r="MI65" s="186"/>
      <c r="MJ65" s="186"/>
      <c r="MK65" s="186"/>
      <c r="ML65" s="186"/>
      <c r="MM65" s="186"/>
      <c r="MN65" s="186"/>
      <c r="MO65" s="186"/>
      <c r="MP65" s="186"/>
      <c r="MQ65" s="186"/>
      <c r="MR65" s="186"/>
      <c r="MS65" s="186"/>
      <c r="MT65" s="186"/>
      <c r="MU65" s="186"/>
      <c r="MV65" s="186"/>
      <c r="MW65" s="186"/>
      <c r="MX65" s="186"/>
      <c r="MY65" s="186"/>
      <c r="MZ65" s="186"/>
      <c r="NA65" s="186"/>
      <c r="NB65" s="186"/>
      <c r="NC65" s="186"/>
      <c r="ND65" s="186"/>
      <c r="NE65" s="186"/>
      <c r="NF65" s="186"/>
      <c r="NG65" s="186"/>
      <c r="NH65" s="186"/>
      <c r="NI65" s="186"/>
      <c r="NJ65" s="186"/>
      <c r="NK65" s="186">
        <v>175</v>
      </c>
      <c r="NL65" s="186"/>
      <c r="NM65" s="186"/>
      <c r="NN65" s="186"/>
      <c r="NO65" s="186"/>
      <c r="NP65" s="186"/>
      <c r="NQ65" s="186"/>
      <c r="NR65" s="186"/>
      <c r="NS65" s="186"/>
      <c r="NT65" s="186"/>
      <c r="NU65" s="186"/>
      <c r="NV65" s="186"/>
      <c r="NW65" s="186"/>
      <c r="NX65" s="186"/>
      <c r="NY65" s="186"/>
      <c r="NZ65" s="186"/>
      <c r="OA65" s="186"/>
      <c r="OB65" s="186"/>
      <c r="OC65" s="186"/>
      <c r="OD65" s="186"/>
      <c r="OE65" s="186"/>
      <c r="OF65" s="186"/>
      <c r="OG65" s="186"/>
      <c r="OH65" s="186"/>
      <c r="OI65" s="186"/>
      <c r="OJ65" s="186"/>
      <c r="OK65" s="186"/>
      <c r="OL65" s="186"/>
      <c r="OM65" s="186"/>
      <c r="ON65" s="186"/>
      <c r="OO65" s="186"/>
      <c r="OP65" s="186"/>
      <c r="OQ65" s="186"/>
      <c r="OR65" s="186"/>
      <c r="OS65" s="186"/>
      <c r="OT65" s="186"/>
      <c r="OU65" s="186"/>
      <c r="OV65" s="186"/>
      <c r="OW65" s="186"/>
      <c r="OX65" s="186"/>
      <c r="OY65" s="186"/>
      <c r="OZ65" s="186"/>
      <c r="PA65" s="186"/>
      <c r="PB65" s="186"/>
      <c r="PC65" s="186"/>
      <c r="PD65" s="186"/>
      <c r="PE65" s="186"/>
      <c r="PF65" s="186"/>
      <c r="PG65" s="186"/>
      <c r="PH65" s="186"/>
      <c r="PI65" s="186"/>
      <c r="PJ65" s="186"/>
      <c r="PK65" s="186"/>
      <c r="PL65" s="186"/>
      <c r="PM65" s="186"/>
      <c r="PN65" s="186"/>
      <c r="PO65" s="186"/>
      <c r="PP65" s="186"/>
      <c r="PQ65" s="186"/>
      <c r="PR65" s="186"/>
      <c r="PS65" s="186"/>
      <c r="PT65" s="186"/>
      <c r="PU65" s="186"/>
      <c r="PV65" s="186"/>
      <c r="PW65" s="186"/>
      <c r="PX65" s="186"/>
      <c r="PY65" s="186"/>
      <c r="PZ65" s="186"/>
      <c r="QA65" s="186"/>
      <c r="QB65" s="186"/>
      <c r="QC65" s="186"/>
      <c r="QD65" s="186"/>
      <c r="QE65" s="186"/>
      <c r="QF65" s="186"/>
      <c r="QG65" s="186"/>
      <c r="QH65" s="186"/>
      <c r="QI65" s="186"/>
      <c r="QJ65" s="186"/>
      <c r="QK65" s="186"/>
      <c r="QL65" s="186"/>
      <c r="QM65" s="186"/>
      <c r="QN65" s="186"/>
      <c r="QO65" s="186"/>
      <c r="QP65" s="186"/>
      <c r="QQ65" s="186"/>
      <c r="QR65" s="186"/>
      <c r="QS65" s="186"/>
      <c r="QT65" s="186"/>
      <c r="QU65" s="186"/>
      <c r="QV65" s="186"/>
      <c r="QW65" s="186"/>
      <c r="QX65" s="186"/>
      <c r="QY65" s="186"/>
      <c r="QZ65" s="186"/>
      <c r="RA65" s="186"/>
      <c r="RB65" s="186"/>
      <c r="RC65" s="186"/>
      <c r="RD65" s="186"/>
      <c r="RE65" s="186"/>
      <c r="RF65" s="186"/>
      <c r="RG65" s="186"/>
      <c r="RH65" s="186"/>
      <c r="RI65" s="186"/>
      <c r="RJ65" s="186"/>
      <c r="RK65" s="186"/>
      <c r="RL65" s="186"/>
      <c r="RM65" s="186"/>
      <c r="RN65" s="186"/>
      <c r="RO65" s="186"/>
      <c r="RP65" s="186"/>
      <c r="RQ65" s="186"/>
      <c r="RR65" s="186"/>
      <c r="RS65" s="186"/>
      <c r="RT65" s="186"/>
      <c r="RU65" s="186"/>
      <c r="RV65" s="186"/>
      <c r="RW65" s="186"/>
      <c r="RX65" s="186"/>
      <c r="RY65" s="186"/>
      <c r="RZ65" s="186"/>
      <c r="SA65" s="186"/>
      <c r="SB65" s="186"/>
      <c r="SC65" s="186"/>
      <c r="SD65" s="186"/>
      <c r="SE65" s="186"/>
      <c r="SF65" s="186"/>
      <c r="SG65" s="186"/>
      <c r="SH65" s="186"/>
      <c r="SI65" s="186"/>
      <c r="SJ65" s="186"/>
      <c r="SK65" s="186"/>
      <c r="SL65" s="186"/>
      <c r="SM65" s="186"/>
      <c r="SN65" s="186"/>
      <c r="SO65" s="186"/>
      <c r="SP65" s="186"/>
      <c r="SQ65" s="186">
        <v>227.8</v>
      </c>
      <c r="SR65" s="186">
        <v>205.8</v>
      </c>
      <c r="SS65" s="186">
        <v>205.8</v>
      </c>
      <c r="ST65" s="186">
        <v>205.8</v>
      </c>
      <c r="SU65" s="186">
        <v>205.8</v>
      </c>
      <c r="SV65" s="186">
        <v>205.8</v>
      </c>
      <c r="SW65" s="186">
        <v>205.8</v>
      </c>
      <c r="SX65" s="186">
        <v>205.8</v>
      </c>
      <c r="SY65" s="186">
        <v>205.8</v>
      </c>
      <c r="SZ65" s="186">
        <v>205.8</v>
      </c>
      <c r="TA65" s="186"/>
      <c r="TB65" s="186"/>
      <c r="TC65" s="186"/>
      <c r="TD65" s="186"/>
      <c r="TE65" s="186"/>
      <c r="TF65" s="186"/>
      <c r="TG65" s="186"/>
      <c r="TH65" s="186"/>
      <c r="TI65" s="186"/>
      <c r="TJ65" s="186"/>
      <c r="TK65" s="186"/>
      <c r="TL65" s="186"/>
      <c r="TM65" s="186"/>
      <c r="TN65" s="186"/>
      <c r="TO65" s="186"/>
      <c r="TP65" s="186"/>
      <c r="TQ65" s="186"/>
      <c r="TR65" s="186"/>
      <c r="TS65" s="186"/>
      <c r="TT65" s="186">
        <v>205.8</v>
      </c>
      <c r="TU65" s="186"/>
      <c r="TV65" s="186"/>
      <c r="TW65" s="186"/>
      <c r="TX65" s="186"/>
      <c r="TY65" s="186"/>
      <c r="TZ65" s="186"/>
      <c r="UA65" s="186"/>
      <c r="UB65" s="186"/>
      <c r="UC65" s="186"/>
      <c r="UD65" s="186"/>
      <c r="UE65" s="186"/>
      <c r="UF65" s="186"/>
      <c r="UG65" s="186"/>
      <c r="UH65" s="186">
        <v>205.8</v>
      </c>
      <c r="UI65" s="186"/>
      <c r="UJ65" s="186"/>
      <c r="UK65" s="186"/>
      <c r="UL65" s="186"/>
      <c r="UM65" s="186"/>
      <c r="UN65" s="186"/>
      <c r="UO65" s="186"/>
      <c r="UP65" s="186"/>
      <c r="UQ65" s="186"/>
      <c r="UR65" s="186"/>
      <c r="US65" s="186"/>
      <c r="UT65" s="186"/>
      <c r="UU65" s="186"/>
      <c r="UV65" s="186"/>
      <c r="UW65" s="186"/>
      <c r="UX65" s="186"/>
      <c r="UY65" s="186"/>
      <c r="UZ65" s="186"/>
      <c r="VA65" s="186"/>
      <c r="VB65" s="186"/>
      <c r="VC65" s="186"/>
      <c r="VD65" s="186"/>
      <c r="VE65" s="186"/>
      <c r="VF65" s="186"/>
      <c r="VG65" s="186"/>
      <c r="VH65" s="186"/>
      <c r="VI65" s="186"/>
      <c r="VJ65" s="186"/>
      <c r="VK65" s="186"/>
      <c r="VL65" s="186"/>
      <c r="VM65" s="186"/>
      <c r="VN65" s="186"/>
      <c r="VO65" s="186"/>
      <c r="VP65" s="186"/>
      <c r="VQ65" s="186"/>
      <c r="VR65" s="186"/>
      <c r="VS65" s="186"/>
      <c r="VT65" s="186"/>
      <c r="VU65" s="186"/>
      <c r="VV65" s="186"/>
      <c r="VW65" s="186"/>
      <c r="VX65" s="186"/>
      <c r="VY65" s="186"/>
      <c r="VZ65" s="186"/>
      <c r="WA65" s="186"/>
      <c r="WB65" s="186"/>
      <c r="WC65" s="186"/>
      <c r="WD65" s="186"/>
      <c r="WE65" s="186"/>
      <c r="WF65" s="186"/>
      <c r="WG65" s="186"/>
      <c r="WH65" s="186"/>
      <c r="WI65" s="186"/>
      <c r="WJ65" s="186"/>
      <c r="WK65" s="186"/>
      <c r="WL65" s="186"/>
      <c r="WM65" s="186"/>
      <c r="WN65" s="186"/>
      <c r="WO65" s="186"/>
      <c r="WP65" s="186"/>
      <c r="WQ65" s="186"/>
      <c r="WR65" s="186"/>
      <c r="WS65" s="186"/>
      <c r="WT65" s="186"/>
      <c r="WU65" s="186"/>
      <c r="WV65" s="186"/>
      <c r="WW65" s="186"/>
      <c r="WX65" s="186"/>
      <c r="WY65" s="186"/>
      <c r="WZ65" s="186"/>
      <c r="XA65" s="186"/>
      <c r="XB65" s="186"/>
      <c r="XC65" s="186"/>
      <c r="XD65" s="186"/>
      <c r="XE65" s="186"/>
      <c r="XF65" s="186"/>
      <c r="XG65" s="186"/>
      <c r="XH65" s="186"/>
      <c r="XI65" s="186"/>
      <c r="XJ65" s="186"/>
      <c r="XK65" s="186"/>
      <c r="XL65" s="186"/>
      <c r="XM65" s="186"/>
      <c r="XN65" s="186"/>
      <c r="XO65" s="186"/>
      <c r="XP65" s="186"/>
      <c r="XQ65" s="493"/>
      <c r="XR65" s="186"/>
      <c r="XS65" s="186"/>
      <c r="XT65" s="186"/>
      <c r="XU65" s="186"/>
      <c r="XV65" s="186"/>
      <c r="XW65" s="186"/>
      <c r="XX65" s="186"/>
      <c r="XY65" s="186"/>
      <c r="XZ65" s="186"/>
      <c r="YA65" s="186"/>
      <c r="YB65" s="186"/>
      <c r="YC65" s="186"/>
      <c r="YD65" s="186"/>
      <c r="YE65" s="186"/>
      <c r="YF65" s="186"/>
      <c r="YG65" s="186"/>
      <c r="YH65" s="186"/>
      <c r="YI65" s="186"/>
      <c r="YJ65" s="186"/>
      <c r="YK65" s="186"/>
      <c r="YL65" s="186"/>
      <c r="YM65" s="186"/>
      <c r="YN65" s="186"/>
      <c r="YO65" s="186"/>
      <c r="YP65" s="186"/>
      <c r="YQ65" s="186"/>
      <c r="YR65" s="186"/>
      <c r="YS65" s="186"/>
      <c r="YT65" s="186"/>
      <c r="YU65" s="186"/>
      <c r="YV65" s="186"/>
      <c r="YW65" s="186"/>
      <c r="YX65" s="186"/>
      <c r="YY65" s="186"/>
      <c r="YZ65" s="186"/>
      <c r="ZA65" s="186"/>
      <c r="ZB65" s="186"/>
      <c r="ZC65" s="186"/>
      <c r="ZD65" s="186"/>
      <c r="ZE65" s="186"/>
      <c r="ZF65" s="186"/>
      <c r="ZG65" s="186"/>
      <c r="ZH65" s="186"/>
      <c r="ZI65" s="186"/>
      <c r="ZJ65" s="186">
        <v>234.24</v>
      </c>
      <c r="ZK65" s="186">
        <v>234.24</v>
      </c>
      <c r="ZL65" s="186">
        <v>234.24</v>
      </c>
      <c r="ZM65" s="186">
        <v>234.24</v>
      </c>
      <c r="ZN65" s="186">
        <v>234.24</v>
      </c>
      <c r="ZO65" s="186">
        <v>234.24</v>
      </c>
      <c r="ZP65" s="186">
        <v>234.24</v>
      </c>
      <c r="ZQ65" s="186">
        <v>234.24</v>
      </c>
      <c r="ZR65" s="186">
        <v>234.24</v>
      </c>
      <c r="ZS65" s="186">
        <v>234.24</v>
      </c>
      <c r="ZT65" s="186"/>
      <c r="ZU65" s="186"/>
      <c r="ZV65" s="186"/>
      <c r="ZW65" s="186"/>
      <c r="ZX65" s="186"/>
      <c r="ZY65" s="186"/>
      <c r="ZZ65" s="186"/>
      <c r="AAA65" s="186"/>
      <c r="AAB65" s="186"/>
      <c r="AAC65" s="186"/>
      <c r="AAD65" s="186"/>
      <c r="AAE65" s="186"/>
      <c r="AAF65" s="186"/>
      <c r="AAG65" s="186"/>
      <c r="AAH65" s="186"/>
      <c r="AAI65" s="186"/>
      <c r="AAJ65" s="186"/>
      <c r="AAK65" s="186"/>
      <c r="AAL65" s="186"/>
      <c r="AAM65" s="186">
        <v>234.24</v>
      </c>
      <c r="AAN65" s="186"/>
      <c r="AAO65" s="186"/>
      <c r="AAP65" s="186"/>
      <c r="AAQ65" s="186"/>
      <c r="AAR65" s="186"/>
      <c r="AAS65" s="186"/>
      <c r="AAT65" s="186"/>
      <c r="AAU65" s="186"/>
      <c r="AAV65" s="186"/>
      <c r="AAW65" s="186"/>
      <c r="AAX65" s="186"/>
      <c r="AAY65" s="186"/>
      <c r="AAZ65" s="186"/>
      <c r="ABA65" s="186">
        <v>234.24</v>
      </c>
      <c r="ABB65" s="186"/>
      <c r="ABC65" s="186"/>
      <c r="ABD65" s="186"/>
      <c r="ABE65" s="186"/>
      <c r="ABF65" s="186"/>
      <c r="ABG65" s="186"/>
      <c r="ABH65" s="186"/>
      <c r="ABI65" s="186"/>
      <c r="ABJ65" s="186"/>
      <c r="ABK65" s="186"/>
      <c r="ABL65" s="186"/>
      <c r="ABM65" s="186"/>
      <c r="ABN65" s="186"/>
      <c r="ABO65" s="186"/>
      <c r="ABP65" s="186"/>
      <c r="ABQ65" s="186"/>
      <c r="ABR65" s="186"/>
      <c r="ABS65" s="186"/>
      <c r="ABT65" s="186"/>
      <c r="ABU65" s="186"/>
      <c r="ABV65" s="186"/>
      <c r="ABW65" s="186"/>
      <c r="ABX65" s="186"/>
      <c r="ABY65" s="186"/>
      <c r="ABZ65" s="186"/>
      <c r="ACA65" s="186"/>
      <c r="ACB65" s="186"/>
      <c r="ACC65" s="186"/>
      <c r="ACD65" s="186"/>
      <c r="ACE65" s="186"/>
      <c r="ACF65" s="186"/>
      <c r="ACG65" s="186"/>
      <c r="ACH65" s="186"/>
      <c r="ACI65" s="186"/>
      <c r="ACJ65" s="186"/>
      <c r="ACK65" s="186"/>
      <c r="ACL65" s="186"/>
      <c r="ACM65" s="186"/>
      <c r="ACN65" s="186"/>
      <c r="ACO65" s="186"/>
      <c r="ACP65" s="186"/>
      <c r="ACQ65" s="186"/>
      <c r="ACR65" s="186"/>
      <c r="ACS65" s="186"/>
      <c r="ACT65" s="493"/>
      <c r="ACU65" s="186"/>
      <c r="ACV65" s="186"/>
      <c r="ACW65" s="186"/>
      <c r="ACX65" s="186"/>
      <c r="ACY65" s="186"/>
      <c r="ACZ65" s="186"/>
      <c r="ADA65" s="186"/>
      <c r="ADB65" s="186"/>
      <c r="ADC65" s="186"/>
      <c r="ADD65" s="186"/>
      <c r="ADE65" s="186"/>
      <c r="ADF65" s="186"/>
      <c r="ADG65" s="186"/>
      <c r="ADH65" s="186"/>
      <c r="ADI65" s="186"/>
      <c r="ADJ65" s="186"/>
      <c r="ADK65" s="186"/>
      <c r="ADL65" s="186"/>
      <c r="ADM65" s="186"/>
      <c r="ADN65" s="186"/>
      <c r="ADO65" s="186"/>
      <c r="ADP65" s="186"/>
      <c r="ADQ65" s="186"/>
      <c r="ADR65" s="186"/>
      <c r="ADS65" s="186"/>
      <c r="ADT65" s="186"/>
      <c r="ADU65" s="186"/>
      <c r="ADV65" s="186"/>
      <c r="ADW65" s="186"/>
      <c r="ADX65" s="186"/>
      <c r="ADY65" s="186"/>
      <c r="ADZ65" s="186"/>
      <c r="AEA65" s="186"/>
      <c r="AEB65" s="186"/>
      <c r="AEC65" s="186"/>
      <c r="AED65" s="186"/>
      <c r="AEE65" s="186"/>
      <c r="AEF65" s="186"/>
      <c r="AEG65" s="186"/>
      <c r="AEH65" s="186"/>
      <c r="AEI65" s="186"/>
      <c r="AEJ65" s="186"/>
      <c r="AEK65" s="186"/>
      <c r="AEL65" s="186"/>
      <c r="AEM65" s="186"/>
      <c r="AEN65" s="186"/>
      <c r="AEO65" s="186"/>
      <c r="AEP65" s="186"/>
      <c r="AEQ65" s="186"/>
      <c r="AER65" s="186"/>
      <c r="AES65" s="186"/>
      <c r="AET65" s="186"/>
      <c r="AEU65" s="186"/>
      <c r="AEV65" s="186"/>
      <c r="AEW65" s="186"/>
      <c r="AEX65" s="186"/>
      <c r="AEY65" s="186"/>
      <c r="AEZ65" s="186"/>
      <c r="AFA65" s="186"/>
      <c r="AFB65" s="186"/>
      <c r="AFC65" s="186"/>
      <c r="AFD65" s="186"/>
      <c r="AFE65" s="186"/>
      <c r="AFF65" s="186"/>
      <c r="AFG65" s="186"/>
      <c r="AFH65" s="186"/>
      <c r="AFI65" s="186"/>
      <c r="AFJ65" s="186"/>
      <c r="AFK65" s="186"/>
      <c r="AFL65" s="186"/>
      <c r="AFM65" s="186"/>
      <c r="AFN65" s="186"/>
      <c r="AFO65" s="186"/>
      <c r="AFP65" s="186"/>
      <c r="AFQ65" s="186"/>
      <c r="AFR65" s="186"/>
      <c r="AFS65" s="186"/>
      <c r="AFT65" s="186"/>
      <c r="AFU65" s="186"/>
      <c r="AFV65" s="186"/>
      <c r="AFW65" s="186"/>
      <c r="AFX65" s="186"/>
      <c r="AFY65" s="186"/>
      <c r="AFZ65" s="186"/>
      <c r="AGA65" s="186"/>
      <c r="AGB65" s="186"/>
      <c r="AGC65" s="186"/>
      <c r="AGD65" s="186"/>
      <c r="AGE65" s="186"/>
      <c r="AGF65" s="186"/>
      <c r="AGG65" s="186"/>
      <c r="AGH65" s="186"/>
      <c r="AGI65" s="186"/>
      <c r="AGJ65" s="186"/>
      <c r="AGK65" s="186"/>
      <c r="AGL65" s="186"/>
      <c r="AGM65" s="186"/>
      <c r="AGN65" s="186"/>
      <c r="AGO65" s="186"/>
      <c r="AGP65" s="186"/>
      <c r="AGQ65" s="186"/>
      <c r="AGR65" s="186"/>
      <c r="AGS65" s="186"/>
      <c r="AGT65" s="186"/>
      <c r="AGU65" s="186"/>
      <c r="AGV65" s="186"/>
      <c r="AGW65" s="186"/>
      <c r="AGX65" s="186"/>
      <c r="AGY65" s="186"/>
      <c r="AGZ65" s="186"/>
      <c r="AHA65" s="186"/>
      <c r="AHB65" s="186"/>
      <c r="AHC65" s="186"/>
      <c r="AHD65" s="186"/>
      <c r="AHE65" s="186"/>
      <c r="AHF65" s="186"/>
      <c r="AHG65" s="186"/>
      <c r="AHH65" s="186"/>
      <c r="AHI65" s="186"/>
      <c r="AHJ65" s="186"/>
      <c r="AHK65" s="186"/>
      <c r="AHL65" s="186"/>
      <c r="AHM65" s="186"/>
      <c r="AHN65" s="186"/>
      <c r="AHO65" s="186"/>
      <c r="AHP65" s="186"/>
      <c r="AHQ65" s="186"/>
      <c r="AHR65" s="186"/>
      <c r="AHS65" s="186"/>
      <c r="AHT65" s="186"/>
      <c r="AHU65" s="186"/>
      <c r="AHV65" s="186"/>
      <c r="AHW65" s="186"/>
      <c r="AHX65" s="186"/>
      <c r="AHY65" s="186"/>
      <c r="AHZ65" s="186"/>
      <c r="AIA65" s="186"/>
      <c r="AIB65" s="186"/>
      <c r="AIC65" s="186"/>
      <c r="AID65" s="186"/>
      <c r="AIE65" s="186"/>
      <c r="AIF65" s="186"/>
      <c r="AIG65" s="186"/>
      <c r="AIH65" s="186"/>
      <c r="AII65" s="186"/>
      <c r="AIJ65" s="186"/>
      <c r="AIK65" s="186"/>
      <c r="AIL65" s="186"/>
      <c r="AIM65" s="186"/>
      <c r="AIN65" s="186"/>
      <c r="AIO65" s="186"/>
      <c r="AIP65" s="186"/>
      <c r="AIQ65" s="186"/>
      <c r="AIR65" s="186"/>
      <c r="AIS65" s="186"/>
      <c r="AIT65" s="186"/>
      <c r="AIU65" s="186"/>
      <c r="AIV65" s="186"/>
      <c r="AIW65" s="186"/>
      <c r="AIX65" s="186"/>
      <c r="AIY65" s="186"/>
      <c r="AIZ65" s="186"/>
      <c r="AJA65" s="186"/>
      <c r="AJB65" s="186"/>
      <c r="AJC65" s="186"/>
      <c r="AJD65" s="186"/>
      <c r="AJE65" s="186"/>
      <c r="AJF65" s="186"/>
      <c r="AJG65" s="186"/>
      <c r="AJH65" s="186"/>
      <c r="AJI65" s="186"/>
      <c r="AJJ65" s="186"/>
      <c r="AJK65" s="186"/>
      <c r="AJL65" s="186"/>
      <c r="AJM65" s="186"/>
      <c r="AJN65" s="186"/>
      <c r="AJO65" s="186"/>
      <c r="AJP65" s="186"/>
      <c r="AJQ65" s="186"/>
      <c r="AJR65" s="186"/>
      <c r="AJS65" s="186"/>
      <c r="ALU65" s="186"/>
      <c r="ALV65" s="186"/>
      <c r="ALW65" s="186"/>
      <c r="ALX65" s="186"/>
      <c r="ALY65" s="186"/>
      <c r="ALZ65" s="186"/>
      <c r="AMA65" s="186"/>
      <c r="AMB65" s="186"/>
      <c r="AMC65" s="186"/>
      <c r="AMD65" s="186"/>
      <c r="AME65" s="186"/>
      <c r="AMF65" s="186"/>
      <c r="AMG65" s="186"/>
      <c r="AMH65" s="186"/>
      <c r="AMI65" s="186"/>
      <c r="AMJ65" s="186"/>
      <c r="AMK65" s="123"/>
      <c r="AML65" s="123"/>
      <c r="AMM65" s="123"/>
    </row>
    <row r="66" spans="1:1027" ht="26.25" x14ac:dyDescent="0.3"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XQ66" s="305"/>
      <c r="ACT66" s="305"/>
    </row>
    <row r="67" spans="1:1027" ht="26.25" x14ac:dyDescent="0.3"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XQ67" s="305"/>
      <c r="ACT67" s="305"/>
    </row>
    <row r="68" spans="1:1027" ht="26.25" x14ac:dyDescent="0.3">
      <c r="K68" s="186" t="s">
        <v>91</v>
      </c>
      <c r="L68" s="208">
        <v>44146</v>
      </c>
      <c r="M68" s="208">
        <v>44154</v>
      </c>
      <c r="N68" s="208">
        <v>44162</v>
      </c>
      <c r="O68" s="208">
        <v>44169</v>
      </c>
      <c r="P68" s="209">
        <v>44172</v>
      </c>
      <c r="Q68" s="209">
        <v>44188</v>
      </c>
      <c r="R68" s="209">
        <v>44211</v>
      </c>
      <c r="S68" s="209">
        <v>44229</v>
      </c>
      <c r="T68" s="209">
        <v>44250</v>
      </c>
      <c r="U68" s="209">
        <v>44273</v>
      </c>
      <c r="V68" s="208">
        <v>44300</v>
      </c>
      <c r="W68" s="209">
        <v>44314</v>
      </c>
      <c r="X68" s="209">
        <v>44356</v>
      </c>
      <c r="Y68" s="209">
        <v>44370</v>
      </c>
      <c r="Z68" s="209">
        <v>44389</v>
      </c>
      <c r="AA68" s="209">
        <v>44412</v>
      </c>
      <c r="AB68" s="208">
        <v>44426</v>
      </c>
      <c r="AC68" s="208">
        <v>44455</v>
      </c>
      <c r="AD68" s="208">
        <v>44468</v>
      </c>
      <c r="AE68" s="209">
        <v>44476</v>
      </c>
      <c r="AF68" s="209">
        <v>44491</v>
      </c>
      <c r="AG68" s="209">
        <v>44498</v>
      </c>
      <c r="AH68" s="209">
        <v>44508</v>
      </c>
      <c r="AI68" s="209">
        <v>44518</v>
      </c>
      <c r="AJ68" s="209">
        <v>44530</v>
      </c>
      <c r="AK68" s="210">
        <v>44539</v>
      </c>
      <c r="AL68" s="210">
        <v>44557</v>
      </c>
      <c r="AM68" s="209">
        <v>44574</v>
      </c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XQ68" s="305"/>
      <c r="AEN68" s="195"/>
      <c r="AEO68" s="195"/>
      <c r="AEP68" s="195"/>
      <c r="AEQ68" s="195"/>
      <c r="AER68" s="195"/>
      <c r="AES68" s="195"/>
      <c r="AET68" s="195"/>
      <c r="AEU68" s="195"/>
      <c r="AEV68" s="195"/>
      <c r="AEW68" s="195"/>
      <c r="AEX68" s="195"/>
      <c r="AEY68" s="195"/>
      <c r="AEZ68" s="195"/>
      <c r="AFA68" s="195"/>
      <c r="AFB68" s="195"/>
      <c r="AFC68" s="195"/>
      <c r="AFD68" s="195"/>
      <c r="AFE68" s="195"/>
      <c r="AFF68" s="195"/>
      <c r="AFG68" s="195"/>
      <c r="AFH68" s="195"/>
      <c r="AFI68" s="195"/>
      <c r="AFJ68" s="195"/>
      <c r="AFK68" s="195"/>
      <c r="AFL68" s="195"/>
      <c r="AFM68" s="195"/>
      <c r="AFN68" s="195"/>
      <c r="AFO68" s="195"/>
      <c r="AFP68" s="195"/>
      <c r="AFQ68" s="195"/>
      <c r="AFR68" s="195"/>
      <c r="AFS68" s="195"/>
      <c r="AFT68" s="195"/>
      <c r="AFU68" s="195"/>
      <c r="AFV68" s="195"/>
      <c r="AFW68" s="195"/>
      <c r="AFX68" s="195"/>
      <c r="AFY68" s="195"/>
      <c r="AFZ68" s="195"/>
      <c r="AGA68" s="195"/>
      <c r="AGB68" s="195"/>
      <c r="AGC68" s="195"/>
      <c r="AGD68" s="195"/>
      <c r="AGE68" s="195"/>
      <c r="AGF68" s="195"/>
      <c r="AGG68" s="195"/>
      <c r="AGH68" s="195"/>
      <c r="AGI68" s="195"/>
      <c r="AGJ68" s="195"/>
      <c r="AGK68" s="195"/>
      <c r="AGL68" s="195"/>
      <c r="AGM68" s="195"/>
      <c r="AGN68" s="195"/>
      <c r="AGO68" s="195"/>
      <c r="AGP68" s="195"/>
      <c r="AGQ68" s="195"/>
      <c r="AGR68" s="195"/>
      <c r="AGS68" s="195"/>
      <c r="AGT68" s="195"/>
      <c r="AGU68" s="195"/>
      <c r="AGV68" s="195"/>
      <c r="AGW68" s="195"/>
      <c r="AGX68" s="195"/>
      <c r="AGY68" s="195"/>
      <c r="AGZ68" s="195"/>
      <c r="AHA68" s="195"/>
      <c r="AHB68" s="195"/>
      <c r="AHC68" s="195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U68" s="195"/>
      <c r="ALV68" s="195"/>
      <c r="ALW68" s="195"/>
      <c r="ALX68" s="195"/>
      <c r="ALY68" s="195"/>
      <c r="ALZ68" s="195"/>
      <c r="AMA68" s="195"/>
      <c r="AMB68" s="195"/>
      <c r="AMC68" s="195"/>
      <c r="AMD68" s="195"/>
      <c r="AME68" s="195"/>
      <c r="AMF68" s="195"/>
      <c r="AMG68" s="195"/>
      <c r="AMH68" s="195"/>
      <c r="AMI68" s="195"/>
      <c r="AMJ68" s="195"/>
      <c r="AMK68" s="195"/>
      <c r="AML68" s="195"/>
      <c r="AMM68" s="195"/>
    </row>
    <row r="69" spans="1:1027" ht="27.75" customHeight="1" x14ac:dyDescent="0.3">
      <c r="K69" s="186" t="s">
        <v>85</v>
      </c>
      <c r="L69" s="200">
        <v>34.5</v>
      </c>
      <c r="M69" s="200">
        <v>31.5</v>
      </c>
      <c r="N69" s="206">
        <v>27.2</v>
      </c>
      <c r="O69" s="200">
        <v>28</v>
      </c>
      <c r="P69" s="201">
        <v>28</v>
      </c>
      <c r="Q69" s="201">
        <v>30</v>
      </c>
      <c r="R69" s="201">
        <v>40.9</v>
      </c>
      <c r="S69" s="201">
        <v>45</v>
      </c>
      <c r="T69" s="201">
        <v>45</v>
      </c>
      <c r="U69" s="201">
        <v>46</v>
      </c>
      <c r="V69" s="200">
        <v>40</v>
      </c>
      <c r="W69" s="201">
        <v>36</v>
      </c>
      <c r="X69" s="201">
        <v>36.5</v>
      </c>
      <c r="Y69" s="201">
        <v>39</v>
      </c>
      <c r="Z69" s="201">
        <v>44</v>
      </c>
      <c r="AA69" s="201">
        <v>42</v>
      </c>
      <c r="AB69" s="200"/>
      <c r="AC69" s="200"/>
      <c r="AD69" s="200">
        <v>41</v>
      </c>
      <c r="AE69" s="201">
        <v>41</v>
      </c>
      <c r="AF69" s="201">
        <v>39.5</v>
      </c>
      <c r="AG69" s="201">
        <v>40</v>
      </c>
      <c r="AH69" s="201">
        <v>41</v>
      </c>
      <c r="AI69" s="201">
        <v>43.5</v>
      </c>
      <c r="AJ69" s="201">
        <v>43.5</v>
      </c>
      <c r="AK69" s="211">
        <v>47.3</v>
      </c>
      <c r="AL69" s="212">
        <v>41.5</v>
      </c>
      <c r="AM69" s="207">
        <v>40.5</v>
      </c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NE69" s="305"/>
      <c r="SH69" s="305"/>
      <c r="ZE69" s="195"/>
      <c r="ZF69" s="195"/>
      <c r="ZG69" s="195"/>
      <c r="ZH69" s="195"/>
      <c r="ZI69" s="195"/>
      <c r="ZJ69" s="195"/>
      <c r="ZK69" s="195"/>
      <c r="ZL69" s="195"/>
      <c r="ZM69" s="195"/>
      <c r="ZN69" s="195"/>
      <c r="ZO69" s="195"/>
      <c r="ZP69" s="195"/>
      <c r="ZQ69" s="195"/>
      <c r="ZR69" s="195"/>
      <c r="AER69" s="657"/>
      <c r="AES69" s="657"/>
      <c r="AET69" s="657"/>
      <c r="AEU69" s="657"/>
      <c r="AEV69" s="657"/>
      <c r="AEW69" s="657"/>
      <c r="AEX69" s="657"/>
      <c r="AEY69" s="657"/>
      <c r="AEZ69" s="657"/>
      <c r="AFA69" s="657"/>
      <c r="AFB69" s="657"/>
      <c r="AFC69" s="657"/>
      <c r="AFD69" s="657"/>
      <c r="AFE69" s="657"/>
      <c r="AFF69" s="657"/>
      <c r="AFG69" s="657"/>
      <c r="AFH69" s="657"/>
      <c r="AFI69" s="657"/>
      <c r="AFJ69" s="657"/>
      <c r="AFK69" s="657"/>
      <c r="AFL69" s="657"/>
      <c r="AFM69" s="657"/>
      <c r="AFN69" s="657"/>
      <c r="AFO69" s="657"/>
      <c r="AFP69" s="657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</row>
    <row r="70" spans="1:1027" ht="26.25" x14ac:dyDescent="0.3">
      <c r="K70" s="186" t="s">
        <v>86</v>
      </c>
      <c r="L70" s="205">
        <v>39</v>
      </c>
      <c r="M70" s="205">
        <v>39</v>
      </c>
      <c r="N70" s="205">
        <v>30</v>
      </c>
      <c r="O70" s="27">
        <v>30</v>
      </c>
      <c r="P70" s="27">
        <v>30</v>
      </c>
      <c r="Q70" s="27">
        <v>35</v>
      </c>
      <c r="R70" s="27">
        <v>42</v>
      </c>
      <c r="S70" s="27">
        <v>53.5</v>
      </c>
      <c r="T70" s="27">
        <v>50</v>
      </c>
      <c r="U70" s="27">
        <v>48</v>
      </c>
      <c r="V70" s="205">
        <v>50.5</v>
      </c>
      <c r="W70" s="27">
        <v>49</v>
      </c>
      <c r="X70" s="27">
        <v>52</v>
      </c>
      <c r="Y70" s="27">
        <v>50</v>
      </c>
      <c r="Z70" s="27">
        <v>50</v>
      </c>
      <c r="AA70" s="27">
        <v>48.5</v>
      </c>
      <c r="AB70" s="205">
        <v>47.5</v>
      </c>
      <c r="AC70" s="205">
        <v>52</v>
      </c>
      <c r="AD70" s="205">
        <v>52</v>
      </c>
      <c r="AE70" s="27">
        <v>52</v>
      </c>
      <c r="AF70" s="27">
        <v>47</v>
      </c>
      <c r="AG70" s="27">
        <v>48</v>
      </c>
      <c r="AH70" s="27">
        <v>48</v>
      </c>
      <c r="AI70" s="27">
        <v>49.5</v>
      </c>
      <c r="AJ70" s="27">
        <v>49.5</v>
      </c>
      <c r="AK70" s="159">
        <v>48.5</v>
      </c>
      <c r="AL70" s="211">
        <v>46.5</v>
      </c>
      <c r="AM70" s="213">
        <v>43.5</v>
      </c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SJ70" s="305"/>
      <c r="XM70" s="305"/>
      <c r="AEK70" s="195"/>
      <c r="AEL70" s="195"/>
      <c r="AEM70" s="195"/>
      <c r="AEN70" s="195"/>
      <c r="AEO70" s="195"/>
      <c r="AEP70" s="195"/>
      <c r="AEQ70" s="195"/>
      <c r="AER70" s="195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</row>
    <row r="71" spans="1:1027" x14ac:dyDescent="0.3">
      <c r="K71" s="186" t="s">
        <v>87</v>
      </c>
      <c r="L71" s="206">
        <v>29.5</v>
      </c>
      <c r="M71" s="200">
        <v>28.7</v>
      </c>
      <c r="N71" s="200">
        <v>27.7</v>
      </c>
      <c r="O71" s="200">
        <v>27.7</v>
      </c>
      <c r="P71" s="207">
        <v>27.2</v>
      </c>
      <c r="Q71" s="207">
        <v>27.2</v>
      </c>
      <c r="R71" s="201">
        <v>43</v>
      </c>
      <c r="S71" s="201">
        <v>39</v>
      </c>
      <c r="T71" s="201">
        <v>41</v>
      </c>
      <c r="U71" s="201">
        <v>44</v>
      </c>
      <c r="V71" s="200">
        <v>39</v>
      </c>
      <c r="W71" s="201">
        <v>37</v>
      </c>
      <c r="X71" s="201">
        <v>38</v>
      </c>
      <c r="Y71" s="201">
        <v>41</v>
      </c>
      <c r="Z71" s="201">
        <v>44</v>
      </c>
      <c r="AA71" s="201">
        <v>42</v>
      </c>
      <c r="AB71" s="200">
        <v>42</v>
      </c>
      <c r="AC71" s="200">
        <v>42</v>
      </c>
      <c r="AD71" s="200">
        <v>42</v>
      </c>
      <c r="AE71" s="201">
        <v>42</v>
      </c>
      <c r="AF71" s="201">
        <v>42</v>
      </c>
      <c r="AG71" s="201">
        <v>40</v>
      </c>
      <c r="AH71" s="201">
        <v>44</v>
      </c>
      <c r="AI71" s="201">
        <v>45.3</v>
      </c>
      <c r="AJ71" s="201">
        <v>47.3</v>
      </c>
      <c r="AK71" s="212">
        <v>47.3</v>
      </c>
      <c r="AL71" s="212">
        <v>43.3</v>
      </c>
      <c r="AM71" s="201">
        <v>43.3</v>
      </c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DI71" s="551"/>
      <c r="EK71"/>
      <c r="EL71"/>
      <c r="EM71"/>
      <c r="EN71"/>
      <c r="EO71"/>
      <c r="EP71"/>
      <c r="AKJ71" s="195"/>
      <c r="AKK71" s="195"/>
      <c r="AKL71" s="195"/>
      <c r="AKM71" s="195"/>
      <c r="AKN71" s="195"/>
      <c r="AKO71" s="195"/>
      <c r="AKX71"/>
      <c r="AKY71"/>
      <c r="AKZ71"/>
      <c r="ALA71"/>
      <c r="ALB71"/>
      <c r="ALC71"/>
    </row>
    <row r="72" spans="1:1027" x14ac:dyDescent="0.3">
      <c r="K72" s="186" t="s">
        <v>88</v>
      </c>
      <c r="L72" s="205">
        <v>29.8</v>
      </c>
      <c r="M72" s="206">
        <v>28.6</v>
      </c>
      <c r="N72" s="206">
        <v>26.8</v>
      </c>
      <c r="O72" s="201">
        <v>27.7</v>
      </c>
      <c r="P72" s="201">
        <v>27.7</v>
      </c>
      <c r="Q72" s="201">
        <v>31.2</v>
      </c>
      <c r="R72" s="201">
        <v>39.5</v>
      </c>
      <c r="S72" s="201"/>
      <c r="T72" s="201"/>
      <c r="U72" s="201"/>
      <c r="V72" s="201"/>
      <c r="W72" s="201"/>
      <c r="X72" s="201">
        <v>43.3</v>
      </c>
      <c r="Y72" s="201">
        <v>43.3</v>
      </c>
      <c r="Z72" s="201">
        <v>42.4</v>
      </c>
      <c r="AA72" s="201">
        <v>41.5</v>
      </c>
      <c r="AB72" s="200">
        <v>41.5</v>
      </c>
      <c r="AC72" s="200">
        <v>41.5</v>
      </c>
      <c r="AD72" s="200">
        <v>40.4</v>
      </c>
      <c r="AE72" s="201">
        <v>40.4</v>
      </c>
      <c r="AF72" s="201">
        <v>40.4</v>
      </c>
      <c r="AG72" s="201">
        <v>43</v>
      </c>
      <c r="AH72" s="201">
        <v>43</v>
      </c>
      <c r="AI72" s="201">
        <v>47.4</v>
      </c>
      <c r="AJ72" s="201">
        <v>47.4</v>
      </c>
      <c r="AK72" s="212">
        <v>47.4</v>
      </c>
      <c r="AL72" s="212">
        <v>42</v>
      </c>
      <c r="AM72" s="201">
        <v>42</v>
      </c>
      <c r="EK72"/>
      <c r="EL72"/>
      <c r="EM72"/>
      <c r="EN72"/>
      <c r="EO72"/>
      <c r="EP72"/>
      <c r="AKM72" s="195"/>
      <c r="AKN72" s="195"/>
      <c r="AKO72" s="195"/>
      <c r="ALA72"/>
      <c r="ALB72"/>
      <c r="ALC72"/>
    </row>
    <row r="73" spans="1:1027" x14ac:dyDescent="0.3">
      <c r="K73" s="186" t="s">
        <v>89</v>
      </c>
      <c r="L73" s="205">
        <v>31</v>
      </c>
      <c r="M73" s="205">
        <v>31</v>
      </c>
      <c r="N73" s="205">
        <v>29.5</v>
      </c>
      <c r="O73" s="27">
        <v>29</v>
      </c>
      <c r="P73" s="27">
        <v>29</v>
      </c>
      <c r="Q73" s="27">
        <v>28</v>
      </c>
      <c r="R73" s="27">
        <v>38</v>
      </c>
      <c r="S73" s="27">
        <v>31</v>
      </c>
      <c r="T73" s="27">
        <v>44</v>
      </c>
      <c r="U73" s="27">
        <v>39</v>
      </c>
      <c r="V73" s="205">
        <v>39</v>
      </c>
      <c r="W73" s="27">
        <v>39</v>
      </c>
      <c r="X73" s="27">
        <v>52.5</v>
      </c>
      <c r="Y73" s="27">
        <v>52.5</v>
      </c>
      <c r="Z73" s="205">
        <v>52.5</v>
      </c>
      <c r="AA73" s="205"/>
      <c r="AB73" s="205"/>
      <c r="AC73" s="205">
        <v>40.5</v>
      </c>
      <c r="AD73" s="205">
        <v>41.5</v>
      </c>
      <c r="AE73" s="27">
        <v>41.5</v>
      </c>
      <c r="AF73" s="27">
        <v>41.2</v>
      </c>
      <c r="AG73" s="27">
        <v>43.5</v>
      </c>
      <c r="AH73" s="27">
        <v>48</v>
      </c>
      <c r="AI73" s="27">
        <v>48.3</v>
      </c>
      <c r="AJ73" s="27">
        <v>48.3</v>
      </c>
      <c r="AK73" s="214">
        <v>44.3</v>
      </c>
      <c r="AL73" s="214">
        <v>41.3</v>
      </c>
      <c r="AM73" s="27">
        <v>40.799999999999997</v>
      </c>
      <c r="AKJ73" s="195"/>
      <c r="AKK73" s="195"/>
      <c r="AKL73" s="195"/>
      <c r="AKM73" s="195"/>
      <c r="AKN73" s="195"/>
      <c r="AKO73" s="195"/>
      <c r="AKX73"/>
      <c r="AKY73"/>
      <c r="AKZ73"/>
      <c r="ALA73"/>
      <c r="ALB73"/>
      <c r="ALC73"/>
    </row>
    <row r="74" spans="1:1027" x14ac:dyDescent="0.3">
      <c r="K74" s="186" t="s">
        <v>90</v>
      </c>
      <c r="L74" s="205">
        <v>31.8</v>
      </c>
      <c r="M74" s="205">
        <v>31</v>
      </c>
      <c r="N74" s="205">
        <v>30</v>
      </c>
      <c r="O74" s="27">
        <v>29</v>
      </c>
      <c r="P74" s="27">
        <v>29</v>
      </c>
      <c r="Q74" s="201">
        <v>27.5</v>
      </c>
      <c r="R74" s="201">
        <v>27.5</v>
      </c>
      <c r="S74" s="201"/>
      <c r="T74" s="201"/>
      <c r="U74" s="201"/>
      <c r="V74" s="200"/>
      <c r="W74" s="201">
        <v>39</v>
      </c>
      <c r="X74" s="201">
        <v>41</v>
      </c>
      <c r="Y74" s="201">
        <v>42.5</v>
      </c>
      <c r="Z74" s="201">
        <v>42.5</v>
      </c>
      <c r="AA74" s="201">
        <v>41</v>
      </c>
      <c r="AB74" s="200">
        <v>41</v>
      </c>
      <c r="AC74" s="200">
        <v>40</v>
      </c>
      <c r="AD74" s="200">
        <v>40</v>
      </c>
      <c r="AE74" s="201">
        <v>39.799999999999997</v>
      </c>
      <c r="AF74" s="201">
        <v>39.5</v>
      </c>
      <c r="AG74" s="201">
        <v>38.700000000000003</v>
      </c>
      <c r="AH74" s="201">
        <v>41</v>
      </c>
      <c r="AI74" s="201">
        <v>41.8</v>
      </c>
      <c r="AJ74" s="201">
        <v>44.8</v>
      </c>
      <c r="AK74" s="212">
        <v>44.8</v>
      </c>
      <c r="AL74" s="212">
        <v>43.8</v>
      </c>
      <c r="AM74" s="201">
        <v>43.3</v>
      </c>
      <c r="AKM74" s="195"/>
      <c r="AKN74" s="195"/>
      <c r="AKO74" s="195"/>
      <c r="ALA74"/>
      <c r="ALB74"/>
      <c r="ALC74"/>
    </row>
    <row r="75" spans="1:1027" x14ac:dyDescent="0.3">
      <c r="K75" s="186" t="s">
        <v>92</v>
      </c>
      <c r="L75" s="187">
        <f t="shared" ref="L75:AM75" si="4">AVERAGE(L69:L74)</f>
        <v>32.6</v>
      </c>
      <c r="M75" s="187">
        <f t="shared" si="4"/>
        <v>31.633333333333336</v>
      </c>
      <c r="N75" s="187">
        <f t="shared" si="4"/>
        <v>28.533333333333331</v>
      </c>
      <c r="O75" s="187">
        <f t="shared" si="4"/>
        <v>28.566666666666666</v>
      </c>
      <c r="P75" s="187">
        <f t="shared" si="4"/>
        <v>28.483333333333334</v>
      </c>
      <c r="Q75" s="187">
        <f t="shared" si="4"/>
        <v>29.816666666666666</v>
      </c>
      <c r="R75" s="187">
        <f t="shared" si="4"/>
        <v>38.483333333333334</v>
      </c>
      <c r="S75" s="187">
        <f t="shared" si="4"/>
        <v>42.125</v>
      </c>
      <c r="T75" s="187">
        <f t="shared" si="4"/>
        <v>45</v>
      </c>
      <c r="U75" s="187">
        <f t="shared" si="4"/>
        <v>44.25</v>
      </c>
      <c r="V75" s="187">
        <f t="shared" si="4"/>
        <v>42.125</v>
      </c>
      <c r="W75" s="187">
        <f t="shared" si="4"/>
        <v>40</v>
      </c>
      <c r="X75" s="187">
        <f t="shared" si="4"/>
        <v>43.883333333333333</v>
      </c>
      <c r="Y75" s="187">
        <f t="shared" si="4"/>
        <v>44.716666666666669</v>
      </c>
      <c r="Z75" s="187">
        <f t="shared" si="4"/>
        <v>45.9</v>
      </c>
      <c r="AA75" s="187">
        <f t="shared" si="4"/>
        <v>43</v>
      </c>
      <c r="AB75" s="187">
        <f t="shared" si="4"/>
        <v>43</v>
      </c>
      <c r="AC75" s="187">
        <f t="shared" si="4"/>
        <v>43.2</v>
      </c>
      <c r="AD75" s="187">
        <f t="shared" si="4"/>
        <v>42.816666666666663</v>
      </c>
      <c r="AE75" s="187">
        <f t="shared" si="4"/>
        <v>42.783333333333331</v>
      </c>
      <c r="AF75" s="187">
        <f t="shared" si="4"/>
        <v>41.6</v>
      </c>
      <c r="AG75" s="187">
        <f t="shared" si="4"/>
        <v>42.199999999999996</v>
      </c>
      <c r="AH75" s="187">
        <f t="shared" si="4"/>
        <v>44.166666666666664</v>
      </c>
      <c r="AI75" s="187">
        <f t="shared" si="4"/>
        <v>45.966666666666669</v>
      </c>
      <c r="AJ75" s="187">
        <f t="shared" si="4"/>
        <v>46.800000000000004</v>
      </c>
      <c r="AK75" s="187">
        <f t="shared" si="4"/>
        <v>46.6</v>
      </c>
      <c r="AL75" s="187">
        <f t="shared" si="4"/>
        <v>43.06666666666667</v>
      </c>
      <c r="AM75" s="187">
        <f t="shared" si="4"/>
        <v>42.233333333333341</v>
      </c>
    </row>
    <row r="82" spans="957:968" x14ac:dyDescent="0.3">
      <c r="AJU82" t="s">
        <v>140</v>
      </c>
      <c r="AJV82" t="s">
        <v>144</v>
      </c>
      <c r="AJW82" t="s">
        <v>144</v>
      </c>
      <c r="AJX82" t="s">
        <v>144</v>
      </c>
      <c r="AJY82" t="s">
        <v>144</v>
      </c>
      <c r="AJZ82" t="s">
        <v>144</v>
      </c>
      <c r="AKA82" t="s">
        <v>144</v>
      </c>
      <c r="AKB82" t="s">
        <v>144</v>
      </c>
      <c r="AKC82" t="s">
        <v>144</v>
      </c>
      <c r="AKD82" t="s">
        <v>144</v>
      </c>
      <c r="AKE82" t="s">
        <v>144</v>
      </c>
      <c r="AKF82" t="s">
        <v>144</v>
      </c>
    </row>
    <row r="83" spans="957:968" x14ac:dyDescent="0.3">
      <c r="AJU83" t="s">
        <v>142</v>
      </c>
      <c r="AJV83" t="s">
        <v>143</v>
      </c>
      <c r="AJW83" t="s">
        <v>143</v>
      </c>
      <c r="AJX83" t="s">
        <v>143</v>
      </c>
      <c r="AJY83" t="s">
        <v>143</v>
      </c>
      <c r="AJZ83" t="s">
        <v>143</v>
      </c>
      <c r="AKA83" t="s">
        <v>143</v>
      </c>
      <c r="AKB83" t="s">
        <v>143</v>
      </c>
      <c r="AKC83" t="s">
        <v>143</v>
      </c>
      <c r="AKD83" t="s">
        <v>143</v>
      </c>
      <c r="AKE83" t="s">
        <v>143</v>
      </c>
      <c r="AKF83" t="s">
        <v>143</v>
      </c>
    </row>
    <row r="84" spans="957:968" x14ac:dyDescent="0.3">
      <c r="AJU84" t="s">
        <v>141</v>
      </c>
      <c r="AJV84" t="s">
        <v>145</v>
      </c>
      <c r="AJW84" t="s">
        <v>145</v>
      </c>
      <c r="AJX84" t="s">
        <v>145</v>
      </c>
      <c r="AJY84" t="s">
        <v>145</v>
      </c>
      <c r="AJZ84" t="s">
        <v>145</v>
      </c>
      <c r="AKA84" t="s">
        <v>145</v>
      </c>
      <c r="AKB84" t="s">
        <v>145</v>
      </c>
      <c r="AKC84" t="s">
        <v>145</v>
      </c>
      <c r="AKD84" t="s">
        <v>145</v>
      </c>
      <c r="AKE84" t="s">
        <v>145</v>
      </c>
      <c r="AKF84" t="s">
        <v>145</v>
      </c>
    </row>
  </sheetData>
  <mergeCells count="36">
    <mergeCell ref="AER69:AFP69"/>
    <mergeCell ref="E8:E9"/>
    <mergeCell ref="F54:G54"/>
    <mergeCell ref="F50:G50"/>
    <mergeCell ref="A51:D51"/>
    <mergeCell ref="F51:G51"/>
    <mergeCell ref="A47:B47"/>
    <mergeCell ref="F48:G48"/>
    <mergeCell ref="F49:G49"/>
    <mergeCell ref="C7:C9"/>
    <mergeCell ref="D7:D9"/>
    <mergeCell ref="B58:B59"/>
    <mergeCell ref="B60:B61"/>
    <mergeCell ref="A58:A59"/>
    <mergeCell ref="A60:A61"/>
    <mergeCell ref="A7:A9"/>
    <mergeCell ref="B7:B9"/>
    <mergeCell ref="ALK2:ALK3"/>
    <mergeCell ref="AJT8:AKE8"/>
    <mergeCell ref="K7:AKE7"/>
    <mergeCell ref="VB8:VX8"/>
    <mergeCell ref="VY8:ABA8"/>
    <mergeCell ref="AHD8:AJS8"/>
    <mergeCell ref="PC8:UH8"/>
    <mergeCell ref="UI8:VA8"/>
    <mergeCell ref="JW8:PB8"/>
    <mergeCell ref="K8:EP8"/>
    <mergeCell ref="EQ8:JV8"/>
    <mergeCell ref="ALH2:ALH3"/>
    <mergeCell ref="ALI2:ALI3"/>
    <mergeCell ref="ALJ2:ALJ3"/>
    <mergeCell ref="I7:I9"/>
    <mergeCell ref="J7:J9"/>
    <mergeCell ref="F8:G9"/>
    <mergeCell ref="E7:G7"/>
    <mergeCell ref="H8:H9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동향 그래프 ~시세반영 </vt:lpstr>
      <vt:lpstr>DOWN 가격동향</vt:lpstr>
      <vt:lpstr>Sheet1</vt:lpstr>
      <vt:lpstr>'DOWN 가격동향'!Print_Area</vt:lpstr>
      <vt:lpstr>'동향 그래프 ~시세반영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서경준</cp:lastModifiedBy>
  <cp:lastPrinted>2026-03-13T04:49:01Z</cp:lastPrinted>
  <dcterms:created xsi:type="dcterms:W3CDTF">2019-10-27T23:17:50Z</dcterms:created>
  <dcterms:modified xsi:type="dcterms:W3CDTF">2026-09-09T22:44:36Z</dcterms:modified>
</cp:coreProperties>
</file>